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c\OneDrive\Documentos\"/>
    </mc:Choice>
  </mc:AlternateContent>
  <xr:revisionPtr revIDLastSave="0" documentId="13_ncr:1_{A02EC668-19A3-4856-BFC2-5ED8A547F57E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Main" sheetId="9" r:id="rId1"/>
    <sheet name="Ventas Diarias" sheetId="1" r:id="rId2"/>
    <sheet name="Compras" sheetId="4" r:id="rId3"/>
    <sheet name="Gastos" sheetId="5" r:id="rId4"/>
    <sheet name="Resumen" sheetId="2" r:id="rId5"/>
    <sheet name="Resumen Mensual" sheetId="6" r:id="rId6"/>
    <sheet name="Stock" sheetId="7" r:id="rId7"/>
    <sheet name="Usar Prod" sheetId="8" r:id="rId8"/>
    <sheet name="Inversiones" sheetId="10" r:id="rId9"/>
    <sheet name="Agregar a Cultivate" sheetId="11" r:id="rId10"/>
  </sheets>
  <definedNames>
    <definedName name="DatosExternos_1" localSheetId="6" hidden="1">Stock!$B$3:$I$894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D4" i="1"/>
  <c r="E4" i="1"/>
  <c r="H4" i="1"/>
  <c r="I4" i="1"/>
  <c r="K4" i="1"/>
  <c r="C4" i="8"/>
  <c r="D4" i="8"/>
  <c r="C5" i="8"/>
  <c r="D5" i="8"/>
  <c r="C6" i="8"/>
  <c r="D6" i="8"/>
  <c r="C5" i="1"/>
  <c r="D5" i="1"/>
  <c r="E5" i="1"/>
  <c r="H5" i="1"/>
  <c r="I5" i="1"/>
  <c r="K5" i="1"/>
  <c r="C6" i="1"/>
  <c r="D6" i="1"/>
  <c r="E6" i="1"/>
  <c r="H6" i="1"/>
  <c r="I6" i="1"/>
  <c r="K6" i="1"/>
  <c r="C7" i="1"/>
  <c r="D7" i="1"/>
  <c r="E7" i="1"/>
  <c r="H7" i="1"/>
  <c r="I7" i="1"/>
  <c r="K7" i="1"/>
  <c r="C8" i="1"/>
  <c r="D8" i="1"/>
  <c r="E8" i="1"/>
  <c r="H8" i="1"/>
  <c r="I8" i="1"/>
  <c r="K8" i="1"/>
  <c r="H4" i="7"/>
  <c r="G4" i="7"/>
  <c r="J4" i="7"/>
  <c r="M4" i="7"/>
  <c r="C9" i="1"/>
  <c r="D9" i="1"/>
  <c r="E9" i="1"/>
  <c r="H9" i="1"/>
  <c r="I9" i="1"/>
  <c r="K9" i="1"/>
  <c r="C10" i="1"/>
  <c r="D10" i="1"/>
  <c r="E10" i="1"/>
  <c r="H10" i="1"/>
  <c r="I10" i="1"/>
  <c r="K10" i="1"/>
  <c r="C4" i="11"/>
  <c r="D4" i="11"/>
  <c r="G4" i="11"/>
  <c r="C4" i="4"/>
  <c r="F4" i="4"/>
  <c r="G4" i="4"/>
  <c r="C11" i="1"/>
  <c r="D11" i="1"/>
  <c r="E11" i="1"/>
  <c r="H11" i="1"/>
  <c r="I11" i="1"/>
  <c r="K11" i="1"/>
  <c r="C12" i="1"/>
  <c r="D12" i="1"/>
  <c r="E12" i="1"/>
  <c r="H12" i="1"/>
  <c r="I12" i="1"/>
  <c r="K12" i="1"/>
  <c r="C13" i="1"/>
  <c r="D13" i="1"/>
  <c r="E13" i="1"/>
  <c r="H13" i="1"/>
  <c r="I13" i="1"/>
  <c r="K13" i="1"/>
  <c r="C14" i="1"/>
  <c r="D14" i="1"/>
  <c r="E14" i="1"/>
  <c r="H14" i="1"/>
  <c r="I14" i="1"/>
  <c r="K14" i="1"/>
  <c r="C15" i="1"/>
  <c r="D15" i="1"/>
  <c r="E15" i="1"/>
  <c r="H15" i="1"/>
  <c r="I15" i="1"/>
  <c r="K15" i="1"/>
  <c r="C16" i="1"/>
  <c r="D16" i="1"/>
  <c r="E16" i="1"/>
  <c r="H16" i="1"/>
  <c r="I16" i="1"/>
  <c r="K16" i="1"/>
  <c r="C17" i="1"/>
  <c r="D17" i="1"/>
  <c r="E17" i="1"/>
  <c r="H17" i="1"/>
  <c r="I17" i="1"/>
  <c r="K17" i="1"/>
  <c r="C18" i="1"/>
  <c r="D18" i="1"/>
  <c r="E18" i="1"/>
  <c r="H18" i="1"/>
  <c r="I18" i="1"/>
  <c r="K18" i="1"/>
  <c r="C19" i="1"/>
  <c r="D19" i="1"/>
  <c r="E19" i="1"/>
  <c r="H19" i="1"/>
  <c r="I19" i="1"/>
  <c r="K19" i="1"/>
  <c r="C5" i="11"/>
  <c r="D5" i="11"/>
  <c r="G5" i="11"/>
  <c r="C5" i="4"/>
  <c r="F5" i="4"/>
  <c r="G5" i="4"/>
  <c r="C20" i="1"/>
  <c r="D20" i="1"/>
  <c r="E20" i="1"/>
  <c r="H20" i="1"/>
  <c r="I20" i="1"/>
  <c r="K20" i="1"/>
  <c r="C21" i="1"/>
  <c r="D21" i="1"/>
  <c r="E21" i="1"/>
  <c r="H21" i="1"/>
  <c r="I21" i="1"/>
  <c r="K21" i="1"/>
  <c r="C22" i="1"/>
  <c r="D22" i="1"/>
  <c r="E22" i="1"/>
  <c r="H22" i="1"/>
  <c r="I22" i="1"/>
  <c r="K22" i="1"/>
  <c r="C23" i="1"/>
  <c r="D23" i="1"/>
  <c r="E23" i="1"/>
  <c r="H23" i="1"/>
  <c r="I23" i="1"/>
  <c r="K23" i="1"/>
  <c r="C24" i="1"/>
  <c r="D24" i="1"/>
  <c r="E24" i="1"/>
  <c r="H24" i="1"/>
  <c r="I24" i="1"/>
  <c r="K24" i="1"/>
  <c r="C25" i="1"/>
  <c r="D25" i="1"/>
  <c r="E25" i="1"/>
  <c r="H25" i="1"/>
  <c r="I25" i="1"/>
  <c r="K25" i="1"/>
  <c r="C7" i="8"/>
  <c r="D7" i="8"/>
  <c r="C26" i="1"/>
  <c r="D26" i="1"/>
  <c r="E26" i="1"/>
  <c r="H26" i="1"/>
  <c r="I26" i="1"/>
  <c r="K26" i="1"/>
  <c r="C27" i="1"/>
  <c r="D27" i="1"/>
  <c r="E27" i="1"/>
  <c r="H27" i="1"/>
  <c r="I27" i="1"/>
  <c r="K27" i="1"/>
  <c r="C6" i="11"/>
  <c r="D6" i="11"/>
  <c r="G6" i="11"/>
  <c r="C6" i="4"/>
  <c r="F6" i="4"/>
  <c r="G6" i="4"/>
  <c r="C28" i="1"/>
  <c r="D28" i="1"/>
  <c r="E28" i="1"/>
  <c r="H28" i="1"/>
  <c r="I28" i="1"/>
  <c r="K28" i="1"/>
  <c r="C7" i="11"/>
  <c r="D7" i="11"/>
  <c r="G7" i="11"/>
  <c r="C7" i="4"/>
  <c r="F7" i="4"/>
  <c r="G7" i="4"/>
  <c r="C29" i="1"/>
  <c r="D29" i="1"/>
  <c r="E29" i="1"/>
  <c r="H29" i="1"/>
  <c r="I29" i="1"/>
  <c r="K29" i="1"/>
  <c r="C30" i="1"/>
  <c r="D30" i="1"/>
  <c r="E30" i="1"/>
  <c r="H30" i="1"/>
  <c r="I30" i="1"/>
  <c r="K30" i="1"/>
  <c r="C8" i="8"/>
  <c r="D8" i="8"/>
  <c r="C31" i="1"/>
  <c r="D31" i="1"/>
  <c r="E31" i="1"/>
  <c r="H31" i="1"/>
  <c r="I31" i="1"/>
  <c r="K31" i="1"/>
  <c r="C32" i="1"/>
  <c r="D32" i="1"/>
  <c r="E32" i="1"/>
  <c r="H32" i="1"/>
  <c r="I32" i="1"/>
  <c r="K32" i="1"/>
  <c r="C33" i="1"/>
  <c r="D33" i="1"/>
  <c r="E33" i="1"/>
  <c r="H33" i="1"/>
  <c r="I33" i="1"/>
  <c r="K33" i="1"/>
  <c r="C8" i="11"/>
  <c r="D8" i="11"/>
  <c r="G8" i="11"/>
  <c r="C8" i="4"/>
  <c r="F8" i="4"/>
  <c r="G8" i="4"/>
  <c r="C34" i="1"/>
  <c r="D34" i="1"/>
  <c r="E34" i="1"/>
  <c r="H34" i="1"/>
  <c r="I34" i="1"/>
  <c r="K34" i="1"/>
  <c r="C35" i="1"/>
  <c r="D35" i="1"/>
  <c r="E35" i="1"/>
  <c r="H35" i="1"/>
  <c r="I35" i="1"/>
  <c r="K35" i="1"/>
  <c r="C36" i="1"/>
  <c r="D36" i="1"/>
  <c r="E36" i="1"/>
  <c r="H36" i="1"/>
  <c r="I36" i="1"/>
  <c r="K36" i="1"/>
  <c r="C9" i="11"/>
  <c r="D9" i="11"/>
  <c r="G9" i="11"/>
  <c r="C37" i="1"/>
  <c r="D37" i="1"/>
  <c r="E37" i="1"/>
  <c r="H37" i="1"/>
  <c r="I37" i="1"/>
  <c r="K37" i="1"/>
  <c r="C38" i="1"/>
  <c r="D38" i="1"/>
  <c r="E38" i="1"/>
  <c r="H38" i="1"/>
  <c r="I38" i="1"/>
  <c r="K38" i="1"/>
  <c r="C39" i="1"/>
  <c r="D39" i="1"/>
  <c r="E39" i="1"/>
  <c r="H39" i="1"/>
  <c r="I39" i="1"/>
  <c r="K39" i="1"/>
  <c r="C9" i="8"/>
  <c r="D9" i="8"/>
  <c r="C40" i="1"/>
  <c r="D40" i="1"/>
  <c r="E40" i="1"/>
  <c r="H40" i="1"/>
  <c r="I40" i="1"/>
  <c r="K40" i="1"/>
  <c r="C41" i="1"/>
  <c r="D41" i="1"/>
  <c r="E41" i="1"/>
  <c r="H41" i="1"/>
  <c r="I41" i="1"/>
  <c r="K41" i="1"/>
  <c r="C9" i="4"/>
  <c r="F9" i="4"/>
  <c r="G9" i="4"/>
  <c r="C42" i="1"/>
  <c r="D42" i="1"/>
  <c r="E42" i="1"/>
  <c r="H42" i="1"/>
  <c r="I42" i="1"/>
  <c r="K42" i="1"/>
  <c r="C43" i="1"/>
  <c r="D43" i="1"/>
  <c r="E43" i="1"/>
  <c r="H43" i="1"/>
  <c r="I43" i="1"/>
  <c r="K43" i="1"/>
  <c r="C44" i="1"/>
  <c r="D44" i="1"/>
  <c r="E44" i="1"/>
  <c r="H44" i="1"/>
  <c r="I44" i="1"/>
  <c r="K44" i="1"/>
  <c r="C45" i="1"/>
  <c r="D45" i="1"/>
  <c r="E45" i="1"/>
  <c r="H45" i="1"/>
  <c r="I45" i="1"/>
  <c r="K45" i="1"/>
  <c r="C46" i="1"/>
  <c r="D46" i="1"/>
  <c r="E46" i="1"/>
  <c r="H46" i="1"/>
  <c r="I46" i="1"/>
  <c r="K46" i="1"/>
  <c r="C10" i="11"/>
  <c r="D10" i="11"/>
  <c r="G10" i="11"/>
  <c r="C10" i="4"/>
  <c r="F10" i="4"/>
  <c r="G10" i="4"/>
  <c r="C47" i="1"/>
  <c r="D47" i="1"/>
  <c r="E47" i="1"/>
  <c r="H47" i="1"/>
  <c r="I47" i="1"/>
  <c r="K47" i="1"/>
  <c r="C48" i="1"/>
  <c r="D48" i="1"/>
  <c r="E48" i="1"/>
  <c r="H48" i="1"/>
  <c r="I48" i="1"/>
  <c r="K48" i="1"/>
  <c r="C49" i="1"/>
  <c r="D49" i="1"/>
  <c r="E49" i="1"/>
  <c r="H49" i="1"/>
  <c r="I49" i="1"/>
  <c r="K49" i="1"/>
  <c r="C50" i="1"/>
  <c r="D50" i="1"/>
  <c r="E50" i="1"/>
  <c r="H50" i="1"/>
  <c r="I50" i="1"/>
  <c r="K50" i="1"/>
  <c r="C51" i="1"/>
  <c r="D51" i="1"/>
  <c r="E51" i="1"/>
  <c r="H51" i="1"/>
  <c r="I51" i="1"/>
  <c r="K51" i="1"/>
  <c r="C52" i="1"/>
  <c r="D52" i="1"/>
  <c r="E52" i="1"/>
  <c r="H52" i="1"/>
  <c r="I52" i="1"/>
  <c r="K52" i="1"/>
  <c r="C53" i="1"/>
  <c r="D53" i="1"/>
  <c r="E53" i="1"/>
  <c r="H53" i="1"/>
  <c r="I53" i="1"/>
  <c r="K53" i="1"/>
  <c r="C10" i="8"/>
  <c r="D10" i="8"/>
  <c r="C11" i="11"/>
  <c r="D11" i="11"/>
  <c r="G11" i="11"/>
  <c r="C11" i="4"/>
  <c r="F11" i="4"/>
  <c r="G11" i="4"/>
  <c r="C12" i="11"/>
  <c r="D12" i="11"/>
  <c r="G12" i="11"/>
  <c r="C13" i="11"/>
  <c r="D13" i="11"/>
  <c r="G13" i="11"/>
  <c r="C12" i="4"/>
  <c r="F12" i="4"/>
  <c r="G12" i="4"/>
  <c r="C54" i="1"/>
  <c r="D54" i="1"/>
  <c r="E54" i="1"/>
  <c r="H54" i="1"/>
  <c r="I54" i="1"/>
  <c r="K54" i="1"/>
  <c r="C55" i="1"/>
  <c r="D55" i="1"/>
  <c r="E55" i="1"/>
  <c r="H55" i="1"/>
  <c r="I55" i="1"/>
  <c r="K55" i="1"/>
  <c r="C56" i="1"/>
  <c r="D56" i="1"/>
  <c r="E56" i="1"/>
  <c r="H56" i="1"/>
  <c r="I56" i="1"/>
  <c r="K56" i="1"/>
  <c r="C11" i="8"/>
  <c r="D11" i="8"/>
  <c r="C13" i="4"/>
  <c r="F13" i="4"/>
  <c r="G13" i="4"/>
  <c r="C14" i="11"/>
  <c r="D14" i="11"/>
  <c r="G14" i="11"/>
  <c r="C12" i="8"/>
  <c r="D12" i="8"/>
  <c r="C14" i="4"/>
  <c r="F14" i="4"/>
  <c r="G14" i="4"/>
  <c r="C15" i="4"/>
  <c r="F15" i="4"/>
  <c r="G15" i="4"/>
  <c r="C57" i="1"/>
  <c r="D57" i="1"/>
  <c r="E57" i="1"/>
  <c r="H57" i="1"/>
  <c r="I57" i="1"/>
  <c r="K57" i="1"/>
  <c r="C58" i="1"/>
  <c r="D58" i="1"/>
  <c r="E58" i="1"/>
  <c r="H58" i="1"/>
  <c r="I58" i="1"/>
  <c r="K58" i="1"/>
  <c r="C59" i="1"/>
  <c r="D59" i="1"/>
  <c r="E59" i="1"/>
  <c r="H59" i="1"/>
  <c r="I59" i="1"/>
  <c r="K59" i="1"/>
  <c r="C60" i="1"/>
  <c r="D60" i="1"/>
  <c r="E60" i="1"/>
  <c r="H60" i="1"/>
  <c r="I60" i="1"/>
  <c r="K60" i="1"/>
  <c r="C61" i="1"/>
  <c r="D61" i="1"/>
  <c r="E61" i="1"/>
  <c r="H61" i="1"/>
  <c r="I61" i="1"/>
  <c r="K61" i="1"/>
  <c r="C62" i="1"/>
  <c r="D62" i="1"/>
  <c r="E62" i="1"/>
  <c r="H62" i="1"/>
  <c r="I62" i="1"/>
  <c r="K62" i="1"/>
  <c r="C63" i="1"/>
  <c r="D63" i="1"/>
  <c r="E63" i="1"/>
  <c r="H63" i="1"/>
  <c r="I63" i="1"/>
  <c r="K63" i="1"/>
  <c r="C64" i="1"/>
  <c r="D64" i="1"/>
  <c r="E64" i="1"/>
  <c r="H64" i="1"/>
  <c r="I64" i="1"/>
  <c r="K64" i="1"/>
  <c r="C65" i="1"/>
  <c r="D65" i="1"/>
  <c r="E65" i="1"/>
  <c r="H65" i="1"/>
  <c r="I65" i="1"/>
  <c r="K65" i="1"/>
  <c r="C13" i="8"/>
  <c r="D13" i="8"/>
  <c r="C14" i="8"/>
  <c r="D14" i="8"/>
  <c r="C15" i="8"/>
  <c r="D15" i="8"/>
  <c r="C16" i="8"/>
  <c r="D16" i="8"/>
  <c r="C17" i="8"/>
  <c r="D17" i="8"/>
  <c r="C18" i="8"/>
  <c r="D18" i="8"/>
  <c r="C19" i="8"/>
  <c r="D19" i="8"/>
  <c r="C20" i="8"/>
  <c r="D20" i="8"/>
  <c r="C21" i="8"/>
  <c r="D21" i="8"/>
  <c r="C22" i="8"/>
  <c r="D22" i="8"/>
  <c r="C23" i="8"/>
  <c r="D23" i="8"/>
  <c r="C24" i="8"/>
  <c r="D24" i="8"/>
  <c r="C25" i="8"/>
  <c r="D25" i="8"/>
  <c r="C26" i="8"/>
  <c r="D26" i="8"/>
  <c r="C27" i="8"/>
  <c r="D27" i="8"/>
  <c r="C66" i="1"/>
  <c r="D66" i="1"/>
  <c r="E66" i="1"/>
  <c r="H66" i="1"/>
  <c r="I66" i="1"/>
  <c r="K66" i="1"/>
  <c r="C67" i="1"/>
  <c r="D67" i="1"/>
  <c r="E67" i="1"/>
  <c r="H67" i="1"/>
  <c r="I67" i="1"/>
  <c r="K67" i="1"/>
  <c r="C28" i="8"/>
  <c r="D28" i="8"/>
  <c r="C29" i="8"/>
  <c r="D29" i="8"/>
  <c r="C30" i="8"/>
  <c r="D30" i="8"/>
  <c r="C31" i="8"/>
  <c r="D31" i="8"/>
  <c r="C68" i="1"/>
  <c r="D68" i="1"/>
  <c r="E68" i="1"/>
  <c r="H68" i="1"/>
  <c r="I68" i="1"/>
  <c r="K68" i="1"/>
  <c r="C69" i="1"/>
  <c r="D69" i="1"/>
  <c r="E69" i="1"/>
  <c r="H69" i="1"/>
  <c r="I69" i="1"/>
  <c r="K69" i="1"/>
  <c r="C70" i="1"/>
  <c r="D70" i="1"/>
  <c r="E70" i="1"/>
  <c r="H70" i="1"/>
  <c r="I70" i="1"/>
  <c r="K70" i="1"/>
  <c r="C71" i="1"/>
  <c r="D71" i="1"/>
  <c r="E71" i="1"/>
  <c r="H71" i="1"/>
  <c r="I71" i="1"/>
  <c r="K71" i="1"/>
  <c r="C72" i="1"/>
  <c r="D72" i="1"/>
  <c r="E72" i="1"/>
  <c r="H72" i="1"/>
  <c r="I72" i="1"/>
  <c r="K72" i="1"/>
  <c r="C73" i="1"/>
  <c r="D73" i="1"/>
  <c r="E73" i="1"/>
  <c r="H73" i="1"/>
  <c r="I73" i="1"/>
  <c r="K73" i="1"/>
  <c r="C74" i="1"/>
  <c r="D74" i="1"/>
  <c r="E74" i="1"/>
  <c r="H74" i="1"/>
  <c r="I74" i="1"/>
  <c r="K74" i="1"/>
  <c r="C75" i="1"/>
  <c r="D75" i="1"/>
  <c r="E75" i="1"/>
  <c r="H75" i="1"/>
  <c r="I75" i="1"/>
  <c r="K75" i="1"/>
  <c r="C76" i="1"/>
  <c r="D76" i="1"/>
  <c r="E76" i="1"/>
  <c r="H76" i="1"/>
  <c r="I76" i="1"/>
  <c r="K76" i="1"/>
  <c r="C77" i="1"/>
  <c r="D77" i="1"/>
  <c r="E77" i="1"/>
  <c r="H77" i="1"/>
  <c r="I77" i="1"/>
  <c r="K77" i="1"/>
  <c r="C78" i="1"/>
  <c r="D78" i="1"/>
  <c r="E78" i="1"/>
  <c r="H78" i="1"/>
  <c r="I78" i="1"/>
  <c r="K78" i="1"/>
  <c r="C79" i="1"/>
  <c r="D79" i="1"/>
  <c r="E79" i="1"/>
  <c r="H79" i="1"/>
  <c r="I79" i="1"/>
  <c r="K79" i="1"/>
  <c r="C80" i="1"/>
  <c r="D80" i="1"/>
  <c r="E80" i="1"/>
  <c r="H80" i="1"/>
  <c r="I80" i="1"/>
  <c r="K80" i="1"/>
  <c r="C81" i="1"/>
  <c r="D81" i="1"/>
  <c r="E81" i="1"/>
  <c r="H81" i="1"/>
  <c r="I81" i="1"/>
  <c r="K81" i="1"/>
  <c r="C82" i="1"/>
  <c r="D82" i="1"/>
  <c r="E82" i="1"/>
  <c r="H82" i="1"/>
  <c r="I82" i="1"/>
  <c r="K82" i="1"/>
  <c r="C83" i="1"/>
  <c r="D83" i="1"/>
  <c r="E83" i="1"/>
  <c r="H83" i="1"/>
  <c r="I83" i="1"/>
  <c r="K83" i="1"/>
  <c r="C84" i="1"/>
  <c r="D84" i="1"/>
  <c r="E84" i="1"/>
  <c r="H84" i="1"/>
  <c r="I84" i="1"/>
  <c r="K84" i="1"/>
  <c r="C85" i="1"/>
  <c r="D85" i="1"/>
  <c r="E85" i="1"/>
  <c r="H85" i="1"/>
  <c r="I85" i="1"/>
  <c r="K85" i="1"/>
  <c r="C86" i="1"/>
  <c r="D86" i="1"/>
  <c r="E86" i="1"/>
  <c r="H86" i="1"/>
  <c r="I86" i="1"/>
  <c r="K86" i="1"/>
  <c r="C87" i="1"/>
  <c r="D87" i="1"/>
  <c r="E87" i="1"/>
  <c r="H87" i="1"/>
  <c r="I87" i="1"/>
  <c r="K87" i="1"/>
  <c r="C88" i="1"/>
  <c r="D88" i="1"/>
  <c r="E88" i="1"/>
  <c r="H88" i="1"/>
  <c r="I88" i="1"/>
  <c r="K88" i="1"/>
  <c r="C89" i="1"/>
  <c r="D89" i="1"/>
  <c r="E89" i="1"/>
  <c r="H89" i="1"/>
  <c r="I89" i="1"/>
  <c r="K89" i="1"/>
  <c r="C90" i="1"/>
  <c r="D90" i="1"/>
  <c r="E90" i="1"/>
  <c r="H90" i="1"/>
  <c r="I90" i="1"/>
  <c r="K90" i="1"/>
  <c r="C91" i="1"/>
  <c r="D91" i="1"/>
  <c r="E91" i="1"/>
  <c r="H91" i="1"/>
  <c r="I91" i="1"/>
  <c r="K91" i="1"/>
  <c r="C92" i="1"/>
  <c r="D92" i="1"/>
  <c r="E92" i="1"/>
  <c r="H92" i="1"/>
  <c r="I92" i="1"/>
  <c r="K92" i="1"/>
  <c r="C93" i="1"/>
  <c r="D93" i="1"/>
  <c r="E93" i="1"/>
  <c r="H93" i="1"/>
  <c r="I93" i="1"/>
  <c r="K93" i="1"/>
  <c r="C94" i="1"/>
  <c r="D94" i="1"/>
  <c r="E94" i="1"/>
  <c r="H94" i="1"/>
  <c r="I94" i="1"/>
  <c r="K94" i="1"/>
  <c r="C95" i="1"/>
  <c r="D95" i="1"/>
  <c r="E95" i="1"/>
  <c r="H95" i="1"/>
  <c r="I95" i="1"/>
  <c r="K95" i="1"/>
  <c r="C96" i="1"/>
  <c r="D96" i="1"/>
  <c r="E96" i="1"/>
  <c r="H96" i="1"/>
  <c r="I96" i="1"/>
  <c r="K96" i="1"/>
  <c r="C97" i="1"/>
  <c r="D97" i="1"/>
  <c r="E97" i="1"/>
  <c r="H97" i="1"/>
  <c r="I97" i="1"/>
  <c r="K97" i="1"/>
  <c r="C98" i="1"/>
  <c r="D98" i="1"/>
  <c r="E98" i="1"/>
  <c r="H98" i="1"/>
  <c r="I98" i="1"/>
  <c r="K98" i="1"/>
  <c r="C99" i="1"/>
  <c r="D99" i="1"/>
  <c r="E99" i="1"/>
  <c r="H99" i="1"/>
  <c r="I99" i="1"/>
  <c r="K99" i="1"/>
  <c r="C100" i="1"/>
  <c r="D100" i="1"/>
  <c r="E100" i="1"/>
  <c r="H100" i="1"/>
  <c r="I100" i="1"/>
  <c r="K100" i="1"/>
  <c r="C101" i="1"/>
  <c r="D101" i="1"/>
  <c r="E101" i="1"/>
  <c r="H101" i="1"/>
  <c r="I101" i="1"/>
  <c r="K101" i="1"/>
  <c r="C102" i="1"/>
  <c r="D102" i="1"/>
  <c r="E102" i="1"/>
  <c r="H102" i="1"/>
  <c r="I102" i="1"/>
  <c r="K102" i="1"/>
  <c r="C103" i="1"/>
  <c r="D103" i="1"/>
  <c r="E103" i="1"/>
  <c r="H103" i="1"/>
  <c r="I103" i="1"/>
  <c r="K103" i="1"/>
  <c r="C104" i="1"/>
  <c r="D104" i="1"/>
  <c r="E104" i="1"/>
  <c r="H104" i="1"/>
  <c r="I104" i="1"/>
  <c r="K104" i="1"/>
  <c r="C105" i="1"/>
  <c r="D105" i="1"/>
  <c r="E105" i="1"/>
  <c r="H105" i="1"/>
  <c r="I105" i="1"/>
  <c r="K105" i="1"/>
  <c r="C106" i="1"/>
  <c r="D106" i="1"/>
  <c r="E106" i="1"/>
  <c r="H106" i="1"/>
  <c r="I106" i="1"/>
  <c r="K106" i="1"/>
  <c r="C107" i="1"/>
  <c r="D107" i="1"/>
  <c r="E107" i="1"/>
  <c r="H107" i="1"/>
  <c r="I107" i="1"/>
  <c r="K107" i="1"/>
  <c r="C108" i="1"/>
  <c r="D108" i="1"/>
  <c r="E108" i="1"/>
  <c r="H108" i="1"/>
  <c r="I108" i="1"/>
  <c r="K108" i="1"/>
  <c r="C109" i="1"/>
  <c r="D109" i="1"/>
  <c r="E109" i="1"/>
  <c r="H109" i="1"/>
  <c r="I109" i="1"/>
  <c r="K109" i="1"/>
  <c r="C110" i="1"/>
  <c r="D110" i="1"/>
  <c r="E110" i="1"/>
  <c r="H110" i="1"/>
  <c r="I110" i="1"/>
  <c r="K110" i="1"/>
  <c r="C111" i="1"/>
  <c r="D111" i="1"/>
  <c r="E111" i="1"/>
  <c r="H111" i="1"/>
  <c r="I111" i="1"/>
  <c r="K111" i="1"/>
  <c r="C112" i="1"/>
  <c r="D112" i="1"/>
  <c r="E112" i="1"/>
  <c r="H112" i="1"/>
  <c r="I112" i="1"/>
  <c r="K112" i="1"/>
  <c r="C113" i="1"/>
  <c r="D113" i="1"/>
  <c r="E113" i="1"/>
  <c r="H113" i="1"/>
  <c r="I113" i="1"/>
  <c r="K113" i="1"/>
  <c r="C114" i="1"/>
  <c r="D114" i="1"/>
  <c r="E114" i="1"/>
  <c r="H114" i="1"/>
  <c r="I114" i="1"/>
  <c r="K114" i="1"/>
  <c r="C115" i="1"/>
  <c r="D115" i="1"/>
  <c r="E115" i="1"/>
  <c r="H115" i="1"/>
  <c r="I115" i="1"/>
  <c r="K115" i="1"/>
  <c r="C116" i="1"/>
  <c r="D116" i="1"/>
  <c r="E116" i="1"/>
  <c r="H116" i="1"/>
  <c r="I116" i="1"/>
  <c r="K116" i="1"/>
  <c r="C117" i="1"/>
  <c r="D117" i="1"/>
  <c r="E117" i="1"/>
  <c r="H117" i="1"/>
  <c r="I117" i="1"/>
  <c r="K117" i="1"/>
  <c r="C118" i="1"/>
  <c r="D118" i="1"/>
  <c r="E118" i="1"/>
  <c r="H118" i="1"/>
  <c r="I118" i="1"/>
  <c r="K118" i="1"/>
  <c r="C119" i="1"/>
  <c r="D119" i="1"/>
  <c r="E119" i="1"/>
  <c r="H119" i="1"/>
  <c r="I119" i="1"/>
  <c r="K119" i="1"/>
  <c r="C120" i="1"/>
  <c r="D120" i="1"/>
  <c r="E120" i="1"/>
  <c r="H120" i="1"/>
  <c r="I120" i="1"/>
  <c r="K120" i="1"/>
  <c r="C121" i="1"/>
  <c r="D121" i="1"/>
  <c r="E121" i="1"/>
  <c r="H121" i="1"/>
  <c r="I121" i="1"/>
  <c r="K121" i="1"/>
  <c r="C122" i="1"/>
  <c r="D122" i="1"/>
  <c r="E122" i="1"/>
  <c r="H122" i="1"/>
  <c r="I122" i="1"/>
  <c r="K122" i="1"/>
  <c r="C123" i="1"/>
  <c r="D123" i="1"/>
  <c r="E123" i="1"/>
  <c r="H123" i="1"/>
  <c r="I123" i="1"/>
  <c r="K123" i="1"/>
  <c r="C124" i="1"/>
  <c r="D124" i="1"/>
  <c r="E124" i="1"/>
  <c r="H124" i="1"/>
  <c r="I124" i="1"/>
  <c r="K124" i="1"/>
  <c r="C125" i="1"/>
  <c r="D125" i="1"/>
  <c r="E125" i="1"/>
  <c r="H125" i="1"/>
  <c r="I125" i="1"/>
  <c r="K125" i="1"/>
  <c r="C126" i="1"/>
  <c r="D126" i="1"/>
  <c r="E126" i="1"/>
  <c r="H126" i="1"/>
  <c r="I126" i="1"/>
  <c r="K126" i="1"/>
  <c r="C127" i="1"/>
  <c r="D127" i="1"/>
  <c r="E127" i="1"/>
  <c r="H127" i="1"/>
  <c r="I127" i="1"/>
  <c r="K127" i="1"/>
  <c r="C128" i="1"/>
  <c r="D128" i="1"/>
  <c r="E128" i="1"/>
  <c r="H128" i="1"/>
  <c r="I128" i="1"/>
  <c r="K128" i="1"/>
  <c r="C129" i="1"/>
  <c r="D129" i="1"/>
  <c r="E129" i="1"/>
  <c r="H129" i="1"/>
  <c r="I129" i="1"/>
  <c r="K129" i="1"/>
  <c r="C130" i="1"/>
  <c r="D130" i="1"/>
  <c r="E130" i="1"/>
  <c r="H130" i="1"/>
  <c r="I130" i="1"/>
  <c r="K130" i="1"/>
  <c r="C131" i="1"/>
  <c r="D131" i="1"/>
  <c r="E131" i="1"/>
  <c r="H131" i="1"/>
  <c r="I131" i="1"/>
  <c r="K131" i="1"/>
  <c r="C132" i="1"/>
  <c r="D132" i="1"/>
  <c r="E132" i="1"/>
  <c r="H132" i="1"/>
  <c r="I132" i="1"/>
  <c r="K132" i="1"/>
  <c r="C133" i="1"/>
  <c r="D133" i="1"/>
  <c r="E133" i="1"/>
  <c r="H133" i="1"/>
  <c r="I133" i="1"/>
  <c r="K133" i="1"/>
  <c r="C134" i="1"/>
  <c r="D134" i="1"/>
  <c r="E134" i="1"/>
  <c r="H134" i="1"/>
  <c r="I134" i="1"/>
  <c r="K134" i="1"/>
  <c r="C135" i="1"/>
  <c r="D135" i="1"/>
  <c r="E135" i="1"/>
  <c r="H135" i="1"/>
  <c r="I135" i="1"/>
  <c r="K135" i="1"/>
  <c r="C136" i="1"/>
  <c r="D136" i="1"/>
  <c r="E136" i="1"/>
  <c r="H136" i="1"/>
  <c r="I136" i="1"/>
  <c r="K136" i="1"/>
  <c r="C137" i="1"/>
  <c r="D137" i="1"/>
  <c r="E137" i="1"/>
  <c r="H137" i="1"/>
  <c r="I137" i="1"/>
  <c r="K137" i="1"/>
  <c r="C138" i="1"/>
  <c r="D138" i="1"/>
  <c r="E138" i="1"/>
  <c r="H138" i="1"/>
  <c r="I138" i="1"/>
  <c r="K138" i="1"/>
  <c r="C139" i="1"/>
  <c r="D139" i="1"/>
  <c r="E139" i="1"/>
  <c r="H139" i="1"/>
  <c r="I139" i="1"/>
  <c r="K139" i="1"/>
  <c r="C140" i="1"/>
  <c r="D140" i="1"/>
  <c r="E140" i="1"/>
  <c r="H140" i="1"/>
  <c r="I140" i="1"/>
  <c r="K140" i="1"/>
  <c r="C141" i="1"/>
  <c r="D141" i="1"/>
  <c r="E141" i="1"/>
  <c r="H141" i="1"/>
  <c r="I141" i="1"/>
  <c r="K141" i="1"/>
  <c r="C142" i="1"/>
  <c r="D142" i="1"/>
  <c r="E142" i="1"/>
  <c r="H142" i="1"/>
  <c r="I142" i="1"/>
  <c r="K142" i="1"/>
  <c r="C143" i="1"/>
  <c r="D143" i="1"/>
  <c r="E143" i="1"/>
  <c r="H143" i="1"/>
  <c r="I143" i="1"/>
  <c r="K143" i="1"/>
  <c r="D150" i="1"/>
  <c r="C144" i="1"/>
  <c r="D144" i="1"/>
  <c r="E144" i="1"/>
  <c r="H144" i="1"/>
  <c r="I144" i="1"/>
  <c r="K144" i="1"/>
  <c r="C145" i="1"/>
  <c r="D145" i="1"/>
  <c r="E145" i="1"/>
  <c r="H145" i="1"/>
  <c r="I145" i="1"/>
  <c r="K145" i="1"/>
  <c r="C146" i="1"/>
  <c r="D146" i="1"/>
  <c r="E146" i="1"/>
  <c r="H146" i="1"/>
  <c r="I146" i="1"/>
  <c r="K146" i="1"/>
  <c r="C147" i="1"/>
  <c r="D147" i="1"/>
  <c r="E147" i="1"/>
  <c r="H147" i="1"/>
  <c r="I147" i="1"/>
  <c r="K147" i="1"/>
  <c r="C148" i="1"/>
  <c r="D148" i="1"/>
  <c r="E148" i="1"/>
  <c r="H148" i="1"/>
  <c r="I148" i="1"/>
  <c r="K148" i="1"/>
  <c r="C149" i="1"/>
  <c r="D149" i="1"/>
  <c r="E149" i="1"/>
  <c r="H149" i="1"/>
  <c r="I149" i="1"/>
  <c r="K149" i="1"/>
  <c r="C153" i="1"/>
  <c r="C150" i="1"/>
  <c r="E150" i="1"/>
  <c r="H150" i="1"/>
  <c r="I150" i="1"/>
  <c r="K150" i="1"/>
  <c r="C151" i="1"/>
  <c r="D151" i="1"/>
  <c r="E151" i="1"/>
  <c r="H151" i="1"/>
  <c r="I151" i="1"/>
  <c r="K151" i="1"/>
  <c r="C152" i="1"/>
  <c r="D152" i="1"/>
  <c r="E152" i="1"/>
  <c r="H152" i="1"/>
  <c r="I152" i="1"/>
  <c r="K152" i="1"/>
  <c r="D153" i="1"/>
  <c r="E153" i="1"/>
  <c r="H153" i="1"/>
  <c r="I153" i="1"/>
  <c r="K153" i="1"/>
  <c r="C154" i="1"/>
  <c r="D154" i="1"/>
  <c r="E154" i="1"/>
  <c r="H154" i="1"/>
  <c r="I154" i="1"/>
  <c r="K154" i="1"/>
  <c r="C155" i="1"/>
  <c r="D155" i="1"/>
  <c r="E155" i="1"/>
  <c r="H155" i="1"/>
  <c r="I155" i="1"/>
  <c r="K155" i="1"/>
  <c r="C15" i="11"/>
  <c r="D15" i="11"/>
  <c r="G15" i="11"/>
  <c r="C16" i="11"/>
  <c r="D16" i="11"/>
  <c r="G16" i="11"/>
  <c r="C17" i="11"/>
  <c r="D17" i="11"/>
  <c r="G17" i="11"/>
  <c r="C18" i="11"/>
  <c r="D18" i="11"/>
  <c r="G18" i="11"/>
  <c r="C19" i="11"/>
  <c r="D19" i="11"/>
  <c r="G19" i="11"/>
  <c r="C20" i="11"/>
  <c r="D20" i="11"/>
  <c r="G20" i="11"/>
  <c r="C21" i="11"/>
  <c r="D21" i="11"/>
  <c r="G21" i="11"/>
  <c r="C22" i="11"/>
  <c r="D22" i="11"/>
  <c r="G22" i="11"/>
  <c r="C23" i="11"/>
  <c r="D23" i="11"/>
  <c r="G23" i="11"/>
  <c r="C24" i="11"/>
  <c r="D24" i="11"/>
  <c r="G24" i="11"/>
  <c r="C25" i="11"/>
  <c r="D25" i="11"/>
  <c r="G25" i="11"/>
  <c r="C26" i="11"/>
  <c r="D26" i="11"/>
  <c r="G26" i="11"/>
  <c r="C27" i="11"/>
  <c r="D27" i="11"/>
  <c r="G27" i="11"/>
  <c r="C28" i="11"/>
  <c r="D28" i="11"/>
  <c r="G28" i="11"/>
  <c r="C29" i="11"/>
  <c r="D29" i="11"/>
  <c r="G29" i="11"/>
  <c r="C30" i="11"/>
  <c r="D30" i="11"/>
  <c r="G30" i="11"/>
  <c r="C31" i="11"/>
  <c r="D31" i="11"/>
  <c r="G31" i="11"/>
  <c r="C32" i="11"/>
  <c r="D32" i="11"/>
  <c r="G32" i="11"/>
  <c r="C33" i="11"/>
  <c r="D33" i="11"/>
  <c r="G33" i="11"/>
  <c r="C34" i="11"/>
  <c r="D34" i="11"/>
  <c r="G34" i="11"/>
  <c r="C35" i="11"/>
  <c r="D35" i="11"/>
  <c r="G35" i="11"/>
  <c r="C36" i="11"/>
  <c r="D36" i="11"/>
  <c r="G36" i="11"/>
  <c r="C37" i="11"/>
  <c r="D37" i="11"/>
  <c r="G37" i="11"/>
  <c r="C38" i="11"/>
  <c r="D38" i="11"/>
  <c r="G38" i="11"/>
  <c r="C39" i="11"/>
  <c r="D39" i="11"/>
  <c r="G39" i="11"/>
  <c r="C40" i="11"/>
  <c r="D40" i="11"/>
  <c r="G40" i="11"/>
  <c r="C41" i="11"/>
  <c r="D41" i="11"/>
  <c r="G41" i="11"/>
  <c r="C42" i="11"/>
  <c r="D42" i="11"/>
  <c r="G42" i="11"/>
  <c r="C43" i="11"/>
  <c r="D43" i="11"/>
  <c r="G43" i="11"/>
  <c r="C44" i="11"/>
  <c r="D44" i="11"/>
  <c r="G44" i="11"/>
  <c r="C45" i="11"/>
  <c r="D45" i="11"/>
  <c r="G45" i="11"/>
  <c r="C46" i="11"/>
  <c r="D46" i="11"/>
  <c r="G46" i="11"/>
  <c r="C47" i="11"/>
  <c r="D47" i="11"/>
  <c r="G47" i="11"/>
  <c r="C48" i="11"/>
  <c r="D48" i="11"/>
  <c r="G48" i="11"/>
  <c r="C49" i="11"/>
  <c r="D49" i="11"/>
  <c r="G49" i="11"/>
  <c r="C50" i="11"/>
  <c r="D50" i="11"/>
  <c r="G50" i="11"/>
  <c r="C51" i="11"/>
  <c r="D51" i="11"/>
  <c r="G51" i="11"/>
  <c r="C52" i="11"/>
  <c r="D52" i="11"/>
  <c r="G52" i="11"/>
  <c r="C53" i="11"/>
  <c r="D53" i="11"/>
  <c r="G53" i="11"/>
  <c r="C54" i="11"/>
  <c r="D54" i="11"/>
  <c r="G54" i="11"/>
  <c r="C55" i="11"/>
  <c r="D55" i="11"/>
  <c r="G55" i="11"/>
  <c r="C56" i="11"/>
  <c r="D56" i="11"/>
  <c r="G56" i="11"/>
  <c r="C57" i="11"/>
  <c r="D57" i="11"/>
  <c r="G57" i="11"/>
  <c r="C58" i="11"/>
  <c r="D58" i="11"/>
  <c r="G58" i="11"/>
  <c r="C59" i="11"/>
  <c r="D59" i="11"/>
  <c r="G59" i="11"/>
  <c r="C60" i="11"/>
  <c r="D60" i="11"/>
  <c r="G60" i="11"/>
  <c r="C61" i="11"/>
  <c r="D61" i="11"/>
  <c r="G61" i="11"/>
  <c r="C62" i="11"/>
  <c r="D62" i="11"/>
  <c r="G62" i="11"/>
  <c r="C63" i="11"/>
  <c r="D63" i="11"/>
  <c r="G63" i="11"/>
  <c r="C64" i="11"/>
  <c r="D64" i="11"/>
  <c r="G64" i="11"/>
  <c r="C65" i="11"/>
  <c r="D65" i="11"/>
  <c r="G65" i="11"/>
  <c r="C66" i="11"/>
  <c r="D66" i="11"/>
  <c r="G66" i="11"/>
  <c r="C67" i="11"/>
  <c r="D67" i="11"/>
  <c r="G67" i="11"/>
  <c r="C68" i="11"/>
  <c r="D68" i="11"/>
  <c r="G68" i="11"/>
  <c r="C69" i="11"/>
  <c r="D69" i="11"/>
  <c r="G69" i="11"/>
  <c r="C70" i="11"/>
  <c r="D70" i="11"/>
  <c r="G70" i="11"/>
  <c r="C71" i="11"/>
  <c r="D71" i="11"/>
  <c r="G71" i="11"/>
  <c r="C72" i="11"/>
  <c r="D72" i="11"/>
  <c r="G72" i="11"/>
  <c r="C73" i="11"/>
  <c r="D73" i="11"/>
  <c r="G73" i="11"/>
  <c r="C74" i="11"/>
  <c r="D74" i="11"/>
  <c r="G74" i="11"/>
  <c r="C75" i="11"/>
  <c r="D75" i="11"/>
  <c r="G75" i="11"/>
  <c r="C76" i="11"/>
  <c r="D76" i="11"/>
  <c r="G76" i="11"/>
  <c r="C77" i="11"/>
  <c r="D77" i="11"/>
  <c r="G77" i="11"/>
  <c r="C78" i="11"/>
  <c r="D78" i="11"/>
  <c r="G78" i="11"/>
  <c r="C79" i="11"/>
  <c r="D79" i="11"/>
  <c r="G79" i="11"/>
  <c r="C80" i="11"/>
  <c r="D80" i="11"/>
  <c r="G80" i="11"/>
  <c r="C81" i="11"/>
  <c r="D81" i="11"/>
  <c r="G81" i="11"/>
  <c r="C82" i="11"/>
  <c r="D82" i="11"/>
  <c r="G82" i="11"/>
  <c r="C83" i="11"/>
  <c r="D83" i="11"/>
  <c r="G83" i="11"/>
  <c r="C84" i="11"/>
  <c r="D84" i="11"/>
  <c r="G84" i="11"/>
  <c r="C85" i="11"/>
  <c r="D85" i="11"/>
  <c r="G85" i="11"/>
  <c r="C86" i="11"/>
  <c r="D86" i="11"/>
  <c r="G86" i="11"/>
  <c r="C87" i="11"/>
  <c r="D87" i="11"/>
  <c r="G87" i="11"/>
  <c r="C88" i="11"/>
  <c r="D88" i="11"/>
  <c r="G88" i="11"/>
  <c r="C89" i="11"/>
  <c r="D89" i="11"/>
  <c r="G89" i="11"/>
  <c r="C90" i="11"/>
  <c r="D90" i="11"/>
  <c r="G90" i="11"/>
  <c r="C91" i="11"/>
  <c r="D91" i="11"/>
  <c r="G91" i="11"/>
  <c r="C92" i="11"/>
  <c r="D92" i="11"/>
  <c r="G92" i="11"/>
  <c r="C93" i="11"/>
  <c r="D93" i="11"/>
  <c r="G93" i="11"/>
  <c r="C94" i="11"/>
  <c r="D94" i="11"/>
  <c r="G94" i="11"/>
  <c r="C95" i="11"/>
  <c r="D95" i="11"/>
  <c r="G95" i="11"/>
  <c r="C96" i="11"/>
  <c r="D96" i="11"/>
  <c r="G96" i="11"/>
  <c r="C97" i="11"/>
  <c r="D97" i="11"/>
  <c r="G97" i="11"/>
  <c r="C98" i="11"/>
  <c r="D98" i="11"/>
  <c r="G98" i="11"/>
  <c r="C99" i="11"/>
  <c r="D99" i="11"/>
  <c r="G99" i="11"/>
  <c r="C100" i="11"/>
  <c r="D100" i="11"/>
  <c r="G100" i="11"/>
  <c r="C16" i="4"/>
  <c r="F16" i="4"/>
  <c r="G16" i="4"/>
  <c r="H5" i="7"/>
  <c r="G5" i="7"/>
  <c r="J5" i="7"/>
  <c r="M5" i="7"/>
  <c r="C101" i="11"/>
  <c r="D101" i="11"/>
  <c r="G101" i="11"/>
  <c r="C102" i="11"/>
  <c r="D102" i="11"/>
  <c r="G102" i="11"/>
  <c r="C103" i="11"/>
  <c r="D103" i="11"/>
  <c r="G103" i="11"/>
  <c r="C104" i="11"/>
  <c r="D104" i="11"/>
  <c r="G104" i="11"/>
  <c r="C17" i="4"/>
  <c r="F17" i="4"/>
  <c r="G17" i="4"/>
  <c r="C105" i="11"/>
  <c r="D105" i="11"/>
  <c r="G105" i="11"/>
  <c r="H6" i="7"/>
  <c r="G6" i="7"/>
  <c r="J6" i="7"/>
  <c r="M6" i="7"/>
  <c r="C106" i="11"/>
  <c r="D106" i="11"/>
  <c r="G106" i="11"/>
  <c r="C107" i="11"/>
  <c r="D107" i="11"/>
  <c r="G107" i="11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7" i="7"/>
  <c r="C18" i="4"/>
  <c r="F18" i="4"/>
  <c r="G18" i="4"/>
  <c r="M7" i="7"/>
  <c r="H7" i="7"/>
  <c r="G7" i="7"/>
  <c r="F7" i="7"/>
  <c r="C108" i="11"/>
  <c r="D108" i="11"/>
  <c r="G108" i="11"/>
  <c r="C109" i="11"/>
  <c r="D109" i="11"/>
  <c r="G109" i="11"/>
  <c r="C110" i="11"/>
  <c r="D110" i="11"/>
  <c r="G110" i="11"/>
  <c r="C111" i="11"/>
  <c r="D111" i="11"/>
  <c r="G111" i="11"/>
  <c r="C112" i="11"/>
  <c r="D112" i="11"/>
  <c r="G112" i="11"/>
  <c r="C113" i="11"/>
  <c r="D113" i="11"/>
  <c r="G113" i="11"/>
  <c r="C114" i="11"/>
  <c r="D114" i="11"/>
  <c r="G114" i="11"/>
  <c r="C115" i="11"/>
  <c r="D115" i="11"/>
  <c r="G115" i="11"/>
  <c r="C116" i="11"/>
  <c r="D116" i="11"/>
  <c r="G116" i="11"/>
  <c r="C117" i="11"/>
  <c r="D117" i="11"/>
  <c r="G117" i="11"/>
  <c r="C118" i="11"/>
  <c r="D118" i="11"/>
  <c r="G118" i="11"/>
  <c r="C119" i="11"/>
  <c r="D119" i="11"/>
  <c r="G119" i="11"/>
  <c r="C120" i="11"/>
  <c r="D120" i="11"/>
  <c r="G120" i="11"/>
  <c r="C121" i="11"/>
  <c r="D121" i="11"/>
  <c r="G121" i="11"/>
  <c r="C19" i="4"/>
  <c r="F19" i="4"/>
  <c r="G19" i="4"/>
  <c r="C20" i="4"/>
  <c r="F20" i="4"/>
  <c r="G20" i="4"/>
  <c r="C21" i="4"/>
  <c r="F21" i="4"/>
  <c r="G21" i="4"/>
  <c r="C22" i="4"/>
  <c r="F22" i="4"/>
  <c r="G22" i="4"/>
  <c r="C23" i="4"/>
  <c r="F23" i="4"/>
  <c r="G23" i="4"/>
  <c r="C24" i="4"/>
  <c r="F24" i="4"/>
  <c r="G24" i="4"/>
  <c r="C25" i="4"/>
  <c r="F25" i="4"/>
  <c r="G25" i="4"/>
  <c r="C26" i="4"/>
  <c r="F26" i="4"/>
  <c r="G26" i="4"/>
  <c r="C27" i="4"/>
  <c r="F27" i="4"/>
  <c r="G27" i="4"/>
  <c r="C28" i="4"/>
  <c r="F28" i="4"/>
  <c r="G28" i="4"/>
  <c r="C29" i="4"/>
  <c r="F29" i="4"/>
  <c r="G29" i="4"/>
  <c r="C30" i="4"/>
  <c r="F30" i="4"/>
  <c r="G30" i="4"/>
  <c r="C31" i="4"/>
  <c r="F31" i="4"/>
  <c r="G31" i="4"/>
  <c r="C32" i="4"/>
  <c r="F32" i="4"/>
  <c r="G32" i="4"/>
  <c r="M8" i="7"/>
  <c r="H8" i="7"/>
  <c r="G8" i="7"/>
  <c r="F8" i="7"/>
  <c r="M9" i="7"/>
  <c r="H9" i="7"/>
  <c r="G9" i="7"/>
  <c r="F9" i="7"/>
  <c r="M10" i="7"/>
  <c r="H10" i="7"/>
  <c r="G10" i="7"/>
  <c r="F10" i="7"/>
  <c r="M11" i="7"/>
  <c r="H11" i="7"/>
  <c r="G11" i="7"/>
  <c r="F11" i="7"/>
  <c r="M12" i="7"/>
  <c r="H12" i="7"/>
  <c r="G12" i="7"/>
  <c r="F12" i="7"/>
  <c r="M13" i="7"/>
  <c r="H13" i="7"/>
  <c r="G13" i="7"/>
  <c r="F13" i="7"/>
  <c r="M14" i="7"/>
  <c r="H14" i="7"/>
  <c r="G14" i="7"/>
  <c r="F14" i="7"/>
  <c r="M15" i="7"/>
  <c r="H15" i="7"/>
  <c r="G15" i="7"/>
  <c r="F15" i="7"/>
  <c r="C33" i="4"/>
  <c r="F33" i="4"/>
  <c r="G33" i="4"/>
  <c r="C34" i="4"/>
  <c r="F34" i="4"/>
  <c r="G34" i="4"/>
  <c r="C35" i="4"/>
  <c r="F35" i="4"/>
  <c r="G35" i="4"/>
  <c r="C36" i="4"/>
  <c r="F36" i="4"/>
  <c r="G36" i="4"/>
  <c r="C37" i="4"/>
  <c r="F37" i="4"/>
  <c r="G37" i="4"/>
  <c r="C38" i="4"/>
  <c r="F38" i="4"/>
  <c r="G38" i="4"/>
  <c r="C39" i="4"/>
  <c r="F39" i="4"/>
  <c r="G39" i="4"/>
  <c r="C40" i="4"/>
  <c r="F40" i="4"/>
  <c r="G40" i="4"/>
  <c r="C41" i="4"/>
  <c r="F41" i="4"/>
  <c r="G41" i="4"/>
  <c r="C42" i="4"/>
  <c r="F42" i="4"/>
  <c r="G42" i="4"/>
  <c r="C43" i="4"/>
  <c r="F43" i="4"/>
  <c r="G43" i="4"/>
  <c r="C44" i="4"/>
  <c r="F44" i="4"/>
  <c r="G44" i="4"/>
  <c r="C45" i="4"/>
  <c r="F45" i="4"/>
  <c r="G45" i="4"/>
  <c r="C46" i="4"/>
  <c r="F46" i="4"/>
  <c r="G46" i="4"/>
  <c r="C47" i="4"/>
  <c r="F47" i="4"/>
  <c r="G47" i="4"/>
  <c r="C48" i="4"/>
  <c r="F48" i="4"/>
  <c r="G48" i="4"/>
  <c r="C49" i="4"/>
  <c r="F49" i="4"/>
  <c r="G49" i="4"/>
  <c r="M16" i="7"/>
  <c r="H16" i="7"/>
  <c r="G16" i="7"/>
  <c r="F16" i="7"/>
  <c r="C50" i="4"/>
  <c r="F50" i="4"/>
  <c r="G50" i="4"/>
  <c r="C51" i="4"/>
  <c r="F51" i="4"/>
  <c r="G51" i="4"/>
  <c r="C52" i="4"/>
  <c r="F52" i="4"/>
  <c r="G52" i="4"/>
  <c r="C53" i="4"/>
  <c r="F53" i="4"/>
  <c r="G53" i="4"/>
  <c r="C54" i="4"/>
  <c r="F54" i="4"/>
  <c r="G54" i="4"/>
  <c r="C55" i="4"/>
  <c r="F55" i="4"/>
  <c r="G55" i="4"/>
  <c r="C56" i="4"/>
  <c r="F56" i="4"/>
  <c r="G56" i="4"/>
  <c r="C57" i="4"/>
  <c r="F57" i="4"/>
  <c r="G57" i="4"/>
  <c r="C58" i="4"/>
  <c r="F58" i="4"/>
  <c r="G58" i="4"/>
  <c r="C59" i="4"/>
  <c r="F59" i="4"/>
  <c r="G59" i="4"/>
  <c r="C60" i="4"/>
  <c r="F60" i="4"/>
  <c r="G60" i="4"/>
  <c r="C61" i="4"/>
  <c r="F61" i="4"/>
  <c r="G61" i="4"/>
  <c r="C62" i="4"/>
  <c r="F62" i="4"/>
  <c r="G62" i="4"/>
  <c r="C63" i="4"/>
  <c r="F63" i="4"/>
  <c r="G63" i="4"/>
  <c r="C64" i="4"/>
  <c r="F64" i="4"/>
  <c r="G64" i="4"/>
  <c r="C65" i="4"/>
  <c r="F65" i="4"/>
  <c r="G65" i="4"/>
  <c r="C66" i="4"/>
  <c r="F66" i="4"/>
  <c r="G66" i="4"/>
  <c r="C67" i="4"/>
  <c r="F67" i="4"/>
  <c r="G67" i="4"/>
  <c r="C68" i="4"/>
  <c r="F68" i="4"/>
  <c r="G68" i="4"/>
  <c r="C69" i="4"/>
  <c r="F69" i="4"/>
  <c r="G69" i="4"/>
  <c r="C70" i="4"/>
  <c r="F70" i="4"/>
  <c r="G70" i="4"/>
  <c r="C71" i="4"/>
  <c r="F71" i="4"/>
  <c r="G71" i="4"/>
  <c r="C72" i="4"/>
  <c r="F72" i="4"/>
  <c r="G72" i="4"/>
  <c r="C73" i="4"/>
  <c r="F73" i="4"/>
  <c r="G73" i="4"/>
  <c r="C74" i="4"/>
  <c r="F74" i="4"/>
  <c r="G74" i="4"/>
  <c r="C75" i="4"/>
  <c r="F75" i="4"/>
  <c r="G75" i="4"/>
  <c r="C76" i="4"/>
  <c r="F76" i="4"/>
  <c r="G76" i="4"/>
  <c r="C77" i="4"/>
  <c r="F77" i="4"/>
  <c r="G77" i="4"/>
  <c r="C78" i="4"/>
  <c r="F78" i="4"/>
  <c r="G78" i="4"/>
  <c r="C79" i="4"/>
  <c r="F79" i="4"/>
  <c r="G79" i="4"/>
  <c r="C80" i="4"/>
  <c r="F80" i="4"/>
  <c r="G80" i="4"/>
  <c r="C81" i="4"/>
  <c r="F81" i="4"/>
  <c r="G81" i="4"/>
  <c r="C82" i="4"/>
  <c r="F82" i="4"/>
  <c r="G82" i="4"/>
  <c r="C83" i="4"/>
  <c r="F83" i="4"/>
  <c r="G83" i="4"/>
  <c r="C84" i="4"/>
  <c r="F84" i="4"/>
  <c r="G84" i="4"/>
  <c r="C85" i="4"/>
  <c r="F85" i="4"/>
  <c r="G85" i="4"/>
  <c r="C86" i="4"/>
  <c r="F86" i="4"/>
  <c r="G86" i="4"/>
  <c r="C87" i="4"/>
  <c r="F87" i="4"/>
  <c r="G87" i="4"/>
  <c r="C88" i="4"/>
  <c r="F88" i="4"/>
  <c r="G88" i="4"/>
  <c r="C89" i="4"/>
  <c r="F89" i="4"/>
  <c r="G89" i="4"/>
  <c r="C90" i="4"/>
  <c r="F90" i="4"/>
  <c r="G90" i="4"/>
  <c r="C91" i="4"/>
  <c r="F91" i="4"/>
  <c r="G91" i="4"/>
  <c r="C92" i="4"/>
  <c r="F92" i="4"/>
  <c r="G92" i="4"/>
  <c r="C93" i="4"/>
  <c r="F93" i="4"/>
  <c r="G93" i="4"/>
  <c r="C94" i="4"/>
  <c r="F94" i="4"/>
  <c r="G94" i="4"/>
  <c r="C95" i="4"/>
  <c r="F95" i="4"/>
  <c r="G95" i="4"/>
  <c r="C96" i="4"/>
  <c r="F96" i="4"/>
  <c r="G96" i="4"/>
  <c r="C97" i="4"/>
  <c r="F97" i="4"/>
  <c r="G97" i="4"/>
  <c r="C98" i="4"/>
  <c r="F98" i="4"/>
  <c r="G98" i="4"/>
  <c r="C99" i="4"/>
  <c r="F99" i="4"/>
  <c r="G99" i="4"/>
  <c r="C100" i="4"/>
  <c r="F100" i="4"/>
  <c r="G100" i="4"/>
  <c r="C101" i="4"/>
  <c r="F101" i="4"/>
  <c r="G101" i="4"/>
  <c r="C102" i="4"/>
  <c r="F102" i="4"/>
  <c r="G102" i="4"/>
  <c r="C103" i="4"/>
  <c r="F103" i="4"/>
  <c r="G103" i="4"/>
  <c r="C104" i="4"/>
  <c r="F104" i="4"/>
  <c r="G104" i="4"/>
  <c r="C105" i="4"/>
  <c r="F105" i="4"/>
  <c r="G105" i="4"/>
  <c r="C106" i="4"/>
  <c r="F106" i="4"/>
  <c r="G106" i="4"/>
  <c r="C107" i="4"/>
  <c r="F107" i="4"/>
  <c r="G107" i="4"/>
  <c r="C108" i="4"/>
  <c r="F108" i="4"/>
  <c r="G108" i="4"/>
  <c r="C109" i="4"/>
  <c r="F109" i="4"/>
  <c r="G109" i="4"/>
  <c r="C110" i="4"/>
  <c r="F110" i="4"/>
  <c r="G110" i="4"/>
  <c r="C111" i="4"/>
  <c r="F111" i="4"/>
  <c r="G111" i="4"/>
  <c r="C112" i="4"/>
  <c r="F112" i="4"/>
  <c r="G112" i="4"/>
  <c r="C113" i="4"/>
  <c r="F113" i="4"/>
  <c r="G113" i="4"/>
  <c r="C114" i="4"/>
  <c r="F114" i="4"/>
  <c r="G114" i="4"/>
  <c r="C115" i="4"/>
  <c r="F115" i="4"/>
  <c r="G115" i="4"/>
  <c r="C116" i="4"/>
  <c r="F116" i="4"/>
  <c r="G116" i="4"/>
  <c r="C117" i="4"/>
  <c r="F117" i="4"/>
  <c r="G117" i="4"/>
  <c r="C118" i="4"/>
  <c r="F118" i="4"/>
  <c r="G118" i="4"/>
  <c r="C119" i="4"/>
  <c r="F119" i="4"/>
  <c r="G119" i="4"/>
  <c r="C120" i="4"/>
  <c r="F120" i="4"/>
  <c r="G120" i="4"/>
  <c r="C121" i="4"/>
  <c r="F121" i="4"/>
  <c r="G121" i="4"/>
  <c r="C122" i="4"/>
  <c r="F122" i="4"/>
  <c r="G122" i="4"/>
  <c r="M17" i="7"/>
  <c r="H17" i="7"/>
  <c r="G17" i="7"/>
  <c r="F17" i="7"/>
  <c r="C123" i="4"/>
  <c r="F123" i="4"/>
  <c r="G123" i="4"/>
  <c r="M18" i="7"/>
  <c r="H18" i="7"/>
  <c r="G18" i="7"/>
  <c r="F18" i="7"/>
  <c r="C124" i="4"/>
  <c r="F124" i="4"/>
  <c r="G124" i="4"/>
  <c r="M19" i="7"/>
  <c r="H19" i="7"/>
  <c r="G19" i="7"/>
  <c r="F19" i="7"/>
  <c r="C125" i="4"/>
  <c r="F125" i="4"/>
  <c r="G125" i="4"/>
  <c r="M20" i="7"/>
  <c r="H20" i="7"/>
  <c r="G20" i="7"/>
  <c r="F20" i="7"/>
  <c r="C126" i="4"/>
  <c r="F126" i="4"/>
  <c r="G126" i="4"/>
  <c r="M21" i="7"/>
  <c r="H21" i="7"/>
  <c r="G21" i="7"/>
  <c r="F21" i="7"/>
  <c r="C127" i="4"/>
  <c r="F127" i="4"/>
  <c r="G127" i="4"/>
  <c r="M22" i="7"/>
  <c r="H22" i="7"/>
  <c r="G22" i="7"/>
  <c r="F22" i="7"/>
  <c r="C128" i="4"/>
  <c r="F128" i="4"/>
  <c r="G128" i="4"/>
  <c r="C129" i="4"/>
  <c r="F129" i="4"/>
  <c r="G129" i="4"/>
  <c r="C130" i="4"/>
  <c r="F130" i="4"/>
  <c r="G130" i="4"/>
  <c r="C131" i="4"/>
  <c r="F131" i="4"/>
  <c r="G131" i="4"/>
  <c r="C132" i="4"/>
  <c r="F132" i="4"/>
  <c r="G132" i="4"/>
  <c r="C133" i="4"/>
  <c r="F133" i="4"/>
  <c r="G133" i="4"/>
  <c r="C134" i="4"/>
  <c r="F134" i="4"/>
  <c r="G134" i="4"/>
  <c r="C135" i="4"/>
  <c r="F135" i="4"/>
  <c r="G135" i="4"/>
  <c r="C136" i="4"/>
  <c r="F136" i="4"/>
  <c r="G136" i="4"/>
  <c r="C137" i="4"/>
  <c r="F137" i="4"/>
  <c r="G137" i="4"/>
  <c r="C138" i="4"/>
  <c r="F138" i="4"/>
  <c r="G138" i="4"/>
  <c r="C139" i="4"/>
  <c r="F139" i="4"/>
  <c r="G139" i="4"/>
  <c r="C140" i="4"/>
  <c r="F140" i="4"/>
  <c r="G140" i="4"/>
  <c r="C141" i="4"/>
  <c r="F141" i="4"/>
  <c r="G141" i="4"/>
  <c r="C142" i="4"/>
  <c r="F142" i="4"/>
  <c r="G142" i="4"/>
  <c r="C143" i="4"/>
  <c r="F143" i="4"/>
  <c r="G143" i="4"/>
  <c r="C144" i="4"/>
  <c r="F144" i="4"/>
  <c r="G144" i="4"/>
  <c r="C145" i="4"/>
  <c r="F145" i="4"/>
  <c r="G145" i="4"/>
  <c r="C146" i="4"/>
  <c r="F146" i="4"/>
  <c r="G146" i="4"/>
  <c r="C147" i="4"/>
  <c r="F147" i="4"/>
  <c r="G147" i="4"/>
  <c r="C148" i="4"/>
  <c r="F148" i="4"/>
  <c r="G148" i="4"/>
  <c r="C149" i="4"/>
  <c r="F149" i="4"/>
  <c r="G149" i="4"/>
  <c r="C150" i="4"/>
  <c r="F150" i="4"/>
  <c r="G150" i="4"/>
  <c r="C151" i="4"/>
  <c r="F151" i="4"/>
  <c r="G151" i="4"/>
  <c r="C152" i="4"/>
  <c r="F152" i="4"/>
  <c r="G152" i="4"/>
  <c r="C153" i="4"/>
  <c r="F153" i="4"/>
  <c r="G153" i="4"/>
  <c r="C154" i="4"/>
  <c r="F154" i="4"/>
  <c r="G154" i="4"/>
  <c r="C155" i="4"/>
  <c r="F155" i="4"/>
  <c r="G155" i="4"/>
  <c r="C156" i="4"/>
  <c r="F156" i="4"/>
  <c r="G156" i="4"/>
  <c r="C157" i="4"/>
  <c r="F157" i="4"/>
  <c r="G157" i="4"/>
  <c r="C158" i="4"/>
  <c r="F158" i="4"/>
  <c r="G158" i="4"/>
  <c r="C159" i="4"/>
  <c r="F159" i="4"/>
  <c r="G159" i="4"/>
  <c r="C160" i="4"/>
  <c r="F160" i="4"/>
  <c r="G160" i="4"/>
  <c r="C161" i="4"/>
  <c r="F161" i="4"/>
  <c r="G161" i="4"/>
  <c r="C162" i="4"/>
  <c r="F162" i="4"/>
  <c r="G162" i="4"/>
  <c r="C163" i="4"/>
  <c r="F163" i="4"/>
  <c r="G163" i="4"/>
  <c r="C164" i="4"/>
  <c r="F164" i="4"/>
  <c r="G164" i="4"/>
  <c r="C165" i="4"/>
  <c r="F165" i="4"/>
  <c r="G165" i="4"/>
  <c r="C166" i="4"/>
  <c r="F166" i="4"/>
  <c r="G166" i="4"/>
  <c r="C167" i="4"/>
  <c r="F167" i="4"/>
  <c r="G167" i="4"/>
  <c r="C168" i="4"/>
  <c r="F168" i="4"/>
  <c r="G168" i="4"/>
  <c r="C169" i="4"/>
  <c r="F169" i="4"/>
  <c r="G169" i="4"/>
  <c r="C170" i="4"/>
  <c r="F170" i="4"/>
  <c r="G170" i="4"/>
  <c r="C171" i="4"/>
  <c r="F171" i="4"/>
  <c r="G171" i="4"/>
  <c r="C172" i="4"/>
  <c r="F172" i="4"/>
  <c r="G172" i="4"/>
  <c r="C173" i="4"/>
  <c r="F173" i="4"/>
  <c r="G173" i="4"/>
  <c r="C174" i="4"/>
  <c r="F174" i="4"/>
  <c r="G174" i="4"/>
  <c r="C175" i="4"/>
  <c r="F175" i="4"/>
  <c r="G175" i="4"/>
  <c r="C176" i="4"/>
  <c r="F176" i="4"/>
  <c r="G176" i="4"/>
  <c r="C177" i="4"/>
  <c r="F177" i="4"/>
  <c r="G177" i="4"/>
  <c r="C178" i="4"/>
  <c r="F178" i="4"/>
  <c r="G178" i="4"/>
  <c r="C179" i="4"/>
  <c r="F179" i="4"/>
  <c r="G179" i="4"/>
  <c r="C180" i="4"/>
  <c r="F180" i="4"/>
  <c r="G180" i="4"/>
  <c r="C181" i="4"/>
  <c r="F181" i="4"/>
  <c r="G181" i="4"/>
  <c r="C182" i="4"/>
  <c r="F182" i="4"/>
  <c r="G182" i="4"/>
  <c r="C183" i="4"/>
  <c r="F183" i="4"/>
  <c r="G183" i="4"/>
  <c r="C184" i="4"/>
  <c r="F184" i="4"/>
  <c r="G184" i="4"/>
  <c r="C185" i="4"/>
  <c r="F185" i="4"/>
  <c r="G185" i="4"/>
  <c r="C186" i="4"/>
  <c r="F186" i="4"/>
  <c r="G186" i="4"/>
  <c r="C187" i="4"/>
  <c r="F187" i="4"/>
  <c r="G187" i="4"/>
  <c r="C188" i="4"/>
  <c r="F188" i="4"/>
  <c r="G188" i="4"/>
  <c r="C189" i="4"/>
  <c r="F189" i="4"/>
  <c r="G189" i="4"/>
  <c r="C190" i="4"/>
  <c r="F190" i="4"/>
  <c r="G190" i="4"/>
  <c r="C191" i="4"/>
  <c r="F191" i="4"/>
  <c r="G191" i="4"/>
  <c r="C192" i="4"/>
  <c r="F192" i="4"/>
  <c r="G192" i="4"/>
  <c r="C193" i="4"/>
  <c r="F193" i="4"/>
  <c r="G193" i="4"/>
  <c r="C194" i="4"/>
  <c r="F194" i="4"/>
  <c r="G194" i="4"/>
  <c r="C195" i="4"/>
  <c r="F195" i="4"/>
  <c r="G195" i="4"/>
  <c r="C196" i="4"/>
  <c r="F196" i="4"/>
  <c r="G196" i="4"/>
  <c r="C197" i="4"/>
  <c r="F197" i="4"/>
  <c r="G197" i="4"/>
  <c r="C198" i="4"/>
  <c r="F198" i="4"/>
  <c r="G198" i="4"/>
  <c r="C199" i="4"/>
  <c r="F199" i="4"/>
  <c r="G199" i="4"/>
  <c r="C200" i="4"/>
  <c r="F200" i="4"/>
  <c r="G200" i="4"/>
  <c r="C201" i="4"/>
  <c r="F201" i="4"/>
  <c r="G201" i="4"/>
  <c r="C202" i="4"/>
  <c r="F202" i="4"/>
  <c r="G202" i="4"/>
  <c r="C203" i="4"/>
  <c r="F203" i="4"/>
  <c r="G203" i="4"/>
  <c r="C204" i="4"/>
  <c r="F204" i="4"/>
  <c r="G204" i="4"/>
  <c r="C205" i="4"/>
  <c r="F205" i="4"/>
  <c r="G205" i="4"/>
  <c r="C206" i="4"/>
  <c r="F206" i="4"/>
  <c r="G206" i="4"/>
  <c r="C207" i="4"/>
  <c r="F207" i="4"/>
  <c r="G207" i="4"/>
  <c r="C208" i="4"/>
  <c r="F208" i="4"/>
  <c r="G208" i="4"/>
  <c r="C209" i="4"/>
  <c r="F209" i="4"/>
  <c r="G209" i="4"/>
  <c r="C210" i="4"/>
  <c r="F210" i="4"/>
  <c r="G210" i="4"/>
  <c r="C211" i="4"/>
  <c r="F211" i="4"/>
  <c r="G211" i="4"/>
  <c r="C212" i="4"/>
  <c r="F212" i="4"/>
  <c r="G212" i="4"/>
  <c r="C213" i="4"/>
  <c r="F213" i="4"/>
  <c r="G213" i="4"/>
  <c r="C214" i="4"/>
  <c r="F214" i="4"/>
  <c r="G214" i="4"/>
  <c r="C215" i="4"/>
  <c r="F215" i="4"/>
  <c r="G215" i="4"/>
  <c r="C216" i="4"/>
  <c r="F216" i="4"/>
  <c r="G216" i="4"/>
  <c r="C217" i="4"/>
  <c r="F217" i="4"/>
  <c r="G217" i="4"/>
  <c r="C218" i="4"/>
  <c r="F218" i="4"/>
  <c r="G218" i="4"/>
  <c r="C219" i="4"/>
  <c r="F219" i="4"/>
  <c r="G219" i="4"/>
  <c r="C220" i="4"/>
  <c r="F220" i="4"/>
  <c r="G220" i="4"/>
  <c r="C221" i="4"/>
  <c r="F221" i="4"/>
  <c r="G221" i="4"/>
  <c r="C222" i="4"/>
  <c r="F222" i="4"/>
  <c r="G222" i="4"/>
  <c r="C223" i="4"/>
  <c r="F223" i="4"/>
  <c r="G223" i="4"/>
  <c r="C224" i="4"/>
  <c r="F224" i="4"/>
  <c r="G224" i="4"/>
  <c r="C225" i="4"/>
  <c r="F225" i="4"/>
  <c r="G225" i="4"/>
  <c r="C226" i="4"/>
  <c r="F226" i="4"/>
  <c r="G226" i="4"/>
  <c r="C227" i="4"/>
  <c r="F227" i="4"/>
  <c r="G227" i="4"/>
  <c r="C228" i="4"/>
  <c r="F228" i="4"/>
  <c r="G228" i="4"/>
  <c r="C229" i="4"/>
  <c r="F229" i="4"/>
  <c r="G229" i="4"/>
  <c r="C230" i="4"/>
  <c r="F230" i="4"/>
  <c r="G230" i="4"/>
  <c r="C231" i="4"/>
  <c r="F231" i="4"/>
  <c r="G231" i="4"/>
  <c r="C232" i="4"/>
  <c r="F232" i="4"/>
  <c r="G232" i="4"/>
  <c r="C233" i="4"/>
  <c r="F233" i="4"/>
  <c r="G233" i="4"/>
  <c r="C234" i="4"/>
  <c r="F234" i="4"/>
  <c r="G234" i="4"/>
  <c r="C235" i="4"/>
  <c r="F235" i="4"/>
  <c r="G235" i="4"/>
  <c r="C236" i="4"/>
  <c r="F236" i="4"/>
  <c r="G236" i="4"/>
  <c r="C237" i="4"/>
  <c r="F237" i="4"/>
  <c r="G237" i="4"/>
  <c r="C238" i="4"/>
  <c r="F238" i="4"/>
  <c r="G238" i="4"/>
  <c r="C239" i="4"/>
  <c r="F239" i="4"/>
  <c r="G239" i="4"/>
  <c r="C240" i="4"/>
  <c r="F240" i="4"/>
  <c r="G240" i="4"/>
  <c r="C241" i="4"/>
  <c r="F241" i="4"/>
  <c r="G241" i="4"/>
  <c r="C242" i="4"/>
  <c r="F242" i="4"/>
  <c r="G242" i="4"/>
  <c r="C243" i="4"/>
  <c r="F243" i="4"/>
  <c r="G243" i="4"/>
  <c r="C244" i="4"/>
  <c r="F244" i="4"/>
  <c r="G244" i="4"/>
  <c r="C245" i="4"/>
  <c r="F245" i="4"/>
  <c r="G245" i="4"/>
  <c r="C246" i="4"/>
  <c r="F246" i="4"/>
  <c r="G246" i="4"/>
  <c r="C247" i="4"/>
  <c r="F247" i="4"/>
  <c r="G247" i="4"/>
  <c r="C248" i="4"/>
  <c r="F248" i="4"/>
  <c r="G248" i="4"/>
  <c r="C249" i="4"/>
  <c r="F249" i="4"/>
  <c r="G249" i="4"/>
  <c r="C250" i="4"/>
  <c r="F250" i="4"/>
  <c r="G250" i="4"/>
  <c r="C251" i="4"/>
  <c r="F251" i="4"/>
  <c r="G251" i="4"/>
  <c r="C252" i="4"/>
  <c r="F252" i="4"/>
  <c r="G252" i="4"/>
  <c r="C253" i="4"/>
  <c r="F253" i="4"/>
  <c r="G253" i="4"/>
  <c r="C254" i="4"/>
  <c r="F254" i="4"/>
  <c r="G254" i="4"/>
  <c r="C255" i="4"/>
  <c r="F255" i="4"/>
  <c r="G255" i="4"/>
  <c r="C256" i="4"/>
  <c r="F256" i="4"/>
  <c r="G256" i="4"/>
  <c r="C257" i="4"/>
  <c r="F257" i="4"/>
  <c r="G257" i="4"/>
  <c r="C258" i="4"/>
  <c r="F258" i="4"/>
  <c r="G258" i="4"/>
  <c r="C259" i="4"/>
  <c r="F259" i="4"/>
  <c r="G259" i="4"/>
  <c r="C260" i="4"/>
  <c r="F260" i="4"/>
  <c r="G260" i="4"/>
  <c r="C261" i="4"/>
  <c r="F261" i="4"/>
  <c r="G261" i="4"/>
  <c r="C262" i="4"/>
  <c r="F262" i="4"/>
  <c r="G262" i="4"/>
  <c r="C263" i="4"/>
  <c r="F263" i="4"/>
  <c r="G263" i="4"/>
  <c r="C264" i="4"/>
  <c r="F264" i="4"/>
  <c r="G264" i="4"/>
  <c r="C265" i="4"/>
  <c r="F265" i="4"/>
  <c r="G265" i="4"/>
  <c r="C266" i="4"/>
  <c r="F266" i="4"/>
  <c r="G266" i="4"/>
  <c r="C267" i="4"/>
  <c r="F267" i="4"/>
  <c r="G267" i="4"/>
  <c r="C268" i="4"/>
  <c r="F268" i="4"/>
  <c r="G268" i="4"/>
  <c r="C269" i="4"/>
  <c r="F269" i="4"/>
  <c r="G269" i="4"/>
  <c r="C270" i="4"/>
  <c r="F270" i="4"/>
  <c r="G270" i="4"/>
  <c r="C271" i="4"/>
  <c r="F271" i="4"/>
  <c r="G271" i="4"/>
  <c r="C272" i="4"/>
  <c r="F272" i="4"/>
  <c r="G272" i="4"/>
  <c r="C273" i="4"/>
  <c r="F273" i="4"/>
  <c r="G273" i="4"/>
  <c r="C274" i="4"/>
  <c r="F274" i="4"/>
  <c r="G274" i="4"/>
  <c r="C275" i="4"/>
  <c r="F275" i="4"/>
  <c r="G275" i="4"/>
  <c r="C276" i="4"/>
  <c r="F276" i="4"/>
  <c r="G276" i="4"/>
  <c r="C277" i="4"/>
  <c r="F277" i="4"/>
  <c r="G277" i="4"/>
  <c r="C278" i="4"/>
  <c r="F278" i="4"/>
  <c r="G278" i="4"/>
  <c r="C279" i="4"/>
  <c r="F279" i="4"/>
  <c r="G279" i="4"/>
  <c r="C280" i="4"/>
  <c r="F280" i="4"/>
  <c r="G280" i="4"/>
  <c r="C281" i="4"/>
  <c r="F281" i="4"/>
  <c r="G281" i="4"/>
  <c r="C282" i="4"/>
  <c r="F282" i="4"/>
  <c r="G282" i="4"/>
  <c r="C283" i="4"/>
  <c r="F283" i="4"/>
  <c r="G283" i="4"/>
  <c r="C284" i="4"/>
  <c r="F284" i="4"/>
  <c r="G284" i="4"/>
  <c r="C285" i="4"/>
  <c r="F285" i="4"/>
  <c r="G285" i="4"/>
  <c r="C286" i="4"/>
  <c r="F286" i="4"/>
  <c r="G286" i="4"/>
  <c r="C287" i="4"/>
  <c r="F287" i="4"/>
  <c r="G287" i="4"/>
  <c r="C288" i="4"/>
  <c r="F288" i="4"/>
  <c r="G288" i="4"/>
  <c r="C289" i="4"/>
  <c r="F289" i="4"/>
  <c r="G289" i="4"/>
  <c r="C290" i="4"/>
  <c r="F290" i="4"/>
  <c r="G290" i="4"/>
  <c r="C291" i="4"/>
  <c r="F291" i="4"/>
  <c r="G291" i="4"/>
  <c r="C292" i="4"/>
  <c r="F292" i="4"/>
  <c r="G292" i="4"/>
  <c r="C293" i="4"/>
  <c r="F293" i="4"/>
  <c r="G293" i="4"/>
  <c r="C294" i="4"/>
  <c r="F294" i="4"/>
  <c r="G294" i="4"/>
  <c r="C295" i="4"/>
  <c r="F295" i="4"/>
  <c r="G295" i="4"/>
  <c r="C296" i="4"/>
  <c r="F296" i="4"/>
  <c r="G296" i="4"/>
  <c r="C297" i="4"/>
  <c r="F297" i="4"/>
  <c r="G297" i="4"/>
  <c r="C298" i="4"/>
  <c r="F298" i="4"/>
  <c r="G298" i="4"/>
  <c r="C299" i="4"/>
  <c r="F299" i="4"/>
  <c r="G299" i="4"/>
  <c r="C300" i="4"/>
  <c r="F300" i="4"/>
  <c r="G300" i="4"/>
  <c r="C301" i="4"/>
  <c r="F301" i="4"/>
  <c r="G301" i="4"/>
  <c r="C302" i="4"/>
  <c r="F302" i="4"/>
  <c r="G302" i="4"/>
  <c r="C303" i="4"/>
  <c r="F303" i="4"/>
  <c r="G303" i="4"/>
  <c r="C304" i="4"/>
  <c r="F304" i="4"/>
  <c r="G304" i="4"/>
  <c r="C305" i="4"/>
  <c r="F305" i="4"/>
  <c r="G305" i="4"/>
  <c r="C306" i="4"/>
  <c r="F306" i="4"/>
  <c r="G306" i="4"/>
  <c r="C307" i="4"/>
  <c r="F307" i="4"/>
  <c r="G307" i="4"/>
  <c r="C308" i="4"/>
  <c r="F308" i="4"/>
  <c r="G308" i="4"/>
  <c r="C309" i="4"/>
  <c r="F309" i="4"/>
  <c r="G309" i="4"/>
  <c r="C310" i="4"/>
  <c r="F310" i="4"/>
  <c r="G310" i="4"/>
  <c r="C311" i="4"/>
  <c r="F311" i="4"/>
  <c r="G311" i="4"/>
  <c r="M23" i="7"/>
  <c r="H23" i="7"/>
  <c r="G23" i="7"/>
  <c r="F23" i="7"/>
  <c r="C312" i="4"/>
  <c r="F312" i="4"/>
  <c r="G312" i="4"/>
  <c r="C313" i="4"/>
  <c r="F313" i="4"/>
  <c r="G313" i="4"/>
  <c r="C314" i="4"/>
  <c r="F314" i="4"/>
  <c r="G314" i="4"/>
  <c r="C315" i="4"/>
  <c r="F315" i="4"/>
  <c r="G315" i="4"/>
  <c r="C316" i="4"/>
  <c r="F316" i="4"/>
  <c r="G316" i="4"/>
  <c r="C317" i="4"/>
  <c r="F317" i="4"/>
  <c r="G317" i="4"/>
  <c r="C318" i="4"/>
  <c r="F318" i="4"/>
  <c r="G318" i="4"/>
  <c r="C319" i="4"/>
  <c r="F319" i="4"/>
  <c r="G319" i="4"/>
  <c r="C320" i="4"/>
  <c r="F320" i="4"/>
  <c r="G320" i="4"/>
  <c r="C321" i="4"/>
  <c r="F321" i="4"/>
  <c r="G321" i="4"/>
  <c r="C322" i="4"/>
  <c r="F322" i="4"/>
  <c r="G322" i="4"/>
  <c r="C323" i="4"/>
  <c r="F323" i="4"/>
  <c r="G323" i="4"/>
  <c r="C324" i="4"/>
  <c r="F324" i="4"/>
  <c r="G324" i="4"/>
  <c r="C325" i="4"/>
  <c r="F325" i="4"/>
  <c r="G325" i="4"/>
  <c r="C326" i="4"/>
  <c r="F326" i="4"/>
  <c r="G326" i="4"/>
  <c r="C327" i="4"/>
  <c r="F327" i="4"/>
  <c r="G327" i="4"/>
  <c r="C328" i="4"/>
  <c r="F328" i="4"/>
  <c r="G328" i="4"/>
  <c r="C329" i="4"/>
  <c r="F329" i="4"/>
  <c r="G329" i="4"/>
  <c r="C330" i="4"/>
  <c r="F330" i="4"/>
  <c r="G330" i="4"/>
  <c r="C331" i="4"/>
  <c r="F331" i="4"/>
  <c r="G331" i="4"/>
  <c r="M24" i="7"/>
  <c r="H24" i="7"/>
  <c r="G24" i="7"/>
  <c r="F24" i="7" s="1"/>
  <c r="M25" i="7"/>
  <c r="H25" i="7"/>
  <c r="G25" i="7"/>
  <c r="F25" i="7" s="1"/>
  <c r="C332" i="4"/>
  <c r="F332" i="4"/>
  <c r="G332" i="4"/>
  <c r="C333" i="4"/>
  <c r="F333" i="4"/>
  <c r="G333" i="4"/>
  <c r="C334" i="4"/>
  <c r="F334" i="4"/>
  <c r="G334" i="4"/>
  <c r="C335" i="4"/>
  <c r="F335" i="4"/>
  <c r="G335" i="4"/>
  <c r="C336" i="4"/>
  <c r="F336" i="4"/>
  <c r="G336" i="4"/>
  <c r="C337" i="4"/>
  <c r="F337" i="4"/>
  <c r="G337" i="4"/>
  <c r="C338" i="4"/>
  <c r="F338" i="4"/>
  <c r="G338" i="4"/>
  <c r="C339" i="4"/>
  <c r="F339" i="4"/>
  <c r="G339" i="4"/>
  <c r="C340" i="4"/>
  <c r="F340" i="4"/>
  <c r="G340" i="4"/>
  <c r="C341" i="4"/>
  <c r="F341" i="4"/>
  <c r="G341" i="4"/>
  <c r="C342" i="4"/>
  <c r="F342" i="4"/>
  <c r="G342" i="4"/>
  <c r="C343" i="4"/>
  <c r="F343" i="4"/>
  <c r="G343" i="4"/>
  <c r="C344" i="4"/>
  <c r="F344" i="4"/>
  <c r="G344" i="4"/>
  <c r="C345" i="4"/>
  <c r="F345" i="4"/>
  <c r="G345" i="4"/>
  <c r="C346" i="4"/>
  <c r="F346" i="4"/>
  <c r="G346" i="4"/>
  <c r="C347" i="4"/>
  <c r="F347" i="4"/>
  <c r="G347" i="4"/>
  <c r="C348" i="4"/>
  <c r="F348" i="4"/>
  <c r="G348" i="4"/>
  <c r="C349" i="4"/>
  <c r="F349" i="4"/>
  <c r="G349" i="4"/>
  <c r="C350" i="4"/>
  <c r="F350" i="4"/>
  <c r="G350" i="4"/>
  <c r="C351" i="4"/>
  <c r="F351" i="4"/>
  <c r="G351" i="4"/>
  <c r="C352" i="4"/>
  <c r="F352" i="4"/>
  <c r="G352" i="4"/>
  <c r="C353" i="4"/>
  <c r="F353" i="4"/>
  <c r="G353" i="4"/>
  <c r="C354" i="4"/>
  <c r="F354" i="4"/>
  <c r="G354" i="4"/>
  <c r="C355" i="4"/>
  <c r="F355" i="4"/>
  <c r="G355" i="4"/>
  <c r="C356" i="4"/>
  <c r="F356" i="4"/>
  <c r="G356" i="4"/>
  <c r="C357" i="4"/>
  <c r="F357" i="4"/>
  <c r="G357" i="4"/>
  <c r="C358" i="4"/>
  <c r="F358" i="4"/>
  <c r="G358" i="4"/>
  <c r="C359" i="4"/>
  <c r="F359" i="4"/>
  <c r="G359" i="4"/>
  <c r="C360" i="4"/>
  <c r="F360" i="4"/>
  <c r="G360" i="4"/>
  <c r="C361" i="4"/>
  <c r="F361" i="4"/>
  <c r="G361" i="4"/>
  <c r="C362" i="4"/>
  <c r="F362" i="4"/>
  <c r="G362" i="4"/>
  <c r="C363" i="4"/>
  <c r="F363" i="4"/>
  <c r="G363" i="4"/>
  <c r="C364" i="4"/>
  <c r="F364" i="4"/>
  <c r="G364" i="4"/>
  <c r="C365" i="4"/>
  <c r="F365" i="4"/>
  <c r="G365" i="4"/>
  <c r="C366" i="4"/>
  <c r="F366" i="4"/>
  <c r="G366" i="4"/>
  <c r="C367" i="4"/>
  <c r="F367" i="4"/>
  <c r="G367" i="4"/>
  <c r="C368" i="4"/>
  <c r="F368" i="4"/>
  <c r="G368" i="4"/>
  <c r="C369" i="4"/>
  <c r="F369" i="4"/>
  <c r="G369" i="4"/>
  <c r="C370" i="4"/>
  <c r="F370" i="4"/>
  <c r="G370" i="4"/>
  <c r="C371" i="4"/>
  <c r="F371" i="4"/>
  <c r="G371" i="4"/>
  <c r="C372" i="4"/>
  <c r="F372" i="4"/>
  <c r="G372" i="4"/>
  <c r="C373" i="4"/>
  <c r="F373" i="4"/>
  <c r="G373" i="4"/>
  <c r="C374" i="4"/>
  <c r="F374" i="4"/>
  <c r="G374" i="4"/>
  <c r="C375" i="4"/>
  <c r="F375" i="4"/>
  <c r="G375" i="4"/>
  <c r="C376" i="4"/>
  <c r="F376" i="4"/>
  <c r="G376" i="4"/>
  <c r="C377" i="4"/>
  <c r="F377" i="4"/>
  <c r="G377" i="4"/>
  <c r="C378" i="4"/>
  <c r="F378" i="4"/>
  <c r="G378" i="4"/>
  <c r="C379" i="4"/>
  <c r="F379" i="4"/>
  <c r="G379" i="4"/>
  <c r="C380" i="4"/>
  <c r="F380" i="4"/>
  <c r="G380" i="4"/>
  <c r="C381" i="4"/>
  <c r="F381" i="4"/>
  <c r="G381" i="4"/>
  <c r="C382" i="4"/>
  <c r="F382" i="4"/>
  <c r="G382" i="4"/>
  <c r="C383" i="4"/>
  <c r="F383" i="4"/>
  <c r="G383" i="4"/>
  <c r="C384" i="4"/>
  <c r="F384" i="4"/>
  <c r="G384" i="4"/>
  <c r="C385" i="4"/>
  <c r="F385" i="4"/>
  <c r="G385" i="4"/>
  <c r="C386" i="4"/>
  <c r="F386" i="4"/>
  <c r="G386" i="4"/>
  <c r="C387" i="4"/>
  <c r="F387" i="4"/>
  <c r="G387" i="4"/>
  <c r="C388" i="4"/>
  <c r="F388" i="4"/>
  <c r="G388" i="4"/>
  <c r="C389" i="4"/>
  <c r="F389" i="4"/>
  <c r="G389" i="4"/>
  <c r="C390" i="4"/>
  <c r="F390" i="4"/>
  <c r="G390" i="4"/>
  <c r="C391" i="4"/>
  <c r="F391" i="4"/>
  <c r="G391" i="4"/>
  <c r="C392" i="4"/>
  <c r="F392" i="4"/>
  <c r="G392" i="4"/>
  <c r="C393" i="4"/>
  <c r="F393" i="4"/>
  <c r="G393" i="4"/>
  <c r="C394" i="4"/>
  <c r="F394" i="4"/>
  <c r="G394" i="4"/>
  <c r="C395" i="4"/>
  <c r="F395" i="4"/>
  <c r="G395" i="4"/>
  <c r="C396" i="4"/>
  <c r="F396" i="4"/>
  <c r="G396" i="4"/>
  <c r="C397" i="4"/>
  <c r="F397" i="4"/>
  <c r="G397" i="4"/>
  <c r="C398" i="4"/>
  <c r="F398" i="4"/>
  <c r="G398" i="4"/>
  <c r="C399" i="4"/>
  <c r="F399" i="4"/>
  <c r="G399" i="4"/>
  <c r="C400" i="4"/>
  <c r="F400" i="4"/>
  <c r="G400" i="4"/>
  <c r="C401" i="4"/>
  <c r="F401" i="4"/>
  <c r="G401" i="4"/>
  <c r="C402" i="4"/>
  <c r="F402" i="4"/>
  <c r="G402" i="4"/>
  <c r="C403" i="4"/>
  <c r="F403" i="4"/>
  <c r="G403" i="4"/>
  <c r="C404" i="4"/>
  <c r="F404" i="4"/>
  <c r="G404" i="4"/>
  <c r="C405" i="4"/>
  <c r="F405" i="4"/>
  <c r="G405" i="4"/>
  <c r="C406" i="4"/>
  <c r="F406" i="4"/>
  <c r="G406" i="4"/>
  <c r="C407" i="4"/>
  <c r="F407" i="4"/>
  <c r="G407" i="4"/>
  <c r="B1" i="7"/>
  <c r="C408" i="4"/>
  <c r="F408" i="4"/>
  <c r="G408" i="4"/>
  <c r="C409" i="4"/>
  <c r="F409" i="4"/>
  <c r="G409" i="4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26" i="7"/>
  <c r="C410" i="4"/>
  <c r="F410" i="4"/>
  <c r="G410" i="4"/>
  <c r="C411" i="4"/>
  <c r="F411" i="4"/>
  <c r="G411" i="4"/>
  <c r="C412" i="4"/>
  <c r="F412" i="4"/>
  <c r="G412" i="4"/>
  <c r="C413" i="4"/>
  <c r="F413" i="4"/>
  <c r="G413" i="4"/>
  <c r="C414" i="4"/>
  <c r="F414" i="4"/>
  <c r="G414" i="4"/>
  <c r="M26" i="7"/>
  <c r="H26" i="7"/>
  <c r="M27" i="7"/>
  <c r="H27" i="7"/>
  <c r="M28" i="7"/>
  <c r="F28" i="7" s="1"/>
  <c r="H28" i="7"/>
  <c r="M29" i="7"/>
  <c r="F29" i="7" s="1"/>
  <c r="H29" i="7"/>
  <c r="M30" i="7"/>
  <c r="F30" i="7" s="1"/>
  <c r="H30" i="7"/>
  <c r="M31" i="7"/>
  <c r="F31" i="7" s="1"/>
  <c r="H31" i="7"/>
  <c r="M32" i="7"/>
  <c r="F32" i="7" s="1"/>
  <c r="H32" i="7"/>
  <c r="M33" i="7"/>
  <c r="F33" i="7" s="1"/>
  <c r="H33" i="7"/>
  <c r="M34" i="7"/>
  <c r="F34" i="7" s="1"/>
  <c r="H34" i="7"/>
  <c r="M35" i="7"/>
  <c r="F35" i="7" s="1"/>
  <c r="H35" i="7"/>
  <c r="M36" i="7"/>
  <c r="F36" i="7" s="1"/>
  <c r="H36" i="7"/>
  <c r="M37" i="7"/>
  <c r="F37" i="7" s="1"/>
  <c r="H37" i="7"/>
  <c r="M38" i="7"/>
  <c r="F38" i="7" s="1"/>
  <c r="H38" i="7"/>
  <c r="M39" i="7"/>
  <c r="F39" i="7" s="1"/>
  <c r="H39" i="7"/>
  <c r="M40" i="7"/>
  <c r="F40" i="7" s="1"/>
  <c r="H40" i="7"/>
  <c r="M41" i="7"/>
  <c r="F41" i="7" s="1"/>
  <c r="H41" i="7"/>
  <c r="M42" i="7"/>
  <c r="F42" i="7" s="1"/>
  <c r="H42" i="7"/>
  <c r="M43" i="7"/>
  <c r="F43" i="7" s="1"/>
  <c r="H43" i="7"/>
  <c r="M44" i="7"/>
  <c r="F44" i="7" s="1"/>
  <c r="H44" i="7"/>
  <c r="M45" i="7"/>
  <c r="F45" i="7" s="1"/>
  <c r="H45" i="7"/>
  <c r="M46" i="7"/>
  <c r="F46" i="7" s="1"/>
  <c r="H46" i="7"/>
  <c r="M47" i="7"/>
  <c r="F47" i="7" s="1"/>
  <c r="H47" i="7"/>
  <c r="M48" i="7"/>
  <c r="F48" i="7" s="1"/>
  <c r="H48" i="7"/>
  <c r="M49" i="7"/>
  <c r="F49" i="7" s="1"/>
  <c r="H49" i="7"/>
  <c r="M50" i="7"/>
  <c r="F50" i="7" s="1"/>
  <c r="H50" i="7"/>
  <c r="M51" i="7"/>
  <c r="F51" i="7" s="1"/>
  <c r="H51" i="7"/>
  <c r="M52" i="7"/>
  <c r="F52" i="7" s="1"/>
  <c r="H52" i="7"/>
  <c r="M53" i="7"/>
  <c r="F53" i="7" s="1"/>
  <c r="H53" i="7"/>
  <c r="M54" i="7"/>
  <c r="F54" i="7" s="1"/>
  <c r="H54" i="7"/>
  <c r="M55" i="7"/>
  <c r="F55" i="7" s="1"/>
  <c r="H55" i="7"/>
  <c r="M56" i="7"/>
  <c r="F56" i="7" s="1"/>
  <c r="H56" i="7"/>
  <c r="M57" i="7"/>
  <c r="F57" i="7" s="1"/>
  <c r="H57" i="7"/>
  <c r="M58" i="7"/>
  <c r="F58" i="7" s="1"/>
  <c r="H58" i="7"/>
  <c r="M59" i="7"/>
  <c r="F59" i="7" s="1"/>
  <c r="H59" i="7"/>
  <c r="M60" i="7"/>
  <c r="F60" i="7" s="1"/>
  <c r="H60" i="7"/>
  <c r="M61" i="7"/>
  <c r="F61" i="7" s="1"/>
  <c r="H61" i="7"/>
  <c r="M62" i="7"/>
  <c r="F62" i="7" s="1"/>
  <c r="H62" i="7"/>
  <c r="M63" i="7"/>
  <c r="F63" i="7" s="1"/>
  <c r="H63" i="7"/>
  <c r="M64" i="7"/>
  <c r="F64" i="7" s="1"/>
  <c r="H64" i="7"/>
  <c r="M65" i="7"/>
  <c r="F65" i="7" s="1"/>
  <c r="H65" i="7"/>
  <c r="M66" i="7"/>
  <c r="F66" i="7" s="1"/>
  <c r="H66" i="7"/>
  <c r="M67" i="7"/>
  <c r="F67" i="7" s="1"/>
  <c r="H67" i="7"/>
  <c r="M68" i="7"/>
  <c r="F68" i="7" s="1"/>
  <c r="H68" i="7"/>
  <c r="M69" i="7"/>
  <c r="F69" i="7" s="1"/>
  <c r="H69" i="7"/>
  <c r="M70" i="7"/>
  <c r="F70" i="7" s="1"/>
  <c r="H70" i="7"/>
  <c r="M71" i="7"/>
  <c r="F71" i="7" s="1"/>
  <c r="H71" i="7"/>
  <c r="M72" i="7"/>
  <c r="F72" i="7" s="1"/>
  <c r="H72" i="7"/>
  <c r="M73" i="7"/>
  <c r="F73" i="7" s="1"/>
  <c r="H73" i="7"/>
  <c r="M74" i="7"/>
  <c r="F74" i="7" s="1"/>
  <c r="H74" i="7"/>
  <c r="M75" i="7"/>
  <c r="F75" i="7" s="1"/>
  <c r="H75" i="7"/>
  <c r="M76" i="7"/>
  <c r="F76" i="7" s="1"/>
  <c r="H76" i="7"/>
  <c r="M77" i="7"/>
  <c r="F77" i="7" s="1"/>
  <c r="H77" i="7"/>
  <c r="M78" i="7"/>
  <c r="F78" i="7" s="1"/>
  <c r="H78" i="7"/>
  <c r="M79" i="7"/>
  <c r="H79" i="7"/>
  <c r="M80" i="7"/>
  <c r="F80" i="7" s="1"/>
  <c r="H80" i="7"/>
  <c r="M81" i="7"/>
  <c r="F81" i="7" s="1"/>
  <c r="H81" i="7"/>
  <c r="M82" i="7"/>
  <c r="F82" i="7" s="1"/>
  <c r="H82" i="7"/>
  <c r="M83" i="7"/>
  <c r="F83" i="7" s="1"/>
  <c r="H83" i="7"/>
  <c r="M84" i="7"/>
  <c r="F84" i="7" s="1"/>
  <c r="H84" i="7"/>
  <c r="M85" i="7"/>
  <c r="F85" i="7" s="1"/>
  <c r="H85" i="7"/>
  <c r="M86" i="7"/>
  <c r="F86" i="7" s="1"/>
  <c r="H86" i="7"/>
  <c r="M87" i="7"/>
  <c r="F87" i="7" s="1"/>
  <c r="H87" i="7"/>
  <c r="M88" i="7"/>
  <c r="F88" i="7" s="1"/>
  <c r="H88" i="7"/>
  <c r="M89" i="7"/>
  <c r="F89" i="7" s="1"/>
  <c r="H89" i="7"/>
  <c r="M90" i="7"/>
  <c r="F90" i="7" s="1"/>
  <c r="H90" i="7"/>
  <c r="M91" i="7"/>
  <c r="F91" i="7" s="1"/>
  <c r="H91" i="7"/>
  <c r="M92" i="7"/>
  <c r="F92" i="7" s="1"/>
  <c r="H92" i="7"/>
  <c r="M93" i="7"/>
  <c r="F93" i="7" s="1"/>
  <c r="H93" i="7"/>
  <c r="M94" i="7"/>
  <c r="F94" i="7" s="1"/>
  <c r="H94" i="7"/>
  <c r="M95" i="7"/>
  <c r="F95" i="7" s="1"/>
  <c r="H95" i="7"/>
  <c r="M96" i="7"/>
  <c r="F96" i="7" s="1"/>
  <c r="H96" i="7"/>
  <c r="M97" i="7"/>
  <c r="F97" i="7" s="1"/>
  <c r="H97" i="7"/>
  <c r="M98" i="7"/>
  <c r="F98" i="7" s="1"/>
  <c r="H98" i="7"/>
  <c r="M99" i="7"/>
  <c r="F99" i="7" s="1"/>
  <c r="H99" i="7"/>
  <c r="M100" i="7"/>
  <c r="F100" i="7" s="1"/>
  <c r="H100" i="7"/>
  <c r="M101" i="7"/>
  <c r="F101" i="7" s="1"/>
  <c r="H101" i="7"/>
  <c r="M102" i="7"/>
  <c r="F102" i="7" s="1"/>
  <c r="H102" i="7"/>
  <c r="M103" i="7"/>
  <c r="F103" i="7" s="1"/>
  <c r="H103" i="7"/>
  <c r="M104" i="7"/>
  <c r="F104" i="7" s="1"/>
  <c r="H104" i="7"/>
  <c r="M105" i="7"/>
  <c r="F105" i="7" s="1"/>
  <c r="H105" i="7"/>
  <c r="M106" i="7"/>
  <c r="F106" i="7" s="1"/>
  <c r="H106" i="7"/>
  <c r="M107" i="7"/>
  <c r="F107" i="7" s="1"/>
  <c r="H107" i="7"/>
  <c r="M108" i="7"/>
  <c r="F108" i="7" s="1"/>
  <c r="H108" i="7"/>
  <c r="M109" i="7"/>
  <c r="F109" i="7" s="1"/>
  <c r="H109" i="7"/>
  <c r="M110" i="7"/>
  <c r="F110" i="7" s="1"/>
  <c r="H110" i="7"/>
  <c r="M111" i="7"/>
  <c r="F111" i="7" s="1"/>
  <c r="H111" i="7"/>
  <c r="M112" i="7"/>
  <c r="F112" i="7" s="1"/>
  <c r="H112" i="7"/>
  <c r="M113" i="7"/>
  <c r="F113" i="7" s="1"/>
  <c r="H113" i="7"/>
  <c r="M114" i="7"/>
  <c r="F114" i="7" s="1"/>
  <c r="H114" i="7"/>
  <c r="M115" i="7"/>
  <c r="F115" i="7" s="1"/>
  <c r="H115" i="7"/>
  <c r="M116" i="7"/>
  <c r="F116" i="7" s="1"/>
  <c r="H116" i="7"/>
  <c r="M117" i="7"/>
  <c r="F117" i="7" s="1"/>
  <c r="H117" i="7"/>
  <c r="M118" i="7"/>
  <c r="F118" i="7" s="1"/>
  <c r="H118" i="7"/>
  <c r="M119" i="7"/>
  <c r="F119" i="7" s="1"/>
  <c r="H119" i="7"/>
  <c r="M120" i="7"/>
  <c r="F120" i="7" s="1"/>
  <c r="H120" i="7"/>
  <c r="M121" i="7"/>
  <c r="F121" i="7" s="1"/>
  <c r="H121" i="7"/>
  <c r="M122" i="7"/>
  <c r="F122" i="7" s="1"/>
  <c r="H122" i="7"/>
  <c r="M123" i="7"/>
  <c r="F123" i="7" s="1"/>
  <c r="H123" i="7"/>
  <c r="M124" i="7"/>
  <c r="F124" i="7" s="1"/>
  <c r="H124" i="7"/>
  <c r="M125" i="7"/>
  <c r="F125" i="7" s="1"/>
  <c r="H125" i="7"/>
  <c r="M126" i="7"/>
  <c r="F126" i="7" s="1"/>
  <c r="H126" i="7"/>
  <c r="M127" i="7"/>
  <c r="F127" i="7" s="1"/>
  <c r="H127" i="7"/>
  <c r="M128" i="7"/>
  <c r="F128" i="7" s="1"/>
  <c r="H128" i="7"/>
  <c r="M129" i="7"/>
  <c r="F129" i="7" s="1"/>
  <c r="H129" i="7"/>
  <c r="M130" i="7"/>
  <c r="F130" i="7" s="1"/>
  <c r="H130" i="7"/>
  <c r="M131" i="7"/>
  <c r="F131" i="7" s="1"/>
  <c r="H131" i="7"/>
  <c r="M132" i="7"/>
  <c r="F132" i="7" s="1"/>
  <c r="H132" i="7"/>
  <c r="M133" i="7"/>
  <c r="F133" i="7" s="1"/>
  <c r="H133" i="7"/>
  <c r="M134" i="7"/>
  <c r="F134" i="7" s="1"/>
  <c r="H134" i="7"/>
  <c r="M135" i="7"/>
  <c r="F135" i="7" s="1"/>
  <c r="H135" i="7"/>
  <c r="M136" i="7"/>
  <c r="F136" i="7" s="1"/>
  <c r="H136" i="7"/>
  <c r="M137" i="7"/>
  <c r="F137" i="7" s="1"/>
  <c r="H137" i="7"/>
  <c r="M138" i="7"/>
  <c r="F138" i="7" s="1"/>
  <c r="H138" i="7"/>
  <c r="M139" i="7"/>
  <c r="F139" i="7" s="1"/>
  <c r="H139" i="7"/>
  <c r="M140" i="7"/>
  <c r="F140" i="7" s="1"/>
  <c r="H140" i="7"/>
  <c r="M141" i="7"/>
  <c r="F141" i="7" s="1"/>
  <c r="H141" i="7"/>
  <c r="M142" i="7"/>
  <c r="F142" i="7" s="1"/>
  <c r="H142" i="7"/>
  <c r="M143" i="7"/>
  <c r="F143" i="7" s="1"/>
  <c r="H143" i="7"/>
  <c r="M144" i="7"/>
  <c r="F144" i="7" s="1"/>
  <c r="H144" i="7"/>
  <c r="M145" i="7"/>
  <c r="F145" i="7" s="1"/>
  <c r="H145" i="7"/>
  <c r="M146" i="7"/>
  <c r="F146" i="7" s="1"/>
  <c r="H146" i="7"/>
  <c r="M147" i="7"/>
  <c r="F147" i="7" s="1"/>
  <c r="H147" i="7"/>
  <c r="M148" i="7"/>
  <c r="F148" i="7" s="1"/>
  <c r="H148" i="7"/>
  <c r="M149" i="7"/>
  <c r="F149" i="7" s="1"/>
  <c r="H149" i="7"/>
  <c r="M150" i="7"/>
  <c r="F150" i="7" s="1"/>
  <c r="H150" i="7"/>
  <c r="M151" i="7"/>
  <c r="F151" i="7" s="1"/>
  <c r="H151" i="7"/>
  <c r="M152" i="7"/>
  <c r="F152" i="7" s="1"/>
  <c r="H152" i="7"/>
  <c r="M153" i="7"/>
  <c r="F153" i="7" s="1"/>
  <c r="H153" i="7"/>
  <c r="M154" i="7"/>
  <c r="F154" i="7" s="1"/>
  <c r="H154" i="7"/>
  <c r="M155" i="7"/>
  <c r="F155" i="7" s="1"/>
  <c r="H155" i="7"/>
  <c r="M156" i="7"/>
  <c r="F156" i="7" s="1"/>
  <c r="H156" i="7"/>
  <c r="M157" i="7"/>
  <c r="F157" i="7" s="1"/>
  <c r="H157" i="7"/>
  <c r="M158" i="7"/>
  <c r="F158" i="7" s="1"/>
  <c r="H158" i="7"/>
  <c r="M159" i="7"/>
  <c r="F159" i="7" s="1"/>
  <c r="H159" i="7"/>
  <c r="M160" i="7"/>
  <c r="F160" i="7" s="1"/>
  <c r="H160" i="7"/>
  <c r="M161" i="7"/>
  <c r="F161" i="7" s="1"/>
  <c r="H161" i="7"/>
  <c r="M162" i="7"/>
  <c r="F162" i="7" s="1"/>
  <c r="H162" i="7"/>
  <c r="M163" i="7"/>
  <c r="F163" i="7" s="1"/>
  <c r="H163" i="7"/>
  <c r="M164" i="7"/>
  <c r="F164" i="7" s="1"/>
  <c r="H164" i="7"/>
  <c r="M165" i="7"/>
  <c r="F165" i="7" s="1"/>
  <c r="H165" i="7"/>
  <c r="M166" i="7"/>
  <c r="F166" i="7" s="1"/>
  <c r="H166" i="7"/>
  <c r="M167" i="7"/>
  <c r="F167" i="7" s="1"/>
  <c r="H167" i="7"/>
  <c r="M168" i="7"/>
  <c r="F168" i="7" s="1"/>
  <c r="H168" i="7"/>
  <c r="M169" i="7"/>
  <c r="F169" i="7" s="1"/>
  <c r="H169" i="7"/>
  <c r="M170" i="7"/>
  <c r="F170" i="7" s="1"/>
  <c r="H170" i="7"/>
  <c r="M171" i="7"/>
  <c r="F171" i="7" s="1"/>
  <c r="H171" i="7"/>
  <c r="M172" i="7"/>
  <c r="F172" i="7" s="1"/>
  <c r="H172" i="7"/>
  <c r="M173" i="7"/>
  <c r="F173" i="7" s="1"/>
  <c r="H173" i="7"/>
  <c r="M174" i="7"/>
  <c r="F174" i="7" s="1"/>
  <c r="H174" i="7"/>
  <c r="M175" i="7"/>
  <c r="F175" i="7" s="1"/>
  <c r="H175" i="7"/>
  <c r="M176" i="7"/>
  <c r="F176" i="7" s="1"/>
  <c r="H176" i="7"/>
  <c r="M177" i="7"/>
  <c r="F177" i="7" s="1"/>
  <c r="H177" i="7"/>
  <c r="M178" i="7"/>
  <c r="F178" i="7" s="1"/>
  <c r="H178" i="7"/>
  <c r="M179" i="7"/>
  <c r="F179" i="7" s="1"/>
  <c r="H179" i="7"/>
  <c r="M180" i="7"/>
  <c r="F180" i="7" s="1"/>
  <c r="H180" i="7"/>
  <c r="M181" i="7"/>
  <c r="F181" i="7" s="1"/>
  <c r="H181" i="7"/>
  <c r="M182" i="7"/>
  <c r="F182" i="7" s="1"/>
  <c r="H182" i="7"/>
  <c r="M183" i="7"/>
  <c r="F183" i="7" s="1"/>
  <c r="H183" i="7"/>
  <c r="M184" i="7"/>
  <c r="F184" i="7" s="1"/>
  <c r="H184" i="7"/>
  <c r="M185" i="7"/>
  <c r="F185" i="7" s="1"/>
  <c r="H185" i="7"/>
  <c r="M186" i="7"/>
  <c r="F186" i="7" s="1"/>
  <c r="H186" i="7"/>
  <c r="M187" i="7"/>
  <c r="F187" i="7" s="1"/>
  <c r="H187" i="7"/>
  <c r="M188" i="7"/>
  <c r="F188" i="7" s="1"/>
  <c r="H188" i="7"/>
  <c r="M189" i="7"/>
  <c r="F189" i="7" s="1"/>
  <c r="H189" i="7"/>
  <c r="M190" i="7"/>
  <c r="F190" i="7" s="1"/>
  <c r="H190" i="7"/>
  <c r="M191" i="7"/>
  <c r="F191" i="7" s="1"/>
  <c r="H191" i="7"/>
  <c r="M192" i="7"/>
  <c r="F192" i="7" s="1"/>
  <c r="H192" i="7"/>
  <c r="M193" i="7"/>
  <c r="F193" i="7" s="1"/>
  <c r="H193" i="7"/>
  <c r="M194" i="7"/>
  <c r="F194" i="7" s="1"/>
  <c r="H194" i="7"/>
  <c r="M195" i="7"/>
  <c r="F195" i="7" s="1"/>
  <c r="H195" i="7"/>
  <c r="M196" i="7"/>
  <c r="F196" i="7" s="1"/>
  <c r="H196" i="7"/>
  <c r="M197" i="7"/>
  <c r="F197" i="7" s="1"/>
  <c r="H197" i="7"/>
  <c r="M198" i="7"/>
  <c r="F198" i="7" s="1"/>
  <c r="H198" i="7"/>
  <c r="M199" i="7"/>
  <c r="F199" i="7" s="1"/>
  <c r="H199" i="7"/>
  <c r="M200" i="7"/>
  <c r="F200" i="7" s="1"/>
  <c r="H200" i="7"/>
  <c r="M201" i="7"/>
  <c r="F201" i="7" s="1"/>
  <c r="H201" i="7"/>
  <c r="M202" i="7"/>
  <c r="F202" i="7" s="1"/>
  <c r="H202" i="7"/>
  <c r="M203" i="7"/>
  <c r="F203" i="7" s="1"/>
  <c r="H203" i="7"/>
  <c r="M204" i="7"/>
  <c r="F204" i="7" s="1"/>
  <c r="H204" i="7"/>
  <c r="M205" i="7"/>
  <c r="F205" i="7" s="1"/>
  <c r="H205" i="7"/>
  <c r="M206" i="7"/>
  <c r="F206" i="7" s="1"/>
  <c r="H206" i="7"/>
  <c r="M207" i="7"/>
  <c r="F207" i="7" s="1"/>
  <c r="H207" i="7"/>
  <c r="M208" i="7"/>
  <c r="F208" i="7" s="1"/>
  <c r="H208" i="7"/>
  <c r="M209" i="7"/>
  <c r="F209" i="7" s="1"/>
  <c r="H209" i="7"/>
  <c r="M210" i="7"/>
  <c r="F210" i="7" s="1"/>
  <c r="H210" i="7"/>
  <c r="M211" i="7"/>
  <c r="F211" i="7" s="1"/>
  <c r="H211" i="7"/>
  <c r="M212" i="7"/>
  <c r="F212" i="7" s="1"/>
  <c r="H212" i="7"/>
  <c r="M213" i="7"/>
  <c r="F213" i="7" s="1"/>
  <c r="H213" i="7"/>
  <c r="M214" i="7"/>
  <c r="F214" i="7" s="1"/>
  <c r="H214" i="7"/>
  <c r="M215" i="7"/>
  <c r="F215" i="7" s="1"/>
  <c r="H215" i="7"/>
  <c r="M216" i="7"/>
  <c r="F216" i="7" s="1"/>
  <c r="H216" i="7"/>
  <c r="M217" i="7"/>
  <c r="F217" i="7" s="1"/>
  <c r="H217" i="7"/>
  <c r="M218" i="7"/>
  <c r="F218" i="7" s="1"/>
  <c r="H218" i="7"/>
  <c r="M219" i="7"/>
  <c r="F219" i="7" s="1"/>
  <c r="H219" i="7"/>
  <c r="M220" i="7"/>
  <c r="F220" i="7" s="1"/>
  <c r="H220" i="7"/>
  <c r="M221" i="7"/>
  <c r="F221" i="7" s="1"/>
  <c r="H221" i="7"/>
  <c r="M222" i="7"/>
  <c r="F222" i="7" s="1"/>
  <c r="H222" i="7"/>
  <c r="M223" i="7"/>
  <c r="F223" i="7" s="1"/>
  <c r="H223" i="7"/>
  <c r="M224" i="7"/>
  <c r="F224" i="7" s="1"/>
  <c r="H224" i="7"/>
  <c r="M225" i="7"/>
  <c r="F225" i="7" s="1"/>
  <c r="H225" i="7"/>
  <c r="M226" i="7"/>
  <c r="F226" i="7" s="1"/>
  <c r="H226" i="7"/>
  <c r="M227" i="7"/>
  <c r="F227" i="7" s="1"/>
  <c r="H227" i="7"/>
  <c r="M228" i="7"/>
  <c r="F228" i="7" s="1"/>
  <c r="H228" i="7"/>
  <c r="M229" i="7"/>
  <c r="F229" i="7" s="1"/>
  <c r="H229" i="7"/>
  <c r="M230" i="7"/>
  <c r="F230" i="7" s="1"/>
  <c r="H230" i="7"/>
  <c r="M231" i="7"/>
  <c r="F231" i="7" s="1"/>
  <c r="H231" i="7"/>
  <c r="M232" i="7"/>
  <c r="F232" i="7" s="1"/>
  <c r="H232" i="7"/>
  <c r="M233" i="7"/>
  <c r="F233" i="7" s="1"/>
  <c r="H233" i="7"/>
  <c r="M234" i="7"/>
  <c r="F234" i="7" s="1"/>
  <c r="H234" i="7"/>
  <c r="M235" i="7"/>
  <c r="F235" i="7" s="1"/>
  <c r="H235" i="7"/>
  <c r="M236" i="7"/>
  <c r="F236" i="7" s="1"/>
  <c r="H236" i="7"/>
  <c r="M237" i="7"/>
  <c r="F237" i="7" s="1"/>
  <c r="H237" i="7"/>
  <c r="M238" i="7"/>
  <c r="F238" i="7" s="1"/>
  <c r="H238" i="7"/>
  <c r="M239" i="7"/>
  <c r="F239" i="7" s="1"/>
  <c r="H239" i="7"/>
  <c r="M240" i="7"/>
  <c r="F240" i="7" s="1"/>
  <c r="H240" i="7"/>
  <c r="M241" i="7"/>
  <c r="F241" i="7" s="1"/>
  <c r="H241" i="7"/>
  <c r="M242" i="7"/>
  <c r="F242" i="7" s="1"/>
  <c r="H242" i="7"/>
  <c r="M243" i="7"/>
  <c r="F243" i="7" s="1"/>
  <c r="H243" i="7"/>
  <c r="M244" i="7"/>
  <c r="F244" i="7" s="1"/>
  <c r="H244" i="7"/>
  <c r="M245" i="7"/>
  <c r="F245" i="7" s="1"/>
  <c r="H245" i="7"/>
  <c r="M246" i="7"/>
  <c r="F246" i="7" s="1"/>
  <c r="H246" i="7"/>
  <c r="M247" i="7"/>
  <c r="F247" i="7" s="1"/>
  <c r="H247" i="7"/>
  <c r="M248" i="7"/>
  <c r="F248" i="7" s="1"/>
  <c r="H248" i="7"/>
  <c r="M249" i="7"/>
  <c r="F249" i="7" s="1"/>
  <c r="H249" i="7"/>
  <c r="M250" i="7"/>
  <c r="F250" i="7" s="1"/>
  <c r="H250" i="7"/>
  <c r="M251" i="7"/>
  <c r="F251" i="7" s="1"/>
  <c r="H251" i="7"/>
  <c r="M252" i="7"/>
  <c r="F252" i="7" s="1"/>
  <c r="H252" i="7"/>
  <c r="M253" i="7"/>
  <c r="F253" i="7" s="1"/>
  <c r="H253" i="7"/>
  <c r="M254" i="7"/>
  <c r="F254" i="7" s="1"/>
  <c r="H254" i="7"/>
  <c r="M255" i="7"/>
  <c r="F255" i="7" s="1"/>
  <c r="H255" i="7"/>
  <c r="M256" i="7"/>
  <c r="F256" i="7" s="1"/>
  <c r="H256" i="7"/>
  <c r="M257" i="7"/>
  <c r="F257" i="7" s="1"/>
  <c r="H257" i="7"/>
  <c r="M258" i="7"/>
  <c r="F258" i="7" s="1"/>
  <c r="H258" i="7"/>
  <c r="M259" i="7"/>
  <c r="F259" i="7" s="1"/>
  <c r="H259" i="7"/>
  <c r="M260" i="7"/>
  <c r="F260" i="7" s="1"/>
  <c r="H260" i="7"/>
  <c r="M261" i="7"/>
  <c r="F261" i="7" s="1"/>
  <c r="H261" i="7"/>
  <c r="M262" i="7"/>
  <c r="F262" i="7" s="1"/>
  <c r="H262" i="7"/>
  <c r="M263" i="7"/>
  <c r="F263" i="7" s="1"/>
  <c r="H263" i="7"/>
  <c r="M264" i="7"/>
  <c r="F264" i="7" s="1"/>
  <c r="H264" i="7"/>
  <c r="M265" i="7"/>
  <c r="F265" i="7" s="1"/>
  <c r="H265" i="7"/>
  <c r="M266" i="7"/>
  <c r="F266" i="7" s="1"/>
  <c r="H266" i="7"/>
  <c r="M267" i="7"/>
  <c r="F267" i="7" s="1"/>
  <c r="H267" i="7"/>
  <c r="M268" i="7"/>
  <c r="F268" i="7" s="1"/>
  <c r="H268" i="7"/>
  <c r="M269" i="7"/>
  <c r="F269" i="7" s="1"/>
  <c r="H269" i="7"/>
  <c r="M270" i="7"/>
  <c r="F270" i="7" s="1"/>
  <c r="H270" i="7"/>
  <c r="M271" i="7"/>
  <c r="F271" i="7" s="1"/>
  <c r="H271" i="7"/>
  <c r="M272" i="7"/>
  <c r="F272" i="7" s="1"/>
  <c r="H272" i="7"/>
  <c r="M273" i="7"/>
  <c r="F273" i="7" s="1"/>
  <c r="H273" i="7"/>
  <c r="M274" i="7"/>
  <c r="F274" i="7" s="1"/>
  <c r="H274" i="7"/>
  <c r="M275" i="7"/>
  <c r="F275" i="7" s="1"/>
  <c r="H275" i="7"/>
  <c r="M276" i="7"/>
  <c r="F276" i="7" s="1"/>
  <c r="H276" i="7"/>
  <c r="M277" i="7"/>
  <c r="F277" i="7" s="1"/>
  <c r="H277" i="7"/>
  <c r="M278" i="7"/>
  <c r="F278" i="7" s="1"/>
  <c r="H278" i="7"/>
  <c r="M279" i="7"/>
  <c r="F279" i="7" s="1"/>
  <c r="H279" i="7"/>
  <c r="M280" i="7"/>
  <c r="F280" i="7" s="1"/>
  <c r="H280" i="7"/>
  <c r="M281" i="7"/>
  <c r="F281" i="7" s="1"/>
  <c r="H281" i="7"/>
  <c r="M282" i="7"/>
  <c r="F282" i="7" s="1"/>
  <c r="H282" i="7"/>
  <c r="M283" i="7"/>
  <c r="F283" i="7" s="1"/>
  <c r="H283" i="7"/>
  <c r="M284" i="7"/>
  <c r="F284" i="7" s="1"/>
  <c r="H284" i="7"/>
  <c r="M285" i="7"/>
  <c r="F285" i="7" s="1"/>
  <c r="H285" i="7"/>
  <c r="M286" i="7"/>
  <c r="F286" i="7" s="1"/>
  <c r="H286" i="7"/>
  <c r="M287" i="7"/>
  <c r="F287" i="7" s="1"/>
  <c r="H287" i="7"/>
  <c r="M288" i="7"/>
  <c r="F288" i="7" s="1"/>
  <c r="H288" i="7"/>
  <c r="M289" i="7"/>
  <c r="F289" i="7" s="1"/>
  <c r="H289" i="7"/>
  <c r="M290" i="7"/>
  <c r="F290" i="7" s="1"/>
  <c r="H290" i="7"/>
  <c r="M291" i="7"/>
  <c r="F291" i="7" s="1"/>
  <c r="H291" i="7"/>
  <c r="M292" i="7"/>
  <c r="F292" i="7" s="1"/>
  <c r="H292" i="7"/>
  <c r="M293" i="7"/>
  <c r="F293" i="7" s="1"/>
  <c r="H293" i="7"/>
  <c r="M294" i="7"/>
  <c r="F294" i="7" s="1"/>
  <c r="H294" i="7"/>
  <c r="M295" i="7"/>
  <c r="F295" i="7" s="1"/>
  <c r="H295" i="7"/>
  <c r="M296" i="7"/>
  <c r="F296" i="7" s="1"/>
  <c r="H296" i="7"/>
  <c r="M297" i="7"/>
  <c r="F297" i="7" s="1"/>
  <c r="H297" i="7"/>
  <c r="M298" i="7"/>
  <c r="F298" i="7" s="1"/>
  <c r="H298" i="7"/>
  <c r="M299" i="7"/>
  <c r="F299" i="7" s="1"/>
  <c r="H299" i="7"/>
  <c r="M300" i="7"/>
  <c r="F300" i="7" s="1"/>
  <c r="H300" i="7"/>
  <c r="M301" i="7"/>
  <c r="F301" i="7" s="1"/>
  <c r="H301" i="7"/>
  <c r="M302" i="7"/>
  <c r="F302" i="7" s="1"/>
  <c r="H302" i="7"/>
  <c r="M303" i="7"/>
  <c r="F303" i="7" s="1"/>
  <c r="H303" i="7"/>
  <c r="M304" i="7"/>
  <c r="F304" i="7" s="1"/>
  <c r="H304" i="7"/>
  <c r="M305" i="7"/>
  <c r="F305" i="7" s="1"/>
  <c r="H305" i="7"/>
  <c r="M306" i="7"/>
  <c r="F306" i="7" s="1"/>
  <c r="H306" i="7"/>
  <c r="M307" i="7"/>
  <c r="F307" i="7" s="1"/>
  <c r="H307" i="7"/>
  <c r="M308" i="7"/>
  <c r="F308" i="7" s="1"/>
  <c r="H308" i="7"/>
  <c r="M309" i="7"/>
  <c r="F309" i="7" s="1"/>
  <c r="M310" i="7"/>
  <c r="F310" i="7" s="1"/>
  <c r="M311" i="7"/>
  <c r="F311" i="7" s="1"/>
  <c r="M312" i="7"/>
  <c r="F312" i="7" s="1"/>
  <c r="M313" i="7"/>
  <c r="F313" i="7" s="1"/>
  <c r="M314" i="7"/>
  <c r="F314" i="7" s="1"/>
  <c r="M315" i="7"/>
  <c r="F315" i="7" s="1"/>
  <c r="M316" i="7"/>
  <c r="F316" i="7" s="1"/>
  <c r="M317" i="7"/>
  <c r="F317" i="7" s="1"/>
  <c r="M318" i="7"/>
  <c r="F318" i="7" s="1"/>
  <c r="M319" i="7"/>
  <c r="F319" i="7" s="1"/>
  <c r="M320" i="7"/>
  <c r="F320" i="7" s="1"/>
  <c r="M321" i="7"/>
  <c r="F321" i="7" s="1"/>
  <c r="M322" i="7"/>
  <c r="F322" i="7" s="1"/>
  <c r="M323" i="7"/>
  <c r="F323" i="7" s="1"/>
  <c r="M324" i="7"/>
  <c r="F324" i="7" s="1"/>
  <c r="M325" i="7"/>
  <c r="F325" i="7" s="1"/>
  <c r="M326" i="7"/>
  <c r="F326" i="7" s="1"/>
  <c r="M327" i="7"/>
  <c r="F327" i="7" s="1"/>
  <c r="M328" i="7"/>
  <c r="F328" i="7" s="1"/>
  <c r="M329" i="7"/>
  <c r="F329" i="7" s="1"/>
  <c r="M330" i="7"/>
  <c r="F330" i="7" s="1"/>
  <c r="M331" i="7"/>
  <c r="F331" i="7" s="1"/>
  <c r="M332" i="7"/>
  <c r="F332" i="7" s="1"/>
  <c r="M333" i="7"/>
  <c r="F333" i="7" s="1"/>
  <c r="M334" i="7"/>
  <c r="F334" i="7" s="1"/>
  <c r="M335" i="7"/>
  <c r="F335" i="7" s="1"/>
  <c r="M336" i="7"/>
  <c r="F336" i="7" s="1"/>
  <c r="M337" i="7"/>
  <c r="F337" i="7" s="1"/>
  <c r="M338" i="7"/>
  <c r="F338" i="7" s="1"/>
  <c r="M339" i="7"/>
  <c r="F339" i="7" s="1"/>
  <c r="M340" i="7"/>
  <c r="F340" i="7" s="1"/>
  <c r="M341" i="7"/>
  <c r="F341" i="7" s="1"/>
  <c r="M342" i="7"/>
  <c r="F342" i="7" s="1"/>
  <c r="M343" i="7"/>
  <c r="F343" i="7" s="1"/>
  <c r="M344" i="7"/>
  <c r="F344" i="7" s="1"/>
  <c r="M345" i="7"/>
  <c r="F345" i="7" s="1"/>
  <c r="M346" i="7"/>
  <c r="F346" i="7" s="1"/>
  <c r="M347" i="7"/>
  <c r="F347" i="7" s="1"/>
  <c r="M348" i="7"/>
  <c r="F348" i="7" s="1"/>
  <c r="M349" i="7"/>
  <c r="F349" i="7" s="1"/>
  <c r="M350" i="7"/>
  <c r="F350" i="7" s="1"/>
  <c r="M351" i="7"/>
  <c r="F351" i="7" s="1"/>
  <c r="M352" i="7"/>
  <c r="F352" i="7" s="1"/>
  <c r="M353" i="7"/>
  <c r="F353" i="7" s="1"/>
  <c r="M354" i="7"/>
  <c r="F354" i="7" s="1"/>
  <c r="M355" i="7"/>
  <c r="F355" i="7" s="1"/>
  <c r="M356" i="7"/>
  <c r="F356" i="7" s="1"/>
  <c r="M357" i="7"/>
  <c r="F357" i="7" s="1"/>
  <c r="M358" i="7"/>
  <c r="F358" i="7" s="1"/>
  <c r="M359" i="7"/>
  <c r="F359" i="7" s="1"/>
  <c r="M360" i="7"/>
  <c r="F360" i="7" s="1"/>
  <c r="M361" i="7"/>
  <c r="F361" i="7" s="1"/>
  <c r="M362" i="7"/>
  <c r="F362" i="7" s="1"/>
  <c r="M363" i="7"/>
  <c r="F363" i="7" s="1"/>
  <c r="M364" i="7"/>
  <c r="F364" i="7" s="1"/>
  <c r="M365" i="7"/>
  <c r="F365" i="7" s="1"/>
  <c r="M366" i="7"/>
  <c r="F366" i="7" s="1"/>
  <c r="M367" i="7"/>
  <c r="F367" i="7" s="1"/>
  <c r="M368" i="7"/>
  <c r="F368" i="7" s="1"/>
  <c r="M369" i="7"/>
  <c r="F369" i="7" s="1"/>
  <c r="M370" i="7"/>
  <c r="F370" i="7" s="1"/>
  <c r="M371" i="7"/>
  <c r="F371" i="7" s="1"/>
  <c r="M372" i="7"/>
  <c r="F372" i="7" s="1"/>
  <c r="M373" i="7"/>
  <c r="F373" i="7" s="1"/>
  <c r="M374" i="7"/>
  <c r="F374" i="7" s="1"/>
  <c r="M375" i="7"/>
  <c r="F375" i="7" s="1"/>
  <c r="M376" i="7"/>
  <c r="F376" i="7" s="1"/>
  <c r="M377" i="7"/>
  <c r="F377" i="7" s="1"/>
  <c r="M378" i="7"/>
  <c r="F378" i="7" s="1"/>
  <c r="M379" i="7"/>
  <c r="F379" i="7" s="1"/>
  <c r="M380" i="7"/>
  <c r="F380" i="7" s="1"/>
  <c r="M381" i="7"/>
  <c r="F381" i="7" s="1"/>
  <c r="M382" i="7"/>
  <c r="F382" i="7" s="1"/>
  <c r="M383" i="7"/>
  <c r="F383" i="7" s="1"/>
  <c r="M384" i="7"/>
  <c r="F384" i="7" s="1"/>
  <c r="M385" i="7"/>
  <c r="F385" i="7" s="1"/>
  <c r="M386" i="7"/>
  <c r="F386" i="7" s="1"/>
  <c r="M387" i="7"/>
  <c r="F387" i="7" s="1"/>
  <c r="M388" i="7"/>
  <c r="F388" i="7" s="1"/>
  <c r="M389" i="7"/>
  <c r="F389" i="7" s="1"/>
  <c r="M390" i="7"/>
  <c r="F390" i="7" s="1"/>
  <c r="M391" i="7"/>
  <c r="F391" i="7" s="1"/>
  <c r="M392" i="7"/>
  <c r="F392" i="7" s="1"/>
  <c r="M393" i="7"/>
  <c r="F393" i="7" s="1"/>
  <c r="M394" i="7"/>
  <c r="F394" i="7" s="1"/>
  <c r="M395" i="7"/>
  <c r="F395" i="7" s="1"/>
  <c r="M396" i="7"/>
  <c r="F396" i="7" s="1"/>
  <c r="M397" i="7"/>
  <c r="F397" i="7" s="1"/>
  <c r="M398" i="7"/>
  <c r="F398" i="7" s="1"/>
  <c r="M399" i="7"/>
  <c r="F399" i="7" s="1"/>
  <c r="M400" i="7"/>
  <c r="F400" i="7" s="1"/>
  <c r="M401" i="7"/>
  <c r="F401" i="7" s="1"/>
  <c r="M402" i="7"/>
  <c r="F402" i="7" s="1"/>
  <c r="M403" i="7"/>
  <c r="F403" i="7" s="1"/>
  <c r="M404" i="7"/>
  <c r="F404" i="7" s="1"/>
  <c r="M405" i="7"/>
  <c r="F405" i="7" s="1"/>
  <c r="M406" i="7"/>
  <c r="F406" i="7" s="1"/>
  <c r="M407" i="7"/>
  <c r="F407" i="7" s="1"/>
  <c r="M408" i="7"/>
  <c r="F408" i="7" s="1"/>
  <c r="M409" i="7"/>
  <c r="F409" i="7" s="1"/>
  <c r="M410" i="7"/>
  <c r="F410" i="7" s="1"/>
  <c r="M411" i="7"/>
  <c r="F411" i="7" s="1"/>
  <c r="M412" i="7"/>
  <c r="F412" i="7" s="1"/>
  <c r="M413" i="7"/>
  <c r="F413" i="7" s="1"/>
  <c r="M414" i="7"/>
  <c r="F414" i="7" s="1"/>
  <c r="M415" i="7"/>
  <c r="F415" i="7" s="1"/>
  <c r="M416" i="7"/>
  <c r="F416" i="7" s="1"/>
  <c r="M417" i="7"/>
  <c r="F417" i="7" s="1"/>
  <c r="M418" i="7"/>
  <c r="F418" i="7" s="1"/>
  <c r="M419" i="7"/>
  <c r="F419" i="7" s="1"/>
  <c r="M420" i="7"/>
  <c r="F420" i="7" s="1"/>
  <c r="M421" i="7"/>
  <c r="F421" i="7" s="1"/>
  <c r="M422" i="7"/>
  <c r="F422" i="7" s="1"/>
  <c r="M423" i="7"/>
  <c r="F423" i="7" s="1"/>
  <c r="M424" i="7"/>
  <c r="F424" i="7" s="1"/>
  <c r="M425" i="7"/>
  <c r="F425" i="7" s="1"/>
  <c r="M426" i="7"/>
  <c r="F426" i="7" s="1"/>
  <c r="M427" i="7"/>
  <c r="F427" i="7" s="1"/>
  <c r="M428" i="7"/>
  <c r="F428" i="7" s="1"/>
  <c r="M429" i="7"/>
  <c r="F429" i="7" s="1"/>
  <c r="M430" i="7"/>
  <c r="F430" i="7" s="1"/>
  <c r="M431" i="7"/>
  <c r="F431" i="7" s="1"/>
  <c r="M432" i="7"/>
  <c r="F432" i="7" s="1"/>
  <c r="M433" i="7"/>
  <c r="F433" i="7" s="1"/>
  <c r="M434" i="7"/>
  <c r="F434" i="7" s="1"/>
  <c r="M435" i="7"/>
  <c r="F435" i="7" s="1"/>
  <c r="M436" i="7"/>
  <c r="F436" i="7" s="1"/>
  <c r="M437" i="7"/>
  <c r="F437" i="7" s="1"/>
  <c r="M438" i="7"/>
  <c r="F438" i="7" s="1"/>
  <c r="M439" i="7"/>
  <c r="F439" i="7" s="1"/>
  <c r="M440" i="7"/>
  <c r="F440" i="7" s="1"/>
  <c r="M441" i="7"/>
  <c r="F441" i="7" s="1"/>
  <c r="M442" i="7"/>
  <c r="F442" i="7" s="1"/>
  <c r="M443" i="7"/>
  <c r="F443" i="7" s="1"/>
  <c r="M444" i="7"/>
  <c r="F444" i="7" s="1"/>
  <c r="M445" i="7"/>
  <c r="F445" i="7" s="1"/>
  <c r="M446" i="7"/>
  <c r="F446" i="7" s="1"/>
  <c r="M447" i="7"/>
  <c r="F447" i="7" s="1"/>
  <c r="M448" i="7"/>
  <c r="F448" i="7" s="1"/>
  <c r="M449" i="7"/>
  <c r="F449" i="7" s="1"/>
  <c r="M450" i="7"/>
  <c r="F450" i="7" s="1"/>
  <c r="M451" i="7"/>
  <c r="F451" i="7" s="1"/>
  <c r="M452" i="7"/>
  <c r="F452" i="7" s="1"/>
  <c r="M453" i="7"/>
  <c r="F453" i="7" s="1"/>
  <c r="M454" i="7"/>
  <c r="F454" i="7" s="1"/>
  <c r="M455" i="7"/>
  <c r="F455" i="7" s="1"/>
  <c r="M456" i="7"/>
  <c r="F456" i="7" s="1"/>
  <c r="M457" i="7"/>
  <c r="F457" i="7" s="1"/>
  <c r="M458" i="7"/>
  <c r="F458" i="7" s="1"/>
  <c r="M459" i="7"/>
  <c r="F459" i="7" s="1"/>
  <c r="M460" i="7"/>
  <c r="F460" i="7" s="1"/>
  <c r="M461" i="7"/>
  <c r="F461" i="7" s="1"/>
  <c r="M462" i="7"/>
  <c r="F462" i="7" s="1"/>
  <c r="M463" i="7"/>
  <c r="F463" i="7" s="1"/>
  <c r="M464" i="7"/>
  <c r="F464" i="7" s="1"/>
  <c r="M465" i="7"/>
  <c r="F465" i="7" s="1"/>
  <c r="M466" i="7"/>
  <c r="F466" i="7" s="1"/>
  <c r="M467" i="7"/>
  <c r="F467" i="7" s="1"/>
  <c r="M468" i="7"/>
  <c r="F468" i="7" s="1"/>
  <c r="M469" i="7"/>
  <c r="F469" i="7" s="1"/>
  <c r="M470" i="7"/>
  <c r="F470" i="7" s="1"/>
  <c r="M471" i="7"/>
  <c r="F471" i="7" s="1"/>
  <c r="M472" i="7"/>
  <c r="F472" i="7" s="1"/>
  <c r="M473" i="7"/>
  <c r="F473" i="7" s="1"/>
  <c r="M474" i="7"/>
  <c r="F474" i="7" s="1"/>
  <c r="M475" i="7"/>
  <c r="F475" i="7" s="1"/>
  <c r="M476" i="7"/>
  <c r="F476" i="7" s="1"/>
  <c r="M477" i="7"/>
  <c r="F477" i="7" s="1"/>
  <c r="M478" i="7"/>
  <c r="F478" i="7" s="1"/>
  <c r="M479" i="7"/>
  <c r="F479" i="7" s="1"/>
  <c r="M480" i="7"/>
  <c r="F480" i="7" s="1"/>
  <c r="M481" i="7"/>
  <c r="F481" i="7" s="1"/>
  <c r="M482" i="7"/>
  <c r="F482" i="7" s="1"/>
  <c r="M483" i="7"/>
  <c r="F483" i="7" s="1"/>
  <c r="M484" i="7"/>
  <c r="F484" i="7" s="1"/>
  <c r="M485" i="7"/>
  <c r="F485" i="7" s="1"/>
  <c r="M486" i="7"/>
  <c r="F486" i="7" s="1"/>
  <c r="M487" i="7"/>
  <c r="F487" i="7" s="1"/>
  <c r="M488" i="7"/>
  <c r="F488" i="7" s="1"/>
  <c r="M489" i="7"/>
  <c r="F489" i="7" s="1"/>
  <c r="M490" i="7"/>
  <c r="F490" i="7" s="1"/>
  <c r="M491" i="7"/>
  <c r="F491" i="7" s="1"/>
  <c r="M492" i="7"/>
  <c r="F492" i="7" s="1"/>
  <c r="M493" i="7"/>
  <c r="F493" i="7" s="1"/>
  <c r="M494" i="7"/>
  <c r="F494" i="7" s="1"/>
  <c r="M495" i="7"/>
  <c r="F495" i="7" s="1"/>
  <c r="M496" i="7"/>
  <c r="F496" i="7" s="1"/>
  <c r="M497" i="7"/>
  <c r="F497" i="7" s="1"/>
  <c r="M498" i="7"/>
  <c r="F498" i="7" s="1"/>
  <c r="M499" i="7"/>
  <c r="F499" i="7" s="1"/>
  <c r="M500" i="7"/>
  <c r="F500" i="7" s="1"/>
  <c r="M501" i="7"/>
  <c r="F501" i="7" s="1"/>
  <c r="M502" i="7"/>
  <c r="F502" i="7" s="1"/>
  <c r="M503" i="7"/>
  <c r="F503" i="7" s="1"/>
  <c r="M504" i="7"/>
  <c r="F504" i="7" s="1"/>
  <c r="M505" i="7"/>
  <c r="F505" i="7" s="1"/>
  <c r="M506" i="7"/>
  <c r="F506" i="7" s="1"/>
  <c r="M507" i="7"/>
  <c r="F507" i="7" s="1"/>
  <c r="M508" i="7"/>
  <c r="F508" i="7" s="1"/>
  <c r="M509" i="7"/>
  <c r="F509" i="7" s="1"/>
  <c r="M510" i="7"/>
  <c r="F510" i="7" s="1"/>
  <c r="M511" i="7"/>
  <c r="F511" i="7" s="1"/>
  <c r="M512" i="7"/>
  <c r="F512" i="7" s="1"/>
  <c r="M513" i="7"/>
  <c r="F513" i="7" s="1"/>
  <c r="M514" i="7"/>
  <c r="F514" i="7" s="1"/>
  <c r="M515" i="7"/>
  <c r="F515" i="7" s="1"/>
  <c r="M516" i="7"/>
  <c r="F516" i="7" s="1"/>
  <c r="M517" i="7"/>
  <c r="F517" i="7" s="1"/>
  <c r="M518" i="7"/>
  <c r="F518" i="7" s="1"/>
  <c r="M519" i="7"/>
  <c r="F519" i="7" s="1"/>
  <c r="M520" i="7"/>
  <c r="F520" i="7" s="1"/>
  <c r="M521" i="7"/>
  <c r="F521" i="7" s="1"/>
  <c r="M522" i="7"/>
  <c r="F522" i="7" s="1"/>
  <c r="M523" i="7"/>
  <c r="F523" i="7" s="1"/>
  <c r="M524" i="7"/>
  <c r="F524" i="7" s="1"/>
  <c r="M525" i="7"/>
  <c r="F525" i="7" s="1"/>
  <c r="M526" i="7"/>
  <c r="F526" i="7" s="1"/>
  <c r="M527" i="7"/>
  <c r="F527" i="7" s="1"/>
  <c r="M528" i="7"/>
  <c r="F528" i="7" s="1"/>
  <c r="M529" i="7"/>
  <c r="F529" i="7" s="1"/>
  <c r="M530" i="7"/>
  <c r="F530" i="7" s="1"/>
  <c r="M531" i="7"/>
  <c r="F531" i="7" s="1"/>
  <c r="M532" i="7"/>
  <c r="F532" i="7" s="1"/>
  <c r="M533" i="7"/>
  <c r="F533" i="7" s="1"/>
  <c r="M534" i="7"/>
  <c r="F534" i="7" s="1"/>
  <c r="M535" i="7"/>
  <c r="F535" i="7" s="1"/>
  <c r="M536" i="7"/>
  <c r="F536" i="7" s="1"/>
  <c r="M537" i="7"/>
  <c r="F537" i="7" s="1"/>
  <c r="M538" i="7"/>
  <c r="F538" i="7" s="1"/>
  <c r="M539" i="7"/>
  <c r="F539" i="7" s="1"/>
  <c r="M540" i="7"/>
  <c r="F540" i="7" s="1"/>
  <c r="M541" i="7"/>
  <c r="F541" i="7" s="1"/>
  <c r="M542" i="7"/>
  <c r="F542" i="7" s="1"/>
  <c r="M543" i="7"/>
  <c r="F543" i="7" s="1"/>
  <c r="M544" i="7"/>
  <c r="F544" i="7" s="1"/>
  <c r="M545" i="7"/>
  <c r="F545" i="7" s="1"/>
  <c r="M546" i="7"/>
  <c r="F546" i="7" s="1"/>
  <c r="M547" i="7"/>
  <c r="F547" i="7" s="1"/>
  <c r="M548" i="7"/>
  <c r="F548" i="7" s="1"/>
  <c r="M549" i="7"/>
  <c r="F549" i="7" s="1"/>
  <c r="M550" i="7"/>
  <c r="F550" i="7" s="1"/>
  <c r="M551" i="7"/>
  <c r="F551" i="7" s="1"/>
  <c r="M552" i="7"/>
  <c r="F552" i="7" s="1"/>
  <c r="M553" i="7"/>
  <c r="F553" i="7" s="1"/>
  <c r="M554" i="7"/>
  <c r="F554" i="7" s="1"/>
  <c r="M555" i="7"/>
  <c r="F555" i="7" s="1"/>
  <c r="M556" i="7"/>
  <c r="F556" i="7" s="1"/>
  <c r="M557" i="7"/>
  <c r="F557" i="7" s="1"/>
  <c r="M558" i="7"/>
  <c r="F558" i="7" s="1"/>
  <c r="M559" i="7"/>
  <c r="F559" i="7" s="1"/>
  <c r="M560" i="7"/>
  <c r="F560" i="7" s="1"/>
  <c r="M561" i="7"/>
  <c r="F561" i="7" s="1"/>
  <c r="M562" i="7"/>
  <c r="F562" i="7" s="1"/>
  <c r="M563" i="7"/>
  <c r="F563" i="7" s="1"/>
  <c r="M564" i="7"/>
  <c r="F564" i="7" s="1"/>
  <c r="M565" i="7"/>
  <c r="F565" i="7" s="1"/>
  <c r="M566" i="7"/>
  <c r="F566" i="7" s="1"/>
  <c r="M567" i="7"/>
  <c r="F567" i="7" s="1"/>
  <c r="M568" i="7"/>
  <c r="F568" i="7" s="1"/>
  <c r="M569" i="7"/>
  <c r="F569" i="7" s="1"/>
  <c r="M570" i="7"/>
  <c r="F570" i="7" s="1"/>
  <c r="M571" i="7"/>
  <c r="F571" i="7" s="1"/>
  <c r="M572" i="7"/>
  <c r="F572" i="7" s="1"/>
  <c r="M573" i="7"/>
  <c r="F573" i="7" s="1"/>
  <c r="M574" i="7"/>
  <c r="F574" i="7" s="1"/>
  <c r="M575" i="7"/>
  <c r="F575" i="7" s="1"/>
  <c r="M576" i="7"/>
  <c r="F576" i="7" s="1"/>
  <c r="M577" i="7"/>
  <c r="F577" i="7" s="1"/>
  <c r="M578" i="7"/>
  <c r="F578" i="7" s="1"/>
  <c r="M579" i="7"/>
  <c r="F579" i="7" s="1"/>
  <c r="M580" i="7"/>
  <c r="F580" i="7" s="1"/>
  <c r="M581" i="7"/>
  <c r="F581" i="7" s="1"/>
  <c r="M582" i="7"/>
  <c r="F582" i="7" s="1"/>
  <c r="M583" i="7"/>
  <c r="F583" i="7" s="1"/>
  <c r="M584" i="7"/>
  <c r="F584" i="7" s="1"/>
  <c r="M585" i="7"/>
  <c r="F585" i="7" s="1"/>
  <c r="M586" i="7"/>
  <c r="F586" i="7" s="1"/>
  <c r="M587" i="7"/>
  <c r="F587" i="7" s="1"/>
  <c r="M588" i="7"/>
  <c r="F588" i="7" s="1"/>
  <c r="M589" i="7"/>
  <c r="F589" i="7" s="1"/>
  <c r="M590" i="7"/>
  <c r="F590" i="7" s="1"/>
  <c r="M591" i="7"/>
  <c r="F591" i="7" s="1"/>
  <c r="M592" i="7"/>
  <c r="F592" i="7" s="1"/>
  <c r="M593" i="7"/>
  <c r="F593" i="7" s="1"/>
  <c r="M594" i="7"/>
  <c r="F594" i="7" s="1"/>
  <c r="M595" i="7"/>
  <c r="F595" i="7" s="1"/>
  <c r="M596" i="7"/>
  <c r="F596" i="7" s="1"/>
  <c r="M597" i="7"/>
  <c r="F597" i="7" s="1"/>
  <c r="M598" i="7"/>
  <c r="F598" i="7" s="1"/>
  <c r="M599" i="7"/>
  <c r="F599" i="7" s="1"/>
  <c r="M600" i="7"/>
  <c r="F600" i="7" s="1"/>
  <c r="M601" i="7"/>
  <c r="F601" i="7" s="1"/>
  <c r="M602" i="7"/>
  <c r="F602" i="7" s="1"/>
  <c r="M603" i="7"/>
  <c r="F603" i="7" s="1"/>
  <c r="M604" i="7"/>
  <c r="F604" i="7" s="1"/>
  <c r="M605" i="7"/>
  <c r="F605" i="7" s="1"/>
  <c r="M606" i="7"/>
  <c r="F606" i="7" s="1"/>
  <c r="M607" i="7"/>
  <c r="F607" i="7" s="1"/>
  <c r="M608" i="7"/>
  <c r="F608" i="7" s="1"/>
  <c r="M609" i="7"/>
  <c r="F609" i="7" s="1"/>
  <c r="M610" i="7"/>
  <c r="F610" i="7" s="1"/>
  <c r="M611" i="7"/>
  <c r="F611" i="7" s="1"/>
  <c r="M612" i="7"/>
  <c r="F612" i="7" s="1"/>
  <c r="M613" i="7"/>
  <c r="F613" i="7" s="1"/>
  <c r="M614" i="7"/>
  <c r="F614" i="7" s="1"/>
  <c r="M615" i="7"/>
  <c r="F615" i="7" s="1"/>
  <c r="M616" i="7"/>
  <c r="F616" i="7" s="1"/>
  <c r="M617" i="7"/>
  <c r="F617" i="7" s="1"/>
  <c r="M618" i="7"/>
  <c r="F618" i="7" s="1"/>
  <c r="M619" i="7"/>
  <c r="F619" i="7" s="1"/>
  <c r="M620" i="7"/>
  <c r="F620" i="7" s="1"/>
  <c r="M621" i="7"/>
  <c r="F621" i="7" s="1"/>
  <c r="M622" i="7"/>
  <c r="F622" i="7" s="1"/>
  <c r="M623" i="7"/>
  <c r="F623" i="7" s="1"/>
  <c r="M624" i="7"/>
  <c r="F624" i="7" s="1"/>
  <c r="M625" i="7"/>
  <c r="F625" i="7" s="1"/>
  <c r="M626" i="7"/>
  <c r="F626" i="7" s="1"/>
  <c r="M627" i="7"/>
  <c r="F627" i="7" s="1"/>
  <c r="M628" i="7"/>
  <c r="F628" i="7" s="1"/>
  <c r="M629" i="7"/>
  <c r="F629" i="7" s="1"/>
  <c r="M630" i="7"/>
  <c r="F630" i="7" s="1"/>
  <c r="M631" i="7"/>
  <c r="F631" i="7" s="1"/>
  <c r="M632" i="7"/>
  <c r="F632" i="7" s="1"/>
  <c r="M633" i="7"/>
  <c r="F633" i="7" s="1"/>
  <c r="M634" i="7"/>
  <c r="F634" i="7" s="1"/>
  <c r="M635" i="7"/>
  <c r="F635" i="7" s="1"/>
  <c r="M636" i="7"/>
  <c r="F636" i="7" s="1"/>
  <c r="M637" i="7"/>
  <c r="F637" i="7" s="1"/>
  <c r="M638" i="7"/>
  <c r="F638" i="7" s="1"/>
  <c r="M639" i="7"/>
  <c r="F639" i="7" s="1"/>
  <c r="M640" i="7"/>
  <c r="F640" i="7" s="1"/>
  <c r="M641" i="7"/>
  <c r="F641" i="7" s="1"/>
  <c r="M642" i="7"/>
  <c r="F642" i="7" s="1"/>
  <c r="M643" i="7"/>
  <c r="F643" i="7" s="1"/>
  <c r="M644" i="7"/>
  <c r="F644" i="7" s="1"/>
  <c r="M645" i="7"/>
  <c r="F645" i="7" s="1"/>
  <c r="M646" i="7"/>
  <c r="F646" i="7" s="1"/>
  <c r="M647" i="7"/>
  <c r="F647" i="7" s="1"/>
  <c r="M648" i="7"/>
  <c r="F648" i="7" s="1"/>
  <c r="M649" i="7"/>
  <c r="F649" i="7" s="1"/>
  <c r="M650" i="7"/>
  <c r="F650" i="7" s="1"/>
  <c r="M651" i="7"/>
  <c r="F651" i="7" s="1"/>
  <c r="M652" i="7"/>
  <c r="F652" i="7" s="1"/>
  <c r="M653" i="7"/>
  <c r="F653" i="7" s="1"/>
  <c r="M654" i="7"/>
  <c r="F654" i="7" s="1"/>
  <c r="M655" i="7"/>
  <c r="F655" i="7" s="1"/>
  <c r="M656" i="7"/>
  <c r="F656" i="7" s="1"/>
  <c r="M657" i="7"/>
  <c r="F657" i="7" s="1"/>
  <c r="M658" i="7"/>
  <c r="F658" i="7" s="1"/>
  <c r="M659" i="7"/>
  <c r="F659" i="7" s="1"/>
  <c r="M660" i="7"/>
  <c r="F660" i="7" s="1"/>
  <c r="M661" i="7"/>
  <c r="F661" i="7" s="1"/>
  <c r="M662" i="7"/>
  <c r="F662" i="7" s="1"/>
  <c r="M663" i="7"/>
  <c r="F663" i="7" s="1"/>
  <c r="M664" i="7"/>
  <c r="F664" i="7" s="1"/>
  <c r="M665" i="7"/>
  <c r="F665" i="7" s="1"/>
  <c r="M666" i="7"/>
  <c r="F666" i="7" s="1"/>
  <c r="M667" i="7"/>
  <c r="F667" i="7" s="1"/>
  <c r="M668" i="7"/>
  <c r="F668" i="7" s="1"/>
  <c r="M669" i="7"/>
  <c r="F669" i="7" s="1"/>
  <c r="M670" i="7"/>
  <c r="F670" i="7" s="1"/>
  <c r="M671" i="7"/>
  <c r="F671" i="7" s="1"/>
  <c r="M672" i="7"/>
  <c r="F672" i="7" s="1"/>
  <c r="M673" i="7"/>
  <c r="F673" i="7" s="1"/>
  <c r="M674" i="7"/>
  <c r="F674" i="7" s="1"/>
  <c r="M675" i="7"/>
  <c r="F675" i="7" s="1"/>
  <c r="M676" i="7"/>
  <c r="F676" i="7" s="1"/>
  <c r="M677" i="7"/>
  <c r="F677" i="7" s="1"/>
  <c r="M678" i="7"/>
  <c r="F678" i="7" s="1"/>
  <c r="M679" i="7"/>
  <c r="F679" i="7" s="1"/>
  <c r="M680" i="7"/>
  <c r="F680" i="7" s="1"/>
  <c r="M681" i="7"/>
  <c r="F681" i="7" s="1"/>
  <c r="M682" i="7"/>
  <c r="F682" i="7" s="1"/>
  <c r="M683" i="7"/>
  <c r="F683" i="7" s="1"/>
  <c r="M684" i="7"/>
  <c r="F684" i="7" s="1"/>
  <c r="M685" i="7"/>
  <c r="F685" i="7" s="1"/>
  <c r="M686" i="7"/>
  <c r="F686" i="7" s="1"/>
  <c r="M687" i="7"/>
  <c r="F687" i="7" s="1"/>
  <c r="M688" i="7"/>
  <c r="F688" i="7" s="1"/>
  <c r="M689" i="7"/>
  <c r="F689" i="7" s="1"/>
  <c r="M690" i="7"/>
  <c r="F690" i="7" s="1"/>
  <c r="M691" i="7"/>
  <c r="F691" i="7" s="1"/>
  <c r="M692" i="7"/>
  <c r="F692" i="7" s="1"/>
  <c r="M693" i="7"/>
  <c r="F693" i="7" s="1"/>
  <c r="M694" i="7"/>
  <c r="F694" i="7" s="1"/>
  <c r="M695" i="7"/>
  <c r="F695" i="7" s="1"/>
  <c r="M696" i="7"/>
  <c r="F696" i="7" s="1"/>
  <c r="M697" i="7"/>
  <c r="F697" i="7" s="1"/>
  <c r="M698" i="7"/>
  <c r="F698" i="7" s="1"/>
  <c r="M699" i="7"/>
  <c r="F699" i="7" s="1"/>
  <c r="M700" i="7"/>
  <c r="F700" i="7" s="1"/>
  <c r="M701" i="7"/>
  <c r="F701" i="7" s="1"/>
  <c r="M702" i="7"/>
  <c r="F702" i="7" s="1"/>
  <c r="M703" i="7"/>
  <c r="F703" i="7" s="1"/>
  <c r="M704" i="7"/>
  <c r="F704" i="7" s="1"/>
  <c r="M705" i="7"/>
  <c r="F705" i="7" s="1"/>
  <c r="M706" i="7"/>
  <c r="F706" i="7" s="1"/>
  <c r="M707" i="7"/>
  <c r="F707" i="7" s="1"/>
  <c r="M708" i="7"/>
  <c r="F708" i="7" s="1"/>
  <c r="M709" i="7"/>
  <c r="F709" i="7" s="1"/>
  <c r="M710" i="7"/>
  <c r="F710" i="7" s="1"/>
  <c r="M711" i="7"/>
  <c r="F711" i="7" s="1"/>
  <c r="M712" i="7"/>
  <c r="F712" i="7" s="1"/>
  <c r="M713" i="7"/>
  <c r="F713" i="7" s="1"/>
  <c r="M714" i="7"/>
  <c r="F714" i="7" s="1"/>
  <c r="M715" i="7"/>
  <c r="F715" i="7" s="1"/>
  <c r="M716" i="7"/>
  <c r="F716" i="7" s="1"/>
  <c r="M717" i="7"/>
  <c r="F717" i="7" s="1"/>
  <c r="M718" i="7"/>
  <c r="F718" i="7" s="1"/>
  <c r="M719" i="7"/>
  <c r="F719" i="7" s="1"/>
  <c r="M720" i="7"/>
  <c r="F720" i="7" s="1"/>
  <c r="M721" i="7"/>
  <c r="F721" i="7" s="1"/>
  <c r="M722" i="7"/>
  <c r="F722" i="7" s="1"/>
  <c r="M723" i="7"/>
  <c r="F723" i="7" s="1"/>
  <c r="M724" i="7"/>
  <c r="F724" i="7" s="1"/>
  <c r="M725" i="7"/>
  <c r="F725" i="7" s="1"/>
  <c r="M726" i="7"/>
  <c r="F726" i="7" s="1"/>
  <c r="M727" i="7"/>
  <c r="F727" i="7" s="1"/>
  <c r="M728" i="7"/>
  <c r="F728" i="7" s="1"/>
  <c r="M729" i="7"/>
  <c r="F729" i="7" s="1"/>
  <c r="M730" i="7"/>
  <c r="F730" i="7" s="1"/>
  <c r="M731" i="7"/>
  <c r="F731" i="7" s="1"/>
  <c r="M732" i="7"/>
  <c r="F732" i="7" s="1"/>
  <c r="M733" i="7"/>
  <c r="F733" i="7" s="1"/>
  <c r="M734" i="7"/>
  <c r="F734" i="7" s="1"/>
  <c r="M735" i="7"/>
  <c r="F735" i="7" s="1"/>
  <c r="M736" i="7"/>
  <c r="F736" i="7" s="1"/>
  <c r="M737" i="7"/>
  <c r="F737" i="7" s="1"/>
  <c r="M738" i="7"/>
  <c r="F738" i="7" s="1"/>
  <c r="M739" i="7"/>
  <c r="F739" i="7" s="1"/>
  <c r="M740" i="7"/>
  <c r="F740" i="7" s="1"/>
  <c r="M741" i="7"/>
  <c r="F741" i="7" s="1"/>
  <c r="M742" i="7"/>
  <c r="F742" i="7" s="1"/>
  <c r="M743" i="7"/>
  <c r="F743" i="7" s="1"/>
  <c r="M744" i="7"/>
  <c r="F744" i="7" s="1"/>
  <c r="M745" i="7"/>
  <c r="F745" i="7" s="1"/>
  <c r="M746" i="7"/>
  <c r="F746" i="7" s="1"/>
  <c r="M747" i="7"/>
  <c r="F747" i="7" s="1"/>
  <c r="M748" i="7"/>
  <c r="F748" i="7" s="1"/>
  <c r="M749" i="7"/>
  <c r="F749" i="7" s="1"/>
  <c r="M750" i="7"/>
  <c r="F750" i="7" s="1"/>
  <c r="M751" i="7"/>
  <c r="F751" i="7" s="1"/>
  <c r="M752" i="7"/>
  <c r="F752" i="7" s="1"/>
  <c r="M753" i="7"/>
  <c r="F753" i="7" s="1"/>
  <c r="M754" i="7"/>
  <c r="F754" i="7" s="1"/>
  <c r="M755" i="7"/>
  <c r="F755" i="7" s="1"/>
  <c r="M756" i="7"/>
  <c r="F756" i="7" s="1"/>
  <c r="M757" i="7"/>
  <c r="F757" i="7" s="1"/>
  <c r="M758" i="7"/>
  <c r="F758" i="7" s="1"/>
  <c r="M759" i="7"/>
  <c r="F759" i="7" s="1"/>
  <c r="M760" i="7"/>
  <c r="F760" i="7" s="1"/>
  <c r="M761" i="7"/>
  <c r="F761" i="7" s="1"/>
  <c r="M762" i="7"/>
  <c r="F762" i="7" s="1"/>
  <c r="M763" i="7"/>
  <c r="F763" i="7" s="1"/>
  <c r="M764" i="7"/>
  <c r="F764" i="7" s="1"/>
  <c r="M765" i="7"/>
  <c r="F765" i="7" s="1"/>
  <c r="M766" i="7"/>
  <c r="F766" i="7" s="1"/>
  <c r="M767" i="7"/>
  <c r="F767" i="7" s="1"/>
  <c r="M768" i="7"/>
  <c r="F768" i="7" s="1"/>
  <c r="M769" i="7"/>
  <c r="F769" i="7" s="1"/>
  <c r="M770" i="7"/>
  <c r="F770" i="7" s="1"/>
  <c r="M771" i="7"/>
  <c r="F771" i="7" s="1"/>
  <c r="M772" i="7"/>
  <c r="F772" i="7" s="1"/>
  <c r="M773" i="7"/>
  <c r="F773" i="7" s="1"/>
  <c r="M774" i="7"/>
  <c r="F774" i="7" s="1"/>
  <c r="M775" i="7"/>
  <c r="F775" i="7" s="1"/>
  <c r="M776" i="7"/>
  <c r="F776" i="7" s="1"/>
  <c r="M777" i="7"/>
  <c r="F777" i="7" s="1"/>
  <c r="M778" i="7"/>
  <c r="F778" i="7" s="1"/>
  <c r="M779" i="7"/>
  <c r="F779" i="7" s="1"/>
  <c r="M780" i="7"/>
  <c r="F780" i="7" s="1"/>
  <c r="M781" i="7"/>
  <c r="F781" i="7" s="1"/>
  <c r="M782" i="7"/>
  <c r="F782" i="7" s="1"/>
  <c r="M783" i="7"/>
  <c r="F783" i="7" s="1"/>
  <c r="M784" i="7"/>
  <c r="F784" i="7" s="1"/>
  <c r="M785" i="7"/>
  <c r="F785" i="7" s="1"/>
  <c r="M786" i="7"/>
  <c r="F786" i="7" s="1"/>
  <c r="M787" i="7"/>
  <c r="F787" i="7" s="1"/>
  <c r="M788" i="7"/>
  <c r="F788" i="7" s="1"/>
  <c r="M789" i="7"/>
  <c r="F789" i="7" s="1"/>
  <c r="M790" i="7"/>
  <c r="F790" i="7" s="1"/>
  <c r="M791" i="7"/>
  <c r="F791" i="7" s="1"/>
  <c r="M792" i="7"/>
  <c r="F792" i="7" s="1"/>
  <c r="M793" i="7"/>
  <c r="F793" i="7" s="1"/>
  <c r="M794" i="7"/>
  <c r="F794" i="7" s="1"/>
  <c r="M795" i="7"/>
  <c r="F795" i="7" s="1"/>
  <c r="M796" i="7"/>
  <c r="F796" i="7" s="1"/>
  <c r="M797" i="7"/>
  <c r="F797" i="7" s="1"/>
  <c r="M798" i="7"/>
  <c r="F798" i="7" s="1"/>
  <c r="M799" i="7"/>
  <c r="F799" i="7" s="1"/>
  <c r="M800" i="7"/>
  <c r="F800" i="7" s="1"/>
  <c r="M801" i="7"/>
  <c r="F801" i="7" s="1"/>
  <c r="M802" i="7"/>
  <c r="F802" i="7" s="1"/>
  <c r="M803" i="7"/>
  <c r="F803" i="7" s="1"/>
  <c r="M804" i="7"/>
  <c r="F804" i="7" s="1"/>
  <c r="M805" i="7"/>
  <c r="F805" i="7" s="1"/>
  <c r="M806" i="7"/>
  <c r="F806" i="7" s="1"/>
  <c r="M807" i="7"/>
  <c r="F807" i="7" s="1"/>
  <c r="M808" i="7"/>
  <c r="F808" i="7" s="1"/>
  <c r="M809" i="7"/>
  <c r="F809" i="7" s="1"/>
  <c r="M810" i="7"/>
  <c r="F810" i="7" s="1"/>
  <c r="M811" i="7"/>
  <c r="F811" i="7" s="1"/>
  <c r="M812" i="7"/>
  <c r="F812" i="7" s="1"/>
  <c r="M813" i="7"/>
  <c r="F813" i="7" s="1"/>
  <c r="M814" i="7"/>
  <c r="F814" i="7" s="1"/>
  <c r="M815" i="7"/>
  <c r="F815" i="7" s="1"/>
  <c r="M816" i="7"/>
  <c r="F816" i="7" s="1"/>
  <c r="M817" i="7"/>
  <c r="F817" i="7" s="1"/>
  <c r="M818" i="7"/>
  <c r="F818" i="7" s="1"/>
  <c r="M819" i="7"/>
  <c r="F819" i="7" s="1"/>
  <c r="M820" i="7"/>
  <c r="F820" i="7" s="1"/>
  <c r="M821" i="7"/>
  <c r="F821" i="7" s="1"/>
  <c r="M822" i="7"/>
  <c r="F822" i="7" s="1"/>
  <c r="M823" i="7"/>
  <c r="F823" i="7" s="1"/>
  <c r="M824" i="7"/>
  <c r="F824" i="7" s="1"/>
  <c r="M825" i="7"/>
  <c r="F825" i="7" s="1"/>
  <c r="M826" i="7"/>
  <c r="F826" i="7" s="1"/>
  <c r="M827" i="7"/>
  <c r="F827" i="7" s="1"/>
  <c r="M828" i="7"/>
  <c r="F828" i="7" s="1"/>
  <c r="M829" i="7"/>
  <c r="F829" i="7" s="1"/>
  <c r="M830" i="7"/>
  <c r="F830" i="7" s="1"/>
  <c r="M831" i="7"/>
  <c r="F831" i="7" s="1"/>
  <c r="M832" i="7"/>
  <c r="F832" i="7" s="1"/>
  <c r="M833" i="7"/>
  <c r="F833" i="7" s="1"/>
  <c r="M834" i="7"/>
  <c r="F834" i="7" s="1"/>
  <c r="M835" i="7"/>
  <c r="F835" i="7" s="1"/>
  <c r="M836" i="7"/>
  <c r="F836" i="7" s="1"/>
  <c r="M837" i="7"/>
  <c r="F837" i="7" s="1"/>
  <c r="M838" i="7"/>
  <c r="F838" i="7" s="1"/>
  <c r="M839" i="7"/>
  <c r="F839" i="7" s="1"/>
  <c r="M840" i="7"/>
  <c r="F840" i="7" s="1"/>
  <c r="M841" i="7"/>
  <c r="F841" i="7" s="1"/>
  <c r="M842" i="7"/>
  <c r="F842" i="7" s="1"/>
  <c r="M843" i="7"/>
  <c r="F843" i="7" s="1"/>
  <c r="M844" i="7"/>
  <c r="F844" i="7" s="1"/>
  <c r="M845" i="7"/>
  <c r="F845" i="7" s="1"/>
  <c r="M846" i="7"/>
  <c r="F846" i="7" s="1"/>
  <c r="M847" i="7"/>
  <c r="F847" i="7" s="1"/>
  <c r="M848" i="7"/>
  <c r="F848" i="7" s="1"/>
  <c r="M849" i="7"/>
  <c r="F849" i="7" s="1"/>
  <c r="M850" i="7"/>
  <c r="F850" i="7" s="1"/>
  <c r="M851" i="7"/>
  <c r="F851" i="7" s="1"/>
  <c r="M852" i="7"/>
  <c r="F852" i="7" s="1"/>
  <c r="M853" i="7"/>
  <c r="F853" i="7" s="1"/>
  <c r="M854" i="7"/>
  <c r="F854" i="7" s="1"/>
  <c r="M855" i="7"/>
  <c r="F855" i="7" s="1"/>
  <c r="M856" i="7"/>
  <c r="F856" i="7" s="1"/>
  <c r="M857" i="7"/>
  <c r="F857" i="7" s="1"/>
  <c r="M858" i="7"/>
  <c r="F858" i="7" s="1"/>
  <c r="M859" i="7"/>
  <c r="F859" i="7" s="1"/>
  <c r="M860" i="7"/>
  <c r="F860" i="7" s="1"/>
  <c r="M861" i="7"/>
  <c r="F861" i="7" s="1"/>
  <c r="M862" i="7"/>
  <c r="F862" i="7" s="1"/>
  <c r="M863" i="7"/>
  <c r="F863" i="7" s="1"/>
  <c r="M864" i="7"/>
  <c r="F864" i="7" s="1"/>
  <c r="M865" i="7"/>
  <c r="F865" i="7" s="1"/>
  <c r="M866" i="7"/>
  <c r="F866" i="7" s="1"/>
  <c r="M867" i="7"/>
  <c r="F867" i="7" s="1"/>
  <c r="M868" i="7"/>
  <c r="F868" i="7" s="1"/>
  <c r="M869" i="7"/>
  <c r="F869" i="7" s="1"/>
  <c r="M870" i="7"/>
  <c r="F870" i="7" s="1"/>
  <c r="M871" i="7"/>
  <c r="F871" i="7" s="1"/>
  <c r="M872" i="7"/>
  <c r="F872" i="7" s="1"/>
  <c r="M873" i="7"/>
  <c r="F873" i="7" s="1"/>
  <c r="M874" i="7"/>
  <c r="F874" i="7" s="1"/>
  <c r="M875" i="7"/>
  <c r="F875" i="7" s="1"/>
  <c r="M876" i="7"/>
  <c r="F876" i="7" s="1"/>
  <c r="M877" i="7"/>
  <c r="F877" i="7" s="1"/>
  <c r="M878" i="7"/>
  <c r="F878" i="7" s="1"/>
  <c r="M879" i="7"/>
  <c r="F879" i="7" s="1"/>
  <c r="M880" i="7"/>
  <c r="F880" i="7" s="1"/>
  <c r="M881" i="7"/>
  <c r="F881" i="7" s="1"/>
  <c r="M882" i="7"/>
  <c r="F882" i="7" s="1"/>
  <c r="M883" i="7"/>
  <c r="F883" i="7" s="1"/>
  <c r="M884" i="7"/>
  <c r="F884" i="7" s="1"/>
  <c r="M885" i="7"/>
  <c r="F885" i="7" s="1"/>
  <c r="M886" i="7"/>
  <c r="F886" i="7" s="1"/>
  <c r="M887" i="7"/>
  <c r="F887" i="7" s="1"/>
  <c r="M888" i="7"/>
  <c r="F888" i="7" s="1"/>
  <c r="M889" i="7"/>
  <c r="F889" i="7" s="1"/>
  <c r="M890" i="7"/>
  <c r="F890" i="7" s="1"/>
  <c r="M891" i="7"/>
  <c r="F891" i="7" s="1"/>
  <c r="M892" i="7"/>
  <c r="F892" i="7" s="1"/>
  <c r="M893" i="7"/>
  <c r="F893" i="7" s="1"/>
  <c r="M894" i="7"/>
  <c r="F894" i="7" s="1"/>
  <c r="H309" i="7"/>
  <c r="C122" i="11"/>
  <c r="D122" i="11"/>
  <c r="G122" i="11"/>
  <c r="C123" i="11"/>
  <c r="D123" i="11"/>
  <c r="G123" i="11"/>
  <c r="C124" i="11"/>
  <c r="D124" i="11"/>
  <c r="G124" i="11"/>
  <c r="C125" i="11"/>
  <c r="D125" i="11"/>
  <c r="G125" i="11"/>
  <c r="C126" i="11"/>
  <c r="D126" i="11"/>
  <c r="G126" i="11"/>
  <c r="C127" i="11"/>
  <c r="D127" i="11"/>
  <c r="G127" i="11"/>
  <c r="C128" i="11"/>
  <c r="D128" i="11"/>
  <c r="G128" i="11"/>
  <c r="C129" i="11"/>
  <c r="D129" i="11"/>
  <c r="G129" i="11"/>
  <c r="C130" i="11"/>
  <c r="D130" i="11"/>
  <c r="G130" i="11"/>
  <c r="C131" i="11"/>
  <c r="D131" i="11"/>
  <c r="G131" i="11"/>
  <c r="C132" i="11"/>
  <c r="D132" i="11"/>
  <c r="G132" i="11"/>
  <c r="C133" i="11"/>
  <c r="D133" i="11"/>
  <c r="G133" i="11"/>
  <c r="C134" i="11"/>
  <c r="D134" i="11"/>
  <c r="G134" i="11"/>
  <c r="C135" i="11"/>
  <c r="D135" i="11"/>
  <c r="G135" i="11"/>
  <c r="C136" i="11"/>
  <c r="D136" i="11"/>
  <c r="G136" i="11"/>
  <c r="C137" i="11"/>
  <c r="D137" i="11"/>
  <c r="G137" i="11"/>
  <c r="C138" i="11"/>
  <c r="D138" i="11"/>
  <c r="G138" i="11"/>
  <c r="C139" i="11"/>
  <c r="D139" i="11"/>
  <c r="G139" i="11"/>
  <c r="C140" i="11"/>
  <c r="D140" i="11"/>
  <c r="G140" i="11"/>
  <c r="C141" i="11"/>
  <c r="D141" i="11"/>
  <c r="G141" i="11"/>
  <c r="C142" i="11"/>
  <c r="D142" i="11"/>
  <c r="G142" i="11"/>
  <c r="C143" i="11"/>
  <c r="D143" i="11"/>
  <c r="G143" i="11"/>
  <c r="C144" i="11"/>
  <c r="D144" i="11"/>
  <c r="G144" i="11"/>
  <c r="C145" i="11"/>
  <c r="D145" i="11"/>
  <c r="G145" i="11"/>
  <c r="C146" i="11"/>
  <c r="D146" i="11"/>
  <c r="G146" i="11"/>
  <c r="C147" i="11"/>
  <c r="D147" i="11"/>
  <c r="G147" i="11"/>
  <c r="C148" i="11"/>
  <c r="D148" i="11"/>
  <c r="G148" i="11"/>
  <c r="C149" i="11"/>
  <c r="D149" i="11"/>
  <c r="G149" i="11"/>
  <c r="C150" i="11"/>
  <c r="D150" i="11"/>
  <c r="G150" i="11"/>
  <c r="C151" i="11"/>
  <c r="D151" i="11"/>
  <c r="G151" i="11"/>
  <c r="C152" i="11"/>
  <c r="D152" i="11"/>
  <c r="G152" i="11"/>
  <c r="C153" i="11"/>
  <c r="D153" i="11"/>
  <c r="G153" i="11"/>
  <c r="C154" i="11"/>
  <c r="D154" i="11"/>
  <c r="G154" i="11"/>
  <c r="C155" i="11"/>
  <c r="D155" i="11"/>
  <c r="G155" i="11"/>
  <c r="C156" i="11"/>
  <c r="D156" i="11"/>
  <c r="G156" i="11"/>
  <c r="C157" i="11"/>
  <c r="D157" i="11"/>
  <c r="G157" i="11"/>
  <c r="C158" i="11"/>
  <c r="D158" i="11"/>
  <c r="G158" i="11"/>
  <c r="C159" i="11"/>
  <c r="D159" i="11"/>
  <c r="G159" i="11"/>
  <c r="C160" i="11"/>
  <c r="D160" i="11"/>
  <c r="G160" i="11"/>
  <c r="C161" i="11"/>
  <c r="D161" i="11"/>
  <c r="G161" i="11"/>
  <c r="C162" i="11"/>
  <c r="D162" i="11"/>
  <c r="G162" i="11"/>
  <c r="C163" i="11"/>
  <c r="D163" i="11"/>
  <c r="G163" i="11"/>
  <c r="C164" i="11"/>
  <c r="D164" i="11"/>
  <c r="G164" i="11"/>
  <c r="C165" i="11"/>
  <c r="D165" i="11"/>
  <c r="G165" i="11"/>
  <c r="C166" i="11"/>
  <c r="D166" i="11"/>
  <c r="G166" i="11"/>
  <c r="C167" i="11"/>
  <c r="D167" i="11"/>
  <c r="G167" i="11"/>
  <c r="C168" i="11"/>
  <c r="D168" i="11"/>
  <c r="G168" i="11"/>
  <c r="C169" i="11"/>
  <c r="D169" i="11"/>
  <c r="G169" i="11"/>
  <c r="C170" i="11"/>
  <c r="D170" i="11"/>
  <c r="G170" i="11"/>
  <c r="C171" i="11"/>
  <c r="D171" i="11"/>
  <c r="G171" i="11"/>
  <c r="C172" i="11"/>
  <c r="D172" i="11"/>
  <c r="G172" i="11"/>
  <c r="C173" i="11"/>
  <c r="D173" i="11"/>
  <c r="G173" i="11"/>
  <c r="C174" i="11"/>
  <c r="D174" i="11"/>
  <c r="G174" i="11"/>
  <c r="C175" i="11"/>
  <c r="D175" i="11"/>
  <c r="G175" i="11"/>
  <c r="C176" i="11"/>
  <c r="D176" i="11"/>
  <c r="G176" i="11"/>
  <c r="C177" i="11"/>
  <c r="D177" i="11"/>
  <c r="G177" i="11"/>
  <c r="C178" i="11"/>
  <c r="D178" i="11"/>
  <c r="G178" i="11"/>
  <c r="C179" i="11"/>
  <c r="D179" i="11"/>
  <c r="G179" i="11"/>
  <c r="C180" i="11"/>
  <c r="D180" i="11"/>
  <c r="G180" i="11"/>
  <c r="C181" i="11"/>
  <c r="D181" i="11"/>
  <c r="G181" i="11"/>
  <c r="C182" i="11"/>
  <c r="D182" i="11"/>
  <c r="G182" i="11"/>
  <c r="C183" i="11"/>
  <c r="D183" i="11"/>
  <c r="G183" i="11"/>
  <c r="C184" i="11"/>
  <c r="D184" i="11"/>
  <c r="G184" i="11"/>
  <c r="C185" i="11"/>
  <c r="D185" i="11"/>
  <c r="G185" i="11"/>
  <c r="C186" i="11"/>
  <c r="D186" i="11"/>
  <c r="G186" i="11"/>
  <c r="C187" i="11"/>
  <c r="D187" i="11"/>
  <c r="G187" i="11"/>
  <c r="C188" i="11"/>
  <c r="D188" i="11"/>
  <c r="G188" i="11"/>
  <c r="C189" i="11"/>
  <c r="D189" i="11"/>
  <c r="G189" i="11"/>
  <c r="C190" i="11"/>
  <c r="D190" i="11"/>
  <c r="G190" i="11"/>
  <c r="C191" i="11"/>
  <c r="D191" i="11"/>
  <c r="G191" i="11"/>
  <c r="C192" i="11"/>
  <c r="D192" i="11"/>
  <c r="G192" i="11"/>
  <c r="C193" i="11"/>
  <c r="D193" i="11"/>
  <c r="G193" i="11"/>
  <c r="C194" i="11"/>
  <c r="D194" i="11"/>
  <c r="G194" i="11"/>
  <c r="C195" i="11"/>
  <c r="D195" i="11"/>
  <c r="G195" i="11"/>
  <c r="C196" i="11"/>
  <c r="D196" i="11"/>
  <c r="G196" i="11"/>
  <c r="C197" i="11"/>
  <c r="D197" i="11"/>
  <c r="G197" i="11"/>
  <c r="C198" i="11"/>
  <c r="D198" i="11"/>
  <c r="G198" i="11"/>
  <c r="C199" i="11"/>
  <c r="D199" i="11"/>
  <c r="G199" i="11"/>
  <c r="C200" i="11"/>
  <c r="D200" i="11"/>
  <c r="G200" i="11"/>
  <c r="C201" i="11"/>
  <c r="D201" i="11"/>
  <c r="G201" i="11"/>
  <c r="C202" i="11"/>
  <c r="D202" i="11"/>
  <c r="G202" i="11"/>
  <c r="C203" i="11"/>
  <c r="D203" i="11"/>
  <c r="G203" i="11"/>
  <c r="C204" i="11"/>
  <c r="D204" i="11"/>
  <c r="G204" i="11"/>
  <c r="C205" i="11"/>
  <c r="D205" i="11"/>
  <c r="G205" i="11"/>
  <c r="C206" i="11"/>
  <c r="D206" i="11"/>
  <c r="G206" i="11"/>
  <c r="C207" i="11"/>
  <c r="D207" i="11"/>
  <c r="G207" i="11"/>
  <c r="C208" i="11"/>
  <c r="D208" i="11"/>
  <c r="G208" i="11"/>
  <c r="C209" i="11"/>
  <c r="D209" i="11"/>
  <c r="G209" i="11"/>
  <c r="C210" i="11"/>
  <c r="D210" i="11"/>
  <c r="G210" i="11"/>
  <c r="C211" i="11"/>
  <c r="D211" i="11"/>
  <c r="G211" i="11"/>
  <c r="C212" i="11"/>
  <c r="D212" i="11"/>
  <c r="G212" i="11"/>
  <c r="C213" i="11"/>
  <c r="D213" i="11"/>
  <c r="G213" i="11"/>
  <c r="C214" i="11"/>
  <c r="D214" i="11"/>
  <c r="G214" i="11"/>
  <c r="C215" i="11"/>
  <c r="D215" i="11"/>
  <c r="G215" i="11"/>
  <c r="C216" i="11"/>
  <c r="D216" i="11"/>
  <c r="G216" i="11"/>
  <c r="C217" i="11"/>
  <c r="D217" i="11"/>
  <c r="G217" i="11"/>
  <c r="C218" i="11"/>
  <c r="D218" i="11"/>
  <c r="G218" i="11"/>
  <c r="C219" i="11"/>
  <c r="D219" i="11"/>
  <c r="G219" i="11"/>
  <c r="C220" i="11"/>
  <c r="D220" i="11"/>
  <c r="G220" i="11"/>
  <c r="C221" i="11"/>
  <c r="D221" i="11"/>
  <c r="G221" i="11"/>
  <c r="C222" i="11"/>
  <c r="D222" i="11"/>
  <c r="G222" i="11"/>
  <c r="C223" i="11"/>
  <c r="D223" i="11"/>
  <c r="G223" i="11"/>
  <c r="C224" i="11"/>
  <c r="D224" i="11"/>
  <c r="G224" i="11"/>
  <c r="C225" i="11"/>
  <c r="D225" i="11"/>
  <c r="G225" i="11"/>
  <c r="C226" i="11"/>
  <c r="D226" i="11"/>
  <c r="G226" i="11"/>
  <c r="C227" i="11"/>
  <c r="D227" i="11"/>
  <c r="G227" i="11"/>
  <c r="C228" i="11"/>
  <c r="D228" i="11"/>
  <c r="G228" i="11"/>
  <c r="C229" i="11"/>
  <c r="D229" i="11"/>
  <c r="G229" i="11"/>
  <c r="C230" i="11"/>
  <c r="D230" i="11"/>
  <c r="G230" i="11"/>
  <c r="C231" i="11"/>
  <c r="D231" i="11"/>
  <c r="G231" i="11"/>
  <c r="C232" i="11"/>
  <c r="D232" i="11"/>
  <c r="G232" i="11"/>
  <c r="C233" i="11"/>
  <c r="D233" i="11"/>
  <c r="G233" i="11"/>
  <c r="C234" i="11"/>
  <c r="D234" i="11"/>
  <c r="G234" i="11"/>
  <c r="C235" i="11"/>
  <c r="D235" i="11"/>
  <c r="G235" i="11"/>
  <c r="C236" i="11"/>
  <c r="D236" i="11"/>
  <c r="G236" i="11"/>
  <c r="C237" i="11"/>
  <c r="D237" i="11"/>
  <c r="G237" i="11"/>
  <c r="C238" i="11"/>
  <c r="D238" i="11"/>
  <c r="G238" i="11"/>
  <c r="C239" i="11"/>
  <c r="D239" i="11"/>
  <c r="G239" i="11"/>
  <c r="C240" i="11"/>
  <c r="D240" i="11"/>
  <c r="G240" i="11"/>
  <c r="C241" i="11"/>
  <c r="D241" i="11"/>
  <c r="G241" i="11"/>
  <c r="C242" i="11"/>
  <c r="D242" i="11"/>
  <c r="G242" i="11"/>
  <c r="C243" i="11"/>
  <c r="D243" i="11"/>
  <c r="G243" i="11"/>
  <c r="C244" i="11"/>
  <c r="D244" i="11"/>
  <c r="G244" i="11"/>
  <c r="C245" i="11"/>
  <c r="D245" i="11"/>
  <c r="G245" i="11"/>
  <c r="C246" i="11"/>
  <c r="D246" i="11"/>
  <c r="G246" i="11"/>
  <c r="C247" i="11"/>
  <c r="D247" i="11"/>
  <c r="G247" i="11"/>
  <c r="C248" i="11"/>
  <c r="D248" i="11"/>
  <c r="G248" i="11"/>
  <c r="C249" i="11"/>
  <c r="D249" i="11"/>
  <c r="G249" i="11"/>
  <c r="C250" i="11"/>
  <c r="D250" i="11"/>
  <c r="G250" i="11"/>
  <c r="C251" i="11"/>
  <c r="D251" i="11"/>
  <c r="G251" i="11"/>
  <c r="C252" i="11"/>
  <c r="D252" i="11"/>
  <c r="G252" i="11"/>
  <c r="C253" i="11"/>
  <c r="D253" i="11"/>
  <c r="G253" i="11"/>
  <c r="C254" i="11"/>
  <c r="D254" i="11"/>
  <c r="G254" i="11"/>
  <c r="C255" i="11"/>
  <c r="D255" i="11"/>
  <c r="G255" i="11"/>
  <c r="C256" i="11"/>
  <c r="D256" i="11"/>
  <c r="G256" i="11"/>
  <c r="C257" i="11"/>
  <c r="D257" i="11"/>
  <c r="G257" i="11"/>
  <c r="C258" i="11"/>
  <c r="D258" i="11"/>
  <c r="G258" i="11"/>
  <c r="C259" i="11"/>
  <c r="D259" i="11"/>
  <c r="G259" i="11"/>
  <c r="C260" i="11"/>
  <c r="D260" i="11"/>
  <c r="G260" i="11"/>
  <c r="C261" i="11"/>
  <c r="D261" i="11"/>
  <c r="G261" i="11"/>
  <c r="C262" i="11"/>
  <c r="D262" i="11"/>
  <c r="G262" i="11"/>
  <c r="C263" i="11"/>
  <c r="D263" i="11"/>
  <c r="G263" i="11"/>
  <c r="C264" i="11"/>
  <c r="D264" i="11"/>
  <c r="G264" i="11"/>
  <c r="C265" i="11"/>
  <c r="D265" i="11"/>
  <c r="G265" i="11"/>
  <c r="C266" i="11"/>
  <c r="D266" i="11"/>
  <c r="G266" i="11"/>
  <c r="C267" i="11"/>
  <c r="D267" i="11"/>
  <c r="G267" i="11"/>
  <c r="C268" i="11"/>
  <c r="D268" i="11"/>
  <c r="G268" i="11"/>
  <c r="C269" i="11"/>
  <c r="D269" i="11"/>
  <c r="G269" i="11"/>
  <c r="C270" i="11"/>
  <c r="D270" i="11"/>
  <c r="G270" i="11"/>
  <c r="C271" i="11"/>
  <c r="D271" i="11"/>
  <c r="G271" i="11"/>
  <c r="C272" i="11"/>
  <c r="D272" i="11"/>
  <c r="G272" i="11"/>
  <c r="C273" i="11"/>
  <c r="D273" i="11"/>
  <c r="G273" i="11"/>
  <c r="C274" i="11"/>
  <c r="D274" i="11"/>
  <c r="G274" i="11"/>
  <c r="C275" i="11"/>
  <c r="D275" i="11"/>
  <c r="G275" i="11"/>
  <c r="C276" i="11"/>
  <c r="D276" i="11"/>
  <c r="G276" i="11"/>
  <c r="C277" i="11"/>
  <c r="D277" i="11"/>
  <c r="G277" i="11"/>
  <c r="C278" i="11"/>
  <c r="D278" i="11"/>
  <c r="G278" i="11"/>
  <c r="C279" i="11"/>
  <c r="D279" i="11"/>
  <c r="G279" i="11"/>
  <c r="C280" i="11"/>
  <c r="D280" i="11"/>
  <c r="G280" i="11"/>
  <c r="C281" i="11"/>
  <c r="D281" i="11"/>
  <c r="G281" i="11"/>
  <c r="C282" i="11"/>
  <c r="D282" i="11"/>
  <c r="G282" i="11"/>
  <c r="C283" i="11"/>
  <c r="D283" i="11"/>
  <c r="G283" i="11"/>
  <c r="C284" i="11"/>
  <c r="D284" i="11"/>
  <c r="G284" i="11"/>
  <c r="C285" i="11"/>
  <c r="D285" i="11"/>
  <c r="G285" i="11"/>
  <c r="C286" i="11"/>
  <c r="D286" i="11"/>
  <c r="G286" i="11"/>
  <c r="C287" i="11"/>
  <c r="D287" i="11"/>
  <c r="G287" i="11"/>
  <c r="C288" i="11"/>
  <c r="D288" i="11"/>
  <c r="G288" i="11"/>
  <c r="C289" i="11"/>
  <c r="D289" i="11"/>
  <c r="G289" i="11"/>
  <c r="C290" i="11"/>
  <c r="D290" i="11"/>
  <c r="G290" i="11"/>
  <c r="C291" i="11"/>
  <c r="D291" i="11"/>
  <c r="G291" i="11"/>
  <c r="C292" i="11"/>
  <c r="D292" i="11"/>
  <c r="G292" i="11"/>
  <c r="C293" i="11"/>
  <c r="D293" i="11"/>
  <c r="G293" i="11"/>
  <c r="C294" i="11"/>
  <c r="D294" i="11"/>
  <c r="G294" i="11"/>
  <c r="C295" i="11"/>
  <c r="D295" i="11"/>
  <c r="G295" i="11"/>
  <c r="C296" i="11"/>
  <c r="D296" i="11"/>
  <c r="G296" i="11"/>
  <c r="C297" i="11"/>
  <c r="D297" i="11"/>
  <c r="G297" i="11"/>
  <c r="C298" i="11"/>
  <c r="D298" i="11"/>
  <c r="G298" i="11"/>
  <c r="C299" i="11"/>
  <c r="D299" i="11"/>
  <c r="G299" i="11"/>
  <c r="C300" i="11"/>
  <c r="D300" i="11"/>
  <c r="G300" i="11"/>
  <c r="C301" i="11"/>
  <c r="D301" i="11"/>
  <c r="G301" i="11"/>
  <c r="C302" i="11"/>
  <c r="D302" i="11"/>
  <c r="G302" i="11"/>
  <c r="C303" i="11"/>
  <c r="D303" i="11"/>
  <c r="G303" i="11"/>
  <c r="C304" i="11"/>
  <c r="D304" i="11"/>
  <c r="G304" i="11"/>
  <c r="C305" i="11"/>
  <c r="D305" i="11"/>
  <c r="G305" i="11"/>
  <c r="C306" i="11"/>
  <c r="D306" i="11"/>
  <c r="G306" i="11"/>
  <c r="C307" i="11"/>
  <c r="D307" i="11"/>
  <c r="G307" i="11"/>
  <c r="C308" i="11"/>
  <c r="D308" i="11"/>
  <c r="G308" i="11"/>
  <c r="C309" i="11"/>
  <c r="D309" i="11"/>
  <c r="G309" i="11"/>
  <c r="C310" i="11"/>
  <c r="D310" i="11"/>
  <c r="G310" i="11"/>
  <c r="C311" i="11"/>
  <c r="D311" i="11"/>
  <c r="G311" i="11"/>
  <c r="C312" i="11"/>
  <c r="D312" i="11"/>
  <c r="G312" i="11"/>
  <c r="C313" i="11"/>
  <c r="D313" i="11"/>
  <c r="G313" i="11"/>
  <c r="C314" i="11"/>
  <c r="D314" i="11"/>
  <c r="G314" i="11"/>
  <c r="C315" i="11"/>
  <c r="D315" i="11"/>
  <c r="G315" i="11"/>
  <c r="C316" i="11"/>
  <c r="D316" i="11"/>
  <c r="G316" i="11"/>
  <c r="C317" i="11"/>
  <c r="D317" i="11"/>
  <c r="G317" i="11"/>
  <c r="C318" i="11"/>
  <c r="D318" i="11"/>
  <c r="G318" i="11"/>
  <c r="C319" i="11"/>
  <c r="D319" i="11"/>
  <c r="G319" i="11"/>
  <c r="C320" i="11"/>
  <c r="D320" i="11"/>
  <c r="G320" i="11"/>
  <c r="C321" i="11"/>
  <c r="D321" i="11"/>
  <c r="G321" i="11"/>
  <c r="C322" i="11"/>
  <c r="D322" i="11"/>
  <c r="G322" i="11"/>
  <c r="C323" i="11"/>
  <c r="D323" i="11"/>
  <c r="G323" i="11"/>
  <c r="C324" i="11"/>
  <c r="D324" i="11"/>
  <c r="G324" i="11"/>
  <c r="C325" i="11"/>
  <c r="D325" i="11"/>
  <c r="G325" i="11"/>
  <c r="C326" i="11"/>
  <c r="D326" i="11"/>
  <c r="G326" i="11"/>
  <c r="C327" i="11"/>
  <c r="D327" i="11"/>
  <c r="G327" i="11"/>
  <c r="C328" i="11"/>
  <c r="D328" i="11"/>
  <c r="G328" i="11"/>
  <c r="C329" i="11"/>
  <c r="D329" i="11"/>
  <c r="G329" i="11"/>
  <c r="C330" i="11"/>
  <c r="D330" i="11"/>
  <c r="G330" i="11"/>
  <c r="C331" i="11"/>
  <c r="D331" i="11"/>
  <c r="G331" i="11"/>
  <c r="C332" i="11"/>
  <c r="D332" i="11"/>
  <c r="G332" i="11"/>
  <c r="C333" i="11"/>
  <c r="D333" i="11"/>
  <c r="G333" i="11"/>
  <c r="C334" i="11"/>
  <c r="D334" i="11"/>
  <c r="G334" i="11"/>
  <c r="C335" i="11"/>
  <c r="D335" i="11"/>
  <c r="G335" i="11"/>
  <c r="C336" i="11"/>
  <c r="D336" i="11"/>
  <c r="G336" i="11"/>
  <c r="C337" i="11"/>
  <c r="D337" i="11"/>
  <c r="G337" i="11"/>
  <c r="C338" i="11"/>
  <c r="D338" i="11"/>
  <c r="G338" i="11"/>
  <c r="C339" i="11"/>
  <c r="D339" i="11"/>
  <c r="G339" i="11"/>
  <c r="C340" i="11"/>
  <c r="D340" i="11"/>
  <c r="G340" i="11"/>
  <c r="C341" i="11"/>
  <c r="D341" i="11"/>
  <c r="G341" i="11"/>
  <c r="C342" i="11"/>
  <c r="D342" i="11"/>
  <c r="G342" i="11"/>
  <c r="C343" i="11"/>
  <c r="D343" i="11"/>
  <c r="G343" i="11"/>
  <c r="C344" i="11"/>
  <c r="D344" i="11"/>
  <c r="G344" i="11"/>
  <c r="C345" i="11"/>
  <c r="D345" i="11"/>
  <c r="G345" i="11"/>
  <c r="C346" i="11"/>
  <c r="D346" i="11"/>
  <c r="G346" i="11"/>
  <c r="C347" i="11"/>
  <c r="D347" i="11"/>
  <c r="G347" i="11"/>
  <c r="C348" i="11"/>
  <c r="D348" i="11"/>
  <c r="G348" i="11"/>
  <c r="C349" i="11"/>
  <c r="D349" i="11"/>
  <c r="G349" i="11"/>
  <c r="C350" i="11"/>
  <c r="D350" i="11"/>
  <c r="G350" i="11"/>
  <c r="C351" i="11"/>
  <c r="D351" i="11"/>
  <c r="G351" i="11"/>
  <c r="C352" i="11"/>
  <c r="D352" i="11"/>
  <c r="G352" i="11"/>
  <c r="C353" i="11"/>
  <c r="D353" i="11"/>
  <c r="G353" i="11"/>
  <c r="C354" i="11"/>
  <c r="D354" i="11"/>
  <c r="G354" i="11"/>
  <c r="C355" i="11"/>
  <c r="D355" i="11"/>
  <c r="G355" i="11"/>
  <c r="C356" i="11"/>
  <c r="D356" i="11"/>
  <c r="G356" i="11"/>
  <c r="C357" i="11"/>
  <c r="D357" i="11"/>
  <c r="G357" i="11"/>
  <c r="C358" i="11"/>
  <c r="D358" i="11"/>
  <c r="G358" i="11"/>
  <c r="C359" i="11"/>
  <c r="D359" i="11"/>
  <c r="G359" i="11"/>
  <c r="C360" i="11"/>
  <c r="D360" i="11"/>
  <c r="G360" i="11"/>
  <c r="C361" i="11"/>
  <c r="D361" i="11"/>
  <c r="G361" i="11"/>
  <c r="C362" i="11"/>
  <c r="D362" i="11"/>
  <c r="G362" i="11"/>
  <c r="C363" i="11"/>
  <c r="D363" i="11"/>
  <c r="G363" i="11"/>
  <c r="C364" i="11"/>
  <c r="D364" i="11"/>
  <c r="G364" i="11"/>
  <c r="C365" i="11"/>
  <c r="D365" i="11"/>
  <c r="G365" i="11"/>
  <c r="C366" i="11"/>
  <c r="D366" i="11"/>
  <c r="G366" i="11"/>
  <c r="C367" i="11"/>
  <c r="D367" i="11"/>
  <c r="G367" i="11"/>
  <c r="C368" i="11"/>
  <c r="D368" i="11"/>
  <c r="G368" i="11"/>
  <c r="C369" i="11"/>
  <c r="D369" i="11"/>
  <c r="G369" i="11"/>
  <c r="C370" i="11"/>
  <c r="D370" i="11"/>
  <c r="G370" i="11"/>
  <c r="C371" i="11"/>
  <c r="D371" i="11"/>
  <c r="G371" i="11"/>
  <c r="C372" i="11"/>
  <c r="D372" i="11"/>
  <c r="G372" i="11"/>
  <c r="C373" i="11"/>
  <c r="D373" i="11"/>
  <c r="G373" i="11"/>
  <c r="C374" i="11"/>
  <c r="D374" i="11"/>
  <c r="G374" i="11"/>
  <c r="C375" i="11"/>
  <c r="D375" i="11"/>
  <c r="G375" i="11"/>
  <c r="C376" i="11"/>
  <c r="D376" i="11"/>
  <c r="G376" i="11"/>
  <c r="C377" i="11"/>
  <c r="D377" i="11"/>
  <c r="G377" i="11"/>
  <c r="C378" i="11"/>
  <c r="D378" i="11"/>
  <c r="G378" i="11"/>
  <c r="C379" i="11"/>
  <c r="D379" i="11"/>
  <c r="G379" i="11"/>
  <c r="C380" i="11"/>
  <c r="D380" i="11"/>
  <c r="G380" i="11"/>
  <c r="C381" i="11"/>
  <c r="D381" i="11"/>
  <c r="G381" i="11"/>
  <c r="C382" i="11"/>
  <c r="D382" i="11"/>
  <c r="G382" i="11"/>
  <c r="C383" i="11"/>
  <c r="D383" i="11"/>
  <c r="G383" i="11"/>
  <c r="C384" i="11"/>
  <c r="D384" i="11"/>
  <c r="G384" i="11"/>
  <c r="C385" i="11"/>
  <c r="D385" i="11"/>
  <c r="G385" i="11"/>
  <c r="C386" i="11"/>
  <c r="D386" i="11"/>
  <c r="G386" i="11"/>
  <c r="C387" i="11"/>
  <c r="D387" i="11"/>
  <c r="G387" i="11"/>
  <c r="C388" i="11"/>
  <c r="D388" i="11"/>
  <c r="G388" i="11"/>
  <c r="C389" i="11"/>
  <c r="D389" i="11"/>
  <c r="G389" i="11"/>
  <c r="C390" i="11"/>
  <c r="D390" i="11"/>
  <c r="G390" i="11"/>
  <c r="C391" i="11"/>
  <c r="D391" i="11"/>
  <c r="G391" i="11"/>
  <c r="C392" i="11"/>
  <c r="D392" i="11"/>
  <c r="G392" i="11"/>
  <c r="C393" i="11"/>
  <c r="D393" i="11"/>
  <c r="G393" i="11"/>
  <c r="C394" i="11"/>
  <c r="D394" i="11"/>
  <c r="G394" i="11"/>
  <c r="C395" i="11"/>
  <c r="D395" i="11"/>
  <c r="G395" i="11"/>
  <c r="C396" i="11"/>
  <c r="D396" i="11"/>
  <c r="G396" i="11"/>
  <c r="C397" i="11"/>
  <c r="D397" i="11"/>
  <c r="G397" i="11"/>
  <c r="C398" i="11"/>
  <c r="D398" i="11"/>
  <c r="G398" i="11"/>
  <c r="C399" i="11"/>
  <c r="D399" i="11"/>
  <c r="G399" i="11"/>
  <c r="C400" i="11"/>
  <c r="D400" i="11"/>
  <c r="G400" i="11"/>
  <c r="C401" i="11"/>
  <c r="D401" i="11"/>
  <c r="G401" i="11"/>
  <c r="C402" i="11"/>
  <c r="D402" i="11"/>
  <c r="G402" i="11"/>
  <c r="C403" i="11"/>
  <c r="D403" i="11"/>
  <c r="G403" i="11"/>
  <c r="C404" i="11"/>
  <c r="D404" i="11"/>
  <c r="G404" i="11"/>
  <c r="C405" i="11"/>
  <c r="D405" i="11"/>
  <c r="G405" i="11"/>
  <c r="C406" i="11"/>
  <c r="D406" i="11"/>
  <c r="G406" i="11"/>
  <c r="C407" i="11"/>
  <c r="D407" i="11"/>
  <c r="G407" i="11"/>
  <c r="C408" i="11"/>
  <c r="D408" i="11"/>
  <c r="G408" i="11"/>
  <c r="C409" i="11"/>
  <c r="D409" i="11"/>
  <c r="G409" i="11"/>
  <c r="C410" i="11"/>
  <c r="D410" i="11"/>
  <c r="G410" i="11"/>
  <c r="C411" i="11"/>
  <c r="D411" i="11"/>
  <c r="G411" i="11"/>
  <c r="C412" i="11"/>
  <c r="D412" i="11"/>
  <c r="G412" i="11"/>
  <c r="C413" i="11"/>
  <c r="D413" i="11"/>
  <c r="G413" i="11"/>
  <c r="C414" i="11"/>
  <c r="D414" i="11"/>
  <c r="G414" i="11"/>
  <c r="C415" i="11"/>
  <c r="D415" i="11"/>
  <c r="G415" i="11"/>
  <c r="C416" i="11"/>
  <c r="D416" i="11"/>
  <c r="G416" i="11"/>
  <c r="C417" i="11"/>
  <c r="D417" i="11"/>
  <c r="G417" i="11"/>
  <c r="C418" i="11"/>
  <c r="D418" i="11"/>
  <c r="G418" i="11"/>
  <c r="C419" i="11"/>
  <c r="D419" i="11"/>
  <c r="G419" i="11"/>
  <c r="C420" i="11"/>
  <c r="D420" i="11"/>
  <c r="G420" i="11"/>
  <c r="C421" i="11"/>
  <c r="D421" i="11"/>
  <c r="G421" i="11"/>
  <c r="C422" i="11"/>
  <c r="D422" i="11"/>
  <c r="G422" i="11"/>
  <c r="C423" i="11"/>
  <c r="D423" i="11"/>
  <c r="G423" i="11"/>
  <c r="C424" i="11"/>
  <c r="D424" i="11"/>
  <c r="G424" i="11"/>
  <c r="C425" i="11"/>
  <c r="D425" i="11"/>
  <c r="G425" i="11"/>
  <c r="C426" i="11"/>
  <c r="D426" i="11"/>
  <c r="G426" i="11"/>
  <c r="C427" i="11"/>
  <c r="D427" i="11"/>
  <c r="G427" i="11"/>
  <c r="C428" i="11"/>
  <c r="D428" i="11"/>
  <c r="G428" i="11"/>
  <c r="C429" i="11"/>
  <c r="D429" i="11"/>
  <c r="G429" i="11"/>
  <c r="C430" i="11"/>
  <c r="D430" i="11"/>
  <c r="G430" i="11"/>
  <c r="C431" i="11"/>
  <c r="D431" i="11"/>
  <c r="G431" i="11"/>
  <c r="C432" i="11"/>
  <c r="D432" i="11"/>
  <c r="G432" i="11"/>
  <c r="C433" i="11"/>
  <c r="D433" i="11"/>
  <c r="G433" i="11"/>
  <c r="C434" i="11"/>
  <c r="D434" i="11"/>
  <c r="G434" i="11"/>
  <c r="C435" i="11"/>
  <c r="D435" i="11"/>
  <c r="G435" i="11"/>
  <c r="C436" i="11"/>
  <c r="D436" i="11"/>
  <c r="G436" i="11"/>
  <c r="C437" i="11"/>
  <c r="D437" i="11"/>
  <c r="G437" i="11"/>
  <c r="C438" i="11"/>
  <c r="D438" i="11"/>
  <c r="G438" i="11"/>
  <c r="C439" i="11"/>
  <c r="D439" i="11"/>
  <c r="G439" i="11"/>
  <c r="C440" i="11"/>
  <c r="D440" i="11"/>
  <c r="G440" i="11"/>
  <c r="C441" i="11"/>
  <c r="D441" i="11"/>
  <c r="G441" i="11"/>
  <c r="C442" i="11"/>
  <c r="D442" i="11"/>
  <c r="G442" i="11"/>
  <c r="C443" i="11"/>
  <c r="D443" i="11"/>
  <c r="G443" i="11"/>
  <c r="C444" i="11"/>
  <c r="D444" i="11"/>
  <c r="G444" i="11"/>
  <c r="C445" i="11"/>
  <c r="D445" i="11"/>
  <c r="G445" i="11"/>
  <c r="C446" i="11"/>
  <c r="D446" i="11"/>
  <c r="G446" i="11"/>
  <c r="C447" i="11"/>
  <c r="D447" i="11"/>
  <c r="G447" i="11"/>
  <c r="C448" i="11"/>
  <c r="D448" i="11"/>
  <c r="G448" i="11"/>
  <c r="C449" i="11"/>
  <c r="D449" i="11"/>
  <c r="G449" i="11"/>
  <c r="C450" i="11"/>
  <c r="D450" i="11"/>
  <c r="G450" i="11"/>
  <c r="C451" i="11"/>
  <c r="D451" i="11"/>
  <c r="G451" i="11"/>
  <c r="C452" i="11"/>
  <c r="D452" i="11"/>
  <c r="G452" i="11"/>
  <c r="C453" i="11"/>
  <c r="D453" i="11"/>
  <c r="G453" i="11"/>
  <c r="C454" i="11"/>
  <c r="D454" i="11"/>
  <c r="G454" i="11"/>
  <c r="C455" i="11"/>
  <c r="D455" i="11"/>
  <c r="G455" i="11"/>
  <c r="C456" i="11"/>
  <c r="D456" i="11"/>
  <c r="G456" i="11"/>
  <c r="C457" i="11"/>
  <c r="D457" i="11"/>
  <c r="G457" i="11"/>
  <c r="C458" i="11"/>
  <c r="D458" i="11"/>
  <c r="G458" i="11"/>
  <c r="C459" i="11"/>
  <c r="D459" i="11"/>
  <c r="G459" i="11"/>
  <c r="C460" i="11"/>
  <c r="D460" i="11"/>
  <c r="G460" i="11"/>
  <c r="C461" i="11"/>
  <c r="D461" i="11"/>
  <c r="G461" i="11"/>
  <c r="C462" i="11"/>
  <c r="D462" i="11"/>
  <c r="G462" i="11"/>
  <c r="C463" i="11"/>
  <c r="D463" i="11"/>
  <c r="G463" i="11"/>
  <c r="C464" i="11"/>
  <c r="D464" i="11"/>
  <c r="G464" i="11"/>
  <c r="C465" i="11"/>
  <c r="D465" i="11"/>
  <c r="G465" i="11"/>
  <c r="C466" i="11"/>
  <c r="D466" i="11"/>
  <c r="G466" i="11"/>
  <c r="C467" i="11"/>
  <c r="D467" i="11"/>
  <c r="G467" i="11"/>
  <c r="C468" i="11"/>
  <c r="D468" i="11"/>
  <c r="G468" i="11"/>
  <c r="C469" i="11"/>
  <c r="D469" i="11"/>
  <c r="G469" i="11"/>
  <c r="C470" i="11"/>
  <c r="D470" i="11"/>
  <c r="G470" i="11"/>
  <c r="C471" i="11"/>
  <c r="D471" i="11"/>
  <c r="G471" i="11"/>
  <c r="C472" i="11"/>
  <c r="D472" i="11"/>
  <c r="G472" i="11"/>
  <c r="C473" i="11"/>
  <c r="D473" i="11"/>
  <c r="G473" i="11"/>
  <c r="C474" i="11"/>
  <c r="D474" i="11"/>
  <c r="G474" i="11"/>
  <c r="C475" i="11"/>
  <c r="D475" i="11"/>
  <c r="G475" i="11"/>
  <c r="C476" i="11"/>
  <c r="D476" i="11"/>
  <c r="G476" i="11"/>
  <c r="C477" i="11"/>
  <c r="D477" i="11"/>
  <c r="G477" i="11"/>
  <c r="C478" i="11"/>
  <c r="D478" i="11"/>
  <c r="G478" i="11"/>
  <c r="C479" i="11"/>
  <c r="D479" i="11"/>
  <c r="G479" i="11"/>
  <c r="C480" i="11"/>
  <c r="D480" i="11"/>
  <c r="G480" i="11"/>
  <c r="C481" i="11"/>
  <c r="D481" i="11"/>
  <c r="G481" i="11"/>
  <c r="C482" i="11"/>
  <c r="D482" i="11"/>
  <c r="G482" i="11"/>
  <c r="C483" i="11"/>
  <c r="D483" i="11"/>
  <c r="G483" i="11"/>
  <c r="C484" i="11"/>
  <c r="D484" i="11"/>
  <c r="G484" i="11"/>
  <c r="C485" i="11"/>
  <c r="D485" i="11"/>
  <c r="G485" i="11"/>
  <c r="C486" i="11"/>
  <c r="D486" i="11"/>
  <c r="G486" i="11"/>
  <c r="C487" i="11"/>
  <c r="D487" i="11"/>
  <c r="G487" i="11"/>
  <c r="C488" i="11"/>
  <c r="D488" i="11"/>
  <c r="G488" i="11"/>
  <c r="C489" i="11"/>
  <c r="D489" i="11"/>
  <c r="G489" i="11"/>
  <c r="C490" i="11"/>
  <c r="D490" i="11"/>
  <c r="G490" i="11"/>
  <c r="C491" i="11"/>
  <c r="D491" i="11"/>
  <c r="G491" i="11"/>
  <c r="C492" i="11"/>
  <c r="D492" i="11"/>
  <c r="G492" i="11"/>
  <c r="C493" i="11"/>
  <c r="D493" i="11"/>
  <c r="G493" i="11"/>
  <c r="C494" i="11"/>
  <c r="D494" i="11"/>
  <c r="G494" i="11"/>
  <c r="C495" i="11"/>
  <c r="D495" i="11"/>
  <c r="G495" i="11"/>
  <c r="C496" i="11"/>
  <c r="D496" i="11"/>
  <c r="G496" i="11"/>
  <c r="C497" i="11"/>
  <c r="D497" i="11"/>
  <c r="G497" i="11"/>
  <c r="C498" i="11"/>
  <c r="D498" i="11"/>
  <c r="G498" i="11"/>
  <c r="C499" i="11"/>
  <c r="D499" i="11"/>
  <c r="G499" i="11"/>
  <c r="C500" i="11"/>
  <c r="D500" i="11"/>
  <c r="G500" i="11"/>
  <c r="C501" i="11"/>
  <c r="D501" i="11"/>
  <c r="G501" i="11"/>
  <c r="C502" i="11"/>
  <c r="D502" i="11"/>
  <c r="G502" i="11"/>
  <c r="C503" i="11"/>
  <c r="D503" i="11"/>
  <c r="G503" i="11"/>
  <c r="C504" i="11"/>
  <c r="D504" i="11"/>
  <c r="G504" i="11"/>
  <c r="C505" i="11"/>
  <c r="D505" i="11"/>
  <c r="G505" i="11"/>
  <c r="C506" i="11"/>
  <c r="D506" i="11"/>
  <c r="G506" i="11"/>
  <c r="C507" i="11"/>
  <c r="D507" i="11"/>
  <c r="G507" i="11"/>
  <c r="C508" i="11"/>
  <c r="D508" i="11"/>
  <c r="G508" i="11"/>
  <c r="C509" i="11"/>
  <c r="D509" i="11"/>
  <c r="G509" i="11"/>
  <c r="C510" i="11"/>
  <c r="D510" i="11"/>
  <c r="G510" i="11"/>
  <c r="C511" i="11"/>
  <c r="D511" i="11"/>
  <c r="G511" i="11"/>
  <c r="C512" i="11"/>
  <c r="D512" i="11"/>
  <c r="G512" i="11"/>
  <c r="C513" i="11"/>
  <c r="D513" i="11"/>
  <c r="G513" i="11"/>
  <c r="C514" i="11"/>
  <c r="D514" i="11"/>
  <c r="G514" i="11"/>
  <c r="C515" i="11"/>
  <c r="D515" i="11"/>
  <c r="G515" i="11"/>
  <c r="C516" i="11"/>
  <c r="D516" i="11"/>
  <c r="G516" i="11"/>
  <c r="C517" i="11"/>
  <c r="D517" i="11"/>
  <c r="G517" i="11"/>
  <c r="C518" i="11"/>
  <c r="D518" i="11"/>
  <c r="G518" i="11"/>
  <c r="C519" i="11"/>
  <c r="D519" i="11"/>
  <c r="G519" i="11"/>
  <c r="C520" i="11"/>
  <c r="D520" i="11"/>
  <c r="G520" i="11"/>
  <c r="C521" i="11"/>
  <c r="D521" i="11"/>
  <c r="G521" i="11"/>
  <c r="C522" i="11"/>
  <c r="D522" i="11"/>
  <c r="G522" i="11"/>
  <c r="C523" i="11"/>
  <c r="D523" i="11"/>
  <c r="G523" i="11"/>
  <c r="C524" i="11"/>
  <c r="D524" i="11"/>
  <c r="G524" i="11"/>
  <c r="C525" i="11"/>
  <c r="D525" i="11"/>
  <c r="G525" i="11"/>
  <c r="C526" i="11"/>
  <c r="D526" i="11"/>
  <c r="G526" i="11"/>
  <c r="C527" i="11"/>
  <c r="D527" i="11"/>
  <c r="G527" i="11"/>
  <c r="C528" i="11"/>
  <c r="D528" i="11"/>
  <c r="G528" i="11"/>
  <c r="C529" i="11"/>
  <c r="D529" i="11"/>
  <c r="G529" i="11"/>
  <c r="C530" i="11"/>
  <c r="D530" i="11"/>
  <c r="G530" i="11"/>
  <c r="C531" i="11"/>
  <c r="D531" i="11"/>
  <c r="G531" i="11"/>
  <c r="C532" i="11"/>
  <c r="D532" i="11"/>
  <c r="G532" i="11"/>
  <c r="C533" i="11"/>
  <c r="D533" i="11"/>
  <c r="G533" i="11"/>
  <c r="C534" i="11"/>
  <c r="D534" i="11"/>
  <c r="G534" i="11"/>
  <c r="C535" i="11"/>
  <c r="D535" i="11"/>
  <c r="G535" i="11"/>
  <c r="C536" i="11"/>
  <c r="D536" i="11"/>
  <c r="G536" i="11"/>
  <c r="C537" i="11"/>
  <c r="D537" i="11"/>
  <c r="G537" i="11"/>
  <c r="C538" i="11"/>
  <c r="D538" i="11"/>
  <c r="G538" i="11"/>
  <c r="C539" i="11"/>
  <c r="D539" i="11"/>
  <c r="G539" i="11"/>
  <c r="C540" i="11"/>
  <c r="D540" i="11"/>
  <c r="G540" i="11"/>
  <c r="C541" i="11"/>
  <c r="D541" i="11"/>
  <c r="G541" i="11"/>
  <c r="C542" i="11"/>
  <c r="D542" i="11"/>
  <c r="G542" i="11"/>
  <c r="C543" i="11"/>
  <c r="D543" i="11"/>
  <c r="G543" i="11"/>
  <c r="C544" i="11"/>
  <c r="D544" i="11"/>
  <c r="G544" i="11"/>
  <c r="C545" i="11"/>
  <c r="D545" i="11"/>
  <c r="G545" i="11"/>
  <c r="C546" i="11"/>
  <c r="D546" i="11"/>
  <c r="G546" i="11"/>
  <c r="C547" i="11"/>
  <c r="D547" i="11"/>
  <c r="G547" i="11"/>
  <c r="C548" i="11"/>
  <c r="D548" i="11"/>
  <c r="G548" i="11"/>
  <c r="C549" i="11"/>
  <c r="D549" i="11"/>
  <c r="G549" i="11"/>
  <c r="C550" i="11"/>
  <c r="D550" i="11"/>
  <c r="G550" i="11"/>
  <c r="C551" i="11"/>
  <c r="D551" i="11"/>
  <c r="G551" i="11"/>
  <c r="C552" i="11"/>
  <c r="D552" i="11"/>
  <c r="G552" i="11"/>
  <c r="C553" i="11"/>
  <c r="D553" i="11"/>
  <c r="G553" i="11"/>
  <c r="C554" i="11"/>
  <c r="D554" i="11"/>
  <c r="G554" i="11"/>
  <c r="C555" i="11"/>
  <c r="D555" i="11"/>
  <c r="G555" i="11"/>
  <c r="C556" i="11"/>
  <c r="D556" i="11"/>
  <c r="G556" i="11"/>
  <c r="C557" i="11"/>
  <c r="D557" i="11"/>
  <c r="G557" i="11"/>
  <c r="C558" i="11"/>
  <c r="D558" i="11"/>
  <c r="G558" i="11"/>
  <c r="C559" i="11"/>
  <c r="D559" i="11"/>
  <c r="G559" i="11"/>
  <c r="C560" i="11"/>
  <c r="D560" i="11"/>
  <c r="G560" i="11"/>
  <c r="C561" i="11"/>
  <c r="D561" i="11"/>
  <c r="G561" i="11"/>
  <c r="C562" i="11"/>
  <c r="D562" i="11"/>
  <c r="G562" i="11"/>
  <c r="C563" i="11"/>
  <c r="D563" i="11"/>
  <c r="G563" i="11"/>
  <c r="C564" i="11"/>
  <c r="D564" i="11"/>
  <c r="G564" i="11"/>
  <c r="C565" i="11"/>
  <c r="D565" i="11"/>
  <c r="G565" i="11"/>
  <c r="C566" i="11"/>
  <c r="D566" i="11"/>
  <c r="G566" i="11"/>
  <c r="C567" i="11"/>
  <c r="D567" i="11"/>
  <c r="G567" i="11"/>
  <c r="C568" i="11"/>
  <c r="D568" i="11"/>
  <c r="G568" i="11"/>
  <c r="C569" i="11"/>
  <c r="D569" i="11"/>
  <c r="G569" i="11"/>
  <c r="C570" i="11"/>
  <c r="D570" i="11"/>
  <c r="G570" i="11"/>
  <c r="C571" i="11"/>
  <c r="D571" i="11"/>
  <c r="G571" i="11"/>
  <c r="C572" i="11"/>
  <c r="D572" i="11"/>
  <c r="G572" i="11"/>
  <c r="C573" i="11"/>
  <c r="D573" i="11"/>
  <c r="G573" i="11"/>
  <c r="C574" i="11"/>
  <c r="D574" i="11"/>
  <c r="G574" i="11"/>
  <c r="C575" i="11"/>
  <c r="D575" i="11"/>
  <c r="G575" i="11"/>
  <c r="C576" i="11"/>
  <c r="D576" i="11"/>
  <c r="G576" i="11"/>
  <c r="C577" i="11"/>
  <c r="D577" i="11"/>
  <c r="G577" i="11"/>
  <c r="C578" i="11"/>
  <c r="D578" i="11"/>
  <c r="G578" i="11"/>
  <c r="C579" i="11"/>
  <c r="D579" i="11"/>
  <c r="G579" i="11"/>
  <c r="C580" i="11"/>
  <c r="D580" i="11"/>
  <c r="G580" i="11"/>
  <c r="C581" i="11"/>
  <c r="D581" i="11"/>
  <c r="G581" i="11"/>
  <c r="C582" i="11"/>
  <c r="D582" i="11"/>
  <c r="G582" i="11"/>
  <c r="F415" i="4"/>
  <c r="F416" i="4"/>
  <c r="C415" i="4"/>
  <c r="K4" i="7" l="1"/>
  <c r="F4" i="7"/>
  <c r="F79" i="7"/>
  <c r="K5" i="7"/>
  <c r="F5" i="7"/>
  <c r="K6" i="7"/>
  <c r="F6" i="7"/>
  <c r="L7" i="7"/>
  <c r="I7" i="7"/>
  <c r="L8" i="7"/>
  <c r="I8" i="7"/>
  <c r="L9" i="7"/>
  <c r="I9" i="7"/>
  <c r="L10" i="7"/>
  <c r="I10" i="7"/>
  <c r="L11" i="7"/>
  <c r="I11" i="7"/>
  <c r="L12" i="7"/>
  <c r="I12" i="7"/>
  <c r="L13" i="7"/>
  <c r="I13" i="7"/>
  <c r="L14" i="7"/>
  <c r="I14" i="7"/>
  <c r="L15" i="7"/>
  <c r="I15" i="7"/>
  <c r="L16" i="7"/>
  <c r="I16" i="7"/>
  <c r="L17" i="7"/>
  <c r="I17" i="7"/>
  <c r="L18" i="7"/>
  <c r="I18" i="7"/>
  <c r="L19" i="7"/>
  <c r="I19" i="7"/>
  <c r="L20" i="7"/>
  <c r="I20" i="7"/>
  <c r="L21" i="7"/>
  <c r="I21" i="7"/>
  <c r="L22" i="7"/>
  <c r="I22" i="7"/>
  <c r="L23" i="7"/>
  <c r="I23" i="7"/>
  <c r="F26" i="7"/>
  <c r="F27" i="7"/>
  <c r="C156" i="1"/>
  <c r="D156" i="1"/>
  <c r="H156" i="1" s="1"/>
  <c r="E156" i="1"/>
  <c r="I156" i="1"/>
  <c r="K156" i="1"/>
  <c r="C157" i="1"/>
  <c r="D157" i="1"/>
  <c r="H157" i="1" s="1"/>
  <c r="E157" i="1"/>
  <c r="I157" i="1"/>
  <c r="K157" i="1"/>
  <c r="C158" i="1"/>
  <c r="D158" i="1"/>
  <c r="H158" i="1" s="1"/>
  <c r="E158" i="1"/>
  <c r="I158" i="1"/>
  <c r="K158" i="1"/>
  <c r="G415" i="4"/>
  <c r="C159" i="1"/>
  <c r="D159" i="1"/>
  <c r="H159" i="1" s="1"/>
  <c r="E159" i="1"/>
  <c r="I159" i="1"/>
  <c r="K159" i="1"/>
  <c r="C160" i="1"/>
  <c r="D160" i="1"/>
  <c r="H160" i="1" s="1"/>
  <c r="E160" i="1"/>
  <c r="I160" i="1"/>
  <c r="K160" i="1"/>
  <c r="C161" i="1"/>
  <c r="D161" i="1"/>
  <c r="H161" i="1" s="1"/>
  <c r="E161" i="1"/>
  <c r="I161" i="1"/>
  <c r="K161" i="1"/>
  <c r="C162" i="1"/>
  <c r="D162" i="1"/>
  <c r="H162" i="1" s="1"/>
  <c r="E162" i="1"/>
  <c r="I162" i="1"/>
  <c r="K162" i="1"/>
  <c r="C163" i="1"/>
  <c r="D163" i="1"/>
  <c r="H163" i="1" s="1"/>
  <c r="E163" i="1"/>
  <c r="I163" i="1"/>
  <c r="K163" i="1"/>
  <c r="C164" i="1"/>
  <c r="D164" i="1"/>
  <c r="H164" i="1" s="1"/>
  <c r="E164" i="1"/>
  <c r="I164" i="1"/>
  <c r="K164" i="1"/>
  <c r="C165" i="1"/>
  <c r="D165" i="1"/>
  <c r="H165" i="1" s="1"/>
  <c r="E165" i="1"/>
  <c r="I165" i="1"/>
  <c r="K165" i="1"/>
  <c r="C166" i="1"/>
  <c r="D166" i="1"/>
  <c r="H166" i="1" s="1"/>
  <c r="E166" i="1"/>
  <c r="I166" i="1"/>
  <c r="K166" i="1"/>
  <c r="I4" i="7" l="1"/>
  <c r="L4" i="7"/>
  <c r="N4" i="7"/>
  <c r="O4" i="7"/>
  <c r="I5" i="7"/>
  <c r="L5" i="7"/>
  <c r="N5" i="7"/>
  <c r="O5" i="7"/>
  <c r="I6" i="7"/>
  <c r="L6" i="7"/>
  <c r="N6" i="7"/>
  <c r="O6" i="7"/>
  <c r="C53" i="8"/>
  <c r="C167" i="1"/>
  <c r="D167" i="1"/>
  <c r="H167" i="1" s="1"/>
  <c r="E167" i="1"/>
  <c r="I167" i="1"/>
  <c r="K167" i="1"/>
  <c r="C168" i="1"/>
  <c r="D168" i="1"/>
  <c r="H168" i="1" s="1"/>
  <c r="E168" i="1"/>
  <c r="I168" i="1"/>
  <c r="K168" i="1"/>
  <c r="C169" i="1"/>
  <c r="D169" i="1"/>
  <c r="H169" i="1" s="1"/>
  <c r="E169" i="1"/>
  <c r="I169" i="1"/>
  <c r="K169" i="1"/>
  <c r="C170" i="1"/>
  <c r="D170" i="1"/>
  <c r="H170" i="1" s="1"/>
  <c r="E170" i="1"/>
  <c r="I170" i="1"/>
  <c r="K170" i="1"/>
  <c r="C171" i="1"/>
  <c r="D171" i="1"/>
  <c r="H171" i="1" s="1"/>
  <c r="E171" i="1"/>
  <c r="I171" i="1"/>
  <c r="K171" i="1"/>
  <c r="C172" i="1"/>
  <c r="D172" i="1"/>
  <c r="H172" i="1" s="1"/>
  <c r="E172" i="1"/>
  <c r="I172" i="1"/>
  <c r="K172" i="1"/>
  <c r="C173" i="1"/>
  <c r="D173" i="1"/>
  <c r="H173" i="1" s="1"/>
  <c r="E173" i="1"/>
  <c r="I173" i="1"/>
  <c r="K173" i="1"/>
  <c r="C174" i="1"/>
  <c r="D174" i="1"/>
  <c r="H174" i="1" s="1"/>
  <c r="E174" i="1"/>
  <c r="I174" i="1"/>
  <c r="K174" i="1"/>
  <c r="C175" i="1"/>
  <c r="D175" i="1"/>
  <c r="H175" i="1" s="1"/>
  <c r="E175" i="1"/>
  <c r="I175" i="1"/>
  <c r="K175" i="1"/>
  <c r="C176" i="1"/>
  <c r="D176" i="1"/>
  <c r="H176" i="1" s="1"/>
  <c r="E176" i="1"/>
  <c r="I176" i="1"/>
  <c r="K176" i="1"/>
  <c r="C32" i="8"/>
  <c r="D32" i="8"/>
  <c r="C33" i="8"/>
  <c r="D33" i="8"/>
  <c r="C34" i="8"/>
  <c r="D34" i="8"/>
  <c r="C177" i="1" l="1"/>
  <c r="D177" i="1"/>
  <c r="H177" i="1" s="1"/>
  <c r="E177" i="1"/>
  <c r="I177" i="1"/>
  <c r="K177" i="1"/>
  <c r="C178" i="1"/>
  <c r="D178" i="1"/>
  <c r="H178" i="1" s="1"/>
  <c r="E178" i="1"/>
  <c r="I178" i="1"/>
  <c r="K178" i="1"/>
  <c r="C179" i="1"/>
  <c r="D179" i="1"/>
  <c r="H179" i="1" s="1"/>
  <c r="E179" i="1"/>
  <c r="I179" i="1"/>
  <c r="K179" i="1"/>
  <c r="C180" i="1"/>
  <c r="D180" i="1"/>
  <c r="H180" i="1" s="1"/>
  <c r="E180" i="1"/>
  <c r="I180" i="1"/>
  <c r="K180" i="1"/>
  <c r="C181" i="1"/>
  <c r="D181" i="1"/>
  <c r="H181" i="1" s="1"/>
  <c r="E181" i="1"/>
  <c r="I181" i="1"/>
  <c r="K181" i="1"/>
  <c r="C182" i="1"/>
  <c r="D182" i="1"/>
  <c r="H182" i="1" s="1"/>
  <c r="E182" i="1"/>
  <c r="I182" i="1"/>
  <c r="K182" i="1"/>
  <c r="C183" i="1"/>
  <c r="D183" i="1"/>
  <c r="H183" i="1" s="1"/>
  <c r="E183" i="1"/>
  <c r="I183" i="1"/>
  <c r="K183" i="1"/>
  <c r="C184" i="1"/>
  <c r="D184" i="1"/>
  <c r="H184" i="1" s="1"/>
  <c r="E184" i="1"/>
  <c r="I184" i="1"/>
  <c r="K184" i="1"/>
  <c r="C185" i="1"/>
  <c r="D185" i="1"/>
  <c r="H185" i="1" s="1"/>
  <c r="E185" i="1"/>
  <c r="I185" i="1"/>
  <c r="K185" i="1"/>
  <c r="C186" i="1"/>
  <c r="D186" i="1"/>
  <c r="H186" i="1" s="1"/>
  <c r="E186" i="1"/>
  <c r="I186" i="1"/>
  <c r="K186" i="1"/>
  <c r="C187" i="1"/>
  <c r="D187" i="1"/>
  <c r="H187" i="1" s="1"/>
  <c r="E187" i="1"/>
  <c r="I187" i="1"/>
  <c r="K187" i="1"/>
  <c r="C188" i="1"/>
  <c r="D188" i="1"/>
  <c r="H188" i="1" s="1"/>
  <c r="E188" i="1"/>
  <c r="I188" i="1"/>
  <c r="K188" i="1"/>
  <c r="C189" i="1"/>
  <c r="D189" i="1"/>
  <c r="H189" i="1" s="1"/>
  <c r="E189" i="1"/>
  <c r="I189" i="1"/>
  <c r="K189" i="1"/>
  <c r="C190" i="1"/>
  <c r="D190" i="1"/>
  <c r="H190" i="1" s="1"/>
  <c r="E190" i="1"/>
  <c r="I190" i="1"/>
  <c r="K190" i="1"/>
  <c r="C191" i="1" l="1"/>
  <c r="D191" i="1"/>
  <c r="H191" i="1" s="1"/>
  <c r="E191" i="1"/>
  <c r="I191" i="1"/>
  <c r="K191" i="1"/>
  <c r="C192" i="1"/>
  <c r="D192" i="1"/>
  <c r="H192" i="1" s="1"/>
  <c r="E192" i="1"/>
  <c r="I192" i="1"/>
  <c r="K192" i="1"/>
  <c r="C193" i="1"/>
  <c r="D193" i="1"/>
  <c r="H193" i="1" s="1"/>
  <c r="E193" i="1"/>
  <c r="I193" i="1"/>
  <c r="K193" i="1"/>
  <c r="C194" i="1"/>
  <c r="D194" i="1"/>
  <c r="H194" i="1" s="1"/>
  <c r="E194" i="1"/>
  <c r="I194" i="1"/>
  <c r="K194" i="1"/>
  <c r="C195" i="1"/>
  <c r="D195" i="1"/>
  <c r="H195" i="1" s="1"/>
  <c r="E195" i="1"/>
  <c r="I195" i="1"/>
  <c r="K195" i="1"/>
  <c r="C196" i="1"/>
  <c r="D196" i="1"/>
  <c r="H196" i="1" s="1"/>
  <c r="E196" i="1"/>
  <c r="I196" i="1"/>
  <c r="K196" i="1"/>
  <c r="C197" i="1"/>
  <c r="D197" i="1"/>
  <c r="H197" i="1" s="1"/>
  <c r="E197" i="1"/>
  <c r="I197" i="1"/>
  <c r="K197" i="1"/>
  <c r="C198" i="1"/>
  <c r="D198" i="1"/>
  <c r="H198" i="1" s="1"/>
  <c r="E198" i="1"/>
  <c r="I198" i="1"/>
  <c r="K198" i="1"/>
  <c r="C199" i="1"/>
  <c r="D199" i="1"/>
  <c r="H199" i="1" s="1"/>
  <c r="E199" i="1"/>
  <c r="I199" i="1"/>
  <c r="K199" i="1"/>
  <c r="C200" i="1"/>
  <c r="D200" i="1"/>
  <c r="H200" i="1" s="1"/>
  <c r="E200" i="1"/>
  <c r="I200" i="1"/>
  <c r="K200" i="1"/>
  <c r="C201" i="1"/>
  <c r="D201" i="1"/>
  <c r="H201" i="1" s="1"/>
  <c r="E201" i="1"/>
  <c r="I201" i="1"/>
  <c r="K201" i="1"/>
  <c r="C202" i="1"/>
  <c r="D202" i="1"/>
  <c r="H202" i="1" s="1"/>
  <c r="E202" i="1"/>
  <c r="I202" i="1"/>
  <c r="K202" i="1"/>
  <c r="C35" i="8" l="1"/>
  <c r="D35" i="8"/>
  <c r="C36" i="8"/>
  <c r="D36" i="8"/>
  <c r="C37" i="8"/>
  <c r="D37" i="8"/>
  <c r="C38" i="8"/>
  <c r="D38" i="8"/>
  <c r="C39" i="8"/>
  <c r="D39" i="8"/>
  <c r="C40" i="8"/>
  <c r="D40" i="8"/>
  <c r="C203" i="1"/>
  <c r="D203" i="1"/>
  <c r="H203" i="1" s="1"/>
  <c r="E203" i="1"/>
  <c r="I203" i="1"/>
  <c r="K203" i="1"/>
  <c r="C204" i="1"/>
  <c r="D204" i="1"/>
  <c r="H204" i="1" s="1"/>
  <c r="E204" i="1"/>
  <c r="I204" i="1"/>
  <c r="K204" i="1"/>
  <c r="C205" i="1"/>
  <c r="D205" i="1"/>
  <c r="H205" i="1" s="1"/>
  <c r="E205" i="1"/>
  <c r="I205" i="1"/>
  <c r="K205" i="1"/>
  <c r="C206" i="1"/>
  <c r="D206" i="1"/>
  <c r="H206" i="1" s="1"/>
  <c r="E206" i="1"/>
  <c r="I206" i="1"/>
  <c r="K206" i="1"/>
  <c r="C207" i="1"/>
  <c r="D207" i="1"/>
  <c r="H207" i="1" s="1"/>
  <c r="E207" i="1"/>
  <c r="I207" i="1"/>
  <c r="K207" i="1"/>
  <c r="C208" i="1"/>
  <c r="D208" i="1"/>
  <c r="H208" i="1" s="1"/>
  <c r="E208" i="1"/>
  <c r="I208" i="1"/>
  <c r="K208" i="1"/>
  <c r="C209" i="1"/>
  <c r="D209" i="1"/>
  <c r="H209" i="1" s="1"/>
  <c r="E209" i="1"/>
  <c r="I209" i="1"/>
  <c r="K209" i="1"/>
  <c r="C210" i="1"/>
  <c r="D210" i="1"/>
  <c r="H210" i="1" s="1"/>
  <c r="E210" i="1"/>
  <c r="I210" i="1"/>
  <c r="K210" i="1"/>
  <c r="C211" i="1"/>
  <c r="D211" i="1"/>
  <c r="H211" i="1" s="1"/>
  <c r="E211" i="1"/>
  <c r="I211" i="1"/>
  <c r="K211" i="1"/>
  <c r="C212" i="1"/>
  <c r="D212" i="1"/>
  <c r="H212" i="1" s="1"/>
  <c r="E212" i="1"/>
  <c r="I212" i="1"/>
  <c r="K212" i="1"/>
  <c r="C213" i="1"/>
  <c r="D213" i="1"/>
  <c r="H213" i="1" s="1"/>
  <c r="E213" i="1"/>
  <c r="I213" i="1"/>
  <c r="K213" i="1"/>
  <c r="C214" i="1"/>
  <c r="D214" i="1"/>
  <c r="H214" i="1" s="1"/>
  <c r="E214" i="1"/>
  <c r="I214" i="1"/>
  <c r="K214" i="1"/>
  <c r="C215" i="1"/>
  <c r="D215" i="1"/>
  <c r="H215" i="1" s="1"/>
  <c r="E215" i="1"/>
  <c r="I215" i="1"/>
  <c r="K215" i="1"/>
  <c r="C216" i="1"/>
  <c r="D216" i="1"/>
  <c r="H216" i="1" s="1"/>
  <c r="E216" i="1"/>
  <c r="I216" i="1"/>
  <c r="K216" i="1"/>
  <c r="C217" i="1"/>
  <c r="D217" i="1"/>
  <c r="H217" i="1" s="1"/>
  <c r="E217" i="1"/>
  <c r="I217" i="1"/>
  <c r="K217" i="1"/>
  <c r="C218" i="1"/>
  <c r="D218" i="1"/>
  <c r="H218" i="1" s="1"/>
  <c r="E218" i="1"/>
  <c r="I218" i="1"/>
  <c r="K218" i="1"/>
  <c r="C219" i="1"/>
  <c r="D219" i="1"/>
  <c r="H219" i="1" s="1"/>
  <c r="E219" i="1"/>
  <c r="I219" i="1"/>
  <c r="K219" i="1"/>
  <c r="C220" i="1"/>
  <c r="D220" i="1"/>
  <c r="H220" i="1" s="1"/>
  <c r="E220" i="1"/>
  <c r="I220" i="1"/>
  <c r="K220" i="1"/>
  <c r="C221" i="1"/>
  <c r="D221" i="1"/>
  <c r="H221" i="1" s="1"/>
  <c r="E221" i="1"/>
  <c r="I221" i="1"/>
  <c r="K221" i="1"/>
  <c r="C222" i="1"/>
  <c r="D222" i="1"/>
  <c r="H222" i="1" s="1"/>
  <c r="E222" i="1"/>
  <c r="I222" i="1"/>
  <c r="K222" i="1"/>
  <c r="C223" i="1"/>
  <c r="D223" i="1"/>
  <c r="H223" i="1" s="1"/>
  <c r="E223" i="1"/>
  <c r="I223" i="1"/>
  <c r="K223" i="1"/>
  <c r="C224" i="1"/>
  <c r="D224" i="1"/>
  <c r="H224" i="1" s="1"/>
  <c r="E224" i="1"/>
  <c r="I224" i="1"/>
  <c r="K224" i="1"/>
  <c r="C225" i="1"/>
  <c r="D225" i="1"/>
  <c r="H225" i="1" s="1"/>
  <c r="E225" i="1"/>
  <c r="I225" i="1"/>
  <c r="K225" i="1"/>
  <c r="C226" i="1"/>
  <c r="D226" i="1"/>
  <c r="H226" i="1" s="1"/>
  <c r="E226" i="1"/>
  <c r="I226" i="1"/>
  <c r="K226" i="1"/>
  <c r="C227" i="1"/>
  <c r="D227" i="1"/>
  <c r="H227" i="1" s="1"/>
  <c r="E227" i="1"/>
  <c r="I227" i="1"/>
  <c r="K227" i="1"/>
  <c r="C228" i="1"/>
  <c r="D228" i="1"/>
  <c r="H228" i="1" s="1"/>
  <c r="E228" i="1"/>
  <c r="I228" i="1"/>
  <c r="K228" i="1"/>
  <c r="C229" i="1"/>
  <c r="D229" i="1"/>
  <c r="H229" i="1" s="1"/>
  <c r="E229" i="1"/>
  <c r="I229" i="1"/>
  <c r="K229" i="1"/>
  <c r="C230" i="1"/>
  <c r="D230" i="1"/>
  <c r="H230" i="1" s="1"/>
  <c r="E230" i="1"/>
  <c r="I230" i="1"/>
  <c r="K230" i="1"/>
  <c r="C231" i="1"/>
  <c r="D231" i="1"/>
  <c r="H231" i="1" s="1"/>
  <c r="E231" i="1"/>
  <c r="I231" i="1"/>
  <c r="K231" i="1"/>
  <c r="C232" i="1"/>
  <c r="D232" i="1"/>
  <c r="H232" i="1" s="1"/>
  <c r="E232" i="1"/>
  <c r="I232" i="1"/>
  <c r="K232" i="1"/>
  <c r="C233" i="1"/>
  <c r="D233" i="1"/>
  <c r="H233" i="1" s="1"/>
  <c r="E233" i="1"/>
  <c r="I233" i="1"/>
  <c r="K233" i="1"/>
  <c r="C234" i="1"/>
  <c r="D234" i="1"/>
  <c r="H234" i="1" s="1"/>
  <c r="E234" i="1"/>
  <c r="I234" i="1"/>
  <c r="K234" i="1"/>
  <c r="C235" i="1"/>
  <c r="D235" i="1"/>
  <c r="H235" i="1" s="1"/>
  <c r="E235" i="1"/>
  <c r="I235" i="1"/>
  <c r="K235" i="1"/>
  <c r="C236" i="1"/>
  <c r="D236" i="1"/>
  <c r="H236" i="1" s="1"/>
  <c r="E236" i="1"/>
  <c r="I236" i="1"/>
  <c r="K236" i="1"/>
  <c r="C237" i="1"/>
  <c r="D237" i="1"/>
  <c r="H237" i="1" s="1"/>
  <c r="E237" i="1"/>
  <c r="I237" i="1"/>
  <c r="K237" i="1"/>
  <c r="C238" i="1"/>
  <c r="D238" i="1"/>
  <c r="H238" i="1" s="1"/>
  <c r="E238" i="1"/>
  <c r="I238" i="1"/>
  <c r="K238" i="1"/>
  <c r="C239" i="1"/>
  <c r="D239" i="1"/>
  <c r="H239" i="1" s="1"/>
  <c r="E239" i="1"/>
  <c r="I239" i="1"/>
  <c r="K239" i="1"/>
  <c r="C240" i="1"/>
  <c r="D240" i="1"/>
  <c r="H240" i="1" s="1"/>
  <c r="E240" i="1"/>
  <c r="I240" i="1"/>
  <c r="K240" i="1"/>
  <c r="C241" i="1"/>
  <c r="D241" i="1"/>
  <c r="H241" i="1" s="1"/>
  <c r="E241" i="1"/>
  <c r="I241" i="1"/>
  <c r="K241" i="1"/>
  <c r="C242" i="1"/>
  <c r="D242" i="1"/>
  <c r="H242" i="1" s="1"/>
  <c r="E242" i="1"/>
  <c r="I242" i="1"/>
  <c r="K242" i="1"/>
  <c r="C243" i="1"/>
  <c r="D243" i="1"/>
  <c r="H243" i="1" s="1"/>
  <c r="E243" i="1"/>
  <c r="I243" i="1"/>
  <c r="K243" i="1"/>
  <c r="C244" i="1"/>
  <c r="D244" i="1"/>
  <c r="H244" i="1" s="1"/>
  <c r="E244" i="1"/>
  <c r="I244" i="1"/>
  <c r="K244" i="1"/>
  <c r="C245" i="1"/>
  <c r="D245" i="1"/>
  <c r="H245" i="1" s="1"/>
  <c r="E245" i="1"/>
  <c r="I245" i="1"/>
  <c r="K245" i="1"/>
  <c r="C246" i="1"/>
  <c r="D246" i="1"/>
  <c r="H246" i="1" s="1"/>
  <c r="E246" i="1"/>
  <c r="I246" i="1"/>
  <c r="K246" i="1"/>
  <c r="C247" i="1"/>
  <c r="D247" i="1"/>
  <c r="H247" i="1" s="1"/>
  <c r="E247" i="1"/>
  <c r="I247" i="1"/>
  <c r="K247" i="1"/>
  <c r="C248" i="1"/>
  <c r="D248" i="1"/>
  <c r="H248" i="1" s="1"/>
  <c r="E248" i="1"/>
  <c r="I248" i="1"/>
  <c r="K248" i="1"/>
  <c r="C249" i="1"/>
  <c r="D249" i="1"/>
  <c r="H249" i="1" s="1"/>
  <c r="E249" i="1"/>
  <c r="I249" i="1"/>
  <c r="K249" i="1"/>
  <c r="C250" i="1"/>
  <c r="D250" i="1"/>
  <c r="H250" i="1" s="1"/>
  <c r="E250" i="1"/>
  <c r="I250" i="1"/>
  <c r="K250" i="1"/>
  <c r="C251" i="1"/>
  <c r="D251" i="1"/>
  <c r="H251" i="1" s="1"/>
  <c r="E251" i="1"/>
  <c r="I251" i="1"/>
  <c r="K251" i="1"/>
  <c r="C252" i="1"/>
  <c r="D252" i="1"/>
  <c r="H252" i="1" s="1"/>
  <c r="E252" i="1"/>
  <c r="I252" i="1"/>
  <c r="K252" i="1"/>
  <c r="C253" i="1"/>
  <c r="D253" i="1"/>
  <c r="H253" i="1" s="1"/>
  <c r="E253" i="1"/>
  <c r="I253" i="1"/>
  <c r="K253" i="1"/>
  <c r="C254" i="1"/>
  <c r="D254" i="1"/>
  <c r="H254" i="1" s="1"/>
  <c r="E254" i="1"/>
  <c r="I254" i="1"/>
  <c r="K254" i="1"/>
  <c r="C255" i="1"/>
  <c r="D255" i="1"/>
  <c r="H255" i="1" s="1"/>
  <c r="E255" i="1"/>
  <c r="I255" i="1"/>
  <c r="K255" i="1"/>
  <c r="C256" i="1"/>
  <c r="D256" i="1"/>
  <c r="H256" i="1" s="1"/>
  <c r="E256" i="1"/>
  <c r="I256" i="1"/>
  <c r="K256" i="1"/>
  <c r="C257" i="1"/>
  <c r="D257" i="1"/>
  <c r="H257" i="1" s="1"/>
  <c r="E257" i="1"/>
  <c r="I257" i="1"/>
  <c r="K257" i="1"/>
  <c r="C258" i="1"/>
  <c r="D258" i="1"/>
  <c r="H258" i="1" s="1"/>
  <c r="E258" i="1"/>
  <c r="I258" i="1"/>
  <c r="K258" i="1"/>
  <c r="C259" i="1"/>
  <c r="D259" i="1"/>
  <c r="H259" i="1" s="1"/>
  <c r="E259" i="1"/>
  <c r="I259" i="1"/>
  <c r="K259" i="1"/>
  <c r="C260" i="1"/>
  <c r="D260" i="1"/>
  <c r="H260" i="1" s="1"/>
  <c r="E260" i="1"/>
  <c r="I260" i="1"/>
  <c r="K260" i="1"/>
  <c r="C261" i="1"/>
  <c r="D261" i="1"/>
  <c r="H261" i="1" s="1"/>
  <c r="E261" i="1"/>
  <c r="I261" i="1"/>
  <c r="K261" i="1"/>
  <c r="C262" i="1"/>
  <c r="D262" i="1"/>
  <c r="H262" i="1" s="1"/>
  <c r="E262" i="1"/>
  <c r="I262" i="1"/>
  <c r="K262" i="1"/>
  <c r="C263" i="1"/>
  <c r="D263" i="1"/>
  <c r="H263" i="1" s="1"/>
  <c r="E263" i="1"/>
  <c r="I263" i="1"/>
  <c r="K263" i="1"/>
  <c r="C264" i="1"/>
  <c r="D264" i="1"/>
  <c r="H264" i="1" s="1"/>
  <c r="E264" i="1"/>
  <c r="I264" i="1"/>
  <c r="K264" i="1"/>
  <c r="C265" i="1"/>
  <c r="D265" i="1"/>
  <c r="H265" i="1" s="1"/>
  <c r="E265" i="1"/>
  <c r="I265" i="1"/>
  <c r="K265" i="1"/>
  <c r="C266" i="1"/>
  <c r="D266" i="1"/>
  <c r="H266" i="1" s="1"/>
  <c r="E266" i="1"/>
  <c r="I266" i="1"/>
  <c r="K266" i="1"/>
  <c r="C267" i="1"/>
  <c r="D267" i="1"/>
  <c r="H267" i="1" s="1"/>
  <c r="E267" i="1"/>
  <c r="I267" i="1"/>
  <c r="K267" i="1"/>
  <c r="C268" i="1"/>
  <c r="D268" i="1"/>
  <c r="H268" i="1" s="1"/>
  <c r="E268" i="1"/>
  <c r="I268" i="1"/>
  <c r="K268" i="1"/>
  <c r="C269" i="1"/>
  <c r="D269" i="1"/>
  <c r="H269" i="1" s="1"/>
  <c r="E269" i="1"/>
  <c r="I269" i="1"/>
  <c r="K269" i="1"/>
  <c r="C270" i="1"/>
  <c r="D270" i="1"/>
  <c r="H270" i="1" s="1"/>
  <c r="E270" i="1"/>
  <c r="I270" i="1"/>
  <c r="K270" i="1"/>
  <c r="C271" i="1"/>
  <c r="D271" i="1"/>
  <c r="H271" i="1" s="1"/>
  <c r="E271" i="1"/>
  <c r="I271" i="1"/>
  <c r="K271" i="1"/>
  <c r="C272" i="1"/>
  <c r="D272" i="1"/>
  <c r="H272" i="1" s="1"/>
  <c r="E272" i="1"/>
  <c r="I272" i="1"/>
  <c r="K272" i="1"/>
  <c r="C273" i="1"/>
  <c r="D273" i="1"/>
  <c r="H273" i="1" s="1"/>
  <c r="E273" i="1"/>
  <c r="I273" i="1"/>
  <c r="K273" i="1"/>
  <c r="C274" i="1"/>
  <c r="D274" i="1"/>
  <c r="H274" i="1" s="1"/>
  <c r="E274" i="1"/>
  <c r="I274" i="1"/>
  <c r="K274" i="1"/>
  <c r="C275" i="1"/>
  <c r="D275" i="1"/>
  <c r="H275" i="1" s="1"/>
  <c r="E275" i="1"/>
  <c r="I275" i="1"/>
  <c r="K275" i="1"/>
  <c r="C276" i="1"/>
  <c r="D276" i="1"/>
  <c r="H276" i="1" s="1"/>
  <c r="E276" i="1"/>
  <c r="I276" i="1"/>
  <c r="K276" i="1"/>
  <c r="C277" i="1"/>
  <c r="D277" i="1"/>
  <c r="H277" i="1" s="1"/>
  <c r="E277" i="1"/>
  <c r="I277" i="1"/>
  <c r="K277" i="1"/>
  <c r="C278" i="1"/>
  <c r="D278" i="1"/>
  <c r="H278" i="1" s="1"/>
  <c r="E278" i="1"/>
  <c r="I278" i="1"/>
  <c r="K278" i="1"/>
  <c r="C279" i="1"/>
  <c r="D279" i="1"/>
  <c r="H279" i="1" s="1"/>
  <c r="E279" i="1"/>
  <c r="I279" i="1"/>
  <c r="K279" i="1"/>
  <c r="C280" i="1"/>
  <c r="D280" i="1"/>
  <c r="H280" i="1" s="1"/>
  <c r="E280" i="1"/>
  <c r="I280" i="1"/>
  <c r="K280" i="1"/>
  <c r="C281" i="1"/>
  <c r="D281" i="1"/>
  <c r="H281" i="1" s="1"/>
  <c r="E281" i="1"/>
  <c r="I281" i="1"/>
  <c r="K281" i="1"/>
  <c r="C282" i="1"/>
  <c r="D282" i="1"/>
  <c r="H282" i="1" s="1"/>
  <c r="E282" i="1"/>
  <c r="I282" i="1"/>
  <c r="K282" i="1"/>
  <c r="C283" i="1"/>
  <c r="D283" i="1"/>
  <c r="H283" i="1" s="1"/>
  <c r="E283" i="1"/>
  <c r="I283" i="1"/>
  <c r="K283" i="1"/>
  <c r="C284" i="1"/>
  <c r="D284" i="1"/>
  <c r="H284" i="1" s="1"/>
  <c r="E284" i="1"/>
  <c r="I284" i="1"/>
  <c r="K284" i="1"/>
  <c r="C285" i="1"/>
  <c r="D285" i="1"/>
  <c r="H285" i="1" s="1"/>
  <c r="E285" i="1"/>
  <c r="I285" i="1"/>
  <c r="K285" i="1"/>
  <c r="C286" i="1"/>
  <c r="D286" i="1"/>
  <c r="H286" i="1" s="1"/>
  <c r="E286" i="1"/>
  <c r="I286" i="1"/>
  <c r="K286" i="1"/>
  <c r="C287" i="1"/>
  <c r="D287" i="1"/>
  <c r="H287" i="1" s="1"/>
  <c r="E287" i="1"/>
  <c r="I287" i="1"/>
  <c r="K287" i="1"/>
  <c r="C288" i="1"/>
  <c r="D288" i="1"/>
  <c r="H288" i="1" s="1"/>
  <c r="E288" i="1"/>
  <c r="I288" i="1"/>
  <c r="K288" i="1"/>
  <c r="C289" i="1"/>
  <c r="D289" i="1"/>
  <c r="H289" i="1" s="1"/>
  <c r="E289" i="1"/>
  <c r="I289" i="1"/>
  <c r="K289" i="1"/>
  <c r="C290" i="1"/>
  <c r="D290" i="1"/>
  <c r="H290" i="1" s="1"/>
  <c r="E290" i="1"/>
  <c r="I290" i="1"/>
  <c r="K290" i="1"/>
  <c r="C291" i="1"/>
  <c r="D291" i="1"/>
  <c r="H291" i="1" s="1"/>
  <c r="E291" i="1"/>
  <c r="I291" i="1"/>
  <c r="K291" i="1"/>
  <c r="C292" i="1"/>
  <c r="D292" i="1"/>
  <c r="H292" i="1" s="1"/>
  <c r="E292" i="1"/>
  <c r="I292" i="1"/>
  <c r="K292" i="1"/>
  <c r="C293" i="1"/>
  <c r="D293" i="1"/>
  <c r="H293" i="1" s="1"/>
  <c r="E293" i="1"/>
  <c r="I293" i="1"/>
  <c r="K293" i="1"/>
  <c r="C294" i="1"/>
  <c r="D294" i="1"/>
  <c r="H294" i="1" s="1"/>
  <c r="E294" i="1"/>
  <c r="I294" i="1"/>
  <c r="K294" i="1"/>
  <c r="C295" i="1"/>
  <c r="D295" i="1"/>
  <c r="H295" i="1" s="1"/>
  <c r="E295" i="1"/>
  <c r="I295" i="1"/>
  <c r="K295" i="1"/>
  <c r="C296" i="1"/>
  <c r="D296" i="1"/>
  <c r="H296" i="1" s="1"/>
  <c r="E296" i="1"/>
  <c r="I296" i="1"/>
  <c r="K296" i="1"/>
  <c r="C297" i="1"/>
  <c r="D297" i="1"/>
  <c r="H297" i="1" s="1"/>
  <c r="E297" i="1"/>
  <c r="I297" i="1"/>
  <c r="K297" i="1"/>
  <c r="C298" i="1"/>
  <c r="D298" i="1"/>
  <c r="H298" i="1" s="1"/>
  <c r="E298" i="1"/>
  <c r="I298" i="1"/>
  <c r="K298" i="1"/>
  <c r="C299" i="1"/>
  <c r="D299" i="1"/>
  <c r="H299" i="1" s="1"/>
  <c r="E299" i="1"/>
  <c r="I299" i="1"/>
  <c r="K299" i="1"/>
  <c r="C300" i="1"/>
  <c r="D300" i="1"/>
  <c r="H300" i="1" s="1"/>
  <c r="E300" i="1"/>
  <c r="I300" i="1"/>
  <c r="K300" i="1"/>
  <c r="C301" i="1"/>
  <c r="D301" i="1"/>
  <c r="H301" i="1" s="1"/>
  <c r="E301" i="1"/>
  <c r="I301" i="1"/>
  <c r="K301" i="1"/>
  <c r="C302" i="1"/>
  <c r="D302" i="1"/>
  <c r="H302" i="1" s="1"/>
  <c r="E302" i="1"/>
  <c r="I302" i="1"/>
  <c r="K302" i="1"/>
  <c r="C303" i="1"/>
  <c r="D303" i="1"/>
  <c r="H303" i="1" s="1"/>
  <c r="E303" i="1"/>
  <c r="I303" i="1"/>
  <c r="K303" i="1"/>
  <c r="C304" i="1"/>
  <c r="D304" i="1"/>
  <c r="H304" i="1" s="1"/>
  <c r="E304" i="1"/>
  <c r="I304" i="1"/>
  <c r="K304" i="1"/>
  <c r="C305" i="1"/>
  <c r="D305" i="1"/>
  <c r="H305" i="1" s="1"/>
  <c r="E305" i="1"/>
  <c r="I305" i="1"/>
  <c r="K305" i="1"/>
  <c r="C306" i="1"/>
  <c r="D306" i="1"/>
  <c r="H306" i="1" s="1"/>
  <c r="E306" i="1"/>
  <c r="I306" i="1"/>
  <c r="K306" i="1"/>
  <c r="C307" i="1"/>
  <c r="D307" i="1"/>
  <c r="H307" i="1" s="1"/>
  <c r="E307" i="1"/>
  <c r="I307" i="1"/>
  <c r="K307" i="1"/>
  <c r="C308" i="1"/>
  <c r="D308" i="1"/>
  <c r="H308" i="1" s="1"/>
  <c r="E308" i="1"/>
  <c r="I308" i="1"/>
  <c r="K308" i="1"/>
  <c r="C309" i="1"/>
  <c r="D309" i="1"/>
  <c r="H309" i="1" s="1"/>
  <c r="E309" i="1"/>
  <c r="I309" i="1"/>
  <c r="K309" i="1"/>
  <c r="C310" i="1"/>
  <c r="D310" i="1"/>
  <c r="H310" i="1" s="1"/>
  <c r="E310" i="1"/>
  <c r="I310" i="1"/>
  <c r="K310" i="1"/>
  <c r="C311" i="1"/>
  <c r="D311" i="1"/>
  <c r="H311" i="1" s="1"/>
  <c r="E311" i="1"/>
  <c r="I311" i="1"/>
  <c r="K311" i="1"/>
  <c r="C312" i="1"/>
  <c r="D312" i="1"/>
  <c r="H312" i="1" s="1"/>
  <c r="E312" i="1"/>
  <c r="I312" i="1"/>
  <c r="K312" i="1"/>
  <c r="C313" i="1"/>
  <c r="D313" i="1"/>
  <c r="H313" i="1" s="1"/>
  <c r="E313" i="1"/>
  <c r="I313" i="1"/>
  <c r="K313" i="1"/>
  <c r="C314" i="1"/>
  <c r="D314" i="1"/>
  <c r="H314" i="1" s="1"/>
  <c r="E314" i="1"/>
  <c r="I314" i="1"/>
  <c r="K314" i="1"/>
  <c r="C315" i="1"/>
  <c r="D315" i="1"/>
  <c r="H315" i="1" s="1"/>
  <c r="E315" i="1"/>
  <c r="I315" i="1"/>
  <c r="K315" i="1"/>
  <c r="C316" i="1"/>
  <c r="D316" i="1"/>
  <c r="H316" i="1" s="1"/>
  <c r="E316" i="1"/>
  <c r="I316" i="1"/>
  <c r="K316" i="1"/>
  <c r="C317" i="1"/>
  <c r="D317" i="1"/>
  <c r="H317" i="1" s="1"/>
  <c r="E317" i="1"/>
  <c r="I317" i="1"/>
  <c r="K317" i="1"/>
  <c r="C318" i="1"/>
  <c r="D318" i="1"/>
  <c r="H318" i="1" s="1"/>
  <c r="E318" i="1"/>
  <c r="I318" i="1"/>
  <c r="K318" i="1"/>
  <c r="C319" i="1"/>
  <c r="D319" i="1"/>
  <c r="H319" i="1" s="1"/>
  <c r="E319" i="1"/>
  <c r="I319" i="1"/>
  <c r="K319" i="1"/>
  <c r="C320" i="1"/>
  <c r="D320" i="1"/>
  <c r="H320" i="1" s="1"/>
  <c r="E320" i="1"/>
  <c r="I320" i="1"/>
  <c r="K320" i="1"/>
  <c r="C321" i="1"/>
  <c r="D321" i="1"/>
  <c r="H321" i="1" s="1"/>
  <c r="E321" i="1"/>
  <c r="I321" i="1"/>
  <c r="K321" i="1"/>
  <c r="C322" i="1"/>
  <c r="D322" i="1"/>
  <c r="H322" i="1" s="1"/>
  <c r="E322" i="1"/>
  <c r="I322" i="1"/>
  <c r="K322" i="1"/>
  <c r="C323" i="1"/>
  <c r="D323" i="1"/>
  <c r="H323" i="1" s="1"/>
  <c r="E323" i="1"/>
  <c r="I323" i="1"/>
  <c r="K323" i="1"/>
  <c r="C324" i="1"/>
  <c r="D324" i="1"/>
  <c r="H324" i="1" s="1"/>
  <c r="E324" i="1"/>
  <c r="I324" i="1"/>
  <c r="K324" i="1"/>
  <c r="C325" i="1"/>
  <c r="D325" i="1"/>
  <c r="H325" i="1" s="1"/>
  <c r="E325" i="1"/>
  <c r="I325" i="1"/>
  <c r="K325" i="1"/>
  <c r="C326" i="1"/>
  <c r="D326" i="1"/>
  <c r="H326" i="1" s="1"/>
  <c r="E326" i="1"/>
  <c r="I326" i="1"/>
  <c r="K326" i="1"/>
  <c r="C327" i="1"/>
  <c r="D327" i="1"/>
  <c r="H327" i="1" s="1"/>
  <c r="E327" i="1"/>
  <c r="I327" i="1"/>
  <c r="K327" i="1"/>
  <c r="C328" i="1"/>
  <c r="D328" i="1"/>
  <c r="H328" i="1" s="1"/>
  <c r="E328" i="1"/>
  <c r="I328" i="1"/>
  <c r="K328" i="1"/>
  <c r="C329" i="1"/>
  <c r="D329" i="1"/>
  <c r="H329" i="1" s="1"/>
  <c r="E329" i="1"/>
  <c r="I329" i="1"/>
  <c r="K329" i="1"/>
  <c r="C330" i="1"/>
  <c r="D330" i="1"/>
  <c r="H330" i="1" s="1"/>
  <c r="E330" i="1"/>
  <c r="I330" i="1"/>
  <c r="K330" i="1"/>
  <c r="C331" i="1"/>
  <c r="D331" i="1"/>
  <c r="H331" i="1" s="1"/>
  <c r="E331" i="1"/>
  <c r="I331" i="1"/>
  <c r="K331" i="1"/>
  <c r="C332" i="1"/>
  <c r="D332" i="1"/>
  <c r="H332" i="1" s="1"/>
  <c r="E332" i="1"/>
  <c r="I332" i="1"/>
  <c r="K332" i="1"/>
  <c r="C333" i="1"/>
  <c r="D333" i="1"/>
  <c r="H333" i="1" s="1"/>
  <c r="E333" i="1"/>
  <c r="I333" i="1"/>
  <c r="K333" i="1"/>
  <c r="C334" i="1"/>
  <c r="D334" i="1"/>
  <c r="H334" i="1" s="1"/>
  <c r="E334" i="1"/>
  <c r="I334" i="1"/>
  <c r="K334" i="1"/>
  <c r="C335" i="1"/>
  <c r="D335" i="1"/>
  <c r="H335" i="1" s="1"/>
  <c r="E335" i="1"/>
  <c r="I335" i="1"/>
  <c r="K335" i="1"/>
  <c r="C336" i="1"/>
  <c r="D336" i="1"/>
  <c r="H336" i="1" s="1"/>
  <c r="E336" i="1"/>
  <c r="I336" i="1"/>
  <c r="K336" i="1"/>
  <c r="C337" i="1"/>
  <c r="D337" i="1"/>
  <c r="H337" i="1" s="1"/>
  <c r="E337" i="1"/>
  <c r="I337" i="1"/>
  <c r="K337" i="1"/>
  <c r="C338" i="1"/>
  <c r="D338" i="1"/>
  <c r="H338" i="1" s="1"/>
  <c r="E338" i="1"/>
  <c r="I338" i="1"/>
  <c r="K338" i="1"/>
  <c r="C339" i="1"/>
  <c r="D339" i="1"/>
  <c r="H339" i="1" s="1"/>
  <c r="E339" i="1"/>
  <c r="I339" i="1"/>
  <c r="K339" i="1"/>
  <c r="C340" i="1"/>
  <c r="D340" i="1"/>
  <c r="H340" i="1" s="1"/>
  <c r="E340" i="1"/>
  <c r="I340" i="1"/>
  <c r="K340" i="1"/>
  <c r="C341" i="1"/>
  <c r="D341" i="1"/>
  <c r="H341" i="1" s="1"/>
  <c r="E341" i="1"/>
  <c r="I341" i="1"/>
  <c r="K341" i="1"/>
  <c r="C342" i="1"/>
  <c r="D342" i="1"/>
  <c r="H342" i="1" s="1"/>
  <c r="E342" i="1"/>
  <c r="I342" i="1"/>
  <c r="K342" i="1"/>
  <c r="C343" i="1"/>
  <c r="D343" i="1"/>
  <c r="H343" i="1" s="1"/>
  <c r="E343" i="1"/>
  <c r="I343" i="1"/>
  <c r="K343" i="1"/>
  <c r="C344" i="1"/>
  <c r="D344" i="1"/>
  <c r="H344" i="1" s="1"/>
  <c r="E344" i="1"/>
  <c r="I344" i="1"/>
  <c r="K344" i="1"/>
  <c r="C345" i="1"/>
  <c r="D345" i="1"/>
  <c r="H345" i="1" s="1"/>
  <c r="E345" i="1"/>
  <c r="I345" i="1"/>
  <c r="K345" i="1"/>
  <c r="C346" i="1"/>
  <c r="D346" i="1"/>
  <c r="H346" i="1" s="1"/>
  <c r="E346" i="1"/>
  <c r="I346" i="1"/>
  <c r="K346" i="1"/>
  <c r="C347" i="1"/>
  <c r="D347" i="1"/>
  <c r="H347" i="1" s="1"/>
  <c r="E347" i="1"/>
  <c r="I347" i="1"/>
  <c r="K347" i="1"/>
  <c r="C348" i="1"/>
  <c r="D348" i="1"/>
  <c r="H348" i="1" s="1"/>
  <c r="E348" i="1"/>
  <c r="I348" i="1"/>
  <c r="K348" i="1"/>
  <c r="C349" i="1"/>
  <c r="D349" i="1"/>
  <c r="H349" i="1" s="1"/>
  <c r="E349" i="1"/>
  <c r="I349" i="1"/>
  <c r="K349" i="1"/>
  <c r="C350" i="1"/>
  <c r="D350" i="1"/>
  <c r="H350" i="1" s="1"/>
  <c r="E350" i="1"/>
  <c r="I350" i="1"/>
  <c r="K350" i="1"/>
  <c r="C351" i="1"/>
  <c r="D351" i="1"/>
  <c r="H351" i="1" s="1"/>
  <c r="E351" i="1"/>
  <c r="I351" i="1"/>
  <c r="K351" i="1"/>
  <c r="C352" i="1"/>
  <c r="D352" i="1"/>
  <c r="H352" i="1" s="1"/>
  <c r="E352" i="1"/>
  <c r="I352" i="1"/>
  <c r="K352" i="1"/>
  <c r="C353" i="1"/>
  <c r="D353" i="1"/>
  <c r="H353" i="1" s="1"/>
  <c r="E353" i="1"/>
  <c r="I353" i="1"/>
  <c r="K353" i="1"/>
  <c r="C354" i="1"/>
  <c r="D354" i="1"/>
  <c r="H354" i="1" s="1"/>
  <c r="E354" i="1"/>
  <c r="I354" i="1"/>
  <c r="K354" i="1"/>
  <c r="C355" i="1"/>
  <c r="D355" i="1"/>
  <c r="H355" i="1" s="1"/>
  <c r="E355" i="1"/>
  <c r="I355" i="1"/>
  <c r="K355" i="1"/>
  <c r="C356" i="1"/>
  <c r="D356" i="1"/>
  <c r="H356" i="1" s="1"/>
  <c r="E356" i="1"/>
  <c r="I356" i="1"/>
  <c r="K356" i="1"/>
  <c r="C357" i="1"/>
  <c r="D357" i="1"/>
  <c r="H357" i="1" s="1"/>
  <c r="E357" i="1"/>
  <c r="I357" i="1"/>
  <c r="K357" i="1"/>
  <c r="C358" i="1"/>
  <c r="D358" i="1"/>
  <c r="H358" i="1" s="1"/>
  <c r="E358" i="1"/>
  <c r="I358" i="1"/>
  <c r="K358" i="1"/>
  <c r="C359" i="1"/>
  <c r="D359" i="1"/>
  <c r="H359" i="1" s="1"/>
  <c r="E359" i="1"/>
  <c r="I359" i="1"/>
  <c r="K359" i="1"/>
  <c r="C360" i="1"/>
  <c r="D360" i="1"/>
  <c r="H360" i="1" s="1"/>
  <c r="E360" i="1"/>
  <c r="I360" i="1"/>
  <c r="K360" i="1"/>
  <c r="C361" i="1"/>
  <c r="D361" i="1"/>
  <c r="H361" i="1" s="1"/>
  <c r="E361" i="1"/>
  <c r="I361" i="1"/>
  <c r="K361" i="1"/>
  <c r="C362" i="1"/>
  <c r="D362" i="1"/>
  <c r="H362" i="1" s="1"/>
  <c r="E362" i="1"/>
  <c r="I362" i="1"/>
  <c r="K362" i="1"/>
  <c r="C363" i="1"/>
  <c r="D363" i="1"/>
  <c r="H363" i="1" s="1"/>
  <c r="E363" i="1"/>
  <c r="I363" i="1"/>
  <c r="K363" i="1"/>
  <c r="C364" i="1"/>
  <c r="D364" i="1"/>
  <c r="H364" i="1" s="1"/>
  <c r="E364" i="1"/>
  <c r="I364" i="1"/>
  <c r="K364" i="1"/>
  <c r="C365" i="1"/>
  <c r="D365" i="1"/>
  <c r="H365" i="1" s="1"/>
  <c r="E365" i="1"/>
  <c r="I365" i="1"/>
  <c r="K365" i="1"/>
  <c r="C366" i="1"/>
  <c r="D366" i="1"/>
  <c r="H366" i="1" s="1"/>
  <c r="E366" i="1"/>
  <c r="I366" i="1"/>
  <c r="K366" i="1"/>
  <c r="C367" i="1"/>
  <c r="D367" i="1"/>
  <c r="H367" i="1" s="1"/>
  <c r="E367" i="1"/>
  <c r="I367" i="1"/>
  <c r="K367" i="1"/>
  <c r="C368" i="1"/>
  <c r="D368" i="1"/>
  <c r="H368" i="1" s="1"/>
  <c r="E368" i="1"/>
  <c r="I368" i="1"/>
  <c r="K368" i="1"/>
  <c r="C369" i="1"/>
  <c r="D369" i="1"/>
  <c r="H369" i="1" s="1"/>
  <c r="E369" i="1"/>
  <c r="I369" i="1"/>
  <c r="K369" i="1"/>
  <c r="C370" i="1"/>
  <c r="D370" i="1"/>
  <c r="H370" i="1" s="1"/>
  <c r="E370" i="1"/>
  <c r="I370" i="1"/>
  <c r="K370" i="1"/>
  <c r="C371" i="1"/>
  <c r="D371" i="1"/>
  <c r="H371" i="1" s="1"/>
  <c r="E371" i="1"/>
  <c r="I371" i="1"/>
  <c r="K371" i="1"/>
  <c r="C372" i="1"/>
  <c r="D372" i="1"/>
  <c r="H372" i="1" s="1"/>
  <c r="E372" i="1"/>
  <c r="I372" i="1"/>
  <c r="K372" i="1"/>
  <c r="C373" i="1"/>
  <c r="D373" i="1"/>
  <c r="H373" i="1" s="1"/>
  <c r="E373" i="1"/>
  <c r="I373" i="1"/>
  <c r="K373" i="1"/>
  <c r="C374" i="1"/>
  <c r="D374" i="1"/>
  <c r="H374" i="1" s="1"/>
  <c r="E374" i="1"/>
  <c r="I374" i="1"/>
  <c r="K374" i="1"/>
  <c r="C375" i="1"/>
  <c r="D375" i="1"/>
  <c r="H375" i="1" s="1"/>
  <c r="E375" i="1"/>
  <c r="I375" i="1"/>
  <c r="K375" i="1"/>
  <c r="C376" i="1"/>
  <c r="D376" i="1"/>
  <c r="H376" i="1" s="1"/>
  <c r="E376" i="1"/>
  <c r="I376" i="1"/>
  <c r="K376" i="1"/>
  <c r="C377" i="1"/>
  <c r="D377" i="1"/>
  <c r="H377" i="1" s="1"/>
  <c r="E377" i="1"/>
  <c r="I377" i="1"/>
  <c r="K377" i="1"/>
  <c r="C378" i="1"/>
  <c r="D378" i="1"/>
  <c r="H378" i="1" s="1"/>
  <c r="E378" i="1"/>
  <c r="I378" i="1"/>
  <c r="K378" i="1"/>
  <c r="C379" i="1"/>
  <c r="D379" i="1"/>
  <c r="H379" i="1" s="1"/>
  <c r="E379" i="1"/>
  <c r="I379" i="1"/>
  <c r="K379" i="1"/>
  <c r="C380" i="1"/>
  <c r="D380" i="1"/>
  <c r="H380" i="1" s="1"/>
  <c r="E380" i="1"/>
  <c r="I380" i="1"/>
  <c r="K380" i="1"/>
  <c r="C381" i="1"/>
  <c r="D381" i="1"/>
  <c r="H381" i="1" s="1"/>
  <c r="E381" i="1"/>
  <c r="I381" i="1"/>
  <c r="K381" i="1"/>
  <c r="C382" i="1"/>
  <c r="D382" i="1"/>
  <c r="H382" i="1" s="1"/>
  <c r="E382" i="1"/>
  <c r="I382" i="1"/>
  <c r="K382" i="1"/>
  <c r="C383" i="1"/>
  <c r="D383" i="1"/>
  <c r="H383" i="1" s="1"/>
  <c r="E383" i="1"/>
  <c r="I383" i="1"/>
  <c r="K383" i="1"/>
  <c r="C384" i="1"/>
  <c r="D384" i="1"/>
  <c r="H384" i="1" s="1"/>
  <c r="E384" i="1"/>
  <c r="I384" i="1"/>
  <c r="K384" i="1"/>
  <c r="C385" i="1"/>
  <c r="D385" i="1"/>
  <c r="H385" i="1" s="1"/>
  <c r="E385" i="1"/>
  <c r="I385" i="1"/>
  <c r="K385" i="1"/>
  <c r="C386" i="1"/>
  <c r="D386" i="1"/>
  <c r="H386" i="1" s="1"/>
  <c r="E386" i="1"/>
  <c r="I386" i="1"/>
  <c r="K386" i="1"/>
  <c r="C387" i="1"/>
  <c r="D387" i="1"/>
  <c r="H387" i="1" s="1"/>
  <c r="E387" i="1"/>
  <c r="I387" i="1"/>
  <c r="K387" i="1"/>
  <c r="C388" i="1"/>
  <c r="D388" i="1"/>
  <c r="H388" i="1" s="1"/>
  <c r="E388" i="1"/>
  <c r="I388" i="1"/>
  <c r="K388" i="1"/>
  <c r="C389" i="1"/>
  <c r="D389" i="1"/>
  <c r="H389" i="1" s="1"/>
  <c r="E389" i="1"/>
  <c r="I389" i="1"/>
  <c r="K389" i="1"/>
  <c r="C390" i="1"/>
  <c r="D390" i="1"/>
  <c r="H390" i="1" s="1"/>
  <c r="E390" i="1"/>
  <c r="I390" i="1"/>
  <c r="K390" i="1"/>
  <c r="C391" i="1"/>
  <c r="D391" i="1"/>
  <c r="H391" i="1" s="1"/>
  <c r="E391" i="1"/>
  <c r="I391" i="1"/>
  <c r="K391" i="1"/>
  <c r="C392" i="1"/>
  <c r="D392" i="1"/>
  <c r="H392" i="1" s="1"/>
  <c r="E392" i="1"/>
  <c r="I392" i="1"/>
  <c r="K392" i="1"/>
  <c r="C393" i="1"/>
  <c r="D393" i="1"/>
  <c r="H393" i="1" s="1"/>
  <c r="E393" i="1"/>
  <c r="I393" i="1"/>
  <c r="K393" i="1"/>
  <c r="C394" i="1"/>
  <c r="D394" i="1"/>
  <c r="H394" i="1" s="1"/>
  <c r="E394" i="1"/>
  <c r="I394" i="1"/>
  <c r="K394" i="1"/>
  <c r="C395" i="1"/>
  <c r="D395" i="1"/>
  <c r="H395" i="1" s="1"/>
  <c r="E395" i="1"/>
  <c r="I395" i="1"/>
  <c r="K395" i="1"/>
  <c r="C396" i="1"/>
  <c r="D396" i="1"/>
  <c r="H396" i="1" s="1"/>
  <c r="E396" i="1"/>
  <c r="I396" i="1"/>
  <c r="K396" i="1"/>
  <c r="C397" i="1"/>
  <c r="D397" i="1"/>
  <c r="H397" i="1" s="1"/>
  <c r="E397" i="1"/>
  <c r="I397" i="1"/>
  <c r="K397" i="1"/>
  <c r="C398" i="1"/>
  <c r="D398" i="1"/>
  <c r="H398" i="1" s="1"/>
  <c r="E398" i="1"/>
  <c r="I398" i="1"/>
  <c r="K398" i="1"/>
  <c r="C399" i="1"/>
  <c r="D399" i="1"/>
  <c r="H399" i="1" s="1"/>
  <c r="E399" i="1"/>
  <c r="I399" i="1"/>
  <c r="K399" i="1"/>
  <c r="C400" i="1"/>
  <c r="D400" i="1"/>
  <c r="H400" i="1" s="1"/>
  <c r="E400" i="1"/>
  <c r="I400" i="1"/>
  <c r="K400" i="1"/>
  <c r="C401" i="1"/>
  <c r="D401" i="1"/>
  <c r="H401" i="1" s="1"/>
  <c r="E401" i="1"/>
  <c r="I401" i="1"/>
  <c r="K401" i="1"/>
  <c r="C402" i="1"/>
  <c r="D402" i="1"/>
  <c r="H402" i="1" s="1"/>
  <c r="E402" i="1"/>
  <c r="I402" i="1"/>
  <c r="K402" i="1"/>
  <c r="C403" i="1"/>
  <c r="D403" i="1"/>
  <c r="H403" i="1" s="1"/>
  <c r="E403" i="1"/>
  <c r="I403" i="1"/>
  <c r="K403" i="1"/>
  <c r="C404" i="1"/>
  <c r="D404" i="1"/>
  <c r="H404" i="1" s="1"/>
  <c r="E404" i="1"/>
  <c r="I404" i="1"/>
  <c r="K404" i="1"/>
  <c r="C405" i="1"/>
  <c r="D405" i="1"/>
  <c r="H405" i="1" s="1"/>
  <c r="E405" i="1"/>
  <c r="I405" i="1"/>
  <c r="K405" i="1"/>
  <c r="C406" i="1"/>
  <c r="D406" i="1"/>
  <c r="H406" i="1" s="1"/>
  <c r="E406" i="1"/>
  <c r="I406" i="1"/>
  <c r="K406" i="1"/>
  <c r="C407" i="1"/>
  <c r="D407" i="1"/>
  <c r="H407" i="1" s="1"/>
  <c r="E407" i="1"/>
  <c r="I407" i="1"/>
  <c r="K407" i="1"/>
  <c r="C408" i="1"/>
  <c r="D408" i="1"/>
  <c r="H408" i="1" s="1"/>
  <c r="E408" i="1"/>
  <c r="I408" i="1"/>
  <c r="K408" i="1"/>
  <c r="C409" i="1"/>
  <c r="D409" i="1"/>
  <c r="H409" i="1" s="1"/>
  <c r="E409" i="1"/>
  <c r="I409" i="1"/>
  <c r="K409" i="1"/>
  <c r="C410" i="1"/>
  <c r="D410" i="1"/>
  <c r="H410" i="1" s="1"/>
  <c r="E410" i="1"/>
  <c r="I410" i="1"/>
  <c r="K410" i="1"/>
  <c r="C411" i="1"/>
  <c r="D411" i="1"/>
  <c r="H411" i="1" s="1"/>
  <c r="E411" i="1"/>
  <c r="I411" i="1"/>
  <c r="K411" i="1"/>
  <c r="C412" i="1"/>
  <c r="D412" i="1"/>
  <c r="H412" i="1" s="1"/>
  <c r="E412" i="1"/>
  <c r="I412" i="1"/>
  <c r="K412" i="1"/>
  <c r="C413" i="1"/>
  <c r="D413" i="1"/>
  <c r="H413" i="1" s="1"/>
  <c r="E413" i="1"/>
  <c r="I413" i="1"/>
  <c r="K413" i="1"/>
  <c r="C414" i="1"/>
  <c r="D414" i="1"/>
  <c r="H414" i="1" s="1"/>
  <c r="E414" i="1"/>
  <c r="I414" i="1"/>
  <c r="K414" i="1"/>
  <c r="C415" i="1"/>
  <c r="D415" i="1"/>
  <c r="H415" i="1" s="1"/>
  <c r="E415" i="1"/>
  <c r="I415" i="1"/>
  <c r="K415" i="1"/>
  <c r="C416" i="1"/>
  <c r="D416" i="1"/>
  <c r="H416" i="1" s="1"/>
  <c r="E416" i="1"/>
  <c r="I416" i="1"/>
  <c r="K416" i="1"/>
  <c r="C417" i="1"/>
  <c r="D417" i="1"/>
  <c r="H417" i="1" s="1"/>
  <c r="E417" i="1"/>
  <c r="I417" i="1"/>
  <c r="K417" i="1"/>
  <c r="C418" i="1"/>
  <c r="D418" i="1"/>
  <c r="H418" i="1" s="1"/>
  <c r="E418" i="1"/>
  <c r="I418" i="1"/>
  <c r="K418" i="1"/>
  <c r="C419" i="1"/>
  <c r="D419" i="1"/>
  <c r="H419" i="1" s="1"/>
  <c r="E419" i="1"/>
  <c r="I419" i="1"/>
  <c r="K419" i="1"/>
  <c r="C420" i="1"/>
  <c r="D420" i="1"/>
  <c r="H420" i="1" s="1"/>
  <c r="E420" i="1"/>
  <c r="I420" i="1"/>
  <c r="K420" i="1"/>
  <c r="C421" i="1"/>
  <c r="D421" i="1"/>
  <c r="H421" i="1" s="1"/>
  <c r="E421" i="1"/>
  <c r="I421" i="1"/>
  <c r="K421" i="1"/>
  <c r="C422" i="1"/>
  <c r="D422" i="1"/>
  <c r="H422" i="1" s="1"/>
  <c r="E422" i="1"/>
  <c r="I422" i="1"/>
  <c r="K422" i="1"/>
  <c r="C423" i="1"/>
  <c r="D423" i="1"/>
  <c r="H423" i="1" s="1"/>
  <c r="E423" i="1"/>
  <c r="I423" i="1"/>
  <c r="K423" i="1"/>
  <c r="C424" i="1"/>
  <c r="D424" i="1"/>
  <c r="H424" i="1" s="1"/>
  <c r="E424" i="1"/>
  <c r="I424" i="1"/>
  <c r="K424" i="1"/>
  <c r="C425" i="1"/>
  <c r="D425" i="1"/>
  <c r="H425" i="1" s="1"/>
  <c r="E425" i="1"/>
  <c r="I425" i="1"/>
  <c r="K425" i="1"/>
  <c r="C426" i="1"/>
  <c r="D426" i="1"/>
  <c r="H426" i="1" s="1"/>
  <c r="E426" i="1"/>
  <c r="I426" i="1"/>
  <c r="K426" i="1"/>
  <c r="C427" i="1"/>
  <c r="D427" i="1"/>
  <c r="H427" i="1" s="1"/>
  <c r="E427" i="1"/>
  <c r="I427" i="1"/>
  <c r="K427" i="1"/>
  <c r="C428" i="1"/>
  <c r="D428" i="1"/>
  <c r="H428" i="1" s="1"/>
  <c r="E428" i="1"/>
  <c r="I428" i="1"/>
  <c r="K428" i="1"/>
  <c r="C429" i="1"/>
  <c r="D429" i="1"/>
  <c r="H429" i="1" s="1"/>
  <c r="E429" i="1"/>
  <c r="I429" i="1"/>
  <c r="K429" i="1"/>
  <c r="C430" i="1"/>
  <c r="D430" i="1"/>
  <c r="H430" i="1" s="1"/>
  <c r="E430" i="1"/>
  <c r="I430" i="1"/>
  <c r="K430" i="1"/>
  <c r="C431" i="1"/>
  <c r="D431" i="1"/>
  <c r="H431" i="1" s="1"/>
  <c r="E431" i="1"/>
  <c r="I431" i="1"/>
  <c r="K431" i="1"/>
  <c r="C432" i="1"/>
  <c r="D432" i="1"/>
  <c r="H432" i="1" s="1"/>
  <c r="E432" i="1"/>
  <c r="I432" i="1"/>
  <c r="K432" i="1"/>
  <c r="C433" i="1"/>
  <c r="D433" i="1"/>
  <c r="H433" i="1" s="1"/>
  <c r="E433" i="1"/>
  <c r="I433" i="1"/>
  <c r="K433" i="1"/>
  <c r="C434" i="1"/>
  <c r="D434" i="1"/>
  <c r="H434" i="1" s="1"/>
  <c r="E434" i="1"/>
  <c r="I434" i="1"/>
  <c r="K434" i="1"/>
  <c r="C435" i="1"/>
  <c r="D435" i="1"/>
  <c r="H435" i="1" s="1"/>
  <c r="E435" i="1"/>
  <c r="I435" i="1"/>
  <c r="K435" i="1"/>
  <c r="C436" i="1"/>
  <c r="D436" i="1"/>
  <c r="H436" i="1" s="1"/>
  <c r="E436" i="1"/>
  <c r="I436" i="1"/>
  <c r="K436" i="1"/>
  <c r="C437" i="1"/>
  <c r="D437" i="1"/>
  <c r="H437" i="1" s="1"/>
  <c r="E437" i="1"/>
  <c r="I437" i="1"/>
  <c r="K437" i="1"/>
  <c r="C438" i="1"/>
  <c r="D438" i="1"/>
  <c r="H438" i="1" s="1"/>
  <c r="E438" i="1"/>
  <c r="I438" i="1"/>
  <c r="K438" i="1"/>
  <c r="C439" i="1"/>
  <c r="D439" i="1"/>
  <c r="H439" i="1" s="1"/>
  <c r="E439" i="1"/>
  <c r="I439" i="1"/>
  <c r="K439" i="1"/>
  <c r="C440" i="1"/>
  <c r="D440" i="1"/>
  <c r="H440" i="1" s="1"/>
  <c r="E440" i="1"/>
  <c r="I440" i="1"/>
  <c r="K440" i="1"/>
  <c r="C441" i="1"/>
  <c r="D441" i="1"/>
  <c r="H441" i="1" s="1"/>
  <c r="E441" i="1"/>
  <c r="I441" i="1"/>
  <c r="K441" i="1"/>
  <c r="C442" i="1"/>
  <c r="D442" i="1"/>
  <c r="H442" i="1" s="1"/>
  <c r="E442" i="1"/>
  <c r="I442" i="1"/>
  <c r="K442" i="1"/>
  <c r="C443" i="1"/>
  <c r="D443" i="1"/>
  <c r="H443" i="1" s="1"/>
  <c r="E443" i="1"/>
  <c r="I443" i="1"/>
  <c r="K443" i="1"/>
  <c r="C444" i="1"/>
  <c r="D444" i="1"/>
  <c r="H444" i="1" s="1"/>
  <c r="E444" i="1"/>
  <c r="I444" i="1"/>
  <c r="K444" i="1"/>
  <c r="C445" i="1"/>
  <c r="D445" i="1"/>
  <c r="H445" i="1" s="1"/>
  <c r="E445" i="1"/>
  <c r="I445" i="1"/>
  <c r="K445" i="1"/>
  <c r="C446" i="1"/>
  <c r="D446" i="1"/>
  <c r="H446" i="1" s="1"/>
  <c r="E446" i="1"/>
  <c r="I446" i="1"/>
  <c r="K446" i="1"/>
  <c r="C447" i="1"/>
  <c r="D447" i="1"/>
  <c r="H447" i="1" s="1"/>
  <c r="E447" i="1"/>
  <c r="I447" i="1"/>
  <c r="K447" i="1"/>
  <c r="C448" i="1"/>
  <c r="D448" i="1"/>
  <c r="H448" i="1" s="1"/>
  <c r="E448" i="1"/>
  <c r="I448" i="1"/>
  <c r="K448" i="1"/>
  <c r="C449" i="1"/>
  <c r="D449" i="1"/>
  <c r="H449" i="1" s="1"/>
  <c r="E449" i="1"/>
  <c r="I449" i="1"/>
  <c r="K449" i="1"/>
  <c r="C450" i="1"/>
  <c r="D450" i="1"/>
  <c r="H450" i="1" s="1"/>
  <c r="E450" i="1"/>
  <c r="I450" i="1"/>
  <c r="K450" i="1"/>
  <c r="C451" i="1"/>
  <c r="D451" i="1"/>
  <c r="H451" i="1" s="1"/>
  <c r="E451" i="1"/>
  <c r="I451" i="1"/>
  <c r="K451" i="1"/>
  <c r="C452" i="1"/>
  <c r="D452" i="1"/>
  <c r="H452" i="1" s="1"/>
  <c r="E452" i="1"/>
  <c r="I452" i="1"/>
  <c r="K452" i="1"/>
  <c r="C453" i="1"/>
  <c r="D453" i="1"/>
  <c r="H453" i="1" s="1"/>
  <c r="E453" i="1"/>
  <c r="I453" i="1"/>
  <c r="K453" i="1"/>
  <c r="C454" i="1"/>
  <c r="D454" i="1"/>
  <c r="H454" i="1" s="1"/>
  <c r="E454" i="1"/>
  <c r="I454" i="1"/>
  <c r="K454" i="1"/>
  <c r="C455" i="1"/>
  <c r="D455" i="1"/>
  <c r="H455" i="1" s="1"/>
  <c r="E455" i="1"/>
  <c r="I455" i="1"/>
  <c r="K455" i="1"/>
  <c r="C456" i="1"/>
  <c r="D456" i="1"/>
  <c r="H456" i="1" s="1"/>
  <c r="E456" i="1"/>
  <c r="I456" i="1"/>
  <c r="K456" i="1"/>
  <c r="C457" i="1"/>
  <c r="D457" i="1"/>
  <c r="H457" i="1" s="1"/>
  <c r="E457" i="1"/>
  <c r="I457" i="1"/>
  <c r="K457" i="1"/>
  <c r="C458" i="1"/>
  <c r="D458" i="1"/>
  <c r="H458" i="1" s="1"/>
  <c r="E458" i="1"/>
  <c r="I458" i="1"/>
  <c r="K458" i="1"/>
  <c r="C459" i="1"/>
  <c r="D459" i="1"/>
  <c r="H459" i="1" s="1"/>
  <c r="E459" i="1"/>
  <c r="I459" i="1"/>
  <c r="K459" i="1"/>
  <c r="C460" i="1"/>
  <c r="D460" i="1"/>
  <c r="H460" i="1" s="1"/>
  <c r="E460" i="1"/>
  <c r="I460" i="1"/>
  <c r="K460" i="1"/>
  <c r="C461" i="1"/>
  <c r="D461" i="1"/>
  <c r="H461" i="1" s="1"/>
  <c r="E461" i="1"/>
  <c r="I461" i="1"/>
  <c r="K461" i="1"/>
  <c r="C462" i="1"/>
  <c r="D462" i="1"/>
  <c r="H462" i="1" s="1"/>
  <c r="E462" i="1"/>
  <c r="I462" i="1"/>
  <c r="K462" i="1"/>
  <c r="C463" i="1"/>
  <c r="D463" i="1"/>
  <c r="H463" i="1" s="1"/>
  <c r="E463" i="1"/>
  <c r="I463" i="1"/>
  <c r="K463" i="1"/>
  <c r="C464" i="1"/>
  <c r="D464" i="1"/>
  <c r="H464" i="1" s="1"/>
  <c r="E464" i="1"/>
  <c r="I464" i="1"/>
  <c r="K464" i="1"/>
  <c r="C465" i="1"/>
  <c r="D465" i="1"/>
  <c r="H465" i="1" s="1"/>
  <c r="E465" i="1"/>
  <c r="I465" i="1"/>
  <c r="K465" i="1"/>
  <c r="C466" i="1"/>
  <c r="D466" i="1"/>
  <c r="H466" i="1" s="1"/>
  <c r="E466" i="1"/>
  <c r="I466" i="1"/>
  <c r="K466" i="1"/>
  <c r="C467" i="1"/>
  <c r="D467" i="1"/>
  <c r="H467" i="1" s="1"/>
  <c r="E467" i="1"/>
  <c r="I467" i="1"/>
  <c r="K467" i="1"/>
  <c r="C468" i="1"/>
  <c r="D468" i="1"/>
  <c r="H468" i="1" s="1"/>
  <c r="E468" i="1"/>
  <c r="I468" i="1"/>
  <c r="K468" i="1"/>
  <c r="C469" i="1"/>
  <c r="D469" i="1"/>
  <c r="H469" i="1" s="1"/>
  <c r="E469" i="1"/>
  <c r="I469" i="1"/>
  <c r="K469" i="1"/>
  <c r="C470" i="1"/>
  <c r="D470" i="1"/>
  <c r="H470" i="1" s="1"/>
  <c r="E470" i="1"/>
  <c r="I470" i="1"/>
  <c r="K470" i="1"/>
  <c r="C471" i="1"/>
  <c r="D471" i="1"/>
  <c r="H471" i="1" s="1"/>
  <c r="E471" i="1"/>
  <c r="I471" i="1"/>
  <c r="K471" i="1"/>
  <c r="C472" i="1"/>
  <c r="D472" i="1"/>
  <c r="H472" i="1" s="1"/>
  <c r="E472" i="1"/>
  <c r="I472" i="1"/>
  <c r="K472" i="1"/>
  <c r="C473" i="1"/>
  <c r="D473" i="1"/>
  <c r="H473" i="1" s="1"/>
  <c r="E473" i="1"/>
  <c r="I473" i="1"/>
  <c r="K473" i="1"/>
  <c r="C474" i="1"/>
  <c r="D474" i="1"/>
  <c r="H474" i="1" s="1"/>
  <c r="E474" i="1"/>
  <c r="I474" i="1"/>
  <c r="K474" i="1"/>
  <c r="C475" i="1"/>
  <c r="D475" i="1"/>
  <c r="H475" i="1" s="1"/>
  <c r="E475" i="1"/>
  <c r="I475" i="1"/>
  <c r="K475" i="1"/>
  <c r="C476" i="1"/>
  <c r="D476" i="1"/>
  <c r="H476" i="1" s="1"/>
  <c r="E476" i="1"/>
  <c r="I476" i="1"/>
  <c r="K476" i="1"/>
  <c r="C477" i="1"/>
  <c r="D477" i="1"/>
  <c r="H477" i="1" s="1"/>
  <c r="E477" i="1"/>
  <c r="I477" i="1"/>
  <c r="K477" i="1"/>
  <c r="C478" i="1"/>
  <c r="D478" i="1"/>
  <c r="H478" i="1" s="1"/>
  <c r="E478" i="1"/>
  <c r="I478" i="1"/>
  <c r="K478" i="1"/>
  <c r="C479" i="1"/>
  <c r="D479" i="1"/>
  <c r="H479" i="1" s="1"/>
  <c r="E479" i="1"/>
  <c r="I479" i="1"/>
  <c r="K479" i="1"/>
  <c r="C480" i="1"/>
  <c r="D480" i="1"/>
  <c r="H480" i="1" s="1"/>
  <c r="E480" i="1"/>
  <c r="I480" i="1"/>
  <c r="K480" i="1"/>
  <c r="C481" i="1"/>
  <c r="D481" i="1"/>
  <c r="H481" i="1" s="1"/>
  <c r="E481" i="1"/>
  <c r="I481" i="1"/>
  <c r="K481" i="1"/>
  <c r="C482" i="1"/>
  <c r="D482" i="1"/>
  <c r="H482" i="1" s="1"/>
  <c r="E482" i="1"/>
  <c r="I482" i="1"/>
  <c r="K482" i="1"/>
  <c r="C483" i="1"/>
  <c r="D483" i="1"/>
  <c r="H483" i="1" s="1"/>
  <c r="E483" i="1"/>
  <c r="I483" i="1"/>
  <c r="K483" i="1"/>
  <c r="C484" i="1"/>
  <c r="D484" i="1"/>
  <c r="H484" i="1" s="1"/>
  <c r="E484" i="1"/>
  <c r="I484" i="1"/>
  <c r="K484" i="1"/>
  <c r="C485" i="1"/>
  <c r="D485" i="1"/>
  <c r="H485" i="1" s="1"/>
  <c r="E485" i="1"/>
  <c r="I485" i="1"/>
  <c r="K485" i="1"/>
  <c r="C486" i="1"/>
  <c r="D486" i="1"/>
  <c r="H486" i="1" s="1"/>
  <c r="E486" i="1"/>
  <c r="I486" i="1"/>
  <c r="K486" i="1"/>
  <c r="C487" i="1"/>
  <c r="D487" i="1"/>
  <c r="H487" i="1" s="1"/>
  <c r="E487" i="1"/>
  <c r="I487" i="1"/>
  <c r="K487" i="1"/>
  <c r="C488" i="1"/>
  <c r="D488" i="1"/>
  <c r="H488" i="1" s="1"/>
  <c r="E488" i="1"/>
  <c r="I488" i="1"/>
  <c r="K488" i="1"/>
  <c r="C489" i="1"/>
  <c r="D489" i="1"/>
  <c r="H489" i="1" s="1"/>
  <c r="E489" i="1"/>
  <c r="I489" i="1"/>
  <c r="K489" i="1"/>
  <c r="C490" i="1"/>
  <c r="D490" i="1"/>
  <c r="H490" i="1" s="1"/>
  <c r="E490" i="1"/>
  <c r="I490" i="1"/>
  <c r="K490" i="1"/>
  <c r="C491" i="1"/>
  <c r="D491" i="1"/>
  <c r="H491" i="1" s="1"/>
  <c r="E491" i="1"/>
  <c r="I491" i="1"/>
  <c r="K491" i="1"/>
  <c r="C492" i="1"/>
  <c r="D492" i="1"/>
  <c r="H492" i="1" s="1"/>
  <c r="E492" i="1"/>
  <c r="I492" i="1"/>
  <c r="K492" i="1"/>
  <c r="C493" i="1"/>
  <c r="D493" i="1"/>
  <c r="H493" i="1" s="1"/>
  <c r="E493" i="1"/>
  <c r="I493" i="1"/>
  <c r="K493" i="1"/>
  <c r="C494" i="1"/>
  <c r="D494" i="1"/>
  <c r="H494" i="1" s="1"/>
  <c r="E494" i="1"/>
  <c r="I494" i="1"/>
  <c r="K494" i="1"/>
  <c r="C495" i="1"/>
  <c r="D495" i="1"/>
  <c r="H495" i="1" s="1"/>
  <c r="E495" i="1"/>
  <c r="I495" i="1"/>
  <c r="K495" i="1"/>
  <c r="C496" i="1"/>
  <c r="D496" i="1"/>
  <c r="H496" i="1" s="1"/>
  <c r="E496" i="1"/>
  <c r="I496" i="1"/>
  <c r="K496" i="1"/>
  <c r="C497" i="1"/>
  <c r="D497" i="1"/>
  <c r="H497" i="1" s="1"/>
  <c r="E497" i="1"/>
  <c r="I497" i="1"/>
  <c r="K497" i="1"/>
  <c r="C498" i="1"/>
  <c r="D498" i="1"/>
  <c r="H498" i="1" s="1"/>
  <c r="E498" i="1"/>
  <c r="I498" i="1"/>
  <c r="K498" i="1"/>
  <c r="C499" i="1"/>
  <c r="D499" i="1"/>
  <c r="H499" i="1" s="1"/>
  <c r="E499" i="1"/>
  <c r="I499" i="1"/>
  <c r="K499" i="1"/>
  <c r="C500" i="1"/>
  <c r="D500" i="1"/>
  <c r="H500" i="1" s="1"/>
  <c r="E500" i="1"/>
  <c r="I500" i="1"/>
  <c r="K500" i="1"/>
  <c r="C501" i="1"/>
  <c r="D501" i="1"/>
  <c r="H501" i="1" s="1"/>
  <c r="E501" i="1"/>
  <c r="I501" i="1"/>
  <c r="K501" i="1"/>
  <c r="C502" i="1"/>
  <c r="D502" i="1"/>
  <c r="H502" i="1" s="1"/>
  <c r="E502" i="1"/>
  <c r="I502" i="1"/>
  <c r="K502" i="1"/>
  <c r="C503" i="1"/>
  <c r="D503" i="1"/>
  <c r="H503" i="1" s="1"/>
  <c r="E503" i="1"/>
  <c r="I503" i="1"/>
  <c r="K503" i="1"/>
  <c r="C504" i="1"/>
  <c r="D504" i="1"/>
  <c r="H504" i="1" s="1"/>
  <c r="E504" i="1"/>
  <c r="I504" i="1"/>
  <c r="K504" i="1"/>
  <c r="C505" i="1"/>
  <c r="D505" i="1"/>
  <c r="H505" i="1" s="1"/>
  <c r="E505" i="1"/>
  <c r="I505" i="1"/>
  <c r="K505" i="1"/>
  <c r="C506" i="1"/>
  <c r="D506" i="1"/>
  <c r="H506" i="1" s="1"/>
  <c r="E506" i="1"/>
  <c r="I506" i="1"/>
  <c r="K506" i="1"/>
  <c r="C507" i="1"/>
  <c r="D507" i="1"/>
  <c r="H507" i="1" s="1"/>
  <c r="E507" i="1"/>
  <c r="I507" i="1"/>
  <c r="K507" i="1"/>
  <c r="C508" i="1"/>
  <c r="D508" i="1"/>
  <c r="H508" i="1" s="1"/>
  <c r="E508" i="1"/>
  <c r="I508" i="1"/>
  <c r="K508" i="1"/>
  <c r="C509" i="1"/>
  <c r="D509" i="1"/>
  <c r="H509" i="1" s="1"/>
  <c r="E509" i="1"/>
  <c r="I509" i="1"/>
  <c r="K509" i="1"/>
  <c r="C510" i="1"/>
  <c r="D510" i="1"/>
  <c r="H510" i="1" s="1"/>
  <c r="E510" i="1"/>
  <c r="I510" i="1"/>
  <c r="K510" i="1"/>
  <c r="C511" i="1"/>
  <c r="D511" i="1"/>
  <c r="H511" i="1" s="1"/>
  <c r="E511" i="1"/>
  <c r="I511" i="1"/>
  <c r="K511" i="1"/>
  <c r="C512" i="1"/>
  <c r="D512" i="1"/>
  <c r="H512" i="1" s="1"/>
  <c r="E512" i="1"/>
  <c r="I512" i="1"/>
  <c r="K512" i="1"/>
  <c r="C513" i="1"/>
  <c r="D513" i="1"/>
  <c r="H513" i="1" s="1"/>
  <c r="E513" i="1"/>
  <c r="I513" i="1"/>
  <c r="K513" i="1"/>
  <c r="C514" i="1"/>
  <c r="D514" i="1"/>
  <c r="H514" i="1" s="1"/>
  <c r="E514" i="1"/>
  <c r="I514" i="1"/>
  <c r="K514" i="1"/>
  <c r="C515" i="1"/>
  <c r="D515" i="1"/>
  <c r="H515" i="1" s="1"/>
  <c r="E515" i="1"/>
  <c r="I515" i="1"/>
  <c r="K515" i="1"/>
  <c r="C516" i="1"/>
  <c r="D516" i="1"/>
  <c r="H516" i="1" s="1"/>
  <c r="E516" i="1"/>
  <c r="I516" i="1"/>
  <c r="K516" i="1"/>
  <c r="C517" i="1"/>
  <c r="D517" i="1"/>
  <c r="H517" i="1" s="1"/>
  <c r="E517" i="1"/>
  <c r="I517" i="1"/>
  <c r="K517" i="1"/>
  <c r="C518" i="1"/>
  <c r="D518" i="1"/>
  <c r="H518" i="1" s="1"/>
  <c r="E518" i="1"/>
  <c r="I518" i="1"/>
  <c r="K518" i="1"/>
  <c r="C519" i="1"/>
  <c r="D519" i="1"/>
  <c r="H519" i="1" s="1"/>
  <c r="E519" i="1"/>
  <c r="I519" i="1"/>
  <c r="K519" i="1"/>
  <c r="C520" i="1"/>
  <c r="D520" i="1"/>
  <c r="H520" i="1" s="1"/>
  <c r="E520" i="1"/>
  <c r="I520" i="1"/>
  <c r="K520" i="1"/>
  <c r="C521" i="1"/>
  <c r="D521" i="1"/>
  <c r="H521" i="1" s="1"/>
  <c r="E521" i="1"/>
  <c r="I521" i="1"/>
  <c r="K521" i="1"/>
  <c r="C522" i="1"/>
  <c r="D522" i="1"/>
  <c r="H522" i="1" s="1"/>
  <c r="E522" i="1"/>
  <c r="I522" i="1"/>
  <c r="K522" i="1"/>
  <c r="C523" i="1"/>
  <c r="D523" i="1"/>
  <c r="H523" i="1" s="1"/>
  <c r="E523" i="1"/>
  <c r="I523" i="1"/>
  <c r="K523" i="1"/>
  <c r="C524" i="1"/>
  <c r="D524" i="1"/>
  <c r="H524" i="1" s="1"/>
  <c r="E524" i="1"/>
  <c r="I524" i="1"/>
  <c r="K524" i="1"/>
  <c r="C525" i="1"/>
  <c r="D525" i="1"/>
  <c r="H525" i="1" s="1"/>
  <c r="E525" i="1"/>
  <c r="I525" i="1"/>
  <c r="K525" i="1"/>
  <c r="C526" i="1"/>
  <c r="D526" i="1"/>
  <c r="H526" i="1" s="1"/>
  <c r="E526" i="1"/>
  <c r="I526" i="1"/>
  <c r="K526" i="1"/>
  <c r="C527" i="1"/>
  <c r="D527" i="1"/>
  <c r="H527" i="1" s="1"/>
  <c r="E527" i="1"/>
  <c r="I527" i="1"/>
  <c r="K527" i="1"/>
  <c r="C528" i="1"/>
  <c r="D528" i="1"/>
  <c r="H528" i="1" s="1"/>
  <c r="E528" i="1"/>
  <c r="I528" i="1"/>
  <c r="K528" i="1"/>
  <c r="C529" i="1"/>
  <c r="D529" i="1"/>
  <c r="H529" i="1" s="1"/>
  <c r="E529" i="1"/>
  <c r="I529" i="1"/>
  <c r="K529" i="1"/>
  <c r="C530" i="1"/>
  <c r="D530" i="1"/>
  <c r="H530" i="1" s="1"/>
  <c r="E530" i="1"/>
  <c r="I530" i="1"/>
  <c r="K530" i="1"/>
  <c r="C531" i="1"/>
  <c r="D531" i="1"/>
  <c r="H531" i="1" s="1"/>
  <c r="E531" i="1"/>
  <c r="I531" i="1"/>
  <c r="K531" i="1"/>
  <c r="C532" i="1"/>
  <c r="D532" i="1"/>
  <c r="H532" i="1" s="1"/>
  <c r="E532" i="1"/>
  <c r="I532" i="1"/>
  <c r="K532" i="1"/>
  <c r="C533" i="1"/>
  <c r="D533" i="1"/>
  <c r="H533" i="1" s="1"/>
  <c r="E533" i="1"/>
  <c r="I533" i="1"/>
  <c r="K533" i="1"/>
  <c r="C534" i="1"/>
  <c r="D534" i="1"/>
  <c r="H534" i="1" s="1"/>
  <c r="E534" i="1"/>
  <c r="I534" i="1"/>
  <c r="K534" i="1"/>
  <c r="C535" i="1"/>
  <c r="D535" i="1"/>
  <c r="H535" i="1" s="1"/>
  <c r="E535" i="1"/>
  <c r="I535" i="1"/>
  <c r="K535" i="1"/>
  <c r="C536" i="1"/>
  <c r="D536" i="1"/>
  <c r="H536" i="1" s="1"/>
  <c r="E536" i="1"/>
  <c r="I536" i="1"/>
  <c r="K536" i="1"/>
  <c r="C537" i="1"/>
  <c r="D537" i="1"/>
  <c r="H537" i="1" s="1"/>
  <c r="E537" i="1"/>
  <c r="I537" i="1"/>
  <c r="K537" i="1"/>
  <c r="C538" i="1"/>
  <c r="D538" i="1"/>
  <c r="H538" i="1" s="1"/>
  <c r="E538" i="1"/>
  <c r="I538" i="1"/>
  <c r="K538" i="1"/>
  <c r="C539" i="1"/>
  <c r="D539" i="1"/>
  <c r="H539" i="1" s="1"/>
  <c r="E539" i="1"/>
  <c r="I539" i="1"/>
  <c r="K539" i="1"/>
  <c r="C540" i="1"/>
  <c r="D540" i="1"/>
  <c r="H540" i="1" s="1"/>
  <c r="E540" i="1"/>
  <c r="I540" i="1"/>
  <c r="K540" i="1"/>
  <c r="C541" i="1"/>
  <c r="D541" i="1"/>
  <c r="H541" i="1" s="1"/>
  <c r="E541" i="1"/>
  <c r="I541" i="1"/>
  <c r="K541" i="1"/>
  <c r="C542" i="1"/>
  <c r="D542" i="1"/>
  <c r="H542" i="1" s="1"/>
  <c r="E542" i="1"/>
  <c r="I542" i="1"/>
  <c r="K542" i="1"/>
  <c r="C543" i="1"/>
  <c r="D543" i="1"/>
  <c r="H543" i="1" s="1"/>
  <c r="E543" i="1"/>
  <c r="I543" i="1"/>
  <c r="K543" i="1"/>
  <c r="C544" i="1"/>
  <c r="D544" i="1"/>
  <c r="H544" i="1" s="1"/>
  <c r="E544" i="1"/>
  <c r="I544" i="1"/>
  <c r="K544" i="1"/>
  <c r="C545" i="1"/>
  <c r="D545" i="1"/>
  <c r="H545" i="1" s="1"/>
  <c r="E545" i="1"/>
  <c r="I545" i="1"/>
  <c r="K545" i="1"/>
  <c r="C546" i="1"/>
  <c r="D546" i="1"/>
  <c r="H546" i="1" s="1"/>
  <c r="E546" i="1"/>
  <c r="I546" i="1"/>
  <c r="K546" i="1"/>
  <c r="C547" i="1"/>
  <c r="D547" i="1"/>
  <c r="H547" i="1" s="1"/>
  <c r="E547" i="1"/>
  <c r="I547" i="1"/>
  <c r="K547" i="1"/>
  <c r="C548" i="1"/>
  <c r="D548" i="1"/>
  <c r="H548" i="1" s="1"/>
  <c r="E548" i="1"/>
  <c r="I548" i="1"/>
  <c r="K548" i="1"/>
  <c r="C549" i="1"/>
  <c r="D549" i="1"/>
  <c r="H549" i="1" s="1"/>
  <c r="E549" i="1"/>
  <c r="I549" i="1"/>
  <c r="K549" i="1"/>
  <c r="C550" i="1"/>
  <c r="D550" i="1"/>
  <c r="H550" i="1" s="1"/>
  <c r="E550" i="1"/>
  <c r="I550" i="1"/>
  <c r="K550" i="1"/>
  <c r="C551" i="1"/>
  <c r="D551" i="1"/>
  <c r="H551" i="1" s="1"/>
  <c r="E551" i="1"/>
  <c r="I551" i="1"/>
  <c r="K551" i="1"/>
  <c r="C552" i="1"/>
  <c r="D552" i="1"/>
  <c r="H552" i="1" s="1"/>
  <c r="E552" i="1"/>
  <c r="I552" i="1"/>
  <c r="K552" i="1"/>
  <c r="C553" i="1"/>
  <c r="D553" i="1"/>
  <c r="H553" i="1" s="1"/>
  <c r="E553" i="1"/>
  <c r="I553" i="1"/>
  <c r="K553" i="1"/>
  <c r="C554" i="1"/>
  <c r="D554" i="1"/>
  <c r="H554" i="1" s="1"/>
  <c r="E554" i="1"/>
  <c r="I554" i="1"/>
  <c r="K554" i="1"/>
  <c r="C555" i="1"/>
  <c r="D555" i="1"/>
  <c r="H555" i="1" s="1"/>
  <c r="E555" i="1"/>
  <c r="I555" i="1"/>
  <c r="K555" i="1"/>
  <c r="C556" i="1"/>
  <c r="D556" i="1"/>
  <c r="H556" i="1" s="1"/>
  <c r="E556" i="1"/>
  <c r="I556" i="1"/>
  <c r="K556" i="1"/>
  <c r="C557" i="1"/>
  <c r="D557" i="1"/>
  <c r="H557" i="1" s="1"/>
  <c r="E557" i="1"/>
  <c r="I557" i="1"/>
  <c r="K557" i="1"/>
  <c r="C558" i="1"/>
  <c r="D558" i="1"/>
  <c r="H558" i="1" s="1"/>
  <c r="E558" i="1"/>
  <c r="I558" i="1"/>
  <c r="K558" i="1"/>
  <c r="C559" i="1"/>
  <c r="D559" i="1"/>
  <c r="H559" i="1" s="1"/>
  <c r="E559" i="1"/>
  <c r="I559" i="1"/>
  <c r="K559" i="1"/>
  <c r="C560" i="1"/>
  <c r="D560" i="1"/>
  <c r="H560" i="1" s="1"/>
  <c r="E560" i="1"/>
  <c r="I560" i="1"/>
  <c r="K560" i="1"/>
  <c r="C561" i="1"/>
  <c r="D561" i="1"/>
  <c r="H561" i="1" s="1"/>
  <c r="E561" i="1"/>
  <c r="I561" i="1"/>
  <c r="K561" i="1"/>
  <c r="C562" i="1"/>
  <c r="D562" i="1"/>
  <c r="H562" i="1" s="1"/>
  <c r="E562" i="1"/>
  <c r="I562" i="1"/>
  <c r="K562" i="1"/>
  <c r="C563" i="1"/>
  <c r="D563" i="1"/>
  <c r="H563" i="1" s="1"/>
  <c r="E563" i="1"/>
  <c r="I563" i="1"/>
  <c r="K563" i="1"/>
  <c r="C564" i="1"/>
  <c r="D564" i="1"/>
  <c r="H564" i="1" s="1"/>
  <c r="E564" i="1"/>
  <c r="I564" i="1"/>
  <c r="K564" i="1"/>
  <c r="C565" i="1"/>
  <c r="D565" i="1"/>
  <c r="H565" i="1" s="1"/>
  <c r="E565" i="1"/>
  <c r="I565" i="1"/>
  <c r="K565" i="1"/>
  <c r="C566" i="1"/>
  <c r="D566" i="1"/>
  <c r="H566" i="1" s="1"/>
  <c r="E566" i="1"/>
  <c r="I566" i="1"/>
  <c r="K566" i="1"/>
  <c r="C567" i="1"/>
  <c r="D567" i="1"/>
  <c r="H567" i="1" s="1"/>
  <c r="E567" i="1"/>
  <c r="I567" i="1"/>
  <c r="K567" i="1"/>
  <c r="C568" i="1"/>
  <c r="D568" i="1"/>
  <c r="H568" i="1" s="1"/>
  <c r="E568" i="1"/>
  <c r="I568" i="1"/>
  <c r="K568" i="1"/>
  <c r="C569" i="1"/>
  <c r="D569" i="1"/>
  <c r="H569" i="1" s="1"/>
  <c r="E569" i="1"/>
  <c r="I569" i="1"/>
  <c r="K569" i="1"/>
  <c r="C570" i="1"/>
  <c r="D570" i="1"/>
  <c r="H570" i="1" s="1"/>
  <c r="E570" i="1"/>
  <c r="I570" i="1"/>
  <c r="K570" i="1"/>
  <c r="C571" i="1"/>
  <c r="D571" i="1"/>
  <c r="H571" i="1" s="1"/>
  <c r="E571" i="1"/>
  <c r="I571" i="1"/>
  <c r="K571" i="1"/>
  <c r="C572" i="1"/>
  <c r="D572" i="1"/>
  <c r="H572" i="1" s="1"/>
  <c r="E572" i="1"/>
  <c r="I572" i="1"/>
  <c r="K572" i="1"/>
  <c r="C573" i="1"/>
  <c r="D573" i="1"/>
  <c r="H573" i="1" s="1"/>
  <c r="E573" i="1"/>
  <c r="I573" i="1"/>
  <c r="K573" i="1"/>
  <c r="C574" i="1"/>
  <c r="D574" i="1"/>
  <c r="H574" i="1" s="1"/>
  <c r="E574" i="1"/>
  <c r="I574" i="1"/>
  <c r="K574" i="1"/>
  <c r="C575" i="1"/>
  <c r="D575" i="1"/>
  <c r="H575" i="1" s="1"/>
  <c r="E575" i="1"/>
  <c r="I575" i="1"/>
  <c r="K575" i="1"/>
  <c r="C576" i="1"/>
  <c r="D576" i="1"/>
  <c r="H576" i="1" s="1"/>
  <c r="E576" i="1"/>
  <c r="I576" i="1"/>
  <c r="K576" i="1"/>
  <c r="C577" i="1"/>
  <c r="D577" i="1"/>
  <c r="H577" i="1" s="1"/>
  <c r="E577" i="1"/>
  <c r="I577" i="1"/>
  <c r="K577" i="1"/>
  <c r="C578" i="1"/>
  <c r="D578" i="1"/>
  <c r="H578" i="1" s="1"/>
  <c r="E578" i="1"/>
  <c r="I578" i="1"/>
  <c r="K578" i="1"/>
  <c r="C579" i="1"/>
  <c r="D579" i="1"/>
  <c r="H579" i="1" s="1"/>
  <c r="E579" i="1"/>
  <c r="I579" i="1"/>
  <c r="K579" i="1"/>
  <c r="C580" i="1"/>
  <c r="D580" i="1"/>
  <c r="H580" i="1" s="1"/>
  <c r="E580" i="1"/>
  <c r="I580" i="1"/>
  <c r="K580" i="1"/>
  <c r="C581" i="1"/>
  <c r="D581" i="1"/>
  <c r="H581" i="1" s="1"/>
  <c r="E581" i="1"/>
  <c r="I581" i="1"/>
  <c r="K581" i="1"/>
  <c r="C582" i="1"/>
  <c r="D582" i="1"/>
  <c r="H582" i="1" s="1"/>
  <c r="E582" i="1"/>
  <c r="I582" i="1"/>
  <c r="K582" i="1"/>
  <c r="C583" i="1"/>
  <c r="D583" i="1"/>
  <c r="H583" i="1" s="1"/>
  <c r="E583" i="1"/>
  <c r="I583" i="1"/>
  <c r="K583" i="1"/>
  <c r="C584" i="1"/>
  <c r="D584" i="1"/>
  <c r="H584" i="1" s="1"/>
  <c r="E584" i="1"/>
  <c r="I584" i="1"/>
  <c r="K584" i="1"/>
  <c r="C585" i="1"/>
  <c r="D585" i="1"/>
  <c r="H585" i="1" s="1"/>
  <c r="E585" i="1"/>
  <c r="I585" i="1"/>
  <c r="K585" i="1"/>
  <c r="C586" i="1"/>
  <c r="D586" i="1"/>
  <c r="H586" i="1" s="1"/>
  <c r="E586" i="1"/>
  <c r="I586" i="1"/>
  <c r="K586" i="1"/>
  <c r="C587" i="1"/>
  <c r="D587" i="1"/>
  <c r="H587" i="1" s="1"/>
  <c r="E587" i="1"/>
  <c r="I587" i="1"/>
  <c r="K587" i="1"/>
  <c r="C588" i="1"/>
  <c r="D588" i="1"/>
  <c r="H588" i="1" s="1"/>
  <c r="E588" i="1"/>
  <c r="I588" i="1"/>
  <c r="K588" i="1"/>
  <c r="C589" i="1"/>
  <c r="D589" i="1"/>
  <c r="H589" i="1" s="1"/>
  <c r="E589" i="1"/>
  <c r="I589" i="1"/>
  <c r="K589" i="1"/>
  <c r="C590" i="1"/>
  <c r="D590" i="1"/>
  <c r="H590" i="1" s="1"/>
  <c r="E590" i="1"/>
  <c r="I590" i="1"/>
  <c r="K590" i="1"/>
  <c r="C591" i="1"/>
  <c r="D591" i="1"/>
  <c r="H591" i="1" s="1"/>
  <c r="E591" i="1"/>
  <c r="I591" i="1"/>
  <c r="K591" i="1"/>
  <c r="C592" i="1"/>
  <c r="D592" i="1"/>
  <c r="H592" i="1" s="1"/>
  <c r="E592" i="1"/>
  <c r="I592" i="1"/>
  <c r="K592" i="1"/>
  <c r="C593" i="1"/>
  <c r="D593" i="1"/>
  <c r="H593" i="1" s="1"/>
  <c r="E593" i="1"/>
  <c r="I593" i="1"/>
  <c r="K593" i="1"/>
  <c r="C594" i="1"/>
  <c r="D594" i="1"/>
  <c r="H594" i="1" s="1"/>
  <c r="E594" i="1"/>
  <c r="I594" i="1"/>
  <c r="K594" i="1"/>
  <c r="C595" i="1"/>
  <c r="D595" i="1"/>
  <c r="H595" i="1" s="1"/>
  <c r="E595" i="1"/>
  <c r="I595" i="1"/>
  <c r="K595" i="1"/>
  <c r="C596" i="1"/>
  <c r="D596" i="1"/>
  <c r="H596" i="1" s="1"/>
  <c r="E596" i="1"/>
  <c r="I596" i="1"/>
  <c r="K596" i="1"/>
  <c r="C597" i="1"/>
  <c r="D597" i="1"/>
  <c r="H597" i="1" s="1"/>
  <c r="E597" i="1"/>
  <c r="I597" i="1"/>
  <c r="K597" i="1"/>
  <c r="C598" i="1"/>
  <c r="D598" i="1"/>
  <c r="H598" i="1" s="1"/>
  <c r="E598" i="1"/>
  <c r="I598" i="1"/>
  <c r="K598" i="1"/>
  <c r="C599" i="1"/>
  <c r="D599" i="1"/>
  <c r="H599" i="1" s="1"/>
  <c r="E599" i="1"/>
  <c r="I599" i="1"/>
  <c r="K599" i="1"/>
  <c r="C600" i="1"/>
  <c r="D600" i="1"/>
  <c r="H600" i="1" s="1"/>
  <c r="E600" i="1"/>
  <c r="I600" i="1"/>
  <c r="K600" i="1"/>
  <c r="C601" i="1"/>
  <c r="D601" i="1"/>
  <c r="H601" i="1" s="1"/>
  <c r="E601" i="1"/>
  <c r="I601" i="1"/>
  <c r="K601" i="1"/>
  <c r="C602" i="1"/>
  <c r="D602" i="1"/>
  <c r="H602" i="1" s="1"/>
  <c r="E602" i="1"/>
  <c r="I602" i="1"/>
  <c r="K602" i="1"/>
  <c r="C603" i="1"/>
  <c r="D603" i="1"/>
  <c r="H603" i="1" s="1"/>
  <c r="E603" i="1"/>
  <c r="I603" i="1"/>
  <c r="K603" i="1"/>
  <c r="C604" i="1"/>
  <c r="D604" i="1"/>
  <c r="H604" i="1" s="1"/>
  <c r="E604" i="1"/>
  <c r="I604" i="1"/>
  <c r="K604" i="1"/>
  <c r="C605" i="1"/>
  <c r="D605" i="1"/>
  <c r="H605" i="1" s="1"/>
  <c r="E605" i="1"/>
  <c r="I605" i="1"/>
  <c r="K605" i="1"/>
  <c r="C606" i="1"/>
  <c r="D606" i="1"/>
  <c r="H606" i="1" s="1"/>
  <c r="E606" i="1"/>
  <c r="I606" i="1"/>
  <c r="K606" i="1"/>
  <c r="C607" i="1"/>
  <c r="D607" i="1"/>
  <c r="H607" i="1" s="1"/>
  <c r="E607" i="1"/>
  <c r="I607" i="1"/>
  <c r="K607" i="1"/>
  <c r="C608" i="1"/>
  <c r="D608" i="1"/>
  <c r="H608" i="1" s="1"/>
  <c r="E608" i="1"/>
  <c r="I608" i="1"/>
  <c r="K608" i="1"/>
  <c r="C609" i="1"/>
  <c r="D609" i="1"/>
  <c r="H609" i="1" s="1"/>
  <c r="E609" i="1"/>
  <c r="I609" i="1"/>
  <c r="K609" i="1"/>
  <c r="C610" i="1"/>
  <c r="D610" i="1"/>
  <c r="H610" i="1" s="1"/>
  <c r="E610" i="1"/>
  <c r="I610" i="1"/>
  <c r="K610" i="1"/>
  <c r="C611" i="1"/>
  <c r="D611" i="1"/>
  <c r="H611" i="1" s="1"/>
  <c r="E611" i="1"/>
  <c r="I611" i="1"/>
  <c r="K611" i="1"/>
  <c r="C612" i="1"/>
  <c r="D612" i="1"/>
  <c r="H612" i="1" s="1"/>
  <c r="E612" i="1"/>
  <c r="I612" i="1"/>
  <c r="K612" i="1"/>
  <c r="C613" i="1"/>
  <c r="D613" i="1"/>
  <c r="H613" i="1" s="1"/>
  <c r="E613" i="1"/>
  <c r="I613" i="1"/>
  <c r="K613" i="1"/>
  <c r="C614" i="1"/>
  <c r="D614" i="1"/>
  <c r="H614" i="1" s="1"/>
  <c r="E614" i="1"/>
  <c r="I614" i="1"/>
  <c r="K614" i="1"/>
  <c r="C615" i="1"/>
  <c r="D615" i="1"/>
  <c r="H615" i="1" s="1"/>
  <c r="E615" i="1"/>
  <c r="I615" i="1"/>
  <c r="K615" i="1"/>
  <c r="C616" i="1"/>
  <c r="D616" i="1"/>
  <c r="H616" i="1" s="1"/>
  <c r="E616" i="1"/>
  <c r="I616" i="1"/>
  <c r="K616" i="1"/>
  <c r="C617" i="1"/>
  <c r="D617" i="1"/>
  <c r="H617" i="1" s="1"/>
  <c r="E617" i="1"/>
  <c r="I617" i="1"/>
  <c r="K617" i="1"/>
  <c r="C618" i="1"/>
  <c r="D618" i="1"/>
  <c r="H618" i="1" s="1"/>
  <c r="E618" i="1"/>
  <c r="I618" i="1"/>
  <c r="K618" i="1"/>
  <c r="C619" i="1"/>
  <c r="D619" i="1"/>
  <c r="H619" i="1" s="1"/>
  <c r="E619" i="1"/>
  <c r="I619" i="1"/>
  <c r="K619" i="1"/>
  <c r="C620" i="1"/>
  <c r="D620" i="1"/>
  <c r="H620" i="1" s="1"/>
  <c r="E620" i="1"/>
  <c r="I620" i="1"/>
  <c r="K620" i="1"/>
  <c r="C621" i="1"/>
  <c r="D621" i="1"/>
  <c r="H621" i="1" s="1"/>
  <c r="E621" i="1"/>
  <c r="I621" i="1"/>
  <c r="K621" i="1"/>
  <c r="C622" i="1"/>
  <c r="D622" i="1"/>
  <c r="H622" i="1" s="1"/>
  <c r="E622" i="1"/>
  <c r="I622" i="1"/>
  <c r="K622" i="1"/>
  <c r="C623" i="1"/>
  <c r="D623" i="1"/>
  <c r="H623" i="1" s="1"/>
  <c r="E623" i="1"/>
  <c r="I623" i="1"/>
  <c r="K623" i="1"/>
  <c r="C624" i="1"/>
  <c r="D624" i="1"/>
  <c r="H624" i="1" s="1"/>
  <c r="E624" i="1"/>
  <c r="I624" i="1"/>
  <c r="K624" i="1"/>
  <c r="C625" i="1"/>
  <c r="D625" i="1"/>
  <c r="H625" i="1" s="1"/>
  <c r="E625" i="1"/>
  <c r="I625" i="1"/>
  <c r="K625" i="1"/>
  <c r="C626" i="1"/>
  <c r="D626" i="1"/>
  <c r="H626" i="1" s="1"/>
  <c r="E626" i="1"/>
  <c r="I626" i="1"/>
  <c r="K626" i="1"/>
  <c r="C627" i="1"/>
  <c r="D627" i="1"/>
  <c r="H627" i="1" s="1"/>
  <c r="E627" i="1"/>
  <c r="I627" i="1"/>
  <c r="K627" i="1"/>
  <c r="C628" i="1"/>
  <c r="D628" i="1"/>
  <c r="H628" i="1" s="1"/>
  <c r="E628" i="1"/>
  <c r="I628" i="1"/>
  <c r="K628" i="1"/>
  <c r="C629" i="1"/>
  <c r="D629" i="1"/>
  <c r="H629" i="1" s="1"/>
  <c r="E629" i="1"/>
  <c r="I629" i="1"/>
  <c r="K629" i="1"/>
  <c r="C630" i="1"/>
  <c r="D630" i="1"/>
  <c r="H630" i="1" s="1"/>
  <c r="E630" i="1"/>
  <c r="I630" i="1"/>
  <c r="K630" i="1"/>
  <c r="C631" i="1"/>
  <c r="D631" i="1"/>
  <c r="H631" i="1" s="1"/>
  <c r="E631" i="1"/>
  <c r="I631" i="1"/>
  <c r="K631" i="1"/>
  <c r="C632" i="1"/>
  <c r="D632" i="1"/>
  <c r="H632" i="1" s="1"/>
  <c r="E632" i="1"/>
  <c r="I632" i="1"/>
  <c r="K632" i="1"/>
  <c r="C633" i="1"/>
  <c r="D633" i="1"/>
  <c r="H633" i="1" s="1"/>
  <c r="E633" i="1"/>
  <c r="I633" i="1"/>
  <c r="K633" i="1"/>
  <c r="C634" i="1"/>
  <c r="D634" i="1"/>
  <c r="H634" i="1" s="1"/>
  <c r="E634" i="1"/>
  <c r="I634" i="1"/>
  <c r="K634" i="1"/>
  <c r="C635" i="1"/>
  <c r="D635" i="1"/>
  <c r="H635" i="1" s="1"/>
  <c r="E635" i="1"/>
  <c r="I635" i="1"/>
  <c r="K635" i="1"/>
  <c r="C636" i="1"/>
  <c r="D636" i="1"/>
  <c r="H636" i="1" s="1"/>
  <c r="E636" i="1"/>
  <c r="I636" i="1"/>
  <c r="K636" i="1"/>
  <c r="C637" i="1"/>
  <c r="D637" i="1"/>
  <c r="H637" i="1" s="1"/>
  <c r="E637" i="1"/>
  <c r="I637" i="1"/>
  <c r="K637" i="1"/>
  <c r="C638" i="1"/>
  <c r="D638" i="1"/>
  <c r="H638" i="1" s="1"/>
  <c r="E638" i="1"/>
  <c r="I638" i="1"/>
  <c r="K638" i="1"/>
  <c r="C639" i="1"/>
  <c r="D639" i="1"/>
  <c r="H639" i="1" s="1"/>
  <c r="E639" i="1"/>
  <c r="I639" i="1"/>
  <c r="K639" i="1"/>
  <c r="C640" i="1"/>
  <c r="D640" i="1"/>
  <c r="H640" i="1" s="1"/>
  <c r="E640" i="1"/>
  <c r="I640" i="1"/>
  <c r="K640" i="1"/>
  <c r="C641" i="1"/>
  <c r="D641" i="1"/>
  <c r="H641" i="1" s="1"/>
  <c r="E641" i="1"/>
  <c r="I641" i="1"/>
  <c r="K641" i="1"/>
  <c r="C642" i="1"/>
  <c r="D642" i="1"/>
  <c r="H642" i="1" s="1"/>
  <c r="E642" i="1"/>
  <c r="I642" i="1"/>
  <c r="K642" i="1"/>
  <c r="C643" i="1"/>
  <c r="D643" i="1"/>
  <c r="H643" i="1" s="1"/>
  <c r="E643" i="1"/>
  <c r="I643" i="1"/>
  <c r="K643" i="1"/>
  <c r="C644" i="1"/>
  <c r="D644" i="1"/>
  <c r="H644" i="1" s="1"/>
  <c r="E644" i="1"/>
  <c r="I644" i="1"/>
  <c r="K644" i="1"/>
  <c r="C645" i="1"/>
  <c r="D645" i="1"/>
  <c r="H645" i="1" s="1"/>
  <c r="E645" i="1"/>
  <c r="I645" i="1"/>
  <c r="K645" i="1"/>
  <c r="C646" i="1"/>
  <c r="D646" i="1"/>
  <c r="H646" i="1" s="1"/>
  <c r="E646" i="1"/>
  <c r="I646" i="1"/>
  <c r="K646" i="1"/>
  <c r="C647" i="1"/>
  <c r="D647" i="1"/>
  <c r="H647" i="1" s="1"/>
  <c r="E647" i="1"/>
  <c r="I647" i="1"/>
  <c r="K647" i="1"/>
  <c r="C648" i="1"/>
  <c r="D648" i="1"/>
  <c r="H648" i="1" s="1"/>
  <c r="E648" i="1"/>
  <c r="I648" i="1"/>
  <c r="K648" i="1"/>
  <c r="C649" i="1"/>
  <c r="D649" i="1"/>
  <c r="H649" i="1" s="1"/>
  <c r="E649" i="1"/>
  <c r="I649" i="1"/>
  <c r="K649" i="1"/>
  <c r="C650" i="1"/>
  <c r="D650" i="1"/>
  <c r="H650" i="1" s="1"/>
  <c r="E650" i="1"/>
  <c r="I650" i="1"/>
  <c r="K650" i="1"/>
  <c r="C651" i="1"/>
  <c r="D651" i="1"/>
  <c r="H651" i="1" s="1"/>
  <c r="E651" i="1"/>
  <c r="I651" i="1"/>
  <c r="K651" i="1"/>
  <c r="C652" i="1"/>
  <c r="D652" i="1"/>
  <c r="H652" i="1" s="1"/>
  <c r="E652" i="1"/>
  <c r="I652" i="1"/>
  <c r="K652" i="1"/>
  <c r="C653" i="1"/>
  <c r="D653" i="1"/>
  <c r="H653" i="1" s="1"/>
  <c r="E653" i="1"/>
  <c r="I653" i="1"/>
  <c r="K653" i="1"/>
  <c r="C654" i="1"/>
  <c r="D654" i="1"/>
  <c r="H654" i="1" s="1"/>
  <c r="E654" i="1"/>
  <c r="I654" i="1"/>
  <c r="K654" i="1"/>
  <c r="C655" i="1"/>
  <c r="D655" i="1"/>
  <c r="H655" i="1" s="1"/>
  <c r="E655" i="1"/>
  <c r="I655" i="1"/>
  <c r="K655" i="1"/>
  <c r="C656" i="1"/>
  <c r="D656" i="1"/>
  <c r="H656" i="1" s="1"/>
  <c r="E656" i="1"/>
  <c r="I656" i="1"/>
  <c r="K656" i="1"/>
  <c r="C657" i="1"/>
  <c r="D657" i="1"/>
  <c r="H657" i="1" s="1"/>
  <c r="E657" i="1"/>
  <c r="I657" i="1"/>
  <c r="K657" i="1"/>
  <c r="C658" i="1"/>
  <c r="D658" i="1"/>
  <c r="H658" i="1" s="1"/>
  <c r="E658" i="1"/>
  <c r="I658" i="1"/>
  <c r="K658" i="1"/>
  <c r="C659" i="1"/>
  <c r="D659" i="1"/>
  <c r="H659" i="1" s="1"/>
  <c r="E659" i="1"/>
  <c r="I659" i="1"/>
  <c r="K659" i="1"/>
  <c r="C660" i="1"/>
  <c r="D660" i="1"/>
  <c r="H660" i="1" s="1"/>
  <c r="E660" i="1"/>
  <c r="I660" i="1"/>
  <c r="K660" i="1"/>
  <c r="C661" i="1"/>
  <c r="D661" i="1"/>
  <c r="H661" i="1" s="1"/>
  <c r="E661" i="1"/>
  <c r="I661" i="1"/>
  <c r="K661" i="1"/>
  <c r="C662" i="1"/>
  <c r="D662" i="1"/>
  <c r="H662" i="1" s="1"/>
  <c r="E662" i="1"/>
  <c r="I662" i="1"/>
  <c r="K662" i="1"/>
  <c r="C663" i="1"/>
  <c r="D663" i="1"/>
  <c r="H663" i="1" s="1"/>
  <c r="E663" i="1"/>
  <c r="I663" i="1"/>
  <c r="K663" i="1"/>
  <c r="C664" i="1"/>
  <c r="D664" i="1"/>
  <c r="H664" i="1" s="1"/>
  <c r="E664" i="1"/>
  <c r="I664" i="1"/>
  <c r="K664" i="1"/>
  <c r="C665" i="1"/>
  <c r="D665" i="1"/>
  <c r="H665" i="1" s="1"/>
  <c r="E665" i="1"/>
  <c r="I665" i="1"/>
  <c r="K665" i="1"/>
  <c r="C666" i="1"/>
  <c r="D666" i="1"/>
  <c r="H666" i="1" s="1"/>
  <c r="E666" i="1"/>
  <c r="I666" i="1"/>
  <c r="K666" i="1"/>
  <c r="C667" i="1"/>
  <c r="D667" i="1"/>
  <c r="H667" i="1" s="1"/>
  <c r="E667" i="1"/>
  <c r="I667" i="1"/>
  <c r="K667" i="1"/>
  <c r="C668" i="1"/>
  <c r="D668" i="1"/>
  <c r="H668" i="1" s="1"/>
  <c r="E668" i="1"/>
  <c r="I668" i="1"/>
  <c r="K668" i="1"/>
  <c r="C669" i="1"/>
  <c r="D669" i="1"/>
  <c r="H669" i="1" s="1"/>
  <c r="E669" i="1"/>
  <c r="I669" i="1"/>
  <c r="K669" i="1"/>
  <c r="C670" i="1"/>
  <c r="D670" i="1"/>
  <c r="H670" i="1" s="1"/>
  <c r="E670" i="1"/>
  <c r="I670" i="1"/>
  <c r="K670" i="1"/>
  <c r="C671" i="1"/>
  <c r="D671" i="1"/>
  <c r="H671" i="1" s="1"/>
  <c r="E671" i="1"/>
  <c r="I671" i="1"/>
  <c r="K671" i="1"/>
  <c r="C672" i="1"/>
  <c r="D672" i="1"/>
  <c r="H672" i="1" s="1"/>
  <c r="E672" i="1"/>
  <c r="I672" i="1"/>
  <c r="K672" i="1"/>
  <c r="C673" i="1"/>
  <c r="D673" i="1"/>
  <c r="H673" i="1" s="1"/>
  <c r="E673" i="1"/>
  <c r="I673" i="1"/>
  <c r="K673" i="1"/>
  <c r="C674" i="1"/>
  <c r="D674" i="1"/>
  <c r="H674" i="1" s="1"/>
  <c r="E674" i="1"/>
  <c r="I674" i="1"/>
  <c r="K674" i="1"/>
  <c r="C675" i="1"/>
  <c r="D675" i="1"/>
  <c r="H675" i="1" s="1"/>
  <c r="E675" i="1"/>
  <c r="I675" i="1"/>
  <c r="K675" i="1"/>
  <c r="C676" i="1"/>
  <c r="D676" i="1"/>
  <c r="H676" i="1" s="1"/>
  <c r="E676" i="1"/>
  <c r="I676" i="1"/>
  <c r="K676" i="1"/>
  <c r="C677" i="1"/>
  <c r="D677" i="1"/>
  <c r="H677" i="1" s="1"/>
  <c r="E677" i="1"/>
  <c r="I677" i="1"/>
  <c r="K677" i="1"/>
  <c r="C678" i="1"/>
  <c r="D678" i="1"/>
  <c r="H678" i="1" s="1"/>
  <c r="E678" i="1"/>
  <c r="I678" i="1"/>
  <c r="K678" i="1"/>
  <c r="C679" i="1"/>
  <c r="D679" i="1"/>
  <c r="H679" i="1" s="1"/>
  <c r="E679" i="1"/>
  <c r="I679" i="1"/>
  <c r="K679" i="1"/>
  <c r="C680" i="1"/>
  <c r="D680" i="1"/>
  <c r="H680" i="1" s="1"/>
  <c r="E680" i="1"/>
  <c r="I680" i="1"/>
  <c r="K680" i="1"/>
  <c r="C681" i="1"/>
  <c r="D681" i="1"/>
  <c r="H681" i="1" s="1"/>
  <c r="E681" i="1"/>
  <c r="I681" i="1"/>
  <c r="K681" i="1"/>
  <c r="C682" i="1"/>
  <c r="D682" i="1"/>
  <c r="H682" i="1" s="1"/>
  <c r="E682" i="1"/>
  <c r="I682" i="1"/>
  <c r="K682" i="1"/>
  <c r="C683" i="1"/>
  <c r="D683" i="1"/>
  <c r="H683" i="1" s="1"/>
  <c r="E683" i="1"/>
  <c r="I683" i="1"/>
  <c r="K683" i="1"/>
  <c r="C684" i="1"/>
  <c r="D684" i="1"/>
  <c r="H684" i="1" s="1"/>
  <c r="E684" i="1"/>
  <c r="I684" i="1"/>
  <c r="K684" i="1"/>
  <c r="C685" i="1"/>
  <c r="D685" i="1"/>
  <c r="H685" i="1" s="1"/>
  <c r="E685" i="1"/>
  <c r="I685" i="1"/>
  <c r="K685" i="1"/>
  <c r="C686" i="1"/>
  <c r="D686" i="1"/>
  <c r="H686" i="1" s="1"/>
  <c r="E686" i="1"/>
  <c r="I686" i="1"/>
  <c r="K686" i="1"/>
  <c r="C687" i="1"/>
  <c r="D687" i="1"/>
  <c r="H687" i="1" s="1"/>
  <c r="E687" i="1"/>
  <c r="I687" i="1"/>
  <c r="K687" i="1"/>
  <c r="C688" i="1"/>
  <c r="D688" i="1"/>
  <c r="H688" i="1" s="1"/>
  <c r="E688" i="1"/>
  <c r="I688" i="1"/>
  <c r="K688" i="1"/>
  <c r="C689" i="1"/>
  <c r="D689" i="1"/>
  <c r="H689" i="1" s="1"/>
  <c r="E689" i="1"/>
  <c r="I689" i="1"/>
  <c r="K689" i="1"/>
  <c r="C690" i="1"/>
  <c r="D690" i="1"/>
  <c r="H690" i="1" s="1"/>
  <c r="E690" i="1"/>
  <c r="I690" i="1"/>
  <c r="K690" i="1"/>
  <c r="C691" i="1"/>
  <c r="D691" i="1"/>
  <c r="H691" i="1" s="1"/>
  <c r="E691" i="1"/>
  <c r="I691" i="1"/>
  <c r="K691" i="1"/>
  <c r="C692" i="1"/>
  <c r="D692" i="1"/>
  <c r="H692" i="1" s="1"/>
  <c r="E692" i="1"/>
  <c r="I692" i="1"/>
  <c r="K692" i="1"/>
  <c r="C693" i="1"/>
  <c r="D693" i="1"/>
  <c r="H693" i="1" s="1"/>
  <c r="E693" i="1"/>
  <c r="I693" i="1"/>
  <c r="K693" i="1"/>
  <c r="C694" i="1"/>
  <c r="D694" i="1"/>
  <c r="H694" i="1" s="1"/>
  <c r="E694" i="1"/>
  <c r="I694" i="1"/>
  <c r="K694" i="1"/>
  <c r="C695" i="1"/>
  <c r="D695" i="1"/>
  <c r="H695" i="1" s="1"/>
  <c r="E695" i="1"/>
  <c r="I695" i="1"/>
  <c r="K695" i="1"/>
  <c r="C696" i="1"/>
  <c r="D696" i="1"/>
  <c r="H696" i="1" s="1"/>
  <c r="E696" i="1"/>
  <c r="I696" i="1"/>
  <c r="K696" i="1"/>
  <c r="C697" i="1"/>
  <c r="D697" i="1"/>
  <c r="H697" i="1" s="1"/>
  <c r="E697" i="1"/>
  <c r="I697" i="1"/>
  <c r="K697" i="1"/>
  <c r="C698" i="1"/>
  <c r="D698" i="1"/>
  <c r="H698" i="1" s="1"/>
  <c r="E698" i="1"/>
  <c r="I698" i="1"/>
  <c r="K698" i="1"/>
  <c r="C699" i="1"/>
  <c r="D699" i="1"/>
  <c r="H699" i="1" s="1"/>
  <c r="E699" i="1"/>
  <c r="I699" i="1"/>
  <c r="K699" i="1"/>
  <c r="C700" i="1"/>
  <c r="D700" i="1"/>
  <c r="H700" i="1" s="1"/>
  <c r="E700" i="1"/>
  <c r="I700" i="1"/>
  <c r="K700" i="1"/>
  <c r="C701" i="1"/>
  <c r="D701" i="1"/>
  <c r="H701" i="1" s="1"/>
  <c r="E701" i="1"/>
  <c r="I701" i="1"/>
  <c r="K701" i="1"/>
  <c r="C702" i="1"/>
  <c r="D702" i="1"/>
  <c r="H702" i="1" s="1"/>
  <c r="E702" i="1"/>
  <c r="I702" i="1"/>
  <c r="K702" i="1"/>
  <c r="C703" i="1"/>
  <c r="D703" i="1"/>
  <c r="H703" i="1" s="1"/>
  <c r="E703" i="1"/>
  <c r="I703" i="1"/>
  <c r="K703" i="1"/>
  <c r="C704" i="1"/>
  <c r="D704" i="1"/>
  <c r="H704" i="1" s="1"/>
  <c r="E704" i="1"/>
  <c r="I704" i="1"/>
  <c r="K704" i="1"/>
  <c r="C705" i="1"/>
  <c r="D705" i="1"/>
  <c r="H705" i="1" s="1"/>
  <c r="E705" i="1"/>
  <c r="I705" i="1"/>
  <c r="K705" i="1"/>
  <c r="C706" i="1"/>
  <c r="D706" i="1"/>
  <c r="H706" i="1" s="1"/>
  <c r="E706" i="1"/>
  <c r="I706" i="1"/>
  <c r="K706" i="1"/>
  <c r="C707" i="1"/>
  <c r="D707" i="1"/>
  <c r="H707" i="1" s="1"/>
  <c r="E707" i="1"/>
  <c r="I707" i="1"/>
  <c r="K707" i="1"/>
  <c r="C708" i="1"/>
  <c r="D708" i="1"/>
  <c r="H708" i="1" s="1"/>
  <c r="E708" i="1"/>
  <c r="I708" i="1"/>
  <c r="K708" i="1"/>
  <c r="C709" i="1"/>
  <c r="D709" i="1"/>
  <c r="H709" i="1" s="1"/>
  <c r="E709" i="1"/>
  <c r="I709" i="1"/>
  <c r="K709" i="1"/>
  <c r="C710" i="1"/>
  <c r="D710" i="1"/>
  <c r="H710" i="1" s="1"/>
  <c r="E710" i="1"/>
  <c r="I710" i="1"/>
  <c r="K710" i="1"/>
  <c r="C711" i="1"/>
  <c r="D711" i="1"/>
  <c r="H711" i="1" s="1"/>
  <c r="E711" i="1"/>
  <c r="I711" i="1"/>
  <c r="K711" i="1"/>
  <c r="C712" i="1"/>
  <c r="D712" i="1"/>
  <c r="H712" i="1" s="1"/>
  <c r="E712" i="1"/>
  <c r="I712" i="1"/>
  <c r="K712" i="1"/>
  <c r="C713" i="1"/>
  <c r="D713" i="1"/>
  <c r="H713" i="1" s="1"/>
  <c r="E713" i="1"/>
  <c r="I713" i="1"/>
  <c r="K713" i="1"/>
  <c r="C714" i="1"/>
  <c r="D714" i="1"/>
  <c r="H714" i="1" s="1"/>
  <c r="E714" i="1"/>
  <c r="I714" i="1"/>
  <c r="K714" i="1"/>
  <c r="C715" i="1"/>
  <c r="D715" i="1"/>
  <c r="H715" i="1" s="1"/>
  <c r="E715" i="1"/>
  <c r="I715" i="1"/>
  <c r="K715" i="1"/>
  <c r="C716" i="1"/>
  <c r="D716" i="1"/>
  <c r="H716" i="1" s="1"/>
  <c r="E716" i="1"/>
  <c r="I716" i="1"/>
  <c r="K716" i="1"/>
  <c r="C717" i="1"/>
  <c r="D717" i="1"/>
  <c r="H717" i="1" s="1"/>
  <c r="E717" i="1"/>
  <c r="I717" i="1"/>
  <c r="K717" i="1"/>
  <c r="C718" i="1"/>
  <c r="D718" i="1"/>
  <c r="H718" i="1" s="1"/>
  <c r="E718" i="1"/>
  <c r="I718" i="1"/>
  <c r="K718" i="1"/>
  <c r="C719" i="1"/>
  <c r="D719" i="1"/>
  <c r="H719" i="1" s="1"/>
  <c r="E719" i="1"/>
  <c r="I719" i="1"/>
  <c r="K719" i="1"/>
  <c r="C720" i="1"/>
  <c r="D720" i="1"/>
  <c r="H720" i="1" s="1"/>
  <c r="E720" i="1"/>
  <c r="I720" i="1"/>
  <c r="K720" i="1"/>
  <c r="C721" i="1"/>
  <c r="D721" i="1"/>
  <c r="H721" i="1" s="1"/>
  <c r="E721" i="1"/>
  <c r="I721" i="1"/>
  <c r="K721" i="1"/>
  <c r="C722" i="1"/>
  <c r="D722" i="1"/>
  <c r="H722" i="1" s="1"/>
  <c r="E722" i="1"/>
  <c r="I722" i="1"/>
  <c r="K722" i="1"/>
  <c r="C723" i="1"/>
  <c r="D723" i="1"/>
  <c r="H723" i="1" s="1"/>
  <c r="E723" i="1"/>
  <c r="I723" i="1"/>
  <c r="K723" i="1"/>
  <c r="C724" i="1"/>
  <c r="D724" i="1"/>
  <c r="H724" i="1" s="1"/>
  <c r="E724" i="1"/>
  <c r="I724" i="1"/>
  <c r="K724" i="1"/>
  <c r="C725" i="1"/>
  <c r="D725" i="1"/>
  <c r="H725" i="1" s="1"/>
  <c r="E725" i="1"/>
  <c r="I725" i="1"/>
  <c r="K725" i="1"/>
  <c r="C726" i="1"/>
  <c r="D726" i="1"/>
  <c r="H726" i="1" s="1"/>
  <c r="E726" i="1"/>
  <c r="I726" i="1"/>
  <c r="K726" i="1"/>
  <c r="C727" i="1"/>
  <c r="D727" i="1"/>
  <c r="H727" i="1" s="1"/>
  <c r="E727" i="1"/>
  <c r="I727" i="1"/>
  <c r="K727" i="1"/>
  <c r="C728" i="1"/>
  <c r="D728" i="1"/>
  <c r="H728" i="1" s="1"/>
  <c r="E728" i="1"/>
  <c r="I728" i="1"/>
  <c r="K728" i="1"/>
  <c r="C729" i="1"/>
  <c r="D729" i="1"/>
  <c r="H729" i="1" s="1"/>
  <c r="E729" i="1"/>
  <c r="I729" i="1"/>
  <c r="K729" i="1"/>
  <c r="C730" i="1"/>
  <c r="D730" i="1"/>
  <c r="H730" i="1" s="1"/>
  <c r="E730" i="1"/>
  <c r="I730" i="1"/>
  <c r="K730" i="1"/>
  <c r="C731" i="1"/>
  <c r="D731" i="1"/>
  <c r="H731" i="1" s="1"/>
  <c r="E731" i="1"/>
  <c r="I731" i="1"/>
  <c r="K731" i="1"/>
  <c r="C732" i="1"/>
  <c r="D732" i="1"/>
  <c r="H732" i="1" s="1"/>
  <c r="E732" i="1"/>
  <c r="I732" i="1"/>
  <c r="K732" i="1"/>
  <c r="C733" i="1"/>
  <c r="D733" i="1"/>
  <c r="H733" i="1" s="1"/>
  <c r="E733" i="1"/>
  <c r="I733" i="1"/>
  <c r="K733" i="1"/>
  <c r="C734" i="1"/>
  <c r="D734" i="1"/>
  <c r="H734" i="1" s="1"/>
  <c r="E734" i="1"/>
  <c r="I734" i="1"/>
  <c r="K734" i="1"/>
  <c r="C735" i="1"/>
  <c r="D735" i="1"/>
  <c r="H735" i="1" s="1"/>
  <c r="E735" i="1"/>
  <c r="I735" i="1"/>
  <c r="K735" i="1"/>
  <c r="C736" i="1"/>
  <c r="D736" i="1"/>
  <c r="H736" i="1" s="1"/>
  <c r="E736" i="1"/>
  <c r="I736" i="1"/>
  <c r="K736" i="1"/>
  <c r="C737" i="1"/>
  <c r="D737" i="1"/>
  <c r="H737" i="1" s="1"/>
  <c r="E737" i="1"/>
  <c r="I737" i="1"/>
  <c r="K737" i="1"/>
  <c r="C738" i="1"/>
  <c r="D738" i="1"/>
  <c r="H738" i="1" s="1"/>
  <c r="E738" i="1"/>
  <c r="I738" i="1"/>
  <c r="K738" i="1"/>
  <c r="C739" i="1"/>
  <c r="D739" i="1"/>
  <c r="H739" i="1" s="1"/>
  <c r="E739" i="1"/>
  <c r="I739" i="1"/>
  <c r="K739" i="1"/>
  <c r="C740" i="1"/>
  <c r="D740" i="1"/>
  <c r="H740" i="1" s="1"/>
  <c r="E740" i="1"/>
  <c r="I740" i="1"/>
  <c r="K740" i="1"/>
  <c r="C741" i="1"/>
  <c r="D741" i="1"/>
  <c r="H741" i="1" s="1"/>
  <c r="E741" i="1"/>
  <c r="I741" i="1"/>
  <c r="K741" i="1"/>
  <c r="C742" i="1"/>
  <c r="D742" i="1"/>
  <c r="H742" i="1" s="1"/>
  <c r="E742" i="1"/>
  <c r="I742" i="1"/>
  <c r="K742" i="1"/>
  <c r="C743" i="1"/>
  <c r="D743" i="1"/>
  <c r="H743" i="1" s="1"/>
  <c r="E743" i="1"/>
  <c r="I743" i="1"/>
  <c r="K743" i="1"/>
  <c r="C744" i="1"/>
  <c r="D744" i="1"/>
  <c r="H744" i="1" s="1"/>
  <c r="E744" i="1"/>
  <c r="I744" i="1"/>
  <c r="K744" i="1"/>
  <c r="C745" i="1"/>
  <c r="D745" i="1"/>
  <c r="H745" i="1" s="1"/>
  <c r="E745" i="1"/>
  <c r="I745" i="1"/>
  <c r="K745" i="1"/>
  <c r="C746" i="1"/>
  <c r="D746" i="1"/>
  <c r="H746" i="1" s="1"/>
  <c r="E746" i="1"/>
  <c r="I746" i="1"/>
  <c r="K746" i="1"/>
  <c r="C747" i="1"/>
  <c r="D747" i="1"/>
  <c r="H747" i="1" s="1"/>
  <c r="E747" i="1"/>
  <c r="I747" i="1"/>
  <c r="K747" i="1"/>
  <c r="C748" i="1"/>
  <c r="D748" i="1"/>
  <c r="H748" i="1" s="1"/>
  <c r="E748" i="1"/>
  <c r="I748" i="1"/>
  <c r="K748" i="1"/>
  <c r="C749" i="1"/>
  <c r="D749" i="1"/>
  <c r="H749" i="1" s="1"/>
  <c r="E749" i="1"/>
  <c r="I749" i="1"/>
  <c r="K749" i="1"/>
  <c r="C750" i="1"/>
  <c r="D750" i="1"/>
  <c r="H750" i="1" s="1"/>
  <c r="E750" i="1"/>
  <c r="I750" i="1"/>
  <c r="K750" i="1"/>
  <c r="C751" i="1"/>
  <c r="D751" i="1"/>
  <c r="H751" i="1" s="1"/>
  <c r="E751" i="1"/>
  <c r="I751" i="1"/>
  <c r="K751" i="1"/>
  <c r="C752" i="1"/>
  <c r="D752" i="1"/>
  <c r="H752" i="1" s="1"/>
  <c r="E752" i="1"/>
  <c r="I752" i="1"/>
  <c r="K752" i="1"/>
  <c r="C753" i="1"/>
  <c r="D753" i="1"/>
  <c r="H753" i="1" s="1"/>
  <c r="E753" i="1"/>
  <c r="I753" i="1"/>
  <c r="K753" i="1"/>
  <c r="C754" i="1"/>
  <c r="D754" i="1"/>
  <c r="H754" i="1" s="1"/>
  <c r="E754" i="1"/>
  <c r="I754" i="1"/>
  <c r="K754" i="1"/>
  <c r="C755" i="1"/>
  <c r="D755" i="1"/>
  <c r="H755" i="1" s="1"/>
  <c r="E755" i="1"/>
  <c r="I755" i="1"/>
  <c r="K755" i="1"/>
  <c r="C756" i="1"/>
  <c r="D756" i="1"/>
  <c r="H756" i="1" s="1"/>
  <c r="E756" i="1"/>
  <c r="I756" i="1"/>
  <c r="K756" i="1"/>
  <c r="C757" i="1"/>
  <c r="D757" i="1"/>
  <c r="H757" i="1" s="1"/>
  <c r="E757" i="1"/>
  <c r="I757" i="1"/>
  <c r="K757" i="1"/>
  <c r="C758" i="1"/>
  <c r="D758" i="1"/>
  <c r="H758" i="1" s="1"/>
  <c r="E758" i="1"/>
  <c r="I758" i="1"/>
  <c r="K758" i="1"/>
  <c r="C759" i="1"/>
  <c r="D759" i="1"/>
  <c r="H759" i="1" s="1"/>
  <c r="E759" i="1"/>
  <c r="I759" i="1"/>
  <c r="K759" i="1"/>
  <c r="C760" i="1"/>
  <c r="D760" i="1"/>
  <c r="H760" i="1" s="1"/>
  <c r="E760" i="1"/>
  <c r="I760" i="1"/>
  <c r="K760" i="1"/>
  <c r="C761" i="1"/>
  <c r="D761" i="1"/>
  <c r="H761" i="1" s="1"/>
  <c r="E761" i="1"/>
  <c r="I761" i="1"/>
  <c r="K761" i="1"/>
  <c r="C762" i="1"/>
  <c r="D762" i="1"/>
  <c r="H762" i="1" s="1"/>
  <c r="E762" i="1"/>
  <c r="I762" i="1"/>
  <c r="K762" i="1"/>
  <c r="C763" i="1"/>
  <c r="D763" i="1"/>
  <c r="H763" i="1" s="1"/>
  <c r="E763" i="1"/>
  <c r="I763" i="1"/>
  <c r="K763" i="1"/>
  <c r="C764" i="1"/>
  <c r="D764" i="1"/>
  <c r="H764" i="1" s="1"/>
  <c r="E764" i="1"/>
  <c r="I764" i="1"/>
  <c r="K764" i="1"/>
  <c r="C765" i="1"/>
  <c r="D765" i="1"/>
  <c r="H765" i="1" s="1"/>
  <c r="E765" i="1"/>
  <c r="I765" i="1"/>
  <c r="K765" i="1"/>
  <c r="C766" i="1"/>
  <c r="D766" i="1"/>
  <c r="H766" i="1" s="1"/>
  <c r="E766" i="1"/>
  <c r="I766" i="1"/>
  <c r="K766" i="1"/>
  <c r="C767" i="1"/>
  <c r="D767" i="1"/>
  <c r="H767" i="1" s="1"/>
  <c r="E767" i="1"/>
  <c r="I767" i="1"/>
  <c r="K767" i="1"/>
  <c r="C768" i="1"/>
  <c r="D768" i="1"/>
  <c r="H768" i="1" s="1"/>
  <c r="E768" i="1"/>
  <c r="I768" i="1"/>
  <c r="K768" i="1"/>
  <c r="C769" i="1"/>
  <c r="D769" i="1"/>
  <c r="H769" i="1" s="1"/>
  <c r="E769" i="1"/>
  <c r="I769" i="1"/>
  <c r="K769" i="1"/>
  <c r="C770" i="1"/>
  <c r="D770" i="1"/>
  <c r="H770" i="1" s="1"/>
  <c r="E770" i="1"/>
  <c r="I770" i="1"/>
  <c r="K770" i="1"/>
  <c r="C771" i="1"/>
  <c r="D771" i="1"/>
  <c r="H771" i="1" s="1"/>
  <c r="E771" i="1"/>
  <c r="I771" i="1"/>
  <c r="K771" i="1"/>
  <c r="C772" i="1"/>
  <c r="D772" i="1"/>
  <c r="H772" i="1" s="1"/>
  <c r="E772" i="1"/>
  <c r="I772" i="1"/>
  <c r="K772" i="1"/>
  <c r="C773" i="1"/>
  <c r="D773" i="1"/>
  <c r="H773" i="1" s="1"/>
  <c r="E773" i="1"/>
  <c r="I773" i="1"/>
  <c r="K773" i="1"/>
  <c r="C774" i="1"/>
  <c r="D774" i="1"/>
  <c r="H774" i="1" s="1"/>
  <c r="E774" i="1"/>
  <c r="I774" i="1"/>
  <c r="K774" i="1"/>
  <c r="C775" i="1"/>
  <c r="D775" i="1"/>
  <c r="H775" i="1" s="1"/>
  <c r="E775" i="1"/>
  <c r="I775" i="1"/>
  <c r="K775" i="1"/>
  <c r="C776" i="1"/>
  <c r="D776" i="1"/>
  <c r="H776" i="1" s="1"/>
  <c r="E776" i="1"/>
  <c r="I776" i="1"/>
  <c r="K776" i="1"/>
  <c r="C777" i="1"/>
  <c r="D777" i="1"/>
  <c r="H777" i="1" s="1"/>
  <c r="E777" i="1"/>
  <c r="I777" i="1"/>
  <c r="K777" i="1"/>
  <c r="C778" i="1"/>
  <c r="D778" i="1"/>
  <c r="H778" i="1" s="1"/>
  <c r="E778" i="1"/>
  <c r="I778" i="1"/>
  <c r="K778" i="1"/>
  <c r="C779" i="1"/>
  <c r="D779" i="1"/>
  <c r="H779" i="1" s="1"/>
  <c r="E779" i="1"/>
  <c r="I779" i="1"/>
  <c r="K779" i="1"/>
  <c r="C780" i="1"/>
  <c r="D780" i="1"/>
  <c r="H780" i="1" s="1"/>
  <c r="E780" i="1"/>
  <c r="I780" i="1"/>
  <c r="K780" i="1"/>
  <c r="C781" i="1"/>
  <c r="D781" i="1"/>
  <c r="H781" i="1" s="1"/>
  <c r="E781" i="1"/>
  <c r="I781" i="1"/>
  <c r="K781" i="1"/>
  <c r="C782" i="1"/>
  <c r="D782" i="1"/>
  <c r="H782" i="1" s="1"/>
  <c r="E782" i="1"/>
  <c r="I782" i="1"/>
  <c r="K782" i="1"/>
  <c r="C783" i="1"/>
  <c r="D783" i="1"/>
  <c r="H783" i="1" s="1"/>
  <c r="E783" i="1"/>
  <c r="I783" i="1"/>
  <c r="K783" i="1"/>
  <c r="C784" i="1"/>
  <c r="D784" i="1"/>
  <c r="H784" i="1" s="1"/>
  <c r="E784" i="1"/>
  <c r="I784" i="1"/>
  <c r="K784" i="1"/>
  <c r="C785" i="1"/>
  <c r="D785" i="1"/>
  <c r="H785" i="1" s="1"/>
  <c r="E785" i="1"/>
  <c r="I785" i="1"/>
  <c r="K785" i="1"/>
  <c r="C786" i="1"/>
  <c r="D786" i="1"/>
  <c r="H786" i="1" s="1"/>
  <c r="E786" i="1"/>
  <c r="I786" i="1"/>
  <c r="K786" i="1"/>
  <c r="C787" i="1"/>
  <c r="D787" i="1"/>
  <c r="H787" i="1" s="1"/>
  <c r="E787" i="1"/>
  <c r="I787" i="1"/>
  <c r="K787" i="1"/>
  <c r="C788" i="1"/>
  <c r="D788" i="1"/>
  <c r="H788" i="1" s="1"/>
  <c r="E788" i="1"/>
  <c r="I788" i="1"/>
  <c r="K788" i="1"/>
  <c r="C789" i="1"/>
  <c r="D789" i="1"/>
  <c r="H789" i="1" s="1"/>
  <c r="E789" i="1"/>
  <c r="I789" i="1"/>
  <c r="K789" i="1"/>
  <c r="C790" i="1"/>
  <c r="D790" i="1"/>
  <c r="H790" i="1" s="1"/>
  <c r="E790" i="1"/>
  <c r="I790" i="1"/>
  <c r="K790" i="1"/>
  <c r="C791" i="1"/>
  <c r="D791" i="1"/>
  <c r="H791" i="1" s="1"/>
  <c r="E791" i="1"/>
  <c r="I791" i="1"/>
  <c r="K791" i="1"/>
  <c r="C792" i="1"/>
  <c r="D792" i="1"/>
  <c r="H792" i="1" s="1"/>
  <c r="E792" i="1"/>
  <c r="I792" i="1"/>
  <c r="K792" i="1"/>
  <c r="C793" i="1"/>
  <c r="D793" i="1"/>
  <c r="H793" i="1" s="1"/>
  <c r="E793" i="1"/>
  <c r="I793" i="1"/>
  <c r="K793" i="1"/>
  <c r="C794" i="1"/>
  <c r="D794" i="1"/>
  <c r="H794" i="1" s="1"/>
  <c r="E794" i="1"/>
  <c r="I794" i="1"/>
  <c r="K794" i="1"/>
  <c r="C795" i="1"/>
  <c r="D795" i="1"/>
  <c r="H795" i="1" s="1"/>
  <c r="E795" i="1"/>
  <c r="I795" i="1"/>
  <c r="K795" i="1"/>
  <c r="C796" i="1"/>
  <c r="D796" i="1"/>
  <c r="H796" i="1" s="1"/>
  <c r="E796" i="1"/>
  <c r="I796" i="1"/>
  <c r="K796" i="1"/>
  <c r="C797" i="1"/>
  <c r="D797" i="1"/>
  <c r="H797" i="1" s="1"/>
  <c r="E797" i="1"/>
  <c r="I797" i="1"/>
  <c r="K797" i="1"/>
  <c r="C798" i="1"/>
  <c r="D798" i="1"/>
  <c r="H798" i="1" s="1"/>
  <c r="E798" i="1"/>
  <c r="I798" i="1"/>
  <c r="K798" i="1"/>
  <c r="C799" i="1"/>
  <c r="D799" i="1"/>
  <c r="H799" i="1" s="1"/>
  <c r="E799" i="1"/>
  <c r="I799" i="1"/>
  <c r="K799" i="1"/>
  <c r="C800" i="1"/>
  <c r="D800" i="1"/>
  <c r="H800" i="1" s="1"/>
  <c r="E800" i="1"/>
  <c r="I800" i="1"/>
  <c r="K800" i="1"/>
  <c r="C801" i="1"/>
  <c r="D801" i="1"/>
  <c r="H801" i="1" s="1"/>
  <c r="E801" i="1"/>
  <c r="I801" i="1"/>
  <c r="K801" i="1"/>
  <c r="C802" i="1"/>
  <c r="D802" i="1"/>
  <c r="H802" i="1" s="1"/>
  <c r="E802" i="1"/>
  <c r="I802" i="1"/>
  <c r="K802" i="1"/>
  <c r="C803" i="1"/>
  <c r="D803" i="1"/>
  <c r="H803" i="1" s="1"/>
  <c r="E803" i="1"/>
  <c r="I803" i="1"/>
  <c r="K803" i="1"/>
  <c r="C804" i="1"/>
  <c r="D804" i="1"/>
  <c r="H804" i="1" s="1"/>
  <c r="E804" i="1"/>
  <c r="I804" i="1"/>
  <c r="K804" i="1"/>
  <c r="C805" i="1"/>
  <c r="D805" i="1"/>
  <c r="H805" i="1" s="1"/>
  <c r="E805" i="1"/>
  <c r="I805" i="1"/>
  <c r="K805" i="1"/>
  <c r="C806" i="1"/>
  <c r="D806" i="1"/>
  <c r="H806" i="1" s="1"/>
  <c r="E806" i="1"/>
  <c r="I806" i="1"/>
  <c r="K806" i="1"/>
  <c r="C807" i="1"/>
  <c r="D807" i="1"/>
  <c r="H807" i="1" s="1"/>
  <c r="E807" i="1"/>
  <c r="I807" i="1"/>
  <c r="K807" i="1"/>
  <c r="C808" i="1"/>
  <c r="D808" i="1"/>
  <c r="H808" i="1" s="1"/>
  <c r="E808" i="1"/>
  <c r="I808" i="1"/>
  <c r="K808" i="1"/>
  <c r="C809" i="1"/>
  <c r="D809" i="1"/>
  <c r="H809" i="1" s="1"/>
  <c r="E809" i="1"/>
  <c r="I809" i="1"/>
  <c r="K809" i="1"/>
  <c r="C810" i="1"/>
  <c r="D810" i="1"/>
  <c r="H810" i="1" s="1"/>
  <c r="E810" i="1"/>
  <c r="I810" i="1"/>
  <c r="K810" i="1"/>
  <c r="C811" i="1"/>
  <c r="D811" i="1"/>
  <c r="H811" i="1" s="1"/>
  <c r="E811" i="1"/>
  <c r="I811" i="1"/>
  <c r="K811" i="1"/>
  <c r="C812" i="1"/>
  <c r="D812" i="1"/>
  <c r="H812" i="1" s="1"/>
  <c r="E812" i="1"/>
  <c r="I812" i="1"/>
  <c r="K812" i="1"/>
  <c r="C813" i="1"/>
  <c r="D813" i="1"/>
  <c r="H813" i="1" s="1"/>
  <c r="E813" i="1"/>
  <c r="I813" i="1"/>
  <c r="K813" i="1"/>
  <c r="C814" i="1"/>
  <c r="D814" i="1"/>
  <c r="H814" i="1" s="1"/>
  <c r="E814" i="1"/>
  <c r="I814" i="1"/>
  <c r="K814" i="1"/>
  <c r="C815" i="1"/>
  <c r="D815" i="1"/>
  <c r="H815" i="1" s="1"/>
  <c r="E815" i="1"/>
  <c r="I815" i="1"/>
  <c r="K815" i="1"/>
  <c r="C816" i="1"/>
  <c r="D816" i="1"/>
  <c r="H816" i="1" s="1"/>
  <c r="E816" i="1"/>
  <c r="I816" i="1"/>
  <c r="K816" i="1"/>
  <c r="C817" i="1"/>
  <c r="D817" i="1"/>
  <c r="H817" i="1" s="1"/>
  <c r="E817" i="1"/>
  <c r="I817" i="1"/>
  <c r="K817" i="1"/>
  <c r="C818" i="1"/>
  <c r="D818" i="1"/>
  <c r="H818" i="1" s="1"/>
  <c r="E818" i="1"/>
  <c r="I818" i="1"/>
  <c r="K818" i="1"/>
  <c r="C819" i="1"/>
  <c r="D819" i="1"/>
  <c r="H819" i="1" s="1"/>
  <c r="E819" i="1"/>
  <c r="I819" i="1"/>
  <c r="K819" i="1"/>
  <c r="C820" i="1"/>
  <c r="D820" i="1"/>
  <c r="H820" i="1" s="1"/>
  <c r="E820" i="1"/>
  <c r="I820" i="1"/>
  <c r="K820" i="1"/>
  <c r="C821" i="1"/>
  <c r="D821" i="1"/>
  <c r="H821" i="1" s="1"/>
  <c r="E821" i="1"/>
  <c r="I821" i="1"/>
  <c r="K821" i="1"/>
  <c r="C822" i="1"/>
  <c r="D822" i="1"/>
  <c r="H822" i="1" s="1"/>
  <c r="E822" i="1"/>
  <c r="I822" i="1"/>
  <c r="K822" i="1"/>
  <c r="C823" i="1"/>
  <c r="D823" i="1"/>
  <c r="H823" i="1" s="1"/>
  <c r="E823" i="1"/>
  <c r="I823" i="1"/>
  <c r="K823" i="1"/>
  <c r="C824" i="1"/>
  <c r="D824" i="1"/>
  <c r="H824" i="1" s="1"/>
  <c r="E824" i="1"/>
  <c r="I824" i="1"/>
  <c r="K824" i="1"/>
  <c r="C825" i="1"/>
  <c r="D825" i="1"/>
  <c r="H825" i="1" s="1"/>
  <c r="E825" i="1"/>
  <c r="I825" i="1"/>
  <c r="K825" i="1"/>
  <c r="C826" i="1"/>
  <c r="D826" i="1"/>
  <c r="H826" i="1" s="1"/>
  <c r="E826" i="1"/>
  <c r="I826" i="1"/>
  <c r="K826" i="1"/>
  <c r="C827" i="1"/>
  <c r="D827" i="1"/>
  <c r="H827" i="1" s="1"/>
  <c r="E827" i="1"/>
  <c r="I827" i="1"/>
  <c r="K827" i="1"/>
  <c r="C828" i="1"/>
  <c r="D828" i="1"/>
  <c r="H828" i="1" s="1"/>
  <c r="E828" i="1"/>
  <c r="I828" i="1"/>
  <c r="K828" i="1"/>
  <c r="C829" i="1"/>
  <c r="D829" i="1"/>
  <c r="H829" i="1" s="1"/>
  <c r="E829" i="1"/>
  <c r="I829" i="1"/>
  <c r="K829" i="1"/>
  <c r="C830" i="1"/>
  <c r="D830" i="1"/>
  <c r="H830" i="1" s="1"/>
  <c r="E830" i="1"/>
  <c r="I830" i="1"/>
  <c r="K830" i="1"/>
  <c r="C831" i="1"/>
  <c r="D831" i="1"/>
  <c r="H831" i="1" s="1"/>
  <c r="E831" i="1"/>
  <c r="I831" i="1"/>
  <c r="K831" i="1"/>
  <c r="C832" i="1"/>
  <c r="D832" i="1"/>
  <c r="H832" i="1" s="1"/>
  <c r="E832" i="1"/>
  <c r="I832" i="1"/>
  <c r="K832" i="1"/>
  <c r="C833" i="1"/>
  <c r="D833" i="1"/>
  <c r="H833" i="1" s="1"/>
  <c r="E833" i="1"/>
  <c r="I833" i="1"/>
  <c r="K833" i="1"/>
  <c r="C834" i="1"/>
  <c r="D834" i="1"/>
  <c r="H834" i="1" s="1"/>
  <c r="E834" i="1"/>
  <c r="I834" i="1"/>
  <c r="K834" i="1"/>
  <c r="C835" i="1"/>
  <c r="D835" i="1"/>
  <c r="H835" i="1" s="1"/>
  <c r="E835" i="1"/>
  <c r="I835" i="1"/>
  <c r="K835" i="1"/>
  <c r="C836" i="1"/>
  <c r="D836" i="1"/>
  <c r="H836" i="1" s="1"/>
  <c r="E836" i="1"/>
  <c r="I836" i="1"/>
  <c r="K836" i="1"/>
  <c r="C837" i="1"/>
  <c r="D837" i="1"/>
  <c r="H837" i="1" s="1"/>
  <c r="E837" i="1"/>
  <c r="I837" i="1"/>
  <c r="K837" i="1"/>
  <c r="C838" i="1"/>
  <c r="D838" i="1"/>
  <c r="H838" i="1" s="1"/>
  <c r="E838" i="1"/>
  <c r="I838" i="1"/>
  <c r="K838" i="1"/>
  <c r="C839" i="1"/>
  <c r="D839" i="1"/>
  <c r="H839" i="1" s="1"/>
  <c r="E839" i="1"/>
  <c r="I839" i="1"/>
  <c r="K839" i="1"/>
  <c r="C840" i="1"/>
  <c r="D840" i="1"/>
  <c r="H840" i="1" s="1"/>
  <c r="E840" i="1"/>
  <c r="I840" i="1"/>
  <c r="K840" i="1"/>
  <c r="C841" i="1"/>
  <c r="D841" i="1"/>
  <c r="H841" i="1" s="1"/>
  <c r="E841" i="1"/>
  <c r="I841" i="1"/>
  <c r="K841" i="1"/>
  <c r="C842" i="1"/>
  <c r="D842" i="1"/>
  <c r="H842" i="1" s="1"/>
  <c r="E842" i="1"/>
  <c r="I842" i="1"/>
  <c r="K842" i="1"/>
  <c r="C843" i="1"/>
  <c r="D843" i="1"/>
  <c r="H843" i="1" s="1"/>
  <c r="E843" i="1"/>
  <c r="I843" i="1"/>
  <c r="K843" i="1"/>
  <c r="C844" i="1"/>
  <c r="D844" i="1"/>
  <c r="H844" i="1" s="1"/>
  <c r="E844" i="1"/>
  <c r="I844" i="1"/>
  <c r="K844" i="1"/>
  <c r="C845" i="1"/>
  <c r="D845" i="1"/>
  <c r="H845" i="1" s="1"/>
  <c r="E845" i="1"/>
  <c r="I845" i="1"/>
  <c r="K845" i="1"/>
  <c r="C846" i="1"/>
  <c r="D846" i="1"/>
  <c r="H846" i="1" s="1"/>
  <c r="E846" i="1"/>
  <c r="I846" i="1"/>
  <c r="K846" i="1"/>
  <c r="C847" i="1"/>
  <c r="D847" i="1"/>
  <c r="H847" i="1" s="1"/>
  <c r="E847" i="1"/>
  <c r="I847" i="1"/>
  <c r="K847" i="1"/>
  <c r="C848" i="1"/>
  <c r="D848" i="1"/>
  <c r="H848" i="1" s="1"/>
  <c r="E848" i="1"/>
  <c r="I848" i="1"/>
  <c r="K848" i="1"/>
  <c r="C849" i="1"/>
  <c r="D849" i="1"/>
  <c r="H849" i="1" s="1"/>
  <c r="E849" i="1"/>
  <c r="I849" i="1"/>
  <c r="K849" i="1"/>
  <c r="C850" i="1"/>
  <c r="D850" i="1"/>
  <c r="H850" i="1" s="1"/>
  <c r="E850" i="1"/>
  <c r="I850" i="1"/>
  <c r="K850" i="1"/>
  <c r="C851" i="1"/>
  <c r="D851" i="1"/>
  <c r="H851" i="1" s="1"/>
  <c r="E851" i="1"/>
  <c r="I851" i="1"/>
  <c r="K851" i="1"/>
  <c r="C852" i="1"/>
  <c r="D852" i="1"/>
  <c r="H852" i="1" s="1"/>
  <c r="E852" i="1"/>
  <c r="I852" i="1"/>
  <c r="K852" i="1"/>
  <c r="C853" i="1"/>
  <c r="D853" i="1"/>
  <c r="H853" i="1" s="1"/>
  <c r="E853" i="1"/>
  <c r="I853" i="1"/>
  <c r="K853" i="1"/>
  <c r="C854" i="1"/>
  <c r="D854" i="1"/>
  <c r="H854" i="1" s="1"/>
  <c r="E854" i="1"/>
  <c r="I854" i="1"/>
  <c r="K854" i="1"/>
  <c r="C855" i="1"/>
  <c r="D855" i="1"/>
  <c r="H855" i="1" s="1"/>
  <c r="E855" i="1"/>
  <c r="I855" i="1"/>
  <c r="K855" i="1"/>
  <c r="C856" i="1"/>
  <c r="D856" i="1"/>
  <c r="H856" i="1" s="1"/>
  <c r="E856" i="1"/>
  <c r="I856" i="1"/>
  <c r="K856" i="1"/>
  <c r="C857" i="1"/>
  <c r="D857" i="1"/>
  <c r="H857" i="1" s="1"/>
  <c r="E857" i="1"/>
  <c r="I857" i="1"/>
  <c r="K857" i="1"/>
  <c r="C858" i="1"/>
  <c r="D858" i="1"/>
  <c r="H858" i="1" s="1"/>
  <c r="E858" i="1"/>
  <c r="I858" i="1"/>
  <c r="K858" i="1"/>
  <c r="C859" i="1"/>
  <c r="D859" i="1"/>
  <c r="H859" i="1" s="1"/>
  <c r="E859" i="1"/>
  <c r="I859" i="1"/>
  <c r="K859" i="1"/>
  <c r="C860" i="1"/>
  <c r="D860" i="1"/>
  <c r="H860" i="1" s="1"/>
  <c r="E860" i="1"/>
  <c r="I860" i="1"/>
  <c r="K860" i="1"/>
  <c r="C861" i="1"/>
  <c r="D861" i="1"/>
  <c r="H861" i="1" s="1"/>
  <c r="E861" i="1"/>
  <c r="I861" i="1"/>
  <c r="K861" i="1"/>
  <c r="C862" i="1"/>
  <c r="D862" i="1"/>
  <c r="H862" i="1" s="1"/>
  <c r="E862" i="1"/>
  <c r="I862" i="1"/>
  <c r="K862" i="1"/>
  <c r="C863" i="1"/>
  <c r="D863" i="1"/>
  <c r="H863" i="1" s="1"/>
  <c r="E863" i="1"/>
  <c r="I863" i="1"/>
  <c r="K863" i="1"/>
  <c r="C864" i="1"/>
  <c r="D864" i="1"/>
  <c r="H864" i="1" s="1"/>
  <c r="E864" i="1"/>
  <c r="I864" i="1"/>
  <c r="K864" i="1"/>
  <c r="C865" i="1"/>
  <c r="D865" i="1"/>
  <c r="H865" i="1" s="1"/>
  <c r="E865" i="1"/>
  <c r="I865" i="1"/>
  <c r="K865" i="1"/>
  <c r="C866" i="1"/>
  <c r="D866" i="1"/>
  <c r="H866" i="1" s="1"/>
  <c r="E866" i="1"/>
  <c r="I866" i="1"/>
  <c r="K866" i="1"/>
  <c r="C867" i="1"/>
  <c r="D867" i="1"/>
  <c r="H867" i="1" s="1"/>
  <c r="E867" i="1"/>
  <c r="I867" i="1"/>
  <c r="K867" i="1"/>
  <c r="C868" i="1"/>
  <c r="D868" i="1"/>
  <c r="H868" i="1" s="1"/>
  <c r="E868" i="1"/>
  <c r="I868" i="1"/>
  <c r="K868" i="1"/>
  <c r="C869" i="1"/>
  <c r="D869" i="1"/>
  <c r="H869" i="1" s="1"/>
  <c r="E869" i="1"/>
  <c r="I869" i="1"/>
  <c r="K869" i="1"/>
  <c r="C870" i="1"/>
  <c r="D870" i="1"/>
  <c r="H870" i="1" s="1"/>
  <c r="E870" i="1"/>
  <c r="I870" i="1"/>
  <c r="K870" i="1"/>
  <c r="C871" i="1"/>
  <c r="D871" i="1"/>
  <c r="H871" i="1" s="1"/>
  <c r="E871" i="1"/>
  <c r="I871" i="1"/>
  <c r="K871" i="1"/>
  <c r="C872" i="1"/>
  <c r="D872" i="1"/>
  <c r="H872" i="1" s="1"/>
  <c r="E872" i="1"/>
  <c r="I872" i="1"/>
  <c r="K872" i="1"/>
  <c r="C873" i="1"/>
  <c r="D873" i="1"/>
  <c r="H873" i="1" s="1"/>
  <c r="E873" i="1"/>
  <c r="I873" i="1"/>
  <c r="K873" i="1"/>
  <c r="C874" i="1"/>
  <c r="D874" i="1"/>
  <c r="H874" i="1" s="1"/>
  <c r="E874" i="1"/>
  <c r="I874" i="1"/>
  <c r="K874" i="1"/>
  <c r="C875" i="1"/>
  <c r="D875" i="1"/>
  <c r="H875" i="1" s="1"/>
  <c r="E875" i="1"/>
  <c r="I875" i="1"/>
  <c r="K875" i="1"/>
  <c r="C876" i="1"/>
  <c r="D876" i="1"/>
  <c r="H876" i="1" s="1"/>
  <c r="E876" i="1"/>
  <c r="I876" i="1"/>
  <c r="K876" i="1"/>
  <c r="C877" i="1"/>
  <c r="D877" i="1"/>
  <c r="H877" i="1" s="1"/>
  <c r="E877" i="1"/>
  <c r="I877" i="1"/>
  <c r="K877" i="1"/>
  <c r="C878" i="1"/>
  <c r="D878" i="1"/>
  <c r="H878" i="1" s="1"/>
  <c r="E878" i="1"/>
  <c r="I878" i="1"/>
  <c r="K878" i="1"/>
  <c r="C879" i="1"/>
  <c r="D879" i="1"/>
  <c r="H879" i="1" s="1"/>
  <c r="E879" i="1"/>
  <c r="I879" i="1"/>
  <c r="K879" i="1"/>
  <c r="C880" i="1"/>
  <c r="D880" i="1"/>
  <c r="H880" i="1" s="1"/>
  <c r="E880" i="1"/>
  <c r="I880" i="1"/>
  <c r="K880" i="1"/>
  <c r="C881" i="1"/>
  <c r="D881" i="1"/>
  <c r="H881" i="1" s="1"/>
  <c r="E881" i="1"/>
  <c r="I881" i="1"/>
  <c r="K881" i="1"/>
  <c r="C882" i="1"/>
  <c r="D882" i="1"/>
  <c r="H882" i="1" s="1"/>
  <c r="E882" i="1"/>
  <c r="I882" i="1"/>
  <c r="K882" i="1"/>
  <c r="C883" i="1"/>
  <c r="D883" i="1"/>
  <c r="H883" i="1" s="1"/>
  <c r="E883" i="1"/>
  <c r="I883" i="1"/>
  <c r="K883" i="1"/>
  <c r="C884" i="1"/>
  <c r="D884" i="1"/>
  <c r="H884" i="1" s="1"/>
  <c r="E884" i="1"/>
  <c r="I884" i="1"/>
  <c r="K884" i="1"/>
  <c r="C885" i="1"/>
  <c r="D885" i="1"/>
  <c r="H885" i="1" s="1"/>
  <c r="E885" i="1"/>
  <c r="I885" i="1"/>
  <c r="K885" i="1"/>
  <c r="C886" i="1"/>
  <c r="D886" i="1"/>
  <c r="H886" i="1" s="1"/>
  <c r="E886" i="1"/>
  <c r="I886" i="1"/>
  <c r="K886" i="1"/>
  <c r="C887" i="1"/>
  <c r="D887" i="1"/>
  <c r="H887" i="1" s="1"/>
  <c r="E887" i="1"/>
  <c r="I887" i="1"/>
  <c r="K887" i="1"/>
  <c r="C888" i="1"/>
  <c r="D888" i="1"/>
  <c r="H888" i="1" s="1"/>
  <c r="E888" i="1"/>
  <c r="I888" i="1"/>
  <c r="K888" i="1"/>
  <c r="C889" i="1"/>
  <c r="D889" i="1"/>
  <c r="H889" i="1" s="1"/>
  <c r="E889" i="1"/>
  <c r="I889" i="1"/>
  <c r="K889" i="1"/>
  <c r="C890" i="1"/>
  <c r="D890" i="1"/>
  <c r="H890" i="1" s="1"/>
  <c r="E890" i="1"/>
  <c r="I890" i="1"/>
  <c r="K890" i="1"/>
  <c r="C891" i="1"/>
  <c r="D891" i="1"/>
  <c r="H891" i="1" s="1"/>
  <c r="E891" i="1"/>
  <c r="I891" i="1"/>
  <c r="K891" i="1"/>
  <c r="C892" i="1"/>
  <c r="D892" i="1"/>
  <c r="H892" i="1" s="1"/>
  <c r="E892" i="1"/>
  <c r="I892" i="1"/>
  <c r="K892" i="1"/>
  <c r="C893" i="1"/>
  <c r="D893" i="1"/>
  <c r="H893" i="1" s="1"/>
  <c r="E893" i="1"/>
  <c r="I893" i="1"/>
  <c r="K893" i="1"/>
  <c r="C894" i="1"/>
  <c r="D894" i="1"/>
  <c r="H894" i="1" s="1"/>
  <c r="E894" i="1"/>
  <c r="I894" i="1"/>
  <c r="K894" i="1"/>
  <c r="C895" i="1"/>
  <c r="D895" i="1"/>
  <c r="H895" i="1" s="1"/>
  <c r="E895" i="1"/>
  <c r="I895" i="1"/>
  <c r="K895" i="1"/>
  <c r="C896" i="1"/>
  <c r="D896" i="1"/>
  <c r="H896" i="1" s="1"/>
  <c r="E896" i="1"/>
  <c r="I896" i="1"/>
  <c r="K896" i="1"/>
  <c r="C897" i="1"/>
  <c r="D897" i="1"/>
  <c r="H897" i="1" s="1"/>
  <c r="E897" i="1"/>
  <c r="I897" i="1"/>
  <c r="K897" i="1"/>
  <c r="C898" i="1"/>
  <c r="D898" i="1"/>
  <c r="H898" i="1" s="1"/>
  <c r="E898" i="1"/>
  <c r="I898" i="1"/>
  <c r="K898" i="1"/>
  <c r="C899" i="1"/>
  <c r="D899" i="1"/>
  <c r="H899" i="1" s="1"/>
  <c r="E899" i="1"/>
  <c r="I899" i="1"/>
  <c r="K899" i="1"/>
  <c r="C900" i="1"/>
  <c r="D900" i="1"/>
  <c r="H900" i="1" s="1"/>
  <c r="E900" i="1"/>
  <c r="I900" i="1"/>
  <c r="K900" i="1"/>
  <c r="C901" i="1"/>
  <c r="D901" i="1"/>
  <c r="H901" i="1" s="1"/>
  <c r="E901" i="1"/>
  <c r="I901" i="1"/>
  <c r="K901" i="1"/>
  <c r="C902" i="1"/>
  <c r="D902" i="1"/>
  <c r="H902" i="1" s="1"/>
  <c r="E902" i="1"/>
  <c r="I902" i="1"/>
  <c r="K902" i="1"/>
  <c r="C903" i="1"/>
  <c r="D903" i="1"/>
  <c r="H903" i="1" s="1"/>
  <c r="E903" i="1"/>
  <c r="I903" i="1"/>
  <c r="K903" i="1"/>
  <c r="C904" i="1"/>
  <c r="D904" i="1"/>
  <c r="H904" i="1" s="1"/>
  <c r="E904" i="1"/>
  <c r="I904" i="1"/>
  <c r="K904" i="1"/>
  <c r="C905" i="1"/>
  <c r="D905" i="1"/>
  <c r="H905" i="1" s="1"/>
  <c r="E905" i="1"/>
  <c r="I905" i="1"/>
  <c r="K905" i="1"/>
  <c r="C906" i="1"/>
  <c r="D906" i="1"/>
  <c r="H906" i="1" s="1"/>
  <c r="E906" i="1"/>
  <c r="I906" i="1"/>
  <c r="K906" i="1"/>
  <c r="C907" i="1"/>
  <c r="D907" i="1"/>
  <c r="H907" i="1" s="1"/>
  <c r="E907" i="1"/>
  <c r="I907" i="1"/>
  <c r="K907" i="1"/>
  <c r="C908" i="1"/>
  <c r="D908" i="1"/>
  <c r="H908" i="1" s="1"/>
  <c r="E908" i="1"/>
  <c r="I908" i="1"/>
  <c r="K908" i="1"/>
  <c r="C909" i="1"/>
  <c r="D909" i="1"/>
  <c r="H909" i="1" s="1"/>
  <c r="E909" i="1"/>
  <c r="I909" i="1"/>
  <c r="K909" i="1"/>
  <c r="C910" i="1"/>
  <c r="D910" i="1"/>
  <c r="H910" i="1" s="1"/>
  <c r="E910" i="1"/>
  <c r="I910" i="1"/>
  <c r="K910" i="1"/>
  <c r="C911" i="1"/>
  <c r="D911" i="1"/>
  <c r="H911" i="1" s="1"/>
  <c r="E911" i="1"/>
  <c r="I911" i="1"/>
  <c r="K911" i="1"/>
  <c r="C912" i="1"/>
  <c r="D912" i="1"/>
  <c r="H912" i="1" s="1"/>
  <c r="E912" i="1"/>
  <c r="I912" i="1"/>
  <c r="K912" i="1"/>
  <c r="C913" i="1"/>
  <c r="D913" i="1"/>
  <c r="H913" i="1" s="1"/>
  <c r="E913" i="1"/>
  <c r="I913" i="1"/>
  <c r="K913" i="1"/>
  <c r="C914" i="1"/>
  <c r="D914" i="1"/>
  <c r="H914" i="1" s="1"/>
  <c r="E914" i="1"/>
  <c r="I914" i="1"/>
  <c r="K914" i="1"/>
  <c r="C915" i="1"/>
  <c r="D915" i="1"/>
  <c r="H915" i="1" s="1"/>
  <c r="E915" i="1"/>
  <c r="I915" i="1"/>
  <c r="K915" i="1"/>
  <c r="C916" i="1"/>
  <c r="D916" i="1"/>
  <c r="H916" i="1" s="1"/>
  <c r="E916" i="1"/>
  <c r="I916" i="1"/>
  <c r="K916" i="1"/>
  <c r="C917" i="1"/>
  <c r="D917" i="1"/>
  <c r="H917" i="1" s="1"/>
  <c r="E917" i="1"/>
  <c r="I917" i="1"/>
  <c r="K917" i="1"/>
  <c r="C918" i="1"/>
  <c r="D918" i="1"/>
  <c r="H918" i="1" s="1"/>
  <c r="E918" i="1"/>
  <c r="I918" i="1"/>
  <c r="K918" i="1"/>
  <c r="C919" i="1"/>
  <c r="D919" i="1"/>
  <c r="H919" i="1" s="1"/>
  <c r="E919" i="1"/>
  <c r="I919" i="1"/>
  <c r="K919" i="1"/>
  <c r="C920" i="1"/>
  <c r="D920" i="1"/>
  <c r="H920" i="1" s="1"/>
  <c r="E920" i="1"/>
  <c r="I920" i="1"/>
  <c r="K920" i="1"/>
  <c r="C921" i="1"/>
  <c r="D921" i="1"/>
  <c r="H921" i="1" s="1"/>
  <c r="E921" i="1"/>
  <c r="I921" i="1"/>
  <c r="K921" i="1"/>
  <c r="C922" i="1"/>
  <c r="D922" i="1"/>
  <c r="H922" i="1" s="1"/>
  <c r="E922" i="1"/>
  <c r="I922" i="1"/>
  <c r="K922" i="1"/>
  <c r="C923" i="1"/>
  <c r="D923" i="1"/>
  <c r="H923" i="1" s="1"/>
  <c r="E923" i="1"/>
  <c r="I923" i="1"/>
  <c r="K923" i="1"/>
  <c r="C924" i="1"/>
  <c r="D924" i="1"/>
  <c r="H924" i="1" s="1"/>
  <c r="E924" i="1"/>
  <c r="I924" i="1"/>
  <c r="K924" i="1"/>
  <c r="C925" i="1"/>
  <c r="D925" i="1"/>
  <c r="H925" i="1" s="1"/>
  <c r="E925" i="1"/>
  <c r="I925" i="1"/>
  <c r="K925" i="1"/>
  <c r="C926" i="1"/>
  <c r="D926" i="1"/>
  <c r="H926" i="1" s="1"/>
  <c r="E926" i="1"/>
  <c r="I926" i="1"/>
  <c r="K926" i="1"/>
  <c r="C927" i="1"/>
  <c r="D927" i="1"/>
  <c r="H927" i="1" s="1"/>
  <c r="E927" i="1"/>
  <c r="I927" i="1"/>
  <c r="K927" i="1"/>
  <c r="C928" i="1"/>
  <c r="D928" i="1"/>
  <c r="H928" i="1" s="1"/>
  <c r="E928" i="1"/>
  <c r="I928" i="1"/>
  <c r="K928" i="1"/>
  <c r="C929" i="1"/>
  <c r="D929" i="1"/>
  <c r="H929" i="1" s="1"/>
  <c r="E929" i="1"/>
  <c r="I929" i="1"/>
  <c r="K929" i="1"/>
  <c r="C930" i="1"/>
  <c r="D930" i="1"/>
  <c r="H930" i="1" s="1"/>
  <c r="E930" i="1"/>
  <c r="I930" i="1"/>
  <c r="K930" i="1"/>
  <c r="C931" i="1"/>
  <c r="D931" i="1"/>
  <c r="H931" i="1" s="1"/>
  <c r="E931" i="1"/>
  <c r="I931" i="1"/>
  <c r="K931" i="1"/>
  <c r="C932" i="1"/>
  <c r="D932" i="1"/>
  <c r="H932" i="1" s="1"/>
  <c r="E932" i="1"/>
  <c r="I932" i="1"/>
  <c r="K932" i="1"/>
  <c r="C933" i="1"/>
  <c r="D933" i="1"/>
  <c r="H933" i="1" s="1"/>
  <c r="E933" i="1"/>
  <c r="I933" i="1"/>
  <c r="K933" i="1"/>
  <c r="C934" i="1"/>
  <c r="D934" i="1"/>
  <c r="H934" i="1" s="1"/>
  <c r="E934" i="1"/>
  <c r="I934" i="1"/>
  <c r="K934" i="1"/>
  <c r="C935" i="1"/>
  <c r="D935" i="1"/>
  <c r="H935" i="1" s="1"/>
  <c r="E935" i="1"/>
  <c r="I935" i="1"/>
  <c r="K935" i="1"/>
  <c r="C936" i="1"/>
  <c r="D936" i="1"/>
  <c r="H936" i="1" s="1"/>
  <c r="E936" i="1"/>
  <c r="I936" i="1"/>
  <c r="K936" i="1"/>
  <c r="C937" i="1"/>
  <c r="D937" i="1"/>
  <c r="H937" i="1" s="1"/>
  <c r="E937" i="1"/>
  <c r="I937" i="1"/>
  <c r="K937" i="1"/>
  <c r="C938" i="1"/>
  <c r="D938" i="1"/>
  <c r="H938" i="1" s="1"/>
  <c r="E938" i="1"/>
  <c r="I938" i="1"/>
  <c r="K938" i="1"/>
  <c r="C939" i="1"/>
  <c r="D939" i="1"/>
  <c r="H939" i="1" s="1"/>
  <c r="E939" i="1"/>
  <c r="I939" i="1"/>
  <c r="K939" i="1"/>
  <c r="C940" i="1"/>
  <c r="D940" i="1"/>
  <c r="H940" i="1" s="1"/>
  <c r="E940" i="1"/>
  <c r="I940" i="1"/>
  <c r="K940" i="1"/>
  <c r="C941" i="1"/>
  <c r="D941" i="1"/>
  <c r="H941" i="1" s="1"/>
  <c r="E941" i="1"/>
  <c r="I941" i="1"/>
  <c r="K941" i="1"/>
  <c r="C942" i="1"/>
  <c r="D942" i="1"/>
  <c r="H942" i="1" s="1"/>
  <c r="E942" i="1"/>
  <c r="I942" i="1"/>
  <c r="K942" i="1"/>
  <c r="C943" i="1"/>
  <c r="D943" i="1"/>
  <c r="H943" i="1" s="1"/>
  <c r="E943" i="1"/>
  <c r="I943" i="1"/>
  <c r="K943" i="1"/>
  <c r="C944" i="1"/>
  <c r="D944" i="1"/>
  <c r="H944" i="1" s="1"/>
  <c r="E944" i="1"/>
  <c r="I944" i="1"/>
  <c r="K944" i="1"/>
  <c r="C945" i="1"/>
  <c r="D945" i="1"/>
  <c r="H945" i="1" s="1"/>
  <c r="E945" i="1"/>
  <c r="I945" i="1"/>
  <c r="K945" i="1"/>
  <c r="C946" i="1"/>
  <c r="D946" i="1"/>
  <c r="H946" i="1" s="1"/>
  <c r="E946" i="1"/>
  <c r="I946" i="1"/>
  <c r="K946" i="1"/>
  <c r="C947" i="1"/>
  <c r="D947" i="1"/>
  <c r="H947" i="1" s="1"/>
  <c r="E947" i="1"/>
  <c r="I947" i="1"/>
  <c r="K947" i="1"/>
  <c r="C948" i="1"/>
  <c r="D948" i="1"/>
  <c r="H948" i="1" s="1"/>
  <c r="E948" i="1"/>
  <c r="I948" i="1"/>
  <c r="K948" i="1"/>
  <c r="C949" i="1"/>
  <c r="D949" i="1"/>
  <c r="H949" i="1" s="1"/>
  <c r="E949" i="1"/>
  <c r="I949" i="1"/>
  <c r="K949" i="1"/>
  <c r="C950" i="1"/>
  <c r="D950" i="1"/>
  <c r="H950" i="1" s="1"/>
  <c r="E950" i="1"/>
  <c r="I950" i="1"/>
  <c r="K950" i="1"/>
  <c r="C951" i="1"/>
  <c r="D951" i="1"/>
  <c r="H951" i="1" s="1"/>
  <c r="E951" i="1"/>
  <c r="I951" i="1"/>
  <c r="K951" i="1"/>
  <c r="C952" i="1"/>
  <c r="D952" i="1"/>
  <c r="H952" i="1" s="1"/>
  <c r="E952" i="1"/>
  <c r="I952" i="1"/>
  <c r="K952" i="1"/>
  <c r="C953" i="1"/>
  <c r="D953" i="1"/>
  <c r="H953" i="1" s="1"/>
  <c r="E953" i="1"/>
  <c r="I953" i="1"/>
  <c r="K953" i="1"/>
  <c r="C954" i="1"/>
  <c r="D954" i="1"/>
  <c r="H954" i="1" s="1"/>
  <c r="E954" i="1"/>
  <c r="I954" i="1"/>
  <c r="K954" i="1"/>
  <c r="C955" i="1"/>
  <c r="D955" i="1"/>
  <c r="H955" i="1" s="1"/>
  <c r="E955" i="1"/>
  <c r="I955" i="1"/>
  <c r="K955" i="1"/>
  <c r="C956" i="1"/>
  <c r="D956" i="1"/>
  <c r="H956" i="1" s="1"/>
  <c r="E956" i="1"/>
  <c r="I956" i="1"/>
  <c r="K956" i="1"/>
  <c r="C957" i="1"/>
  <c r="D957" i="1"/>
  <c r="H957" i="1" s="1"/>
  <c r="E957" i="1"/>
  <c r="I957" i="1"/>
  <c r="K957" i="1"/>
  <c r="C958" i="1"/>
  <c r="D958" i="1"/>
  <c r="H958" i="1" s="1"/>
  <c r="E958" i="1"/>
  <c r="I958" i="1"/>
  <c r="K958" i="1"/>
  <c r="C959" i="1"/>
  <c r="D959" i="1"/>
  <c r="H959" i="1" s="1"/>
  <c r="E959" i="1"/>
  <c r="I959" i="1"/>
  <c r="K959" i="1"/>
  <c r="C960" i="1"/>
  <c r="D960" i="1"/>
  <c r="H960" i="1" s="1"/>
  <c r="E960" i="1"/>
  <c r="I960" i="1"/>
  <c r="K960" i="1"/>
  <c r="C961" i="1"/>
  <c r="D961" i="1"/>
  <c r="H961" i="1" s="1"/>
  <c r="E961" i="1"/>
  <c r="I961" i="1"/>
  <c r="K961" i="1"/>
  <c r="C962" i="1"/>
  <c r="D962" i="1"/>
  <c r="H962" i="1" s="1"/>
  <c r="E962" i="1"/>
  <c r="I962" i="1"/>
  <c r="K962" i="1"/>
  <c r="C963" i="1"/>
  <c r="D963" i="1"/>
  <c r="H963" i="1" s="1"/>
  <c r="E963" i="1"/>
  <c r="I963" i="1"/>
  <c r="K963" i="1"/>
  <c r="C964" i="1"/>
  <c r="D964" i="1"/>
  <c r="H964" i="1" s="1"/>
  <c r="E964" i="1"/>
  <c r="I964" i="1"/>
  <c r="K964" i="1"/>
  <c r="C965" i="1"/>
  <c r="D965" i="1"/>
  <c r="H965" i="1" s="1"/>
  <c r="E965" i="1"/>
  <c r="I965" i="1"/>
  <c r="K965" i="1"/>
  <c r="C966" i="1"/>
  <c r="D966" i="1"/>
  <c r="H966" i="1" s="1"/>
  <c r="E966" i="1"/>
  <c r="I966" i="1"/>
  <c r="K966" i="1"/>
  <c r="C967" i="1"/>
  <c r="D967" i="1"/>
  <c r="H967" i="1" s="1"/>
  <c r="E967" i="1"/>
  <c r="I967" i="1"/>
  <c r="K967" i="1"/>
  <c r="C968" i="1"/>
  <c r="D968" i="1"/>
  <c r="H968" i="1" s="1"/>
  <c r="E968" i="1"/>
  <c r="I968" i="1"/>
  <c r="K968" i="1"/>
  <c r="C969" i="1"/>
  <c r="D969" i="1"/>
  <c r="H969" i="1" s="1"/>
  <c r="E969" i="1"/>
  <c r="I969" i="1"/>
  <c r="K969" i="1"/>
  <c r="C970" i="1"/>
  <c r="D970" i="1"/>
  <c r="H970" i="1" s="1"/>
  <c r="E970" i="1"/>
  <c r="I970" i="1"/>
  <c r="K970" i="1"/>
  <c r="C971" i="1"/>
  <c r="D971" i="1"/>
  <c r="H971" i="1" s="1"/>
  <c r="E971" i="1"/>
  <c r="I971" i="1"/>
  <c r="K971" i="1"/>
  <c r="C972" i="1"/>
  <c r="D972" i="1"/>
  <c r="H972" i="1" s="1"/>
  <c r="E972" i="1"/>
  <c r="I972" i="1"/>
  <c r="K972" i="1"/>
  <c r="C973" i="1"/>
  <c r="D973" i="1"/>
  <c r="H973" i="1" s="1"/>
  <c r="E973" i="1"/>
  <c r="I973" i="1"/>
  <c r="K973" i="1"/>
  <c r="C974" i="1"/>
  <c r="D974" i="1"/>
  <c r="H974" i="1" s="1"/>
  <c r="E974" i="1"/>
  <c r="I974" i="1"/>
  <c r="K974" i="1"/>
  <c r="C975" i="1"/>
  <c r="D975" i="1"/>
  <c r="H975" i="1" s="1"/>
  <c r="E975" i="1"/>
  <c r="I975" i="1"/>
  <c r="K975" i="1"/>
  <c r="C976" i="1"/>
  <c r="D976" i="1"/>
  <c r="H976" i="1" s="1"/>
  <c r="E976" i="1"/>
  <c r="I976" i="1"/>
  <c r="K976" i="1"/>
  <c r="C977" i="1"/>
  <c r="D977" i="1"/>
  <c r="H977" i="1" s="1"/>
  <c r="E977" i="1"/>
  <c r="I977" i="1"/>
  <c r="K977" i="1"/>
  <c r="C978" i="1"/>
  <c r="D978" i="1"/>
  <c r="H978" i="1" s="1"/>
  <c r="E978" i="1"/>
  <c r="I978" i="1"/>
  <c r="K978" i="1"/>
  <c r="C979" i="1"/>
  <c r="D979" i="1"/>
  <c r="H979" i="1" s="1"/>
  <c r="E979" i="1"/>
  <c r="I979" i="1"/>
  <c r="K979" i="1"/>
  <c r="C980" i="1"/>
  <c r="D980" i="1"/>
  <c r="H980" i="1" s="1"/>
  <c r="E980" i="1"/>
  <c r="I980" i="1"/>
  <c r="K980" i="1"/>
  <c r="C981" i="1"/>
  <c r="D981" i="1"/>
  <c r="H981" i="1" s="1"/>
  <c r="E981" i="1"/>
  <c r="I981" i="1"/>
  <c r="K981" i="1"/>
  <c r="C982" i="1"/>
  <c r="D982" i="1"/>
  <c r="H982" i="1" s="1"/>
  <c r="E982" i="1"/>
  <c r="I982" i="1"/>
  <c r="K982" i="1"/>
  <c r="C983" i="1"/>
  <c r="D983" i="1"/>
  <c r="H983" i="1" s="1"/>
  <c r="E983" i="1"/>
  <c r="I983" i="1"/>
  <c r="K983" i="1"/>
  <c r="C984" i="1"/>
  <c r="D984" i="1"/>
  <c r="H984" i="1" s="1"/>
  <c r="E984" i="1"/>
  <c r="I984" i="1"/>
  <c r="K984" i="1"/>
  <c r="C985" i="1"/>
  <c r="D985" i="1"/>
  <c r="H985" i="1" s="1"/>
  <c r="E985" i="1"/>
  <c r="I985" i="1"/>
  <c r="K985" i="1"/>
  <c r="C986" i="1"/>
  <c r="D986" i="1"/>
  <c r="H986" i="1" s="1"/>
  <c r="E986" i="1"/>
  <c r="I986" i="1"/>
  <c r="K986" i="1"/>
  <c r="C987" i="1"/>
  <c r="D987" i="1"/>
  <c r="H987" i="1" s="1"/>
  <c r="E987" i="1"/>
  <c r="I987" i="1"/>
  <c r="K987" i="1"/>
  <c r="C988" i="1"/>
  <c r="D988" i="1"/>
  <c r="H988" i="1" s="1"/>
  <c r="E988" i="1"/>
  <c r="I988" i="1"/>
  <c r="K988" i="1"/>
  <c r="C989" i="1"/>
  <c r="D989" i="1"/>
  <c r="H989" i="1" s="1"/>
  <c r="E989" i="1"/>
  <c r="I989" i="1"/>
  <c r="K989" i="1"/>
  <c r="C990" i="1"/>
  <c r="D990" i="1"/>
  <c r="H990" i="1" s="1"/>
  <c r="E990" i="1"/>
  <c r="I990" i="1"/>
  <c r="K990" i="1"/>
  <c r="C991" i="1"/>
  <c r="D991" i="1"/>
  <c r="H991" i="1" s="1"/>
  <c r="E991" i="1"/>
  <c r="I991" i="1"/>
  <c r="K991" i="1"/>
  <c r="C992" i="1"/>
  <c r="D992" i="1"/>
  <c r="H992" i="1" s="1"/>
  <c r="E992" i="1"/>
  <c r="I992" i="1"/>
  <c r="K992" i="1"/>
  <c r="C993" i="1"/>
  <c r="D993" i="1"/>
  <c r="H993" i="1" s="1"/>
  <c r="E993" i="1"/>
  <c r="I993" i="1"/>
  <c r="K993" i="1"/>
  <c r="C994" i="1"/>
  <c r="D994" i="1"/>
  <c r="H994" i="1" s="1"/>
  <c r="E994" i="1"/>
  <c r="I994" i="1"/>
  <c r="K994" i="1"/>
  <c r="C995" i="1"/>
  <c r="D995" i="1"/>
  <c r="H995" i="1" s="1"/>
  <c r="E995" i="1"/>
  <c r="I995" i="1"/>
  <c r="K995" i="1"/>
  <c r="C996" i="1"/>
  <c r="D996" i="1"/>
  <c r="H996" i="1" s="1"/>
  <c r="E996" i="1"/>
  <c r="I996" i="1"/>
  <c r="K996" i="1"/>
  <c r="C997" i="1"/>
  <c r="D997" i="1"/>
  <c r="H997" i="1" s="1"/>
  <c r="E997" i="1"/>
  <c r="I997" i="1"/>
  <c r="K997" i="1"/>
  <c r="C998" i="1"/>
  <c r="D998" i="1"/>
  <c r="H998" i="1" s="1"/>
  <c r="E998" i="1"/>
  <c r="I998" i="1"/>
  <c r="K998" i="1"/>
  <c r="C999" i="1"/>
  <c r="D999" i="1"/>
  <c r="H999" i="1" s="1"/>
  <c r="E999" i="1"/>
  <c r="I999" i="1"/>
  <c r="K999" i="1"/>
  <c r="C1000" i="1"/>
  <c r="D1000" i="1"/>
  <c r="H1000" i="1" s="1"/>
  <c r="E1000" i="1"/>
  <c r="I1000" i="1"/>
  <c r="K1000" i="1"/>
  <c r="C1001" i="1"/>
  <c r="D1001" i="1"/>
  <c r="H1001" i="1" s="1"/>
  <c r="E1001" i="1"/>
  <c r="I1001" i="1"/>
  <c r="K1001" i="1"/>
  <c r="C1002" i="1"/>
  <c r="D1002" i="1"/>
  <c r="H1002" i="1" s="1"/>
  <c r="E1002" i="1"/>
  <c r="I1002" i="1"/>
  <c r="K1002" i="1"/>
  <c r="C1003" i="1"/>
  <c r="D1003" i="1"/>
  <c r="H1003" i="1" s="1"/>
  <c r="E1003" i="1"/>
  <c r="I1003" i="1"/>
  <c r="K1003" i="1"/>
  <c r="C1004" i="1"/>
  <c r="D1004" i="1"/>
  <c r="H1004" i="1" s="1"/>
  <c r="E1004" i="1"/>
  <c r="I1004" i="1"/>
  <c r="K1004" i="1"/>
  <c r="C1005" i="1"/>
  <c r="D1005" i="1"/>
  <c r="H1005" i="1" s="1"/>
  <c r="E1005" i="1"/>
  <c r="I1005" i="1"/>
  <c r="K1005" i="1"/>
  <c r="C1006" i="1"/>
  <c r="D1006" i="1"/>
  <c r="H1006" i="1" s="1"/>
  <c r="E1006" i="1"/>
  <c r="I1006" i="1"/>
  <c r="K1006" i="1"/>
  <c r="C1007" i="1"/>
  <c r="D1007" i="1"/>
  <c r="H1007" i="1" s="1"/>
  <c r="E1007" i="1"/>
  <c r="I1007" i="1"/>
  <c r="K1007" i="1"/>
  <c r="C1008" i="1"/>
  <c r="D1008" i="1"/>
  <c r="H1008" i="1" s="1"/>
  <c r="E1008" i="1"/>
  <c r="I1008" i="1"/>
  <c r="K1008" i="1"/>
  <c r="C1009" i="1"/>
  <c r="D1009" i="1"/>
  <c r="H1009" i="1" s="1"/>
  <c r="E1009" i="1"/>
  <c r="I1009" i="1"/>
  <c r="K1009" i="1"/>
  <c r="C1010" i="1"/>
  <c r="D1010" i="1"/>
  <c r="H1010" i="1" s="1"/>
  <c r="E1010" i="1"/>
  <c r="I1010" i="1"/>
  <c r="K1010" i="1"/>
  <c r="C1011" i="1"/>
  <c r="D1011" i="1"/>
  <c r="H1011" i="1" s="1"/>
  <c r="E1011" i="1"/>
  <c r="I1011" i="1"/>
  <c r="K1011" i="1"/>
  <c r="C1012" i="1"/>
  <c r="D1012" i="1"/>
  <c r="H1012" i="1" s="1"/>
  <c r="E1012" i="1"/>
  <c r="I1012" i="1"/>
  <c r="K1012" i="1"/>
  <c r="C1013" i="1"/>
  <c r="D1013" i="1"/>
  <c r="H1013" i="1" s="1"/>
  <c r="E1013" i="1"/>
  <c r="I1013" i="1"/>
  <c r="K1013" i="1"/>
  <c r="C1014" i="1"/>
  <c r="D1014" i="1"/>
  <c r="H1014" i="1" s="1"/>
  <c r="E1014" i="1"/>
  <c r="I1014" i="1"/>
  <c r="K1014" i="1"/>
  <c r="C1015" i="1"/>
  <c r="D1015" i="1"/>
  <c r="H1015" i="1" s="1"/>
  <c r="E1015" i="1"/>
  <c r="I1015" i="1"/>
  <c r="K1015" i="1"/>
  <c r="C1016" i="1"/>
  <c r="D1016" i="1"/>
  <c r="H1016" i="1" s="1"/>
  <c r="E1016" i="1"/>
  <c r="I1016" i="1"/>
  <c r="K1016" i="1"/>
  <c r="C1017" i="1"/>
  <c r="D1017" i="1"/>
  <c r="H1017" i="1" s="1"/>
  <c r="E1017" i="1"/>
  <c r="I1017" i="1"/>
  <c r="K1017" i="1"/>
  <c r="C1018" i="1"/>
  <c r="D1018" i="1"/>
  <c r="H1018" i="1" s="1"/>
  <c r="E1018" i="1"/>
  <c r="I1018" i="1"/>
  <c r="K1018" i="1"/>
  <c r="C1019" i="1"/>
  <c r="D1019" i="1"/>
  <c r="H1019" i="1" s="1"/>
  <c r="E1019" i="1"/>
  <c r="I1019" i="1"/>
  <c r="K1019" i="1"/>
  <c r="C1020" i="1"/>
  <c r="D1020" i="1"/>
  <c r="H1020" i="1" s="1"/>
  <c r="E1020" i="1"/>
  <c r="I1020" i="1"/>
  <c r="K1020" i="1"/>
  <c r="C1021" i="1"/>
  <c r="D1021" i="1"/>
  <c r="H1021" i="1" s="1"/>
  <c r="E1021" i="1"/>
  <c r="I1021" i="1"/>
  <c r="K1021" i="1"/>
  <c r="C1022" i="1"/>
  <c r="D1022" i="1"/>
  <c r="H1022" i="1" s="1"/>
  <c r="E1022" i="1"/>
  <c r="I1022" i="1"/>
  <c r="K1022" i="1"/>
  <c r="C1023" i="1"/>
  <c r="D1023" i="1"/>
  <c r="H1023" i="1" s="1"/>
  <c r="E1023" i="1"/>
  <c r="I1023" i="1"/>
  <c r="K1023" i="1"/>
  <c r="C1024" i="1"/>
  <c r="D1024" i="1"/>
  <c r="H1024" i="1" s="1"/>
  <c r="E1024" i="1"/>
  <c r="I1024" i="1"/>
  <c r="K1024" i="1"/>
  <c r="C1025" i="1"/>
  <c r="D1025" i="1"/>
  <c r="H1025" i="1" s="1"/>
  <c r="E1025" i="1"/>
  <c r="I1025" i="1"/>
  <c r="K1025" i="1"/>
  <c r="C1026" i="1"/>
  <c r="D1026" i="1"/>
  <c r="H1026" i="1" s="1"/>
  <c r="E1026" i="1"/>
  <c r="I1026" i="1"/>
  <c r="K1026" i="1"/>
  <c r="C1027" i="1"/>
  <c r="D1027" i="1"/>
  <c r="H1027" i="1" s="1"/>
  <c r="E1027" i="1"/>
  <c r="I1027" i="1"/>
  <c r="K1027" i="1"/>
  <c r="C1028" i="1"/>
  <c r="D1028" i="1"/>
  <c r="H1028" i="1" s="1"/>
  <c r="E1028" i="1"/>
  <c r="I1028" i="1"/>
  <c r="K1028" i="1"/>
  <c r="C1029" i="1"/>
  <c r="D1029" i="1"/>
  <c r="H1029" i="1" s="1"/>
  <c r="E1029" i="1"/>
  <c r="I1029" i="1"/>
  <c r="K1029" i="1"/>
  <c r="C1030" i="1"/>
  <c r="D1030" i="1"/>
  <c r="H1030" i="1" s="1"/>
  <c r="E1030" i="1"/>
  <c r="I1030" i="1"/>
  <c r="K1030" i="1"/>
  <c r="C1031" i="1"/>
  <c r="D1031" i="1"/>
  <c r="H1031" i="1" s="1"/>
  <c r="E1031" i="1"/>
  <c r="I1031" i="1"/>
  <c r="K1031" i="1"/>
  <c r="C1032" i="1"/>
  <c r="D1032" i="1"/>
  <c r="H1032" i="1" s="1"/>
  <c r="E1032" i="1"/>
  <c r="I1032" i="1"/>
  <c r="K1032" i="1"/>
  <c r="C1033" i="1"/>
  <c r="D1033" i="1"/>
  <c r="H1033" i="1" s="1"/>
  <c r="E1033" i="1"/>
  <c r="I1033" i="1"/>
  <c r="K1033" i="1"/>
  <c r="C1034" i="1"/>
  <c r="D1034" i="1"/>
  <c r="H1034" i="1" s="1"/>
  <c r="E1034" i="1"/>
  <c r="I1034" i="1"/>
  <c r="K1034" i="1"/>
  <c r="C1035" i="1"/>
  <c r="D1035" i="1"/>
  <c r="H1035" i="1" s="1"/>
  <c r="E1035" i="1"/>
  <c r="I1035" i="1"/>
  <c r="K1035" i="1"/>
  <c r="C1036" i="1"/>
  <c r="D1036" i="1"/>
  <c r="H1036" i="1" s="1"/>
  <c r="E1036" i="1"/>
  <c r="I1036" i="1"/>
  <c r="K1036" i="1"/>
  <c r="C1037" i="1"/>
  <c r="D1037" i="1"/>
  <c r="H1037" i="1" s="1"/>
  <c r="E1037" i="1"/>
  <c r="I1037" i="1"/>
  <c r="K1037" i="1"/>
  <c r="C1038" i="1"/>
  <c r="D1038" i="1"/>
  <c r="H1038" i="1" s="1"/>
  <c r="E1038" i="1"/>
  <c r="I1038" i="1"/>
  <c r="K1038" i="1"/>
  <c r="C1039" i="1"/>
  <c r="D1039" i="1"/>
  <c r="H1039" i="1" s="1"/>
  <c r="E1039" i="1"/>
  <c r="I1039" i="1"/>
  <c r="K1039" i="1"/>
  <c r="C1040" i="1"/>
  <c r="D1040" i="1"/>
  <c r="H1040" i="1" s="1"/>
  <c r="E1040" i="1"/>
  <c r="I1040" i="1"/>
  <c r="K1040" i="1"/>
  <c r="C1041" i="1"/>
  <c r="D1041" i="1"/>
  <c r="H1041" i="1" s="1"/>
  <c r="E1041" i="1"/>
  <c r="I1041" i="1"/>
  <c r="K1041" i="1"/>
  <c r="C1042" i="1"/>
  <c r="D1042" i="1"/>
  <c r="H1042" i="1" s="1"/>
  <c r="E1042" i="1"/>
  <c r="I1042" i="1"/>
  <c r="K1042" i="1"/>
  <c r="C1043" i="1"/>
  <c r="D1043" i="1"/>
  <c r="H1043" i="1" s="1"/>
  <c r="E1043" i="1"/>
  <c r="I1043" i="1"/>
  <c r="K1043" i="1"/>
  <c r="C1044" i="1"/>
  <c r="D1044" i="1"/>
  <c r="H1044" i="1" s="1"/>
  <c r="E1044" i="1"/>
  <c r="I1044" i="1"/>
  <c r="K1044" i="1"/>
  <c r="C1045" i="1"/>
  <c r="D1045" i="1"/>
  <c r="H1045" i="1" s="1"/>
  <c r="E1045" i="1"/>
  <c r="I1045" i="1"/>
  <c r="K1045" i="1"/>
  <c r="C1046" i="1"/>
  <c r="D1046" i="1"/>
  <c r="H1046" i="1" s="1"/>
  <c r="E1046" i="1"/>
  <c r="I1046" i="1"/>
  <c r="K1046" i="1"/>
  <c r="C1047" i="1"/>
  <c r="D1047" i="1"/>
  <c r="H1047" i="1" s="1"/>
  <c r="E1047" i="1"/>
  <c r="I1047" i="1"/>
  <c r="K1047" i="1"/>
  <c r="C1048" i="1"/>
  <c r="D1048" i="1"/>
  <c r="H1048" i="1" s="1"/>
  <c r="E1048" i="1"/>
  <c r="I1048" i="1"/>
  <c r="K1048" i="1"/>
  <c r="C1049" i="1"/>
  <c r="D1049" i="1"/>
  <c r="H1049" i="1" s="1"/>
  <c r="E1049" i="1"/>
  <c r="I1049" i="1"/>
  <c r="K1049" i="1"/>
  <c r="C1050" i="1"/>
  <c r="D1050" i="1"/>
  <c r="H1050" i="1" s="1"/>
  <c r="E1050" i="1"/>
  <c r="I1050" i="1"/>
  <c r="K1050" i="1"/>
  <c r="C1051" i="1"/>
  <c r="D1051" i="1"/>
  <c r="H1051" i="1" s="1"/>
  <c r="E1051" i="1"/>
  <c r="I1051" i="1"/>
  <c r="K1051" i="1"/>
  <c r="C1052" i="1"/>
  <c r="D1052" i="1"/>
  <c r="H1052" i="1" s="1"/>
  <c r="E1052" i="1"/>
  <c r="I1052" i="1"/>
  <c r="K1052" i="1"/>
  <c r="C1053" i="1"/>
  <c r="D1053" i="1"/>
  <c r="H1053" i="1" s="1"/>
  <c r="E1053" i="1"/>
  <c r="I1053" i="1"/>
  <c r="K1053" i="1"/>
  <c r="C1054" i="1"/>
  <c r="D1054" i="1"/>
  <c r="H1054" i="1" s="1"/>
  <c r="E1054" i="1"/>
  <c r="I1054" i="1"/>
  <c r="K1054" i="1"/>
  <c r="C1055" i="1"/>
  <c r="D1055" i="1"/>
  <c r="H1055" i="1" s="1"/>
  <c r="E1055" i="1"/>
  <c r="I1055" i="1"/>
  <c r="K1055" i="1"/>
  <c r="C1056" i="1"/>
  <c r="D1056" i="1"/>
  <c r="H1056" i="1" s="1"/>
  <c r="E1056" i="1"/>
  <c r="I1056" i="1"/>
  <c r="K1056" i="1"/>
  <c r="C1057" i="1"/>
  <c r="D1057" i="1"/>
  <c r="H1057" i="1" s="1"/>
  <c r="E1057" i="1"/>
  <c r="I1057" i="1"/>
  <c r="K1057" i="1"/>
  <c r="C1058" i="1"/>
  <c r="D1058" i="1"/>
  <c r="H1058" i="1" s="1"/>
  <c r="E1058" i="1"/>
  <c r="I1058" i="1"/>
  <c r="K1058" i="1"/>
  <c r="C1059" i="1"/>
  <c r="D1059" i="1"/>
  <c r="H1059" i="1" s="1"/>
  <c r="E1059" i="1"/>
  <c r="I1059" i="1"/>
  <c r="K1059" i="1"/>
  <c r="C1060" i="1"/>
  <c r="D1060" i="1"/>
  <c r="H1060" i="1" s="1"/>
  <c r="E1060" i="1"/>
  <c r="I1060" i="1"/>
  <c r="K1060" i="1"/>
  <c r="C1061" i="1"/>
  <c r="D1061" i="1"/>
  <c r="H1061" i="1" s="1"/>
  <c r="E1061" i="1"/>
  <c r="I1061" i="1"/>
  <c r="K1061" i="1"/>
  <c r="C1062" i="1"/>
  <c r="D1062" i="1"/>
  <c r="H1062" i="1" s="1"/>
  <c r="E1062" i="1"/>
  <c r="I1062" i="1"/>
  <c r="K1062" i="1"/>
  <c r="C1063" i="1"/>
  <c r="D1063" i="1"/>
  <c r="H1063" i="1" s="1"/>
  <c r="E1063" i="1"/>
  <c r="I1063" i="1"/>
  <c r="K1063" i="1"/>
  <c r="C1064" i="1"/>
  <c r="D1064" i="1"/>
  <c r="H1064" i="1" s="1"/>
  <c r="E1064" i="1"/>
  <c r="I1064" i="1"/>
  <c r="K1064" i="1"/>
  <c r="C1065" i="1"/>
  <c r="D1065" i="1"/>
  <c r="H1065" i="1" s="1"/>
  <c r="E1065" i="1"/>
  <c r="I1065" i="1"/>
  <c r="K1065" i="1"/>
  <c r="C1066" i="1"/>
  <c r="D1066" i="1"/>
  <c r="H1066" i="1" s="1"/>
  <c r="E1066" i="1"/>
  <c r="I1066" i="1"/>
  <c r="K1066" i="1"/>
  <c r="C1067" i="1"/>
  <c r="D1067" i="1"/>
  <c r="H1067" i="1" s="1"/>
  <c r="E1067" i="1"/>
  <c r="I1067" i="1"/>
  <c r="K1067" i="1"/>
  <c r="C1068" i="1"/>
  <c r="D1068" i="1"/>
  <c r="H1068" i="1" s="1"/>
  <c r="E1068" i="1"/>
  <c r="I1068" i="1"/>
  <c r="K1068" i="1"/>
  <c r="C1069" i="1"/>
  <c r="D1069" i="1"/>
  <c r="H1069" i="1" s="1"/>
  <c r="E1069" i="1"/>
  <c r="I1069" i="1"/>
  <c r="K1069" i="1"/>
  <c r="C1070" i="1"/>
  <c r="D1070" i="1"/>
  <c r="H1070" i="1" s="1"/>
  <c r="E1070" i="1"/>
  <c r="I1070" i="1"/>
  <c r="K1070" i="1"/>
  <c r="C1071" i="1"/>
  <c r="D1071" i="1"/>
  <c r="H1071" i="1" s="1"/>
  <c r="E1071" i="1"/>
  <c r="I1071" i="1"/>
  <c r="K1071" i="1"/>
  <c r="C1072" i="1"/>
  <c r="D1072" i="1"/>
  <c r="H1072" i="1" s="1"/>
  <c r="E1072" i="1"/>
  <c r="I1072" i="1"/>
  <c r="K1072" i="1"/>
  <c r="C1073" i="1"/>
  <c r="D1073" i="1"/>
  <c r="H1073" i="1" s="1"/>
  <c r="E1073" i="1"/>
  <c r="I1073" i="1"/>
  <c r="K1073" i="1"/>
  <c r="C1074" i="1"/>
  <c r="D1074" i="1"/>
  <c r="H1074" i="1" s="1"/>
  <c r="E1074" i="1"/>
  <c r="I1074" i="1"/>
  <c r="K1074" i="1"/>
  <c r="C1075" i="1"/>
  <c r="D1075" i="1"/>
  <c r="H1075" i="1" s="1"/>
  <c r="E1075" i="1"/>
  <c r="I1075" i="1"/>
  <c r="K1075" i="1"/>
  <c r="C1076" i="1"/>
  <c r="D1076" i="1"/>
  <c r="H1076" i="1" s="1"/>
  <c r="E1076" i="1"/>
  <c r="I1076" i="1"/>
  <c r="K1076" i="1"/>
  <c r="C1077" i="1"/>
  <c r="D1077" i="1"/>
  <c r="H1077" i="1" s="1"/>
  <c r="E1077" i="1"/>
  <c r="I1077" i="1"/>
  <c r="K1077" i="1"/>
  <c r="C1078" i="1"/>
  <c r="D1078" i="1"/>
  <c r="H1078" i="1" s="1"/>
  <c r="E1078" i="1"/>
  <c r="I1078" i="1"/>
  <c r="K1078" i="1"/>
  <c r="C1079" i="1"/>
  <c r="D1079" i="1"/>
  <c r="H1079" i="1" s="1"/>
  <c r="E1079" i="1"/>
  <c r="I1079" i="1"/>
  <c r="K1079" i="1"/>
  <c r="C1080" i="1"/>
  <c r="D1080" i="1"/>
  <c r="H1080" i="1" s="1"/>
  <c r="E1080" i="1"/>
  <c r="I1080" i="1"/>
  <c r="K1080" i="1"/>
  <c r="C1081" i="1"/>
  <c r="D1081" i="1"/>
  <c r="H1081" i="1" s="1"/>
  <c r="E1081" i="1"/>
  <c r="I1081" i="1"/>
  <c r="K1081" i="1"/>
  <c r="C1082" i="1"/>
  <c r="D1082" i="1"/>
  <c r="H1082" i="1" s="1"/>
  <c r="E1082" i="1"/>
  <c r="I1082" i="1"/>
  <c r="K1082" i="1"/>
  <c r="C1083" i="1"/>
  <c r="D1083" i="1"/>
  <c r="H1083" i="1" s="1"/>
  <c r="E1083" i="1"/>
  <c r="I1083" i="1"/>
  <c r="K1083" i="1"/>
  <c r="C1084" i="1"/>
  <c r="D1084" i="1"/>
  <c r="H1084" i="1" s="1"/>
  <c r="E1084" i="1"/>
  <c r="I1084" i="1"/>
  <c r="K1084" i="1"/>
  <c r="C1085" i="1"/>
  <c r="D1085" i="1"/>
  <c r="H1085" i="1" s="1"/>
  <c r="E1085" i="1"/>
  <c r="I1085" i="1"/>
  <c r="K1085" i="1"/>
  <c r="C1086" i="1"/>
  <c r="D1086" i="1"/>
  <c r="H1086" i="1" s="1"/>
  <c r="E1086" i="1"/>
  <c r="I1086" i="1"/>
  <c r="K1086" i="1"/>
  <c r="C1087" i="1"/>
  <c r="D1087" i="1"/>
  <c r="H1087" i="1" s="1"/>
  <c r="E1087" i="1"/>
  <c r="I1087" i="1"/>
  <c r="K1087" i="1"/>
  <c r="C1088" i="1"/>
  <c r="D1088" i="1"/>
  <c r="H1088" i="1" s="1"/>
  <c r="E1088" i="1"/>
  <c r="I1088" i="1"/>
  <c r="K1088" i="1"/>
  <c r="C1089" i="1"/>
  <c r="D1089" i="1"/>
  <c r="H1089" i="1" s="1"/>
  <c r="E1089" i="1"/>
  <c r="I1089" i="1"/>
  <c r="K1089" i="1"/>
  <c r="C1090" i="1"/>
  <c r="D1090" i="1"/>
  <c r="H1090" i="1" s="1"/>
  <c r="E1090" i="1"/>
  <c r="I1090" i="1"/>
  <c r="K1090" i="1"/>
  <c r="C1091" i="1"/>
  <c r="D1091" i="1"/>
  <c r="H1091" i="1" s="1"/>
  <c r="E1091" i="1"/>
  <c r="I1091" i="1"/>
  <c r="K1091" i="1"/>
  <c r="C1092" i="1"/>
  <c r="D1092" i="1"/>
  <c r="H1092" i="1" s="1"/>
  <c r="E1092" i="1"/>
  <c r="I1092" i="1"/>
  <c r="K1092" i="1"/>
  <c r="C1093" i="1"/>
  <c r="D1093" i="1"/>
  <c r="H1093" i="1" s="1"/>
  <c r="E1093" i="1"/>
  <c r="I1093" i="1"/>
  <c r="K1093" i="1"/>
  <c r="C1094" i="1"/>
  <c r="D1094" i="1"/>
  <c r="H1094" i="1" s="1"/>
  <c r="E1094" i="1"/>
  <c r="I1094" i="1"/>
  <c r="K1094" i="1"/>
  <c r="C1095" i="1"/>
  <c r="D1095" i="1"/>
  <c r="H1095" i="1" s="1"/>
  <c r="E1095" i="1"/>
  <c r="I1095" i="1"/>
  <c r="K1095" i="1"/>
  <c r="C1096" i="1"/>
  <c r="D1096" i="1"/>
  <c r="H1096" i="1" s="1"/>
  <c r="E1096" i="1"/>
  <c r="I1096" i="1"/>
  <c r="K1096" i="1"/>
  <c r="C1097" i="1"/>
  <c r="D1097" i="1"/>
  <c r="H1097" i="1" s="1"/>
  <c r="E1097" i="1"/>
  <c r="I1097" i="1"/>
  <c r="K1097" i="1"/>
  <c r="C1098" i="1"/>
  <c r="D1098" i="1"/>
  <c r="H1098" i="1" s="1"/>
  <c r="E1098" i="1"/>
  <c r="I1098" i="1"/>
  <c r="K1098" i="1"/>
  <c r="C1099" i="1"/>
  <c r="D1099" i="1"/>
  <c r="H1099" i="1" s="1"/>
  <c r="E1099" i="1"/>
  <c r="I1099" i="1"/>
  <c r="K1099" i="1"/>
  <c r="C1100" i="1"/>
  <c r="D1100" i="1"/>
  <c r="H1100" i="1" s="1"/>
  <c r="E1100" i="1"/>
  <c r="I1100" i="1"/>
  <c r="K1100" i="1"/>
  <c r="C1101" i="1"/>
  <c r="D1101" i="1"/>
  <c r="H1101" i="1" s="1"/>
  <c r="E1101" i="1"/>
  <c r="I1101" i="1"/>
  <c r="K1101" i="1"/>
  <c r="C1102" i="1"/>
  <c r="D1102" i="1"/>
  <c r="H1102" i="1" s="1"/>
  <c r="E1102" i="1"/>
  <c r="I1102" i="1"/>
  <c r="K1102" i="1"/>
  <c r="C1103" i="1"/>
  <c r="D1103" i="1"/>
  <c r="H1103" i="1" s="1"/>
  <c r="E1103" i="1"/>
  <c r="I1103" i="1"/>
  <c r="K1103" i="1"/>
  <c r="C1104" i="1"/>
  <c r="D1104" i="1"/>
  <c r="H1104" i="1" s="1"/>
  <c r="E1104" i="1"/>
  <c r="I1104" i="1"/>
  <c r="K1104" i="1"/>
  <c r="C1105" i="1"/>
  <c r="D1105" i="1"/>
  <c r="H1105" i="1" s="1"/>
  <c r="E1105" i="1"/>
  <c r="I1105" i="1"/>
  <c r="K1105" i="1"/>
  <c r="C1106" i="1"/>
  <c r="D1106" i="1"/>
  <c r="H1106" i="1" s="1"/>
  <c r="E1106" i="1"/>
  <c r="I1106" i="1"/>
  <c r="K1106" i="1"/>
  <c r="C1107" i="1"/>
  <c r="D1107" i="1"/>
  <c r="H1107" i="1" s="1"/>
  <c r="E1107" i="1"/>
  <c r="I1107" i="1"/>
  <c r="K1107" i="1"/>
  <c r="C1108" i="1"/>
  <c r="D1108" i="1"/>
  <c r="H1108" i="1" s="1"/>
  <c r="E1108" i="1"/>
  <c r="I1108" i="1"/>
  <c r="K1108" i="1"/>
  <c r="C1109" i="1"/>
  <c r="D1109" i="1"/>
  <c r="H1109" i="1" s="1"/>
  <c r="E1109" i="1"/>
  <c r="I1109" i="1"/>
  <c r="K1109" i="1"/>
  <c r="C1110" i="1"/>
  <c r="D1110" i="1"/>
  <c r="H1110" i="1" s="1"/>
  <c r="E1110" i="1"/>
  <c r="I1110" i="1"/>
  <c r="K1110" i="1"/>
  <c r="C1111" i="1"/>
  <c r="D1111" i="1"/>
  <c r="H1111" i="1" s="1"/>
  <c r="E1111" i="1"/>
  <c r="I1111" i="1"/>
  <c r="K1111" i="1"/>
  <c r="C1112" i="1"/>
  <c r="D1112" i="1"/>
  <c r="H1112" i="1" s="1"/>
  <c r="E1112" i="1"/>
  <c r="I1112" i="1"/>
  <c r="K1112" i="1"/>
  <c r="C1113" i="1"/>
  <c r="D1113" i="1"/>
  <c r="H1113" i="1" s="1"/>
  <c r="E1113" i="1"/>
  <c r="I1113" i="1"/>
  <c r="K1113" i="1"/>
  <c r="C1114" i="1"/>
  <c r="D1114" i="1"/>
  <c r="H1114" i="1" s="1"/>
  <c r="E1114" i="1"/>
  <c r="I1114" i="1"/>
  <c r="K1114" i="1"/>
  <c r="C1115" i="1"/>
  <c r="D1115" i="1"/>
  <c r="H1115" i="1" s="1"/>
  <c r="E1115" i="1"/>
  <c r="I1115" i="1"/>
  <c r="K1115" i="1"/>
  <c r="C1116" i="1"/>
  <c r="D1116" i="1"/>
  <c r="H1116" i="1" s="1"/>
  <c r="E1116" i="1"/>
  <c r="I1116" i="1"/>
  <c r="K1116" i="1"/>
  <c r="C1117" i="1"/>
  <c r="D1117" i="1"/>
  <c r="H1117" i="1" s="1"/>
  <c r="E1117" i="1"/>
  <c r="I1117" i="1"/>
  <c r="K1117" i="1"/>
  <c r="C1118" i="1"/>
  <c r="D1118" i="1"/>
  <c r="H1118" i="1" s="1"/>
  <c r="E1118" i="1"/>
  <c r="I1118" i="1"/>
  <c r="K1118" i="1"/>
  <c r="C1119" i="1"/>
  <c r="D1119" i="1"/>
  <c r="H1119" i="1" s="1"/>
  <c r="E1119" i="1"/>
  <c r="I1119" i="1"/>
  <c r="K1119" i="1"/>
  <c r="C1120" i="1"/>
  <c r="D1120" i="1"/>
  <c r="H1120" i="1" s="1"/>
  <c r="E1120" i="1"/>
  <c r="I1120" i="1"/>
  <c r="K1120" i="1"/>
  <c r="C1121" i="1"/>
  <c r="D1121" i="1"/>
  <c r="H1121" i="1" s="1"/>
  <c r="E1121" i="1"/>
  <c r="I1121" i="1"/>
  <c r="K1121" i="1"/>
  <c r="C1122" i="1"/>
  <c r="D1122" i="1"/>
  <c r="H1122" i="1" s="1"/>
  <c r="E1122" i="1"/>
  <c r="I1122" i="1"/>
  <c r="K1122" i="1"/>
  <c r="C1123" i="1"/>
  <c r="D1123" i="1"/>
  <c r="H1123" i="1" s="1"/>
  <c r="E1123" i="1"/>
  <c r="I1123" i="1"/>
  <c r="K1123" i="1"/>
  <c r="C1124" i="1"/>
  <c r="D1124" i="1"/>
  <c r="H1124" i="1" s="1"/>
  <c r="E1124" i="1"/>
  <c r="I1124" i="1"/>
  <c r="K1124" i="1"/>
  <c r="C1125" i="1"/>
  <c r="D1125" i="1"/>
  <c r="H1125" i="1" s="1"/>
  <c r="E1125" i="1"/>
  <c r="I1125" i="1"/>
  <c r="K1125" i="1"/>
  <c r="C1126" i="1"/>
  <c r="D1126" i="1"/>
  <c r="H1126" i="1" s="1"/>
  <c r="E1126" i="1"/>
  <c r="I1126" i="1"/>
  <c r="K1126" i="1"/>
  <c r="C1127" i="1"/>
  <c r="D1127" i="1"/>
  <c r="H1127" i="1" s="1"/>
  <c r="E1127" i="1"/>
  <c r="I1127" i="1"/>
  <c r="K1127" i="1"/>
  <c r="C1128" i="1"/>
  <c r="D1128" i="1"/>
  <c r="H1128" i="1" s="1"/>
  <c r="E1128" i="1"/>
  <c r="I1128" i="1"/>
  <c r="K1128" i="1"/>
  <c r="C1129" i="1"/>
  <c r="D1129" i="1"/>
  <c r="H1129" i="1" s="1"/>
  <c r="E1129" i="1"/>
  <c r="I1129" i="1"/>
  <c r="K1129" i="1"/>
  <c r="C1130" i="1"/>
  <c r="D1130" i="1"/>
  <c r="H1130" i="1" s="1"/>
  <c r="E1130" i="1"/>
  <c r="I1130" i="1"/>
  <c r="K1130" i="1"/>
  <c r="C1131" i="1"/>
  <c r="D1131" i="1"/>
  <c r="H1131" i="1" s="1"/>
  <c r="E1131" i="1"/>
  <c r="I1131" i="1"/>
  <c r="K1131" i="1"/>
  <c r="C1132" i="1"/>
  <c r="D1132" i="1"/>
  <c r="H1132" i="1" s="1"/>
  <c r="E1132" i="1"/>
  <c r="I1132" i="1"/>
  <c r="K1132" i="1"/>
  <c r="C1133" i="1"/>
  <c r="D1133" i="1"/>
  <c r="H1133" i="1" s="1"/>
  <c r="E1133" i="1"/>
  <c r="I1133" i="1"/>
  <c r="K1133" i="1"/>
  <c r="C1134" i="1"/>
  <c r="D1134" i="1"/>
  <c r="H1134" i="1" s="1"/>
  <c r="E1134" i="1"/>
  <c r="I1134" i="1"/>
  <c r="K1134" i="1"/>
  <c r="C1135" i="1"/>
  <c r="D1135" i="1"/>
  <c r="H1135" i="1" s="1"/>
  <c r="E1135" i="1"/>
  <c r="I1135" i="1"/>
  <c r="K1135" i="1"/>
  <c r="C1136" i="1"/>
  <c r="D1136" i="1"/>
  <c r="H1136" i="1" s="1"/>
  <c r="E1136" i="1"/>
  <c r="I1136" i="1"/>
  <c r="K1136" i="1"/>
  <c r="C1137" i="1"/>
  <c r="D1137" i="1"/>
  <c r="H1137" i="1" s="1"/>
  <c r="E1137" i="1"/>
  <c r="I1137" i="1"/>
  <c r="K1137" i="1"/>
  <c r="C1138" i="1"/>
  <c r="D1138" i="1"/>
  <c r="H1138" i="1" s="1"/>
  <c r="E1138" i="1"/>
  <c r="I1138" i="1"/>
  <c r="K1138" i="1"/>
  <c r="C1139" i="1"/>
  <c r="D1139" i="1"/>
  <c r="H1139" i="1" s="1"/>
  <c r="E1139" i="1"/>
  <c r="I1139" i="1"/>
  <c r="K1139" i="1"/>
  <c r="C1140" i="1"/>
  <c r="D1140" i="1"/>
  <c r="H1140" i="1" s="1"/>
  <c r="E1140" i="1"/>
  <c r="I1140" i="1"/>
  <c r="K1140" i="1"/>
  <c r="C1141" i="1"/>
  <c r="D1141" i="1"/>
  <c r="H1141" i="1" s="1"/>
  <c r="E1141" i="1"/>
  <c r="I1141" i="1"/>
  <c r="K1141" i="1"/>
  <c r="C1142" i="1"/>
  <c r="D1142" i="1"/>
  <c r="H1142" i="1" s="1"/>
  <c r="E1142" i="1"/>
  <c r="I1142" i="1"/>
  <c r="K1142" i="1"/>
  <c r="C1143" i="1"/>
  <c r="D1143" i="1"/>
  <c r="H1143" i="1" s="1"/>
  <c r="E1143" i="1"/>
  <c r="I1143" i="1"/>
  <c r="K1143" i="1"/>
  <c r="C1144" i="1"/>
  <c r="D1144" i="1"/>
  <c r="H1144" i="1" s="1"/>
  <c r="E1144" i="1"/>
  <c r="I1144" i="1"/>
  <c r="K1144" i="1"/>
  <c r="C1145" i="1"/>
  <c r="D1145" i="1"/>
  <c r="H1145" i="1" s="1"/>
  <c r="E1145" i="1"/>
  <c r="I1145" i="1"/>
  <c r="K1145" i="1"/>
  <c r="C1146" i="1"/>
  <c r="D1146" i="1"/>
  <c r="H1146" i="1" s="1"/>
  <c r="E1146" i="1"/>
  <c r="I1146" i="1"/>
  <c r="K1146" i="1"/>
  <c r="C1147" i="1"/>
  <c r="D1147" i="1"/>
  <c r="H1147" i="1" s="1"/>
  <c r="E1147" i="1"/>
  <c r="I1147" i="1"/>
  <c r="K1147" i="1"/>
  <c r="C1148" i="1"/>
  <c r="D1148" i="1"/>
  <c r="H1148" i="1" s="1"/>
  <c r="E1148" i="1"/>
  <c r="I1148" i="1"/>
  <c r="K1148" i="1"/>
  <c r="C1149" i="1"/>
  <c r="D1149" i="1"/>
  <c r="H1149" i="1" s="1"/>
  <c r="E1149" i="1"/>
  <c r="I1149" i="1"/>
  <c r="K1149" i="1"/>
  <c r="C1150" i="1"/>
  <c r="D1150" i="1"/>
  <c r="H1150" i="1" s="1"/>
  <c r="E1150" i="1"/>
  <c r="I1150" i="1"/>
  <c r="K1150" i="1"/>
  <c r="C1151" i="1"/>
  <c r="D1151" i="1"/>
  <c r="H1151" i="1" s="1"/>
  <c r="E1151" i="1"/>
  <c r="I1151" i="1"/>
  <c r="K1151" i="1"/>
  <c r="C1152" i="1"/>
  <c r="D1152" i="1"/>
  <c r="H1152" i="1" s="1"/>
  <c r="E1152" i="1"/>
  <c r="I1152" i="1"/>
  <c r="K1152" i="1"/>
  <c r="C1153" i="1"/>
  <c r="D1153" i="1"/>
  <c r="H1153" i="1" s="1"/>
  <c r="E1153" i="1"/>
  <c r="I1153" i="1"/>
  <c r="K1153" i="1"/>
  <c r="C1154" i="1"/>
  <c r="D1154" i="1"/>
  <c r="H1154" i="1" s="1"/>
  <c r="E1154" i="1"/>
  <c r="I1154" i="1"/>
  <c r="K1154" i="1"/>
  <c r="C1155" i="1"/>
  <c r="D1155" i="1"/>
  <c r="H1155" i="1" s="1"/>
  <c r="E1155" i="1"/>
  <c r="I1155" i="1"/>
  <c r="K1155" i="1"/>
  <c r="C1156" i="1"/>
  <c r="D1156" i="1"/>
  <c r="H1156" i="1" s="1"/>
  <c r="E1156" i="1"/>
  <c r="I1156" i="1"/>
  <c r="K1156" i="1"/>
  <c r="C1157" i="1"/>
  <c r="D1157" i="1"/>
  <c r="H1157" i="1" s="1"/>
  <c r="E1157" i="1"/>
  <c r="I1157" i="1"/>
  <c r="K1157" i="1"/>
  <c r="C1158" i="1"/>
  <c r="D1158" i="1"/>
  <c r="H1158" i="1" s="1"/>
  <c r="E1158" i="1"/>
  <c r="I1158" i="1"/>
  <c r="K1158" i="1"/>
  <c r="C1159" i="1"/>
  <c r="D1159" i="1"/>
  <c r="H1159" i="1" s="1"/>
  <c r="E1159" i="1"/>
  <c r="I1159" i="1"/>
  <c r="K1159" i="1"/>
  <c r="C1160" i="1"/>
  <c r="D1160" i="1"/>
  <c r="H1160" i="1" s="1"/>
  <c r="E1160" i="1"/>
  <c r="I1160" i="1"/>
  <c r="K1160" i="1"/>
  <c r="C1161" i="1"/>
  <c r="D1161" i="1"/>
  <c r="H1161" i="1" s="1"/>
  <c r="E1161" i="1"/>
  <c r="I1161" i="1"/>
  <c r="K1161" i="1"/>
  <c r="C1162" i="1"/>
  <c r="D1162" i="1"/>
  <c r="H1162" i="1" s="1"/>
  <c r="E1162" i="1"/>
  <c r="I1162" i="1"/>
  <c r="K1162" i="1"/>
  <c r="C1163" i="1"/>
  <c r="D1163" i="1"/>
  <c r="H1163" i="1" s="1"/>
  <c r="E1163" i="1"/>
  <c r="I1163" i="1"/>
  <c r="K1163" i="1"/>
  <c r="C1164" i="1"/>
  <c r="D1164" i="1"/>
  <c r="H1164" i="1" s="1"/>
  <c r="E1164" i="1"/>
  <c r="I1164" i="1"/>
  <c r="K1164" i="1"/>
  <c r="C1165" i="1"/>
  <c r="D1165" i="1"/>
  <c r="H1165" i="1" s="1"/>
  <c r="E1165" i="1"/>
  <c r="I1165" i="1"/>
  <c r="K1165" i="1"/>
  <c r="C1166" i="1"/>
  <c r="D1166" i="1"/>
  <c r="H1166" i="1" s="1"/>
  <c r="E1166" i="1"/>
  <c r="I1166" i="1"/>
  <c r="K1166" i="1"/>
  <c r="C1167" i="1"/>
  <c r="D1167" i="1"/>
  <c r="H1167" i="1" s="1"/>
  <c r="E1167" i="1"/>
  <c r="I1167" i="1"/>
  <c r="K1167" i="1"/>
  <c r="C1168" i="1"/>
  <c r="D1168" i="1"/>
  <c r="H1168" i="1" s="1"/>
  <c r="E1168" i="1"/>
  <c r="I1168" i="1"/>
  <c r="K1168" i="1"/>
  <c r="C1169" i="1"/>
  <c r="D1169" i="1"/>
  <c r="H1169" i="1" s="1"/>
  <c r="E1169" i="1"/>
  <c r="I1169" i="1"/>
  <c r="K1169" i="1"/>
  <c r="C1170" i="1"/>
  <c r="D1170" i="1"/>
  <c r="H1170" i="1" s="1"/>
  <c r="E1170" i="1"/>
  <c r="I1170" i="1"/>
  <c r="K1170" i="1"/>
  <c r="C1171" i="1"/>
  <c r="D1171" i="1"/>
  <c r="H1171" i="1" s="1"/>
  <c r="E1171" i="1"/>
  <c r="I1171" i="1"/>
  <c r="K1171" i="1"/>
  <c r="C1172" i="1"/>
  <c r="D1172" i="1"/>
  <c r="H1172" i="1" s="1"/>
  <c r="E1172" i="1"/>
  <c r="I1172" i="1"/>
  <c r="K1172" i="1"/>
  <c r="C1173" i="1"/>
  <c r="D1173" i="1"/>
  <c r="H1173" i="1" s="1"/>
  <c r="E1173" i="1"/>
  <c r="I1173" i="1"/>
  <c r="K1173" i="1"/>
  <c r="C1174" i="1"/>
  <c r="D1174" i="1"/>
  <c r="H1174" i="1" s="1"/>
  <c r="E1174" i="1"/>
  <c r="I1174" i="1"/>
  <c r="K1174" i="1"/>
  <c r="C1175" i="1"/>
  <c r="D1175" i="1"/>
  <c r="H1175" i="1" s="1"/>
  <c r="E1175" i="1"/>
  <c r="I1175" i="1"/>
  <c r="K1175" i="1"/>
  <c r="C1176" i="1"/>
  <c r="D1176" i="1"/>
  <c r="H1176" i="1" s="1"/>
  <c r="E1176" i="1"/>
  <c r="I1176" i="1"/>
  <c r="K1176" i="1"/>
  <c r="C1177" i="1"/>
  <c r="D1177" i="1"/>
  <c r="H1177" i="1" s="1"/>
  <c r="E1177" i="1"/>
  <c r="I1177" i="1"/>
  <c r="K1177" i="1"/>
  <c r="C1178" i="1"/>
  <c r="D1178" i="1"/>
  <c r="H1178" i="1" s="1"/>
  <c r="E1178" i="1"/>
  <c r="I1178" i="1"/>
  <c r="K1178" i="1"/>
  <c r="C1179" i="1"/>
  <c r="D1179" i="1"/>
  <c r="H1179" i="1" s="1"/>
  <c r="E1179" i="1"/>
  <c r="I1179" i="1"/>
  <c r="K1179" i="1"/>
  <c r="C1180" i="1"/>
  <c r="D1180" i="1"/>
  <c r="H1180" i="1" s="1"/>
  <c r="E1180" i="1"/>
  <c r="I1180" i="1"/>
  <c r="K1180" i="1"/>
  <c r="C1181" i="1"/>
  <c r="D1181" i="1"/>
  <c r="H1181" i="1" s="1"/>
  <c r="E1181" i="1"/>
  <c r="I1181" i="1"/>
  <c r="K1181" i="1"/>
  <c r="C1182" i="1"/>
  <c r="D1182" i="1"/>
  <c r="H1182" i="1" s="1"/>
  <c r="E1182" i="1"/>
  <c r="I1182" i="1"/>
  <c r="K1182" i="1"/>
  <c r="C1183" i="1"/>
  <c r="D1183" i="1"/>
  <c r="H1183" i="1" s="1"/>
  <c r="E1183" i="1"/>
  <c r="I1183" i="1"/>
  <c r="K1183" i="1"/>
  <c r="C1184" i="1"/>
  <c r="D1184" i="1"/>
  <c r="H1184" i="1" s="1"/>
  <c r="E1184" i="1"/>
  <c r="I1184" i="1"/>
  <c r="K1184" i="1"/>
  <c r="C1185" i="1"/>
  <c r="D1185" i="1"/>
  <c r="H1185" i="1" s="1"/>
  <c r="E1185" i="1"/>
  <c r="I1185" i="1"/>
  <c r="K1185" i="1"/>
  <c r="C1186" i="1"/>
  <c r="D1186" i="1"/>
  <c r="H1186" i="1" s="1"/>
  <c r="E1186" i="1"/>
  <c r="I1186" i="1"/>
  <c r="K1186" i="1"/>
  <c r="C1187" i="1"/>
  <c r="D1187" i="1"/>
  <c r="H1187" i="1" s="1"/>
  <c r="E1187" i="1"/>
  <c r="I1187" i="1"/>
  <c r="K1187" i="1"/>
  <c r="C1188" i="1"/>
  <c r="D1188" i="1"/>
  <c r="H1188" i="1" s="1"/>
  <c r="E1188" i="1"/>
  <c r="I1188" i="1"/>
  <c r="K1188" i="1"/>
  <c r="C1189" i="1"/>
  <c r="D1189" i="1"/>
  <c r="H1189" i="1" s="1"/>
  <c r="E1189" i="1"/>
  <c r="I1189" i="1"/>
  <c r="K1189" i="1"/>
  <c r="C1190" i="1"/>
  <c r="D1190" i="1"/>
  <c r="H1190" i="1" s="1"/>
  <c r="E1190" i="1"/>
  <c r="I1190" i="1"/>
  <c r="K1190" i="1"/>
  <c r="C1191" i="1"/>
  <c r="D1191" i="1"/>
  <c r="H1191" i="1" s="1"/>
  <c r="E1191" i="1"/>
  <c r="I1191" i="1"/>
  <c r="K1191" i="1"/>
  <c r="C1192" i="1"/>
  <c r="D1192" i="1"/>
  <c r="H1192" i="1" s="1"/>
  <c r="E1192" i="1"/>
  <c r="I1192" i="1"/>
  <c r="K1192" i="1"/>
  <c r="C1193" i="1"/>
  <c r="D1193" i="1"/>
  <c r="H1193" i="1" s="1"/>
  <c r="E1193" i="1"/>
  <c r="I1193" i="1"/>
  <c r="K1193" i="1"/>
  <c r="C1194" i="1"/>
  <c r="D1194" i="1"/>
  <c r="H1194" i="1" s="1"/>
  <c r="E1194" i="1"/>
  <c r="I1194" i="1"/>
  <c r="K1194" i="1"/>
  <c r="C1195" i="1"/>
  <c r="D1195" i="1"/>
  <c r="H1195" i="1" s="1"/>
  <c r="E1195" i="1"/>
  <c r="I1195" i="1"/>
  <c r="K1195" i="1"/>
  <c r="C1196" i="1"/>
  <c r="D1196" i="1"/>
  <c r="H1196" i="1" s="1"/>
  <c r="E1196" i="1"/>
  <c r="I1196" i="1"/>
  <c r="K1196" i="1"/>
  <c r="C1197" i="1"/>
  <c r="D1197" i="1"/>
  <c r="H1197" i="1" s="1"/>
  <c r="E1197" i="1"/>
  <c r="I1197" i="1"/>
  <c r="K1197" i="1"/>
  <c r="C1198" i="1"/>
  <c r="D1198" i="1"/>
  <c r="H1198" i="1" s="1"/>
  <c r="E1198" i="1"/>
  <c r="I1198" i="1"/>
  <c r="K1198" i="1"/>
  <c r="C1199" i="1"/>
  <c r="D1199" i="1"/>
  <c r="H1199" i="1" s="1"/>
  <c r="E1199" i="1"/>
  <c r="I1199" i="1"/>
  <c r="K1199" i="1"/>
  <c r="C1200" i="1"/>
  <c r="D1200" i="1"/>
  <c r="H1200" i="1" s="1"/>
  <c r="E1200" i="1"/>
  <c r="I1200" i="1"/>
  <c r="K1200" i="1"/>
  <c r="C1201" i="1"/>
  <c r="D1201" i="1"/>
  <c r="H1201" i="1" s="1"/>
  <c r="E1201" i="1"/>
  <c r="I1201" i="1"/>
  <c r="K1201" i="1"/>
  <c r="C1202" i="1"/>
  <c r="D1202" i="1"/>
  <c r="H1202" i="1" s="1"/>
  <c r="E1202" i="1"/>
  <c r="I1202" i="1"/>
  <c r="K1202" i="1"/>
  <c r="C1203" i="1"/>
  <c r="D1203" i="1"/>
  <c r="H1203" i="1" s="1"/>
  <c r="E1203" i="1"/>
  <c r="I1203" i="1"/>
  <c r="K1203" i="1"/>
  <c r="C1204" i="1"/>
  <c r="D1204" i="1"/>
  <c r="H1204" i="1" s="1"/>
  <c r="E1204" i="1"/>
  <c r="I1204" i="1"/>
  <c r="K1204" i="1"/>
  <c r="C1205" i="1"/>
  <c r="D1205" i="1"/>
  <c r="H1205" i="1" s="1"/>
  <c r="E1205" i="1"/>
  <c r="I1205" i="1"/>
  <c r="K1205" i="1"/>
  <c r="C1206" i="1"/>
  <c r="D1206" i="1"/>
  <c r="H1206" i="1" s="1"/>
  <c r="E1206" i="1"/>
  <c r="I1206" i="1"/>
  <c r="K1206" i="1"/>
  <c r="C1207" i="1"/>
  <c r="D1207" i="1"/>
  <c r="H1207" i="1" s="1"/>
  <c r="E1207" i="1"/>
  <c r="I1207" i="1"/>
  <c r="K1207" i="1"/>
  <c r="C1208" i="1"/>
  <c r="D1208" i="1"/>
  <c r="H1208" i="1" s="1"/>
  <c r="E1208" i="1"/>
  <c r="I1208" i="1"/>
  <c r="K1208" i="1"/>
  <c r="C1209" i="1"/>
  <c r="D1209" i="1"/>
  <c r="H1209" i="1" s="1"/>
  <c r="E1209" i="1"/>
  <c r="I1209" i="1"/>
  <c r="K1209" i="1"/>
  <c r="C1210" i="1"/>
  <c r="D1210" i="1"/>
  <c r="H1210" i="1" s="1"/>
  <c r="E1210" i="1"/>
  <c r="I1210" i="1"/>
  <c r="K1210" i="1"/>
  <c r="C1211" i="1"/>
  <c r="D1211" i="1"/>
  <c r="H1211" i="1" s="1"/>
  <c r="E1211" i="1"/>
  <c r="I1211" i="1"/>
  <c r="K1211" i="1"/>
  <c r="C1212" i="1"/>
  <c r="D1212" i="1"/>
  <c r="H1212" i="1" s="1"/>
  <c r="E1212" i="1"/>
  <c r="I1212" i="1"/>
  <c r="K1212" i="1"/>
  <c r="C1213" i="1"/>
  <c r="D1213" i="1"/>
  <c r="H1213" i="1" s="1"/>
  <c r="E1213" i="1"/>
  <c r="I1213" i="1"/>
  <c r="K1213" i="1"/>
  <c r="C1214" i="1"/>
  <c r="D1214" i="1"/>
  <c r="H1214" i="1" s="1"/>
  <c r="E1214" i="1"/>
  <c r="I1214" i="1"/>
  <c r="K1214" i="1"/>
  <c r="C1215" i="1"/>
  <c r="D1215" i="1"/>
  <c r="H1215" i="1" s="1"/>
  <c r="E1215" i="1"/>
  <c r="I1215" i="1"/>
  <c r="K1215" i="1"/>
  <c r="C1216" i="1"/>
  <c r="D1216" i="1"/>
  <c r="H1216" i="1" s="1"/>
  <c r="E1216" i="1"/>
  <c r="I1216" i="1"/>
  <c r="K1216" i="1"/>
  <c r="C1217" i="1"/>
  <c r="D1217" i="1"/>
  <c r="H1217" i="1" s="1"/>
  <c r="E1217" i="1"/>
  <c r="I1217" i="1"/>
  <c r="K1217" i="1"/>
  <c r="C1218" i="1"/>
  <c r="D1218" i="1"/>
  <c r="H1218" i="1" s="1"/>
  <c r="E1218" i="1"/>
  <c r="I1218" i="1"/>
  <c r="K1218" i="1"/>
  <c r="C1219" i="1"/>
  <c r="D1219" i="1"/>
  <c r="H1219" i="1" s="1"/>
  <c r="E1219" i="1"/>
  <c r="I1219" i="1"/>
  <c r="K1219" i="1"/>
  <c r="C1220" i="1"/>
  <c r="D1220" i="1"/>
  <c r="H1220" i="1" s="1"/>
  <c r="E1220" i="1"/>
  <c r="I1220" i="1"/>
  <c r="K1220" i="1"/>
  <c r="C1221" i="1"/>
  <c r="D1221" i="1"/>
  <c r="H1221" i="1" s="1"/>
  <c r="E1221" i="1"/>
  <c r="I1221" i="1"/>
  <c r="K1221" i="1"/>
  <c r="C1222" i="1"/>
  <c r="D1222" i="1"/>
  <c r="H1222" i="1" s="1"/>
  <c r="E1222" i="1"/>
  <c r="I1222" i="1"/>
  <c r="K1222" i="1"/>
  <c r="C1223" i="1"/>
  <c r="D1223" i="1"/>
  <c r="H1223" i="1" s="1"/>
  <c r="E1223" i="1"/>
  <c r="I1223" i="1"/>
  <c r="K1223" i="1"/>
  <c r="C1224" i="1"/>
  <c r="D1224" i="1"/>
  <c r="H1224" i="1" s="1"/>
  <c r="E1224" i="1"/>
  <c r="I1224" i="1"/>
  <c r="K1224" i="1"/>
  <c r="C1225" i="1"/>
  <c r="D1225" i="1"/>
  <c r="H1225" i="1" s="1"/>
  <c r="E1225" i="1"/>
  <c r="I1225" i="1"/>
  <c r="K1225" i="1"/>
  <c r="C1226" i="1"/>
  <c r="D1226" i="1"/>
  <c r="H1226" i="1" s="1"/>
  <c r="E1226" i="1"/>
  <c r="I1226" i="1"/>
  <c r="K1226" i="1"/>
  <c r="C1227" i="1"/>
  <c r="D1227" i="1"/>
  <c r="H1227" i="1" s="1"/>
  <c r="E1227" i="1"/>
  <c r="I1227" i="1"/>
  <c r="K1227" i="1"/>
  <c r="C1228" i="1"/>
  <c r="D1228" i="1"/>
  <c r="H1228" i="1" s="1"/>
  <c r="E1228" i="1"/>
  <c r="I1228" i="1"/>
  <c r="K1228" i="1"/>
  <c r="C1229" i="1"/>
  <c r="D1229" i="1"/>
  <c r="H1229" i="1" s="1"/>
  <c r="E1229" i="1"/>
  <c r="I1229" i="1"/>
  <c r="K1229" i="1"/>
  <c r="C1230" i="1"/>
  <c r="D1230" i="1"/>
  <c r="H1230" i="1" s="1"/>
  <c r="E1230" i="1"/>
  <c r="I1230" i="1"/>
  <c r="K1230" i="1"/>
  <c r="C1231" i="1"/>
  <c r="D1231" i="1"/>
  <c r="H1231" i="1" s="1"/>
  <c r="E1231" i="1"/>
  <c r="I1231" i="1"/>
  <c r="K1231" i="1"/>
  <c r="C1232" i="1"/>
  <c r="D1232" i="1"/>
  <c r="H1232" i="1" s="1"/>
  <c r="E1232" i="1"/>
  <c r="I1232" i="1"/>
  <c r="K1232" i="1"/>
  <c r="C1233" i="1"/>
  <c r="D1233" i="1"/>
  <c r="H1233" i="1" s="1"/>
  <c r="E1233" i="1"/>
  <c r="I1233" i="1"/>
  <c r="K1233" i="1"/>
  <c r="C1234" i="1"/>
  <c r="D1234" i="1"/>
  <c r="H1234" i="1" s="1"/>
  <c r="E1234" i="1"/>
  <c r="I1234" i="1"/>
  <c r="K1234" i="1"/>
  <c r="C1235" i="1"/>
  <c r="D1235" i="1"/>
  <c r="H1235" i="1" s="1"/>
  <c r="E1235" i="1"/>
  <c r="I1235" i="1"/>
  <c r="K1235" i="1"/>
  <c r="C1236" i="1"/>
  <c r="D1236" i="1"/>
  <c r="H1236" i="1" s="1"/>
  <c r="E1236" i="1"/>
  <c r="I1236" i="1"/>
  <c r="K1236" i="1"/>
  <c r="C1237" i="1"/>
  <c r="D1237" i="1"/>
  <c r="H1237" i="1" s="1"/>
  <c r="E1237" i="1"/>
  <c r="I1237" i="1"/>
  <c r="K1237" i="1"/>
  <c r="C1238" i="1"/>
  <c r="D1238" i="1"/>
  <c r="H1238" i="1" s="1"/>
  <c r="E1238" i="1"/>
  <c r="I1238" i="1"/>
  <c r="K1238" i="1"/>
  <c r="C1239" i="1"/>
  <c r="D1239" i="1"/>
  <c r="H1239" i="1" s="1"/>
  <c r="E1239" i="1"/>
  <c r="I1239" i="1"/>
  <c r="K1239" i="1"/>
  <c r="C1240" i="1"/>
  <c r="D1240" i="1"/>
  <c r="H1240" i="1" s="1"/>
  <c r="E1240" i="1"/>
  <c r="I1240" i="1"/>
  <c r="K1240" i="1"/>
  <c r="C1241" i="1"/>
  <c r="D1241" i="1"/>
  <c r="H1241" i="1" s="1"/>
  <c r="E1241" i="1"/>
  <c r="I1241" i="1"/>
  <c r="K1241" i="1"/>
  <c r="C1242" i="1"/>
  <c r="D1242" i="1"/>
  <c r="H1242" i="1" s="1"/>
  <c r="E1242" i="1"/>
  <c r="I1242" i="1"/>
  <c r="K1242" i="1"/>
  <c r="C1243" i="1"/>
  <c r="D1243" i="1"/>
  <c r="H1243" i="1" s="1"/>
  <c r="E1243" i="1"/>
  <c r="I1243" i="1"/>
  <c r="K1243" i="1"/>
  <c r="C1244" i="1"/>
  <c r="D1244" i="1"/>
  <c r="H1244" i="1" s="1"/>
  <c r="E1244" i="1"/>
  <c r="I1244" i="1"/>
  <c r="K1244" i="1"/>
  <c r="C1245" i="1"/>
  <c r="D1245" i="1"/>
  <c r="H1245" i="1" s="1"/>
  <c r="E1245" i="1"/>
  <c r="I1245" i="1"/>
  <c r="K1245" i="1"/>
  <c r="C1246" i="1"/>
  <c r="D1246" i="1"/>
  <c r="H1246" i="1" s="1"/>
  <c r="E1246" i="1"/>
  <c r="I1246" i="1"/>
  <c r="K1246" i="1"/>
  <c r="C1247" i="1"/>
  <c r="D1247" i="1"/>
  <c r="H1247" i="1" s="1"/>
  <c r="E1247" i="1"/>
  <c r="I1247" i="1"/>
  <c r="K1247" i="1"/>
  <c r="C1248" i="1"/>
  <c r="D1248" i="1"/>
  <c r="H1248" i="1" s="1"/>
  <c r="E1248" i="1"/>
  <c r="I1248" i="1"/>
  <c r="K1248" i="1"/>
  <c r="C1249" i="1"/>
  <c r="D1249" i="1"/>
  <c r="H1249" i="1" s="1"/>
  <c r="E1249" i="1"/>
  <c r="I1249" i="1"/>
  <c r="K1249" i="1"/>
  <c r="C1250" i="1"/>
  <c r="D1250" i="1"/>
  <c r="H1250" i="1" s="1"/>
  <c r="E1250" i="1"/>
  <c r="I1250" i="1"/>
  <c r="K1250" i="1"/>
  <c r="C1251" i="1"/>
  <c r="D1251" i="1"/>
  <c r="H1251" i="1" s="1"/>
  <c r="E1251" i="1"/>
  <c r="I1251" i="1"/>
  <c r="K1251" i="1"/>
  <c r="C1252" i="1"/>
  <c r="D1252" i="1"/>
  <c r="H1252" i="1" s="1"/>
  <c r="E1252" i="1"/>
  <c r="I1252" i="1"/>
  <c r="K1252" i="1"/>
  <c r="C1253" i="1"/>
  <c r="D1253" i="1"/>
  <c r="H1253" i="1" s="1"/>
  <c r="E1253" i="1"/>
  <c r="I1253" i="1"/>
  <c r="K1253" i="1"/>
  <c r="C1254" i="1"/>
  <c r="D1254" i="1"/>
  <c r="H1254" i="1" s="1"/>
  <c r="E1254" i="1"/>
  <c r="I1254" i="1"/>
  <c r="K1254" i="1"/>
  <c r="C1255" i="1"/>
  <c r="D1255" i="1"/>
  <c r="H1255" i="1" s="1"/>
  <c r="E1255" i="1"/>
  <c r="I1255" i="1"/>
  <c r="K1255" i="1"/>
  <c r="C1256" i="1"/>
  <c r="D1256" i="1"/>
  <c r="H1256" i="1" s="1"/>
  <c r="E1256" i="1"/>
  <c r="I1256" i="1"/>
  <c r="K1256" i="1"/>
  <c r="C1257" i="1"/>
  <c r="D1257" i="1"/>
  <c r="H1257" i="1" s="1"/>
  <c r="E1257" i="1"/>
  <c r="I1257" i="1"/>
  <c r="K1257" i="1"/>
  <c r="C1258" i="1"/>
  <c r="D1258" i="1"/>
  <c r="H1258" i="1" s="1"/>
  <c r="E1258" i="1"/>
  <c r="I1258" i="1"/>
  <c r="K1258" i="1"/>
  <c r="C1259" i="1"/>
  <c r="D1259" i="1"/>
  <c r="H1259" i="1" s="1"/>
  <c r="E1259" i="1"/>
  <c r="I1259" i="1"/>
  <c r="K1259" i="1"/>
  <c r="C1260" i="1"/>
  <c r="D1260" i="1"/>
  <c r="H1260" i="1" s="1"/>
  <c r="E1260" i="1"/>
  <c r="I1260" i="1"/>
  <c r="K1260" i="1"/>
  <c r="C1261" i="1"/>
  <c r="D1261" i="1"/>
  <c r="H1261" i="1" s="1"/>
  <c r="E1261" i="1"/>
  <c r="I1261" i="1"/>
  <c r="K1261" i="1"/>
  <c r="C1262" i="1"/>
  <c r="D1262" i="1"/>
  <c r="H1262" i="1" s="1"/>
  <c r="E1262" i="1"/>
  <c r="I1262" i="1"/>
  <c r="K1262" i="1"/>
  <c r="C1263" i="1"/>
  <c r="D1263" i="1"/>
  <c r="H1263" i="1" s="1"/>
  <c r="E1263" i="1"/>
  <c r="I1263" i="1"/>
  <c r="K1263" i="1"/>
  <c r="C1264" i="1"/>
  <c r="D1264" i="1"/>
  <c r="H1264" i="1" s="1"/>
  <c r="E1264" i="1"/>
  <c r="I1264" i="1"/>
  <c r="K1264" i="1"/>
  <c r="C1265" i="1"/>
  <c r="D1265" i="1"/>
  <c r="H1265" i="1" s="1"/>
  <c r="E1265" i="1"/>
  <c r="I1265" i="1"/>
  <c r="K1265" i="1"/>
  <c r="C1266" i="1"/>
  <c r="D1266" i="1"/>
  <c r="H1266" i="1" s="1"/>
  <c r="E1266" i="1"/>
  <c r="I1266" i="1"/>
  <c r="K1266" i="1"/>
  <c r="C1267" i="1"/>
  <c r="D1267" i="1"/>
  <c r="H1267" i="1" s="1"/>
  <c r="E1267" i="1"/>
  <c r="I1267" i="1"/>
  <c r="K1267" i="1"/>
  <c r="C1268" i="1"/>
  <c r="D1268" i="1"/>
  <c r="H1268" i="1" s="1"/>
  <c r="E1268" i="1"/>
  <c r="I1268" i="1"/>
  <c r="K1268" i="1"/>
  <c r="C1269" i="1"/>
  <c r="D1269" i="1"/>
  <c r="H1269" i="1" s="1"/>
  <c r="E1269" i="1"/>
  <c r="I1269" i="1"/>
  <c r="K1269" i="1"/>
  <c r="C1270" i="1"/>
  <c r="D1270" i="1"/>
  <c r="H1270" i="1" s="1"/>
  <c r="E1270" i="1"/>
  <c r="I1270" i="1"/>
  <c r="K1270" i="1"/>
  <c r="C1271" i="1"/>
  <c r="D1271" i="1"/>
  <c r="H1271" i="1" s="1"/>
  <c r="E1271" i="1"/>
  <c r="I1271" i="1"/>
  <c r="K1271" i="1"/>
  <c r="C1272" i="1"/>
  <c r="D1272" i="1"/>
  <c r="H1272" i="1" s="1"/>
  <c r="E1272" i="1"/>
  <c r="I1272" i="1"/>
  <c r="K1272" i="1"/>
  <c r="C1273" i="1"/>
  <c r="D1273" i="1"/>
  <c r="H1273" i="1" s="1"/>
  <c r="E1273" i="1"/>
  <c r="I1273" i="1"/>
  <c r="K1273" i="1"/>
  <c r="C1274" i="1"/>
  <c r="D1274" i="1"/>
  <c r="H1274" i="1" s="1"/>
  <c r="E1274" i="1"/>
  <c r="I1274" i="1"/>
  <c r="K1274" i="1"/>
  <c r="C1275" i="1"/>
  <c r="D1275" i="1"/>
  <c r="H1275" i="1" s="1"/>
  <c r="E1275" i="1"/>
  <c r="I1275" i="1"/>
  <c r="K1275" i="1"/>
  <c r="C1276" i="1"/>
  <c r="D1276" i="1"/>
  <c r="H1276" i="1" s="1"/>
  <c r="E1276" i="1"/>
  <c r="I1276" i="1"/>
  <c r="K1276" i="1"/>
  <c r="C1277" i="1"/>
  <c r="D1277" i="1"/>
  <c r="H1277" i="1" s="1"/>
  <c r="E1277" i="1"/>
  <c r="I1277" i="1"/>
  <c r="K1277" i="1"/>
  <c r="C1278" i="1"/>
  <c r="D1278" i="1"/>
  <c r="H1278" i="1" s="1"/>
  <c r="E1278" i="1"/>
  <c r="I1278" i="1"/>
  <c r="K1278" i="1"/>
  <c r="C1279" i="1"/>
  <c r="D1279" i="1"/>
  <c r="H1279" i="1" s="1"/>
  <c r="E1279" i="1"/>
  <c r="I1279" i="1"/>
  <c r="K1279" i="1"/>
  <c r="C1280" i="1"/>
  <c r="D1280" i="1"/>
  <c r="H1280" i="1" s="1"/>
  <c r="E1280" i="1"/>
  <c r="I1280" i="1"/>
  <c r="K1280" i="1"/>
  <c r="C1281" i="1"/>
  <c r="D1281" i="1"/>
  <c r="H1281" i="1" s="1"/>
  <c r="E1281" i="1"/>
  <c r="I1281" i="1"/>
  <c r="K1281" i="1"/>
  <c r="C1282" i="1"/>
  <c r="D1282" i="1"/>
  <c r="H1282" i="1" s="1"/>
  <c r="E1282" i="1"/>
  <c r="I1282" i="1"/>
  <c r="K1282" i="1"/>
  <c r="C1283" i="1"/>
  <c r="D1283" i="1"/>
  <c r="H1283" i="1" s="1"/>
  <c r="E1283" i="1"/>
  <c r="I1283" i="1"/>
  <c r="K1283" i="1"/>
  <c r="C1284" i="1"/>
  <c r="D1284" i="1"/>
  <c r="H1284" i="1" s="1"/>
  <c r="E1284" i="1"/>
  <c r="I1284" i="1"/>
  <c r="K1284" i="1"/>
  <c r="C1285" i="1"/>
  <c r="D1285" i="1"/>
  <c r="H1285" i="1" s="1"/>
  <c r="E1285" i="1"/>
  <c r="I1285" i="1"/>
  <c r="K1285" i="1"/>
  <c r="C1286" i="1"/>
  <c r="D1286" i="1"/>
  <c r="H1286" i="1" s="1"/>
  <c r="E1286" i="1"/>
  <c r="I1286" i="1"/>
  <c r="K1286" i="1"/>
  <c r="C1287" i="1"/>
  <c r="D1287" i="1"/>
  <c r="H1287" i="1" s="1"/>
  <c r="E1287" i="1"/>
  <c r="I1287" i="1"/>
  <c r="K1287" i="1"/>
  <c r="C1288" i="1"/>
  <c r="D1288" i="1"/>
  <c r="H1288" i="1" s="1"/>
  <c r="E1288" i="1"/>
  <c r="I1288" i="1"/>
  <c r="K1288" i="1"/>
  <c r="C1289" i="1"/>
  <c r="D1289" i="1"/>
  <c r="H1289" i="1" s="1"/>
  <c r="E1289" i="1"/>
  <c r="I1289" i="1"/>
  <c r="K1289" i="1"/>
  <c r="C1290" i="1"/>
  <c r="D1290" i="1"/>
  <c r="H1290" i="1" s="1"/>
  <c r="E1290" i="1"/>
  <c r="I1290" i="1"/>
  <c r="K1290" i="1"/>
  <c r="C1291" i="1"/>
  <c r="D1291" i="1"/>
  <c r="H1291" i="1" s="1"/>
  <c r="E1291" i="1"/>
  <c r="I1291" i="1"/>
  <c r="K1291" i="1"/>
  <c r="C1292" i="1"/>
  <c r="D1292" i="1"/>
  <c r="H1292" i="1" s="1"/>
  <c r="E1292" i="1"/>
  <c r="I1292" i="1"/>
  <c r="K1292" i="1"/>
  <c r="C1293" i="1"/>
  <c r="D1293" i="1"/>
  <c r="H1293" i="1" s="1"/>
  <c r="E1293" i="1"/>
  <c r="I1293" i="1"/>
  <c r="K1293" i="1"/>
  <c r="C1294" i="1"/>
  <c r="D1294" i="1"/>
  <c r="H1294" i="1" s="1"/>
  <c r="E1294" i="1"/>
  <c r="I1294" i="1"/>
  <c r="K1294" i="1"/>
  <c r="C1295" i="1"/>
  <c r="D1295" i="1"/>
  <c r="H1295" i="1" s="1"/>
  <c r="E1295" i="1"/>
  <c r="I1295" i="1"/>
  <c r="K1295" i="1"/>
  <c r="C1296" i="1"/>
  <c r="D1296" i="1"/>
  <c r="H1296" i="1" s="1"/>
  <c r="E1296" i="1"/>
  <c r="I1296" i="1"/>
  <c r="K1296" i="1"/>
  <c r="C1297" i="1"/>
  <c r="D1297" i="1"/>
  <c r="H1297" i="1" s="1"/>
  <c r="E1297" i="1"/>
  <c r="I1297" i="1"/>
  <c r="K1297" i="1"/>
  <c r="C1298" i="1"/>
  <c r="D1298" i="1"/>
  <c r="H1298" i="1" s="1"/>
  <c r="E1298" i="1"/>
  <c r="I1298" i="1"/>
  <c r="K1298" i="1"/>
  <c r="C1299" i="1"/>
  <c r="D1299" i="1"/>
  <c r="H1299" i="1" s="1"/>
  <c r="E1299" i="1"/>
  <c r="I1299" i="1"/>
  <c r="K1299" i="1"/>
  <c r="C1300" i="1"/>
  <c r="D1300" i="1"/>
  <c r="H1300" i="1" s="1"/>
  <c r="E1300" i="1"/>
  <c r="I1300" i="1"/>
  <c r="K1300" i="1"/>
  <c r="C1301" i="1"/>
  <c r="D1301" i="1"/>
  <c r="H1301" i="1" s="1"/>
  <c r="E1301" i="1"/>
  <c r="I1301" i="1"/>
  <c r="K1301" i="1"/>
  <c r="C1302" i="1"/>
  <c r="D1302" i="1"/>
  <c r="H1302" i="1" s="1"/>
  <c r="E1302" i="1"/>
  <c r="I1302" i="1"/>
  <c r="K1302" i="1"/>
  <c r="C1303" i="1"/>
  <c r="D1303" i="1"/>
  <c r="H1303" i="1" s="1"/>
  <c r="E1303" i="1"/>
  <c r="I1303" i="1"/>
  <c r="K1303" i="1"/>
  <c r="C1304" i="1"/>
  <c r="D1304" i="1"/>
  <c r="H1304" i="1" s="1"/>
  <c r="E1304" i="1"/>
  <c r="I1304" i="1"/>
  <c r="K1304" i="1"/>
  <c r="C1305" i="1"/>
  <c r="D1305" i="1"/>
  <c r="H1305" i="1" s="1"/>
  <c r="E1305" i="1"/>
  <c r="I1305" i="1"/>
  <c r="K1305" i="1"/>
  <c r="C1306" i="1"/>
  <c r="D1306" i="1"/>
  <c r="H1306" i="1" s="1"/>
  <c r="E1306" i="1"/>
  <c r="I1306" i="1"/>
  <c r="K1306" i="1"/>
  <c r="C1307" i="1"/>
  <c r="D1307" i="1"/>
  <c r="H1307" i="1" s="1"/>
  <c r="E1307" i="1"/>
  <c r="I1307" i="1"/>
  <c r="K1307" i="1"/>
  <c r="C1308" i="1"/>
  <c r="D1308" i="1"/>
  <c r="H1308" i="1" s="1"/>
  <c r="E1308" i="1"/>
  <c r="I1308" i="1"/>
  <c r="K1308" i="1"/>
  <c r="C1309" i="1"/>
  <c r="D1309" i="1"/>
  <c r="H1309" i="1" s="1"/>
  <c r="E1309" i="1"/>
  <c r="I1309" i="1"/>
  <c r="K1309" i="1"/>
  <c r="C1310" i="1"/>
  <c r="D1310" i="1"/>
  <c r="H1310" i="1" s="1"/>
  <c r="E1310" i="1"/>
  <c r="I1310" i="1"/>
  <c r="K1310" i="1"/>
  <c r="C1311" i="1"/>
  <c r="D1311" i="1"/>
  <c r="H1311" i="1" s="1"/>
  <c r="E1311" i="1"/>
  <c r="I1311" i="1"/>
  <c r="K1311" i="1"/>
  <c r="C1312" i="1"/>
  <c r="D1312" i="1"/>
  <c r="H1312" i="1" s="1"/>
  <c r="E1312" i="1"/>
  <c r="I1312" i="1"/>
  <c r="K1312" i="1"/>
  <c r="C1313" i="1"/>
  <c r="D1313" i="1"/>
  <c r="H1313" i="1" s="1"/>
  <c r="E1313" i="1"/>
  <c r="I1313" i="1"/>
  <c r="K1313" i="1"/>
  <c r="C1314" i="1"/>
  <c r="D1314" i="1"/>
  <c r="H1314" i="1" s="1"/>
  <c r="E1314" i="1"/>
  <c r="I1314" i="1"/>
  <c r="K1314" i="1"/>
  <c r="C1315" i="1"/>
  <c r="D1315" i="1"/>
  <c r="H1315" i="1" s="1"/>
  <c r="E1315" i="1"/>
  <c r="I1315" i="1"/>
  <c r="K1315" i="1"/>
  <c r="C1316" i="1"/>
  <c r="D1316" i="1"/>
  <c r="H1316" i="1" s="1"/>
  <c r="E1316" i="1"/>
  <c r="I1316" i="1"/>
  <c r="K1316" i="1"/>
  <c r="C1317" i="1"/>
  <c r="D1317" i="1"/>
  <c r="H1317" i="1" s="1"/>
  <c r="E1317" i="1"/>
  <c r="I1317" i="1"/>
  <c r="K1317" i="1"/>
  <c r="C1318" i="1"/>
  <c r="D1318" i="1"/>
  <c r="H1318" i="1" s="1"/>
  <c r="E1318" i="1"/>
  <c r="I1318" i="1"/>
  <c r="K1318" i="1"/>
  <c r="C1319" i="1"/>
  <c r="D1319" i="1"/>
  <c r="H1319" i="1" s="1"/>
  <c r="E1319" i="1"/>
  <c r="I1319" i="1"/>
  <c r="K1319" i="1"/>
  <c r="C1320" i="1"/>
  <c r="D1320" i="1"/>
  <c r="H1320" i="1" s="1"/>
  <c r="E1320" i="1"/>
  <c r="I1320" i="1"/>
  <c r="K1320" i="1"/>
  <c r="C1321" i="1"/>
  <c r="D1321" i="1"/>
  <c r="H1321" i="1" s="1"/>
  <c r="E1321" i="1"/>
  <c r="I1321" i="1"/>
  <c r="K1321" i="1"/>
  <c r="C1322" i="1"/>
  <c r="D1322" i="1"/>
  <c r="H1322" i="1" s="1"/>
  <c r="E1322" i="1"/>
  <c r="I1322" i="1"/>
  <c r="K1322" i="1"/>
  <c r="C1323" i="1"/>
  <c r="D1323" i="1"/>
  <c r="H1323" i="1" s="1"/>
  <c r="E1323" i="1"/>
  <c r="I1323" i="1"/>
  <c r="K1323" i="1"/>
  <c r="C1324" i="1"/>
  <c r="D1324" i="1"/>
  <c r="H1324" i="1" s="1"/>
  <c r="E1324" i="1"/>
  <c r="I1324" i="1"/>
  <c r="K1324" i="1"/>
  <c r="C1325" i="1"/>
  <c r="D1325" i="1"/>
  <c r="H1325" i="1" s="1"/>
  <c r="E1325" i="1"/>
  <c r="I1325" i="1"/>
  <c r="K1325" i="1"/>
  <c r="C1326" i="1"/>
  <c r="D1326" i="1"/>
  <c r="H1326" i="1" s="1"/>
  <c r="E1326" i="1"/>
  <c r="I1326" i="1"/>
  <c r="K1326" i="1"/>
  <c r="C1327" i="1"/>
  <c r="D1327" i="1"/>
  <c r="H1327" i="1" s="1"/>
  <c r="E1327" i="1"/>
  <c r="I1327" i="1"/>
  <c r="K1327" i="1"/>
  <c r="C1328" i="1"/>
  <c r="D1328" i="1"/>
  <c r="H1328" i="1" s="1"/>
  <c r="E1328" i="1"/>
  <c r="I1328" i="1"/>
  <c r="K1328" i="1"/>
  <c r="C1329" i="1"/>
  <c r="D1329" i="1"/>
  <c r="H1329" i="1" s="1"/>
  <c r="E1329" i="1"/>
  <c r="I1329" i="1"/>
  <c r="K1329" i="1"/>
  <c r="C1330" i="1"/>
  <c r="D1330" i="1"/>
  <c r="H1330" i="1" s="1"/>
  <c r="E1330" i="1"/>
  <c r="I1330" i="1"/>
  <c r="K1330" i="1"/>
  <c r="C1331" i="1"/>
  <c r="D1331" i="1"/>
  <c r="H1331" i="1" s="1"/>
  <c r="E1331" i="1"/>
  <c r="I1331" i="1"/>
  <c r="K1331" i="1"/>
  <c r="C1332" i="1"/>
  <c r="D1332" i="1"/>
  <c r="H1332" i="1" s="1"/>
  <c r="E1332" i="1"/>
  <c r="I1332" i="1"/>
  <c r="K1332" i="1"/>
  <c r="C1333" i="1"/>
  <c r="D1333" i="1"/>
  <c r="H1333" i="1" s="1"/>
  <c r="E1333" i="1"/>
  <c r="I1333" i="1"/>
  <c r="K1333" i="1"/>
  <c r="C1334" i="1"/>
  <c r="D1334" i="1"/>
  <c r="H1334" i="1" s="1"/>
  <c r="E1334" i="1"/>
  <c r="I1334" i="1"/>
  <c r="K1334" i="1"/>
  <c r="C1335" i="1"/>
  <c r="D1335" i="1"/>
  <c r="H1335" i="1" s="1"/>
  <c r="E1335" i="1"/>
  <c r="I1335" i="1"/>
  <c r="K1335" i="1"/>
  <c r="C1336" i="1"/>
  <c r="D1336" i="1"/>
  <c r="H1336" i="1" s="1"/>
  <c r="E1336" i="1"/>
  <c r="I1336" i="1"/>
  <c r="K1336" i="1"/>
  <c r="C1337" i="1"/>
  <c r="D1337" i="1"/>
  <c r="H1337" i="1" s="1"/>
  <c r="E1337" i="1"/>
  <c r="I1337" i="1"/>
  <c r="K1337" i="1"/>
  <c r="C1338" i="1"/>
  <c r="D1338" i="1"/>
  <c r="H1338" i="1" s="1"/>
  <c r="E1338" i="1"/>
  <c r="I1338" i="1"/>
  <c r="K1338" i="1"/>
  <c r="C1339" i="1"/>
  <c r="D1339" i="1"/>
  <c r="H1339" i="1" s="1"/>
  <c r="E1339" i="1"/>
  <c r="I1339" i="1"/>
  <c r="K1339" i="1"/>
  <c r="C1340" i="1"/>
  <c r="D1340" i="1"/>
  <c r="H1340" i="1" s="1"/>
  <c r="E1340" i="1"/>
  <c r="I1340" i="1"/>
  <c r="K1340" i="1"/>
  <c r="C1341" i="1"/>
  <c r="D1341" i="1"/>
  <c r="H1341" i="1" s="1"/>
  <c r="E1341" i="1"/>
  <c r="I1341" i="1"/>
  <c r="K1341" i="1"/>
  <c r="C1342" i="1"/>
  <c r="D1342" i="1"/>
  <c r="H1342" i="1" s="1"/>
  <c r="E1342" i="1"/>
  <c r="I1342" i="1"/>
  <c r="K1342" i="1"/>
  <c r="C1343" i="1"/>
  <c r="D1343" i="1"/>
  <c r="H1343" i="1" s="1"/>
  <c r="E1343" i="1"/>
  <c r="I1343" i="1"/>
  <c r="K1343" i="1"/>
  <c r="C1344" i="1"/>
  <c r="D1344" i="1"/>
  <c r="H1344" i="1" s="1"/>
  <c r="E1344" i="1"/>
  <c r="I1344" i="1"/>
  <c r="K1344" i="1"/>
  <c r="C1345" i="1"/>
  <c r="D1345" i="1"/>
  <c r="H1345" i="1" s="1"/>
  <c r="E1345" i="1"/>
  <c r="I1345" i="1"/>
  <c r="K1345" i="1"/>
  <c r="C1346" i="1"/>
  <c r="D1346" i="1"/>
  <c r="H1346" i="1" s="1"/>
  <c r="E1346" i="1"/>
  <c r="I1346" i="1"/>
  <c r="K1346" i="1"/>
  <c r="C1347" i="1"/>
  <c r="D1347" i="1"/>
  <c r="H1347" i="1" s="1"/>
  <c r="E1347" i="1"/>
  <c r="I1347" i="1"/>
  <c r="K1347" i="1"/>
  <c r="C1348" i="1"/>
  <c r="D1348" i="1"/>
  <c r="H1348" i="1" s="1"/>
  <c r="E1348" i="1"/>
  <c r="I1348" i="1"/>
  <c r="K1348" i="1"/>
  <c r="C1349" i="1"/>
  <c r="D1349" i="1"/>
  <c r="H1349" i="1" s="1"/>
  <c r="E1349" i="1"/>
  <c r="I1349" i="1"/>
  <c r="K1349" i="1"/>
  <c r="C1350" i="1"/>
  <c r="D1350" i="1"/>
  <c r="H1350" i="1" s="1"/>
  <c r="E1350" i="1"/>
  <c r="I1350" i="1"/>
  <c r="K1350" i="1"/>
  <c r="C1351" i="1"/>
  <c r="D1351" i="1"/>
  <c r="H1351" i="1" s="1"/>
  <c r="E1351" i="1"/>
  <c r="I1351" i="1"/>
  <c r="K1351" i="1"/>
  <c r="C1352" i="1"/>
  <c r="D1352" i="1"/>
  <c r="H1352" i="1" s="1"/>
  <c r="E1352" i="1"/>
  <c r="I1352" i="1"/>
  <c r="K1352" i="1"/>
  <c r="C1353" i="1"/>
  <c r="D1353" i="1"/>
  <c r="H1353" i="1" s="1"/>
  <c r="E1353" i="1"/>
  <c r="I1353" i="1"/>
  <c r="K1353" i="1"/>
  <c r="C1354" i="1"/>
  <c r="D1354" i="1"/>
  <c r="H1354" i="1" s="1"/>
  <c r="E1354" i="1"/>
  <c r="I1354" i="1"/>
  <c r="K1354" i="1"/>
  <c r="C1355" i="1"/>
  <c r="D1355" i="1"/>
  <c r="H1355" i="1" s="1"/>
  <c r="E1355" i="1"/>
  <c r="I1355" i="1"/>
  <c r="K1355" i="1"/>
  <c r="C1356" i="1"/>
  <c r="D1356" i="1"/>
  <c r="H1356" i="1" s="1"/>
  <c r="E1356" i="1"/>
  <c r="I1356" i="1"/>
  <c r="K1356" i="1"/>
  <c r="C1357" i="1"/>
  <c r="D1357" i="1"/>
  <c r="H1357" i="1" s="1"/>
  <c r="E1357" i="1"/>
  <c r="I1357" i="1"/>
  <c r="K1357" i="1"/>
  <c r="C1358" i="1"/>
  <c r="D1358" i="1"/>
  <c r="H1358" i="1" s="1"/>
  <c r="E1358" i="1"/>
  <c r="I1358" i="1"/>
  <c r="K1358" i="1"/>
  <c r="C1359" i="1"/>
  <c r="D1359" i="1"/>
  <c r="H1359" i="1" s="1"/>
  <c r="E1359" i="1"/>
  <c r="I1359" i="1"/>
  <c r="K1359" i="1"/>
  <c r="C1360" i="1"/>
  <c r="D1360" i="1"/>
  <c r="H1360" i="1" s="1"/>
  <c r="E1360" i="1"/>
  <c r="I1360" i="1"/>
  <c r="K1360" i="1"/>
  <c r="C1361" i="1"/>
  <c r="D1361" i="1"/>
  <c r="H1361" i="1" s="1"/>
  <c r="E1361" i="1"/>
  <c r="I1361" i="1"/>
  <c r="K1361" i="1"/>
  <c r="C1362" i="1"/>
  <c r="D1362" i="1"/>
  <c r="H1362" i="1" s="1"/>
  <c r="E1362" i="1"/>
  <c r="I1362" i="1"/>
  <c r="K1362" i="1"/>
  <c r="C1363" i="1"/>
  <c r="D1363" i="1"/>
  <c r="H1363" i="1" s="1"/>
  <c r="E1363" i="1"/>
  <c r="I1363" i="1"/>
  <c r="K1363" i="1"/>
  <c r="C1364" i="1"/>
  <c r="D1364" i="1"/>
  <c r="H1364" i="1" s="1"/>
  <c r="E1364" i="1"/>
  <c r="I1364" i="1"/>
  <c r="K1364" i="1"/>
  <c r="C1365" i="1"/>
  <c r="D1365" i="1"/>
  <c r="H1365" i="1" s="1"/>
  <c r="E1365" i="1"/>
  <c r="I1365" i="1"/>
  <c r="K1365" i="1"/>
  <c r="C1366" i="1"/>
  <c r="D1366" i="1"/>
  <c r="H1366" i="1" s="1"/>
  <c r="E1366" i="1"/>
  <c r="I1366" i="1"/>
  <c r="K1366" i="1"/>
  <c r="C1367" i="1"/>
  <c r="D1367" i="1"/>
  <c r="H1367" i="1" s="1"/>
  <c r="E1367" i="1"/>
  <c r="I1367" i="1"/>
  <c r="K1367" i="1"/>
  <c r="C1368" i="1"/>
  <c r="D1368" i="1"/>
  <c r="H1368" i="1" s="1"/>
  <c r="E1368" i="1"/>
  <c r="I1368" i="1"/>
  <c r="K1368" i="1"/>
  <c r="C1369" i="1"/>
  <c r="D1369" i="1"/>
  <c r="H1369" i="1" s="1"/>
  <c r="E1369" i="1"/>
  <c r="I1369" i="1"/>
  <c r="K1369" i="1"/>
  <c r="C1370" i="1"/>
  <c r="D1370" i="1"/>
  <c r="H1370" i="1" s="1"/>
  <c r="E1370" i="1"/>
  <c r="I1370" i="1"/>
  <c r="K1370" i="1"/>
  <c r="C1371" i="1"/>
  <c r="D1371" i="1"/>
  <c r="H1371" i="1" s="1"/>
  <c r="E1371" i="1"/>
  <c r="I1371" i="1"/>
  <c r="K1371" i="1"/>
  <c r="C1372" i="1"/>
  <c r="D1372" i="1"/>
  <c r="H1372" i="1" s="1"/>
  <c r="E1372" i="1"/>
  <c r="I1372" i="1"/>
  <c r="K1372" i="1"/>
  <c r="C1373" i="1"/>
  <c r="D1373" i="1"/>
  <c r="H1373" i="1" s="1"/>
  <c r="E1373" i="1"/>
  <c r="I1373" i="1"/>
  <c r="K1373" i="1"/>
  <c r="C1374" i="1"/>
  <c r="D1374" i="1"/>
  <c r="H1374" i="1" s="1"/>
  <c r="E1374" i="1"/>
  <c r="I1374" i="1"/>
  <c r="K1374" i="1"/>
  <c r="C1375" i="1"/>
  <c r="D1375" i="1"/>
  <c r="H1375" i="1" s="1"/>
  <c r="E1375" i="1"/>
  <c r="I1375" i="1"/>
  <c r="K1375" i="1"/>
  <c r="C1376" i="1"/>
  <c r="D1376" i="1"/>
  <c r="H1376" i="1" s="1"/>
  <c r="E1376" i="1"/>
  <c r="I1376" i="1"/>
  <c r="K1376" i="1"/>
  <c r="C1377" i="1"/>
  <c r="D1377" i="1"/>
  <c r="H1377" i="1" s="1"/>
  <c r="E1377" i="1"/>
  <c r="I1377" i="1"/>
  <c r="K1377" i="1"/>
  <c r="C1378" i="1"/>
  <c r="D1378" i="1"/>
  <c r="H1378" i="1" s="1"/>
  <c r="E1378" i="1"/>
  <c r="I1378" i="1"/>
  <c r="K1378" i="1"/>
  <c r="C1379" i="1"/>
  <c r="D1379" i="1"/>
  <c r="H1379" i="1" s="1"/>
  <c r="E1379" i="1"/>
  <c r="I1379" i="1"/>
  <c r="K1379" i="1"/>
  <c r="C1380" i="1"/>
  <c r="D1380" i="1"/>
  <c r="H1380" i="1" s="1"/>
  <c r="E1380" i="1"/>
  <c r="I1380" i="1"/>
  <c r="K1380" i="1"/>
  <c r="C1381" i="1"/>
  <c r="D1381" i="1"/>
  <c r="H1381" i="1" s="1"/>
  <c r="E1381" i="1"/>
  <c r="I1381" i="1"/>
  <c r="K1381" i="1"/>
  <c r="C1382" i="1"/>
  <c r="D1382" i="1"/>
  <c r="H1382" i="1" s="1"/>
  <c r="E1382" i="1"/>
  <c r="I1382" i="1"/>
  <c r="K1382" i="1"/>
  <c r="C1383" i="1"/>
  <c r="D1383" i="1"/>
  <c r="H1383" i="1" s="1"/>
  <c r="E1383" i="1"/>
  <c r="I1383" i="1"/>
  <c r="K1383" i="1"/>
  <c r="C1384" i="1"/>
  <c r="D1384" i="1"/>
  <c r="H1384" i="1" s="1"/>
  <c r="E1384" i="1"/>
  <c r="I1384" i="1"/>
  <c r="K1384" i="1"/>
  <c r="C1385" i="1"/>
  <c r="D1385" i="1"/>
  <c r="H1385" i="1" s="1"/>
  <c r="E1385" i="1"/>
  <c r="I1385" i="1"/>
  <c r="K1385" i="1"/>
  <c r="C1386" i="1"/>
  <c r="D1386" i="1"/>
  <c r="H1386" i="1" s="1"/>
  <c r="E1386" i="1"/>
  <c r="I1386" i="1"/>
  <c r="K1386" i="1"/>
  <c r="C1387" i="1"/>
  <c r="D1387" i="1"/>
  <c r="H1387" i="1" s="1"/>
  <c r="E1387" i="1"/>
  <c r="I1387" i="1"/>
  <c r="K1387" i="1"/>
  <c r="C1388" i="1"/>
  <c r="D1388" i="1"/>
  <c r="H1388" i="1" s="1"/>
  <c r="E1388" i="1"/>
  <c r="I1388" i="1"/>
  <c r="K1388" i="1"/>
  <c r="C1389" i="1"/>
  <c r="D1389" i="1"/>
  <c r="H1389" i="1" s="1"/>
  <c r="E1389" i="1"/>
  <c r="I1389" i="1"/>
  <c r="K1389" i="1"/>
  <c r="C1390" i="1"/>
  <c r="D1390" i="1"/>
  <c r="H1390" i="1" s="1"/>
  <c r="E1390" i="1"/>
  <c r="I1390" i="1"/>
  <c r="K1390" i="1"/>
  <c r="C1391" i="1"/>
  <c r="D1391" i="1"/>
  <c r="H1391" i="1" s="1"/>
  <c r="E1391" i="1"/>
  <c r="I1391" i="1"/>
  <c r="K1391" i="1"/>
  <c r="C1392" i="1"/>
  <c r="D1392" i="1"/>
  <c r="H1392" i="1" s="1"/>
  <c r="E1392" i="1"/>
  <c r="I1392" i="1"/>
  <c r="K1392" i="1"/>
  <c r="C1393" i="1"/>
  <c r="D1393" i="1"/>
  <c r="H1393" i="1" s="1"/>
  <c r="E1393" i="1"/>
  <c r="I1393" i="1"/>
  <c r="K1393" i="1"/>
  <c r="C1394" i="1"/>
  <c r="D1394" i="1"/>
  <c r="H1394" i="1" s="1"/>
  <c r="E1394" i="1"/>
  <c r="I1394" i="1"/>
  <c r="K1394" i="1"/>
  <c r="C1395" i="1"/>
  <c r="D1395" i="1"/>
  <c r="H1395" i="1" s="1"/>
  <c r="E1395" i="1"/>
  <c r="I1395" i="1"/>
  <c r="K1395" i="1"/>
  <c r="C1396" i="1"/>
  <c r="D1396" i="1"/>
  <c r="H1396" i="1" s="1"/>
  <c r="E1396" i="1"/>
  <c r="I1396" i="1"/>
  <c r="K1396" i="1"/>
  <c r="C1397" i="1"/>
  <c r="D1397" i="1"/>
  <c r="H1397" i="1" s="1"/>
  <c r="E1397" i="1"/>
  <c r="I1397" i="1"/>
  <c r="K1397" i="1"/>
  <c r="C1398" i="1"/>
  <c r="D1398" i="1"/>
  <c r="H1398" i="1" s="1"/>
  <c r="E1398" i="1"/>
  <c r="I1398" i="1"/>
  <c r="K1398" i="1"/>
  <c r="C1399" i="1"/>
  <c r="D1399" i="1"/>
  <c r="H1399" i="1" s="1"/>
  <c r="E1399" i="1"/>
  <c r="I1399" i="1"/>
  <c r="K1399" i="1"/>
  <c r="C1400" i="1"/>
  <c r="D1400" i="1"/>
  <c r="H1400" i="1" s="1"/>
  <c r="E1400" i="1"/>
  <c r="I1400" i="1"/>
  <c r="K1400" i="1"/>
  <c r="C1401" i="1"/>
  <c r="D1401" i="1"/>
  <c r="H1401" i="1" s="1"/>
  <c r="E1401" i="1"/>
  <c r="I1401" i="1"/>
  <c r="K1401" i="1"/>
  <c r="C1402" i="1"/>
  <c r="D1402" i="1"/>
  <c r="H1402" i="1" s="1"/>
  <c r="E1402" i="1"/>
  <c r="I1402" i="1"/>
  <c r="K1402" i="1"/>
  <c r="C1403" i="1"/>
  <c r="D1403" i="1"/>
  <c r="H1403" i="1" s="1"/>
  <c r="E1403" i="1"/>
  <c r="I1403" i="1"/>
  <c r="K1403" i="1"/>
  <c r="C1404" i="1"/>
  <c r="D1404" i="1"/>
  <c r="H1404" i="1" s="1"/>
  <c r="E1404" i="1"/>
  <c r="I1404" i="1"/>
  <c r="K1404" i="1"/>
  <c r="C1405" i="1"/>
  <c r="D1405" i="1"/>
  <c r="H1405" i="1" s="1"/>
  <c r="E1405" i="1"/>
  <c r="I1405" i="1"/>
  <c r="K1405" i="1"/>
  <c r="C1406" i="1"/>
  <c r="D1406" i="1"/>
  <c r="H1406" i="1" s="1"/>
  <c r="E1406" i="1"/>
  <c r="I1406" i="1"/>
  <c r="K1406" i="1"/>
  <c r="C1407" i="1"/>
  <c r="D1407" i="1"/>
  <c r="H1407" i="1" s="1"/>
  <c r="E1407" i="1"/>
  <c r="I1407" i="1"/>
  <c r="K1407" i="1"/>
  <c r="C1408" i="1"/>
  <c r="D1408" i="1"/>
  <c r="H1408" i="1" s="1"/>
  <c r="E1408" i="1"/>
  <c r="I1408" i="1"/>
  <c r="K1408" i="1"/>
  <c r="C1409" i="1"/>
  <c r="D1409" i="1"/>
  <c r="H1409" i="1" s="1"/>
  <c r="E1409" i="1"/>
  <c r="I1409" i="1"/>
  <c r="K1409" i="1"/>
  <c r="C1410" i="1"/>
  <c r="D1410" i="1"/>
  <c r="H1410" i="1" s="1"/>
  <c r="E1410" i="1"/>
  <c r="I1410" i="1"/>
  <c r="K1410" i="1"/>
  <c r="C1411" i="1"/>
  <c r="D1411" i="1"/>
  <c r="H1411" i="1" s="1"/>
  <c r="E1411" i="1"/>
  <c r="I1411" i="1"/>
  <c r="K1411" i="1"/>
  <c r="C1412" i="1"/>
  <c r="D1412" i="1"/>
  <c r="H1412" i="1" s="1"/>
  <c r="E1412" i="1"/>
  <c r="I1412" i="1"/>
  <c r="K1412" i="1"/>
  <c r="C416" i="4" l="1"/>
  <c r="G416" i="4"/>
  <c r="C41" i="8"/>
  <c r="D41" i="8"/>
  <c r="C42" i="8" l="1"/>
  <c r="D42" i="8"/>
  <c r="C43" i="8" l="1"/>
  <c r="D43" i="8"/>
  <c r="C44" i="8"/>
  <c r="D44" i="8"/>
  <c r="C45" i="8"/>
  <c r="D45" i="8"/>
  <c r="C46" i="8" l="1"/>
  <c r="D46" i="8"/>
  <c r="C417" i="4"/>
  <c r="F417" i="4"/>
  <c r="G417" i="4"/>
  <c r="C47" i="8" l="1"/>
  <c r="D47" i="8"/>
  <c r="C418" i="4"/>
  <c r="F418" i="4"/>
  <c r="G418" i="4"/>
  <c r="C419" i="4"/>
  <c r="F419" i="4"/>
  <c r="G419" i="4"/>
  <c r="C420" i="4"/>
  <c r="F420" i="4"/>
  <c r="G420" i="4"/>
  <c r="C421" i="4"/>
  <c r="F421" i="4"/>
  <c r="G421" i="4"/>
  <c r="C422" i="4"/>
  <c r="F422" i="4"/>
  <c r="G422" i="4"/>
  <c r="C423" i="4"/>
  <c r="F423" i="4"/>
  <c r="G423" i="4"/>
  <c r="C424" i="4"/>
  <c r="F424" i="4"/>
  <c r="G424" i="4"/>
  <c r="C425" i="4"/>
  <c r="F425" i="4"/>
  <c r="G425" i="4"/>
  <c r="H310" i="7"/>
  <c r="H311" i="7"/>
  <c r="H312" i="7"/>
  <c r="H313" i="7"/>
  <c r="H314" i="7"/>
  <c r="H315" i="7"/>
  <c r="C426" i="4"/>
  <c r="F426" i="4"/>
  <c r="G426" i="4"/>
  <c r="C427" i="4"/>
  <c r="F427" i="4"/>
  <c r="G427" i="4"/>
  <c r="C48" i="8"/>
  <c r="D48" i="8"/>
  <c r="C49" i="8" l="1"/>
  <c r="D49" i="8"/>
  <c r="C50" i="8" l="1"/>
  <c r="D50" i="8"/>
  <c r="C51" i="8" l="1"/>
  <c r="D51" i="8"/>
  <c r="C52" i="8"/>
  <c r="D52" i="8"/>
  <c r="C428" i="4" l="1"/>
  <c r="F428" i="4"/>
  <c r="G428" i="4"/>
  <c r="C429" i="4"/>
  <c r="F429" i="4"/>
  <c r="G429" i="4"/>
  <c r="C430" i="4"/>
  <c r="F430" i="4"/>
  <c r="G430" i="4"/>
  <c r="C431" i="4"/>
  <c r="F431" i="4"/>
  <c r="G431" i="4"/>
  <c r="C432" i="4"/>
  <c r="F432" i="4"/>
  <c r="G432" i="4"/>
  <c r="C433" i="4"/>
  <c r="F433" i="4"/>
  <c r="G433" i="4"/>
  <c r="C434" i="4"/>
  <c r="F434" i="4"/>
  <c r="G434" i="4"/>
  <c r="C435" i="4"/>
  <c r="F435" i="4"/>
  <c r="G435" i="4"/>
  <c r="C436" i="4"/>
  <c r="F436" i="4"/>
  <c r="G436" i="4"/>
  <c r="C437" i="4"/>
  <c r="F437" i="4"/>
  <c r="G437" i="4"/>
  <c r="H316" i="7"/>
  <c r="H317" i="7"/>
  <c r="H318" i="7"/>
  <c r="H319" i="7"/>
  <c r="H320" i="7"/>
  <c r="H321" i="7"/>
  <c r="H322" i="7"/>
  <c r="H323" i="7"/>
  <c r="D53" i="8" l="1"/>
  <c r="C54" i="8"/>
  <c r="D54" i="8"/>
  <c r="C55" i="8"/>
  <c r="D55" i="8"/>
  <c r="C56" i="8"/>
  <c r="D56" i="8"/>
  <c r="C57" i="8"/>
  <c r="D57" i="8"/>
  <c r="C58" i="8"/>
  <c r="D58" i="8"/>
  <c r="C59" i="8"/>
  <c r="D59" i="8"/>
  <c r="C60" i="8"/>
  <c r="D60" i="8"/>
  <c r="C61" i="8"/>
  <c r="D61" i="8"/>
  <c r="C62" i="8"/>
  <c r="D62" i="8"/>
  <c r="C63" i="8"/>
  <c r="D63" i="8"/>
  <c r="C64" i="8" l="1"/>
  <c r="D64" i="8"/>
  <c r="C438" i="4"/>
  <c r="F438" i="4"/>
  <c r="G438" i="4"/>
  <c r="H327" i="7"/>
  <c r="D4" i="10"/>
  <c r="F4" i="2"/>
  <c r="F18" i="2"/>
  <c r="F24" i="2"/>
  <c r="F25" i="2"/>
  <c r="F32" i="2"/>
  <c r="F39" i="2"/>
  <c r="F46" i="2"/>
  <c r="F53" i="2"/>
  <c r="F66" i="2"/>
  <c r="F67" i="2"/>
  <c r="F74" i="2"/>
  <c r="F81" i="2"/>
  <c r="F85" i="2"/>
  <c r="F88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91" i="2" l="1"/>
  <c r="C65" i="8"/>
  <c r="D65" i="8"/>
  <c r="C66" i="8"/>
  <c r="D66" i="8"/>
  <c r="F90" i="2" l="1"/>
  <c r="C67" i="8"/>
  <c r="D67" i="8"/>
  <c r="C439" i="4"/>
  <c r="F439" i="4"/>
  <c r="G439" i="4"/>
  <c r="C68" i="8" l="1"/>
  <c r="D68" i="8"/>
  <c r="C69" i="8"/>
  <c r="D69" i="8"/>
  <c r="C70" i="8"/>
  <c r="D70" i="8"/>
  <c r="C71" i="8"/>
  <c r="D71" i="8"/>
  <c r="C72" i="8"/>
  <c r="D72" i="8"/>
  <c r="C73" i="8" l="1"/>
  <c r="D73" i="8"/>
  <c r="C74" i="8"/>
  <c r="D74" i="8"/>
  <c r="C75" i="8"/>
  <c r="D75" i="8"/>
  <c r="C440" i="4"/>
  <c r="F440" i="4"/>
  <c r="G440" i="4"/>
  <c r="C76" i="8"/>
  <c r="D76" i="8"/>
  <c r="C77" i="8"/>
  <c r="D77" i="8"/>
  <c r="C78" i="8"/>
  <c r="D78" i="8"/>
  <c r="C79" i="8"/>
  <c r="D79" i="8"/>
  <c r="C80" i="8"/>
  <c r="D80" i="8"/>
  <c r="C81" i="8"/>
  <c r="D81" i="8"/>
  <c r="F89" i="2" l="1"/>
  <c r="C82" i="8"/>
  <c r="D82" i="8"/>
  <c r="C83" i="8" l="1"/>
  <c r="D83" i="8"/>
  <c r="C84" i="8"/>
  <c r="D84" i="8"/>
  <c r="C85" i="8"/>
  <c r="D85" i="8"/>
  <c r="C86" i="8"/>
  <c r="D86" i="8"/>
  <c r="C87" i="8"/>
  <c r="D87" i="8"/>
  <c r="C88" i="8"/>
  <c r="D88" i="8"/>
  <c r="C89" i="8"/>
  <c r="D89" i="8"/>
  <c r="C90" i="8"/>
  <c r="D90" i="8"/>
  <c r="F87" i="2" l="1"/>
  <c r="F86" i="2" l="1"/>
  <c r="C441" i="4"/>
  <c r="F441" i="4"/>
  <c r="G441" i="4"/>
  <c r="C442" i="4"/>
  <c r="F442" i="4"/>
  <c r="G442" i="4"/>
  <c r="C443" i="4"/>
  <c r="F443" i="4"/>
  <c r="G443" i="4"/>
  <c r="C444" i="4"/>
  <c r="F444" i="4"/>
  <c r="G444" i="4"/>
  <c r="C445" i="4"/>
  <c r="F445" i="4"/>
  <c r="G445" i="4"/>
  <c r="C446" i="4"/>
  <c r="F446" i="4"/>
  <c r="G446" i="4"/>
  <c r="C447" i="4"/>
  <c r="F447" i="4"/>
  <c r="G447" i="4"/>
  <c r="C448" i="4"/>
  <c r="F448" i="4"/>
  <c r="G448" i="4"/>
  <c r="C449" i="4"/>
  <c r="F449" i="4"/>
  <c r="G449" i="4"/>
  <c r="H324" i="7"/>
  <c r="H325" i="7"/>
  <c r="C450" i="4" l="1"/>
  <c r="F450" i="4"/>
  <c r="G450" i="4"/>
  <c r="C91" i="8"/>
  <c r="D91" i="8"/>
  <c r="C92" i="8"/>
  <c r="D92" i="8"/>
  <c r="F84" i="2" l="1"/>
  <c r="C451" i="4" l="1"/>
  <c r="F451" i="4"/>
  <c r="G451" i="4"/>
  <c r="C452" i="4"/>
  <c r="F452" i="4"/>
  <c r="G452" i="4"/>
  <c r="C453" i="4"/>
  <c r="F453" i="4"/>
  <c r="G453" i="4"/>
  <c r="C454" i="4"/>
  <c r="F454" i="4"/>
  <c r="G454" i="4"/>
  <c r="C455" i="4"/>
  <c r="F455" i="4"/>
  <c r="G455" i="4"/>
  <c r="C456" i="4"/>
  <c r="F456" i="4"/>
  <c r="G456" i="4"/>
  <c r="C457" i="4"/>
  <c r="F457" i="4"/>
  <c r="G457" i="4"/>
  <c r="C458" i="4"/>
  <c r="F458" i="4"/>
  <c r="G458" i="4"/>
  <c r="C459" i="4"/>
  <c r="F459" i="4"/>
  <c r="G459" i="4"/>
  <c r="C460" i="4"/>
  <c r="F460" i="4"/>
  <c r="G460" i="4"/>
  <c r="C461" i="4"/>
  <c r="F461" i="4"/>
  <c r="G461" i="4"/>
  <c r="C462" i="4"/>
  <c r="F462" i="4"/>
  <c r="G462" i="4"/>
  <c r="C463" i="4"/>
  <c r="F463" i="4"/>
  <c r="G463" i="4"/>
  <c r="C464" i="4"/>
  <c r="F464" i="4"/>
  <c r="G464" i="4"/>
  <c r="H326" i="7"/>
  <c r="F83" i="2" l="1"/>
  <c r="C93" i="8"/>
  <c r="D93" i="8"/>
  <c r="C94" i="8"/>
  <c r="D94" i="8"/>
  <c r="C95" i="8" l="1"/>
  <c r="D95" i="8"/>
  <c r="C96" i="8"/>
  <c r="D96" i="8"/>
  <c r="C97" i="8"/>
  <c r="D97" i="8"/>
  <c r="F82" i="2" l="1"/>
  <c r="F80" i="2" l="1"/>
  <c r="E80" i="2"/>
  <c r="C98" i="8"/>
  <c r="D98" i="8"/>
  <c r="C99" i="8"/>
  <c r="D99" i="8"/>
  <c r="C100" i="8"/>
  <c r="D100" i="8"/>
  <c r="C101" i="8"/>
  <c r="D101" i="8"/>
  <c r="G80" i="2" l="1"/>
  <c r="F79" i="2"/>
  <c r="C102" i="8" l="1"/>
  <c r="D102" i="8"/>
  <c r="C103" i="8"/>
  <c r="D103" i="8"/>
  <c r="C104" i="8"/>
  <c r="D104" i="8"/>
  <c r="C105" i="8"/>
  <c r="D105" i="8"/>
  <c r="C106" i="8"/>
  <c r="D106" i="8"/>
  <c r="C107" i="8"/>
  <c r="D107" i="8"/>
  <c r="C108" i="8"/>
  <c r="D108" i="8"/>
  <c r="C465" i="4"/>
  <c r="F465" i="4"/>
  <c r="G465" i="4"/>
  <c r="C466" i="4"/>
  <c r="F466" i="4"/>
  <c r="G466" i="4"/>
  <c r="C467" i="4"/>
  <c r="F467" i="4"/>
  <c r="G467" i="4"/>
  <c r="C468" i="4"/>
  <c r="F468" i="4"/>
  <c r="G468" i="4"/>
  <c r="C469" i="4"/>
  <c r="F469" i="4"/>
  <c r="G469" i="4"/>
  <c r="C470" i="4"/>
  <c r="F470" i="4"/>
  <c r="G470" i="4"/>
  <c r="C471" i="4"/>
  <c r="F471" i="4"/>
  <c r="G471" i="4"/>
  <c r="C472" i="4"/>
  <c r="F472" i="4"/>
  <c r="G472" i="4"/>
  <c r="C473" i="4"/>
  <c r="F473" i="4"/>
  <c r="G473" i="4"/>
  <c r="C474" i="4"/>
  <c r="F474" i="4"/>
  <c r="G474" i="4"/>
  <c r="C475" i="4"/>
  <c r="F475" i="4"/>
  <c r="G475" i="4"/>
  <c r="C476" i="4"/>
  <c r="F476" i="4"/>
  <c r="G476" i="4"/>
  <c r="C477" i="4"/>
  <c r="F477" i="4"/>
  <c r="G477" i="4"/>
  <c r="C478" i="4"/>
  <c r="F478" i="4"/>
  <c r="G478" i="4"/>
  <c r="C109" i="8"/>
  <c r="D109" i="8"/>
  <c r="H328" i="7"/>
  <c r="C479" i="4"/>
  <c r="F479" i="4"/>
  <c r="G479" i="4"/>
  <c r="C480" i="4"/>
  <c r="F480" i="4"/>
  <c r="G480" i="4"/>
  <c r="C481" i="4"/>
  <c r="F481" i="4"/>
  <c r="G481" i="4"/>
  <c r="C482" i="4"/>
  <c r="F482" i="4"/>
  <c r="G482" i="4"/>
  <c r="C483" i="4"/>
  <c r="F483" i="4"/>
  <c r="G483" i="4"/>
  <c r="C484" i="4"/>
  <c r="F484" i="4"/>
  <c r="G484" i="4"/>
  <c r="C485" i="4"/>
  <c r="F485" i="4"/>
  <c r="G485" i="4"/>
  <c r="C486" i="4"/>
  <c r="F486" i="4"/>
  <c r="G486" i="4"/>
  <c r="C487" i="4"/>
  <c r="F487" i="4"/>
  <c r="G487" i="4"/>
  <c r="C488" i="4"/>
  <c r="F488" i="4"/>
  <c r="G488" i="4"/>
  <c r="C489" i="4"/>
  <c r="F489" i="4"/>
  <c r="G489" i="4"/>
  <c r="C110" i="8"/>
  <c r="D110" i="8"/>
  <c r="C111" i="8"/>
  <c r="D111" i="8"/>
  <c r="C112" i="8"/>
  <c r="D112" i="8"/>
  <c r="C113" i="8"/>
  <c r="D113" i="8"/>
  <c r="C114" i="8"/>
  <c r="D114" i="8"/>
  <c r="C115" i="8"/>
  <c r="D115" i="8"/>
  <c r="C116" i="8"/>
  <c r="D116" i="8"/>
  <c r="C490" i="4"/>
  <c r="F490" i="4"/>
  <c r="G490" i="4"/>
  <c r="C491" i="4"/>
  <c r="F491" i="4"/>
  <c r="G491" i="4"/>
  <c r="C492" i="4"/>
  <c r="F492" i="4"/>
  <c r="G492" i="4"/>
  <c r="C493" i="4"/>
  <c r="F493" i="4"/>
  <c r="G493" i="4"/>
  <c r="C494" i="4"/>
  <c r="F494" i="4"/>
  <c r="G494" i="4"/>
  <c r="C117" i="8"/>
  <c r="D117" i="8"/>
  <c r="J5" i="2"/>
  <c r="J6" i="2"/>
  <c r="J7" i="2"/>
  <c r="J8" i="2"/>
  <c r="J9" i="2"/>
  <c r="J10" i="2"/>
  <c r="J11" i="2"/>
  <c r="J15" i="2"/>
  <c r="J17" i="2"/>
  <c r="J18" i="2"/>
  <c r="J19" i="2"/>
  <c r="J20" i="2"/>
  <c r="J21" i="2"/>
  <c r="J24" i="2"/>
  <c r="J25" i="2"/>
  <c r="J27" i="2"/>
  <c r="J28" i="2"/>
  <c r="J29" i="2"/>
  <c r="J30" i="2"/>
  <c r="J31" i="2"/>
  <c r="J32" i="2"/>
  <c r="J34" i="2"/>
  <c r="J37" i="2"/>
  <c r="J39" i="2"/>
  <c r="J41" i="2"/>
  <c r="J43" i="2"/>
  <c r="J44" i="2"/>
  <c r="J45" i="2"/>
  <c r="J46" i="2"/>
  <c r="J48" i="2"/>
  <c r="J50" i="2"/>
  <c r="J51" i="2"/>
  <c r="J52" i="2"/>
  <c r="J53" i="2"/>
  <c r="J54" i="2"/>
  <c r="J55" i="2"/>
  <c r="J56" i="2"/>
  <c r="J60" i="2"/>
  <c r="J61" i="2"/>
  <c r="J63" i="2"/>
  <c r="J64" i="2"/>
  <c r="J65" i="2"/>
  <c r="J66" i="2"/>
  <c r="J67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I18" i="2"/>
  <c r="I24" i="2"/>
  <c r="I25" i="2"/>
  <c r="I32" i="2"/>
  <c r="I39" i="2"/>
  <c r="I46" i="2"/>
  <c r="I53" i="2"/>
  <c r="I66" i="2"/>
  <c r="I67" i="2"/>
  <c r="I71" i="2"/>
  <c r="I72" i="2"/>
  <c r="I73" i="2"/>
  <c r="I74" i="2"/>
  <c r="I75" i="2"/>
  <c r="I76" i="2"/>
  <c r="I77" i="2"/>
  <c r="I78" i="2"/>
  <c r="I79" i="2"/>
  <c r="I80" i="2"/>
  <c r="H80" i="2" s="1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E18" i="2"/>
  <c r="E24" i="2"/>
  <c r="E25" i="2"/>
  <c r="E32" i="2"/>
  <c r="E39" i="2"/>
  <c r="E46" i="2"/>
  <c r="E53" i="2"/>
  <c r="E66" i="2"/>
  <c r="E67" i="2"/>
  <c r="E71" i="2"/>
  <c r="H71" i="2" s="1"/>
  <c r="E72" i="2"/>
  <c r="H72" i="2" s="1"/>
  <c r="E73" i="2"/>
  <c r="H73" i="2" s="1"/>
  <c r="E74" i="2"/>
  <c r="E75" i="2"/>
  <c r="H75" i="2" s="1"/>
  <c r="E76" i="2"/>
  <c r="H76" i="2" s="1"/>
  <c r="E77" i="2"/>
  <c r="H77" i="2" s="1"/>
  <c r="E78" i="2"/>
  <c r="H78" i="2" s="1"/>
  <c r="E79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C118" i="8"/>
  <c r="D118" i="8"/>
  <c r="C119" i="8"/>
  <c r="D119" i="8"/>
  <c r="C120" i="8"/>
  <c r="D120" i="8"/>
  <c r="C121" i="8"/>
  <c r="D121" i="8"/>
  <c r="C122" i="8"/>
  <c r="D122" i="8"/>
  <c r="C495" i="4"/>
  <c r="F495" i="4"/>
  <c r="G495" i="4"/>
  <c r="J70" i="2" s="1"/>
  <c r="H329" i="7"/>
  <c r="C123" i="8"/>
  <c r="D123" i="8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J68" i="2" s="1"/>
  <c r="F502" i="4"/>
  <c r="G502" i="4" s="1"/>
  <c r="J62" i="2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J26" i="2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F544" i="4"/>
  <c r="G544" i="4" s="1"/>
  <c r="F545" i="4"/>
  <c r="G545" i="4" s="1"/>
  <c r="F546" i="4"/>
  <c r="G546" i="4" s="1"/>
  <c r="F547" i="4"/>
  <c r="G547" i="4" s="1"/>
  <c r="F548" i="4"/>
  <c r="G548" i="4" s="1"/>
  <c r="F549" i="4"/>
  <c r="G549" i="4" s="1"/>
  <c r="F550" i="4"/>
  <c r="G550" i="4" s="1"/>
  <c r="F551" i="4"/>
  <c r="G551" i="4" s="1"/>
  <c r="F552" i="4"/>
  <c r="G552" i="4" s="1"/>
  <c r="F553" i="4"/>
  <c r="G553" i="4" s="1"/>
  <c r="F554" i="4"/>
  <c r="G554" i="4" s="1"/>
  <c r="F555" i="4"/>
  <c r="G555" i="4" s="1"/>
  <c r="J47" i="2" s="1"/>
  <c r="F556" i="4"/>
  <c r="G556" i="4" s="1"/>
  <c r="F557" i="4"/>
  <c r="G557" i="4" s="1"/>
  <c r="F558" i="4"/>
  <c r="G558" i="4" s="1"/>
  <c r="F559" i="4"/>
  <c r="G559" i="4" s="1"/>
  <c r="F560" i="4"/>
  <c r="G560" i="4" s="1"/>
  <c r="F561" i="4"/>
  <c r="G561" i="4" s="1"/>
  <c r="F562" i="4"/>
  <c r="G562" i="4" s="1"/>
  <c r="F563" i="4"/>
  <c r="G563" i="4" s="1"/>
  <c r="F564" i="4"/>
  <c r="G564" i="4" s="1"/>
  <c r="F565" i="4"/>
  <c r="G565" i="4" s="1"/>
  <c r="F566" i="4"/>
  <c r="G566" i="4" s="1"/>
  <c r="F567" i="4"/>
  <c r="G567" i="4" s="1"/>
  <c r="F568" i="4"/>
  <c r="G568" i="4" s="1"/>
  <c r="F569" i="4"/>
  <c r="G569" i="4" s="1"/>
  <c r="F570" i="4"/>
  <c r="G570" i="4" s="1"/>
  <c r="F571" i="4"/>
  <c r="G571" i="4" s="1"/>
  <c r="F572" i="4"/>
  <c r="G572" i="4" s="1"/>
  <c r="F573" i="4"/>
  <c r="G573" i="4" s="1"/>
  <c r="F574" i="4"/>
  <c r="G574" i="4" s="1"/>
  <c r="F575" i="4"/>
  <c r="G575" i="4" s="1"/>
  <c r="F576" i="4"/>
  <c r="G576" i="4" s="1"/>
  <c r="F577" i="4"/>
  <c r="G577" i="4" s="1"/>
  <c r="F578" i="4"/>
  <c r="G578" i="4" s="1"/>
  <c r="F579" i="4"/>
  <c r="G579" i="4" s="1"/>
  <c r="F580" i="4"/>
  <c r="G580" i="4" s="1"/>
  <c r="F581" i="4"/>
  <c r="G581" i="4" s="1"/>
  <c r="F582" i="4"/>
  <c r="G582" i="4" s="1"/>
  <c r="F583" i="4"/>
  <c r="G583" i="4" s="1"/>
  <c r="F584" i="4"/>
  <c r="G584" i="4" s="1"/>
  <c r="F585" i="4"/>
  <c r="G585" i="4" s="1"/>
  <c r="F586" i="4"/>
  <c r="G586" i="4" s="1"/>
  <c r="F587" i="4"/>
  <c r="G587" i="4" s="1"/>
  <c r="F588" i="4"/>
  <c r="G588" i="4" s="1"/>
  <c r="F589" i="4"/>
  <c r="G589" i="4" s="1"/>
  <c r="F590" i="4"/>
  <c r="G590" i="4" s="1"/>
  <c r="F591" i="4"/>
  <c r="G591" i="4" s="1"/>
  <c r="F592" i="4"/>
  <c r="G592" i="4" s="1"/>
  <c r="F593" i="4"/>
  <c r="G593" i="4" s="1"/>
  <c r="F594" i="4"/>
  <c r="G594" i="4" s="1"/>
  <c r="F595" i="4"/>
  <c r="G595" i="4" s="1"/>
  <c r="F596" i="4"/>
  <c r="G596" i="4" s="1"/>
  <c r="F597" i="4"/>
  <c r="G597" i="4" s="1"/>
  <c r="F598" i="4"/>
  <c r="G598" i="4" s="1"/>
  <c r="F599" i="4"/>
  <c r="G599" i="4" s="1"/>
  <c r="J35" i="2" s="1"/>
  <c r="F600" i="4"/>
  <c r="G600" i="4" s="1"/>
  <c r="F601" i="4"/>
  <c r="G601" i="4" s="1"/>
  <c r="F602" i="4"/>
  <c r="G602" i="4" s="1"/>
  <c r="F603" i="4"/>
  <c r="G603" i="4" s="1"/>
  <c r="F604" i="4"/>
  <c r="G604" i="4" s="1"/>
  <c r="F605" i="4"/>
  <c r="G605" i="4" s="1"/>
  <c r="F606" i="4"/>
  <c r="G606" i="4" s="1"/>
  <c r="F607" i="4"/>
  <c r="G607" i="4" s="1"/>
  <c r="F608" i="4"/>
  <c r="G608" i="4" s="1"/>
  <c r="F609" i="4"/>
  <c r="G609" i="4" s="1"/>
  <c r="F610" i="4"/>
  <c r="G610" i="4" s="1"/>
  <c r="F611" i="4"/>
  <c r="G611" i="4" s="1"/>
  <c r="F612" i="4"/>
  <c r="G612" i="4" s="1"/>
  <c r="F613" i="4"/>
  <c r="G613" i="4" s="1"/>
  <c r="F614" i="4"/>
  <c r="G614" i="4" s="1"/>
  <c r="F615" i="4"/>
  <c r="G615" i="4" s="1"/>
  <c r="F616" i="4"/>
  <c r="G616" i="4" s="1"/>
  <c r="F617" i="4"/>
  <c r="G617" i="4" s="1"/>
  <c r="F618" i="4"/>
  <c r="G618" i="4" s="1"/>
  <c r="F619" i="4"/>
  <c r="G619" i="4" s="1"/>
  <c r="F620" i="4"/>
  <c r="G620" i="4" s="1"/>
  <c r="F621" i="4"/>
  <c r="G621" i="4" s="1"/>
  <c r="J22" i="2" s="1"/>
  <c r="F622" i="4"/>
  <c r="G622" i="4" s="1"/>
  <c r="F623" i="4"/>
  <c r="G623" i="4" s="1"/>
  <c r="F624" i="4"/>
  <c r="G624" i="4" s="1"/>
  <c r="F625" i="4"/>
  <c r="G625" i="4" s="1"/>
  <c r="F626" i="4"/>
  <c r="G626" i="4" s="1"/>
  <c r="F627" i="4"/>
  <c r="G627" i="4" s="1"/>
  <c r="F628" i="4"/>
  <c r="G628" i="4" s="1"/>
  <c r="F629" i="4"/>
  <c r="G629" i="4" s="1"/>
  <c r="F630" i="4"/>
  <c r="G630" i="4" s="1"/>
  <c r="F631" i="4"/>
  <c r="G631" i="4" s="1"/>
  <c r="F632" i="4"/>
  <c r="G632" i="4" s="1"/>
  <c r="F633" i="4"/>
  <c r="G633" i="4" s="1"/>
  <c r="F634" i="4"/>
  <c r="G634" i="4" s="1"/>
  <c r="F635" i="4"/>
  <c r="G635" i="4" s="1"/>
  <c r="F636" i="4"/>
  <c r="G636" i="4" s="1"/>
  <c r="F637" i="4"/>
  <c r="G637" i="4" s="1"/>
  <c r="F638" i="4"/>
  <c r="G638" i="4" s="1"/>
  <c r="F639" i="4"/>
  <c r="G639" i="4" s="1"/>
  <c r="F640" i="4"/>
  <c r="G640" i="4" s="1"/>
  <c r="F641" i="4"/>
  <c r="G641" i="4" s="1"/>
  <c r="F642" i="4"/>
  <c r="G642" i="4" s="1"/>
  <c r="F643" i="4"/>
  <c r="G643" i="4" s="1"/>
  <c r="F644" i="4"/>
  <c r="G644" i="4" s="1"/>
  <c r="F645" i="4"/>
  <c r="G645" i="4" s="1"/>
  <c r="F646" i="4"/>
  <c r="G646" i="4" s="1"/>
  <c r="F647" i="4"/>
  <c r="G647" i="4" s="1"/>
  <c r="F648" i="4"/>
  <c r="G648" i="4" s="1"/>
  <c r="F649" i="4"/>
  <c r="G649" i="4" s="1"/>
  <c r="F650" i="4"/>
  <c r="G650" i="4" s="1"/>
  <c r="F651" i="4"/>
  <c r="G651" i="4" s="1"/>
  <c r="F652" i="4"/>
  <c r="G652" i="4" s="1"/>
  <c r="F653" i="4"/>
  <c r="G653" i="4" s="1"/>
  <c r="F654" i="4"/>
  <c r="G654" i="4" s="1"/>
  <c r="F655" i="4"/>
  <c r="G655" i="4" s="1"/>
  <c r="F656" i="4"/>
  <c r="G656" i="4" s="1"/>
  <c r="F657" i="4"/>
  <c r="G657" i="4" s="1"/>
  <c r="F658" i="4"/>
  <c r="G658" i="4" s="1"/>
  <c r="F659" i="4"/>
  <c r="G659" i="4" s="1"/>
  <c r="F660" i="4"/>
  <c r="G660" i="4" s="1"/>
  <c r="F661" i="4"/>
  <c r="G661" i="4" s="1"/>
  <c r="F662" i="4"/>
  <c r="G662" i="4" s="1"/>
  <c r="F663" i="4"/>
  <c r="G663" i="4" s="1"/>
  <c r="F664" i="4"/>
  <c r="G664" i="4" s="1"/>
  <c r="F665" i="4"/>
  <c r="G665" i="4" s="1"/>
  <c r="F666" i="4"/>
  <c r="G666" i="4" s="1"/>
  <c r="F667" i="4"/>
  <c r="G667" i="4" s="1"/>
  <c r="F668" i="4"/>
  <c r="G668" i="4" s="1"/>
  <c r="F669" i="4"/>
  <c r="G669" i="4" s="1"/>
  <c r="F670" i="4"/>
  <c r="G670" i="4" s="1"/>
  <c r="F671" i="4"/>
  <c r="G671" i="4" s="1"/>
  <c r="F672" i="4"/>
  <c r="G672" i="4" s="1"/>
  <c r="F673" i="4"/>
  <c r="G673" i="4" s="1"/>
  <c r="F674" i="4"/>
  <c r="G674" i="4" s="1"/>
  <c r="F675" i="4"/>
  <c r="G675" i="4" s="1"/>
  <c r="F676" i="4"/>
  <c r="G676" i="4" s="1"/>
  <c r="F677" i="4"/>
  <c r="G677" i="4" s="1"/>
  <c r="F678" i="4"/>
  <c r="G678" i="4" s="1"/>
  <c r="F679" i="4"/>
  <c r="G679" i="4" s="1"/>
  <c r="F680" i="4"/>
  <c r="G680" i="4" s="1"/>
  <c r="F681" i="4"/>
  <c r="G681" i="4" s="1"/>
  <c r="F682" i="4"/>
  <c r="G682" i="4" s="1"/>
  <c r="F683" i="4"/>
  <c r="G683" i="4" s="1"/>
  <c r="F684" i="4"/>
  <c r="G684" i="4" s="1"/>
  <c r="F685" i="4"/>
  <c r="G685" i="4" s="1"/>
  <c r="F686" i="4"/>
  <c r="G686" i="4" s="1"/>
  <c r="F687" i="4"/>
  <c r="G687" i="4" s="1"/>
  <c r="F688" i="4"/>
  <c r="G688" i="4" s="1"/>
  <c r="F689" i="4"/>
  <c r="G689" i="4" s="1"/>
  <c r="F690" i="4"/>
  <c r="G690" i="4" s="1"/>
  <c r="F691" i="4"/>
  <c r="G691" i="4" s="1"/>
  <c r="F692" i="4"/>
  <c r="G692" i="4" s="1"/>
  <c r="F693" i="4"/>
  <c r="G693" i="4" s="1"/>
  <c r="F694" i="4"/>
  <c r="G694" i="4" s="1"/>
  <c r="F695" i="4"/>
  <c r="G695" i="4" s="1"/>
  <c r="F696" i="4"/>
  <c r="G696" i="4" s="1"/>
  <c r="F697" i="4"/>
  <c r="G697" i="4" s="1"/>
  <c r="F698" i="4"/>
  <c r="G698" i="4" s="1"/>
  <c r="F699" i="4"/>
  <c r="G699" i="4" s="1"/>
  <c r="F700" i="4"/>
  <c r="G700" i="4" s="1"/>
  <c r="F701" i="4"/>
  <c r="G701" i="4" s="1"/>
  <c r="F702" i="4"/>
  <c r="G702" i="4" s="1"/>
  <c r="F703" i="4"/>
  <c r="G703" i="4" s="1"/>
  <c r="F704" i="4"/>
  <c r="G704" i="4" s="1"/>
  <c r="F705" i="4"/>
  <c r="G705" i="4" s="1"/>
  <c r="F706" i="4"/>
  <c r="G706" i="4" s="1"/>
  <c r="F707" i="4"/>
  <c r="G707" i="4" s="1"/>
  <c r="F708" i="4"/>
  <c r="G708" i="4" s="1"/>
  <c r="F709" i="4"/>
  <c r="G709" i="4" s="1"/>
  <c r="F710" i="4"/>
  <c r="G710" i="4" s="1"/>
  <c r="F711" i="4"/>
  <c r="G711" i="4" s="1"/>
  <c r="F712" i="4"/>
  <c r="G712" i="4" s="1"/>
  <c r="F713" i="4"/>
  <c r="G713" i="4" s="1"/>
  <c r="F714" i="4"/>
  <c r="G714" i="4" s="1"/>
  <c r="F715" i="4"/>
  <c r="G715" i="4" s="1"/>
  <c r="F716" i="4"/>
  <c r="G716" i="4" s="1"/>
  <c r="F717" i="4"/>
  <c r="G717" i="4" s="1"/>
  <c r="F718" i="4"/>
  <c r="G718" i="4" s="1"/>
  <c r="F719" i="4"/>
  <c r="G719" i="4" s="1"/>
  <c r="F720" i="4"/>
  <c r="G720" i="4" s="1"/>
  <c r="F721" i="4"/>
  <c r="G721" i="4" s="1"/>
  <c r="F722" i="4"/>
  <c r="G722" i="4" s="1"/>
  <c r="F723" i="4"/>
  <c r="G723" i="4" s="1"/>
  <c r="F724" i="4"/>
  <c r="G724" i="4" s="1"/>
  <c r="F725" i="4"/>
  <c r="G725" i="4" s="1"/>
  <c r="F726" i="4"/>
  <c r="G726" i="4" s="1"/>
  <c r="F727" i="4"/>
  <c r="G727" i="4" s="1"/>
  <c r="F728" i="4"/>
  <c r="G728" i="4" s="1"/>
  <c r="F729" i="4"/>
  <c r="G729" i="4" s="1"/>
  <c r="F730" i="4"/>
  <c r="G730" i="4" s="1"/>
  <c r="F731" i="4"/>
  <c r="G731" i="4" s="1"/>
  <c r="F732" i="4"/>
  <c r="G732" i="4" s="1"/>
  <c r="F733" i="4"/>
  <c r="G733" i="4" s="1"/>
  <c r="F734" i="4"/>
  <c r="G734" i="4" s="1"/>
  <c r="F735" i="4"/>
  <c r="G735" i="4" s="1"/>
  <c r="F736" i="4"/>
  <c r="G736" i="4" s="1"/>
  <c r="F737" i="4"/>
  <c r="G737" i="4" s="1"/>
  <c r="F738" i="4"/>
  <c r="G738" i="4" s="1"/>
  <c r="F739" i="4"/>
  <c r="G739" i="4" s="1"/>
  <c r="F740" i="4"/>
  <c r="G740" i="4" s="1"/>
  <c r="F741" i="4"/>
  <c r="G741" i="4" s="1"/>
  <c r="F742" i="4"/>
  <c r="G742" i="4" s="1"/>
  <c r="F743" i="4"/>
  <c r="G743" i="4" s="1"/>
  <c r="F744" i="4"/>
  <c r="G744" i="4" s="1"/>
  <c r="F745" i="4"/>
  <c r="G745" i="4" s="1"/>
  <c r="F746" i="4"/>
  <c r="G746" i="4" s="1"/>
  <c r="F747" i="4"/>
  <c r="G747" i="4" s="1"/>
  <c r="F748" i="4"/>
  <c r="G748" i="4" s="1"/>
  <c r="F749" i="4"/>
  <c r="G749" i="4" s="1"/>
  <c r="F750" i="4"/>
  <c r="G750" i="4" s="1"/>
  <c r="F751" i="4"/>
  <c r="G751" i="4" s="1"/>
  <c r="F752" i="4"/>
  <c r="G752" i="4" s="1"/>
  <c r="F753" i="4"/>
  <c r="G753" i="4" s="1"/>
  <c r="F754" i="4"/>
  <c r="G754" i="4" s="1"/>
  <c r="F755" i="4"/>
  <c r="G755" i="4" s="1"/>
  <c r="F756" i="4"/>
  <c r="G756" i="4" s="1"/>
  <c r="F757" i="4"/>
  <c r="G757" i="4" s="1"/>
  <c r="F758" i="4"/>
  <c r="G758" i="4" s="1"/>
  <c r="F759" i="4"/>
  <c r="G759" i="4" s="1"/>
  <c r="F760" i="4"/>
  <c r="G760" i="4" s="1"/>
  <c r="F761" i="4"/>
  <c r="G761" i="4" s="1"/>
  <c r="F762" i="4"/>
  <c r="G762" i="4" s="1"/>
  <c r="F763" i="4"/>
  <c r="G763" i="4" s="1"/>
  <c r="F764" i="4"/>
  <c r="G764" i="4" s="1"/>
  <c r="F765" i="4"/>
  <c r="G765" i="4" s="1"/>
  <c r="F766" i="4"/>
  <c r="G766" i="4" s="1"/>
  <c r="F767" i="4"/>
  <c r="G767" i="4" s="1"/>
  <c r="F768" i="4"/>
  <c r="G768" i="4" s="1"/>
  <c r="F769" i="4"/>
  <c r="G769" i="4" s="1"/>
  <c r="F770" i="4"/>
  <c r="G770" i="4" s="1"/>
  <c r="F771" i="4"/>
  <c r="G771" i="4" s="1"/>
  <c r="F772" i="4"/>
  <c r="G772" i="4" s="1"/>
  <c r="F773" i="4"/>
  <c r="G773" i="4" s="1"/>
  <c r="F774" i="4"/>
  <c r="G774" i="4" s="1"/>
  <c r="F775" i="4"/>
  <c r="G775" i="4" s="1"/>
  <c r="F776" i="4"/>
  <c r="G776" i="4" s="1"/>
  <c r="F777" i="4"/>
  <c r="G777" i="4" s="1"/>
  <c r="F778" i="4"/>
  <c r="G778" i="4" s="1"/>
  <c r="F779" i="4"/>
  <c r="G779" i="4" s="1"/>
  <c r="F780" i="4"/>
  <c r="G780" i="4" s="1"/>
  <c r="F781" i="4"/>
  <c r="G781" i="4" s="1"/>
  <c r="F782" i="4"/>
  <c r="G782" i="4" s="1"/>
  <c r="F783" i="4"/>
  <c r="G783" i="4" s="1"/>
  <c r="F784" i="4"/>
  <c r="G784" i="4" s="1"/>
  <c r="F785" i="4"/>
  <c r="G785" i="4" s="1"/>
  <c r="F786" i="4"/>
  <c r="G786" i="4" s="1"/>
  <c r="F787" i="4"/>
  <c r="G787" i="4" s="1"/>
  <c r="F788" i="4"/>
  <c r="G788" i="4" s="1"/>
  <c r="F789" i="4"/>
  <c r="G789" i="4" s="1"/>
  <c r="F790" i="4"/>
  <c r="G790" i="4" s="1"/>
  <c r="F791" i="4"/>
  <c r="G791" i="4" s="1"/>
  <c r="F792" i="4"/>
  <c r="G792" i="4" s="1"/>
  <c r="F793" i="4"/>
  <c r="G793" i="4" s="1"/>
  <c r="F794" i="4"/>
  <c r="G794" i="4" s="1"/>
  <c r="F795" i="4"/>
  <c r="G795" i="4" s="1"/>
  <c r="F796" i="4"/>
  <c r="G796" i="4" s="1"/>
  <c r="F797" i="4"/>
  <c r="G797" i="4" s="1"/>
  <c r="F798" i="4"/>
  <c r="G798" i="4" s="1"/>
  <c r="F799" i="4"/>
  <c r="G799" i="4" s="1"/>
  <c r="F800" i="4"/>
  <c r="G800" i="4" s="1"/>
  <c r="F801" i="4"/>
  <c r="G801" i="4" s="1"/>
  <c r="F802" i="4"/>
  <c r="G802" i="4" s="1"/>
  <c r="F803" i="4"/>
  <c r="G803" i="4" s="1"/>
  <c r="F804" i="4"/>
  <c r="G804" i="4" s="1"/>
  <c r="F805" i="4"/>
  <c r="G805" i="4" s="1"/>
  <c r="F806" i="4"/>
  <c r="G806" i="4" s="1"/>
  <c r="F807" i="4"/>
  <c r="G807" i="4" s="1"/>
  <c r="F808" i="4"/>
  <c r="G808" i="4" s="1"/>
  <c r="F809" i="4"/>
  <c r="G809" i="4" s="1"/>
  <c r="F810" i="4"/>
  <c r="G810" i="4" s="1"/>
  <c r="F811" i="4"/>
  <c r="G811" i="4" s="1"/>
  <c r="F812" i="4"/>
  <c r="G812" i="4" s="1"/>
  <c r="F813" i="4"/>
  <c r="G813" i="4" s="1"/>
  <c r="F814" i="4"/>
  <c r="G814" i="4" s="1"/>
  <c r="F815" i="4"/>
  <c r="G815" i="4" s="1"/>
  <c r="F816" i="4"/>
  <c r="G816" i="4" s="1"/>
  <c r="F817" i="4"/>
  <c r="G817" i="4" s="1"/>
  <c r="F818" i="4"/>
  <c r="G818" i="4" s="1"/>
  <c r="F819" i="4"/>
  <c r="G819" i="4" s="1"/>
  <c r="F820" i="4"/>
  <c r="G820" i="4" s="1"/>
  <c r="F821" i="4"/>
  <c r="G821" i="4" s="1"/>
  <c r="F822" i="4"/>
  <c r="G822" i="4" s="1"/>
  <c r="F823" i="4"/>
  <c r="G823" i="4" s="1"/>
  <c r="F824" i="4"/>
  <c r="G824" i="4" s="1"/>
  <c r="F825" i="4"/>
  <c r="G825" i="4" s="1"/>
  <c r="F826" i="4"/>
  <c r="G826" i="4" s="1"/>
  <c r="F827" i="4"/>
  <c r="G827" i="4" s="1"/>
  <c r="F828" i="4"/>
  <c r="G828" i="4" s="1"/>
  <c r="F829" i="4"/>
  <c r="G829" i="4" s="1"/>
  <c r="F830" i="4"/>
  <c r="G830" i="4" s="1"/>
  <c r="F831" i="4"/>
  <c r="G831" i="4" s="1"/>
  <c r="F832" i="4"/>
  <c r="G832" i="4" s="1"/>
  <c r="F833" i="4"/>
  <c r="G833" i="4" s="1"/>
  <c r="F834" i="4"/>
  <c r="G834" i="4" s="1"/>
  <c r="F835" i="4"/>
  <c r="G835" i="4" s="1"/>
  <c r="F836" i="4"/>
  <c r="G836" i="4" s="1"/>
  <c r="F837" i="4"/>
  <c r="G837" i="4" s="1"/>
  <c r="F838" i="4"/>
  <c r="G838" i="4" s="1"/>
  <c r="F839" i="4"/>
  <c r="G839" i="4" s="1"/>
  <c r="F840" i="4"/>
  <c r="G840" i="4" s="1"/>
  <c r="F841" i="4"/>
  <c r="G841" i="4" s="1"/>
  <c r="F842" i="4"/>
  <c r="G842" i="4" s="1"/>
  <c r="F843" i="4"/>
  <c r="G843" i="4" s="1"/>
  <c r="F844" i="4"/>
  <c r="G844" i="4" s="1"/>
  <c r="F845" i="4"/>
  <c r="G845" i="4" s="1"/>
  <c r="F846" i="4"/>
  <c r="G846" i="4" s="1"/>
  <c r="F847" i="4"/>
  <c r="G847" i="4" s="1"/>
  <c r="F848" i="4"/>
  <c r="G848" i="4" s="1"/>
  <c r="F849" i="4"/>
  <c r="G849" i="4" s="1"/>
  <c r="F850" i="4"/>
  <c r="G850" i="4" s="1"/>
  <c r="F851" i="4"/>
  <c r="G851" i="4" s="1"/>
  <c r="F852" i="4"/>
  <c r="G852" i="4" s="1"/>
  <c r="F853" i="4"/>
  <c r="G853" i="4" s="1"/>
  <c r="F854" i="4"/>
  <c r="G854" i="4" s="1"/>
  <c r="F855" i="4"/>
  <c r="G855" i="4" s="1"/>
  <c r="F856" i="4"/>
  <c r="G856" i="4" s="1"/>
  <c r="F857" i="4"/>
  <c r="G857" i="4" s="1"/>
  <c r="F858" i="4"/>
  <c r="G858" i="4" s="1"/>
  <c r="F859" i="4"/>
  <c r="G859" i="4" s="1"/>
  <c r="F860" i="4"/>
  <c r="G860" i="4" s="1"/>
  <c r="F861" i="4"/>
  <c r="G861" i="4" s="1"/>
  <c r="F862" i="4"/>
  <c r="G862" i="4" s="1"/>
  <c r="F863" i="4"/>
  <c r="G863" i="4" s="1"/>
  <c r="F864" i="4"/>
  <c r="G864" i="4" s="1"/>
  <c r="F865" i="4"/>
  <c r="G865" i="4" s="1"/>
  <c r="F866" i="4"/>
  <c r="G866" i="4" s="1"/>
  <c r="F867" i="4"/>
  <c r="G867" i="4" s="1"/>
  <c r="F868" i="4"/>
  <c r="G868" i="4" s="1"/>
  <c r="F869" i="4"/>
  <c r="G869" i="4" s="1"/>
  <c r="F870" i="4"/>
  <c r="G870" i="4" s="1"/>
  <c r="F871" i="4"/>
  <c r="G871" i="4" s="1"/>
  <c r="F872" i="4"/>
  <c r="G872" i="4" s="1"/>
  <c r="F873" i="4"/>
  <c r="G873" i="4" s="1"/>
  <c r="F874" i="4"/>
  <c r="G874" i="4" s="1"/>
  <c r="F875" i="4"/>
  <c r="G875" i="4" s="1"/>
  <c r="F876" i="4"/>
  <c r="G876" i="4" s="1"/>
  <c r="F877" i="4"/>
  <c r="G877" i="4" s="1"/>
  <c r="F878" i="4"/>
  <c r="G878" i="4" s="1"/>
  <c r="F879" i="4"/>
  <c r="G879" i="4" s="1"/>
  <c r="F880" i="4"/>
  <c r="G880" i="4" s="1"/>
  <c r="F881" i="4"/>
  <c r="G881" i="4" s="1"/>
  <c r="F882" i="4"/>
  <c r="G882" i="4" s="1"/>
  <c r="F883" i="4"/>
  <c r="G883" i="4" s="1"/>
  <c r="F884" i="4"/>
  <c r="G884" i="4" s="1"/>
  <c r="F885" i="4"/>
  <c r="G885" i="4" s="1"/>
  <c r="F886" i="4"/>
  <c r="G886" i="4" s="1"/>
  <c r="F887" i="4"/>
  <c r="G887" i="4" s="1"/>
  <c r="F888" i="4"/>
  <c r="G888" i="4" s="1"/>
  <c r="F889" i="4"/>
  <c r="G889" i="4" s="1"/>
  <c r="F890" i="4"/>
  <c r="G890" i="4" s="1"/>
  <c r="F891" i="4"/>
  <c r="G891" i="4" s="1"/>
  <c r="F892" i="4"/>
  <c r="G892" i="4" s="1"/>
  <c r="F893" i="4"/>
  <c r="G893" i="4" s="1"/>
  <c r="F894" i="4"/>
  <c r="G894" i="4" s="1"/>
  <c r="F895" i="4"/>
  <c r="G895" i="4" s="1"/>
  <c r="F896" i="4"/>
  <c r="G896" i="4" s="1"/>
  <c r="F897" i="4"/>
  <c r="G897" i="4" s="1"/>
  <c r="F898" i="4"/>
  <c r="G898" i="4" s="1"/>
  <c r="F899" i="4"/>
  <c r="G899" i="4" s="1"/>
  <c r="F900" i="4"/>
  <c r="G900" i="4" s="1"/>
  <c r="F901" i="4"/>
  <c r="G901" i="4" s="1"/>
  <c r="F902" i="4"/>
  <c r="G902" i="4" s="1"/>
  <c r="F903" i="4"/>
  <c r="G903" i="4" s="1"/>
  <c r="F904" i="4"/>
  <c r="G904" i="4" s="1"/>
  <c r="F905" i="4"/>
  <c r="G905" i="4" s="1"/>
  <c r="F906" i="4"/>
  <c r="G906" i="4" s="1"/>
  <c r="F907" i="4"/>
  <c r="G907" i="4" s="1"/>
  <c r="F908" i="4"/>
  <c r="G908" i="4" s="1"/>
  <c r="F909" i="4"/>
  <c r="G909" i="4" s="1"/>
  <c r="F910" i="4"/>
  <c r="G910" i="4" s="1"/>
  <c r="F911" i="4"/>
  <c r="G911" i="4" s="1"/>
  <c r="F912" i="4"/>
  <c r="G912" i="4" s="1"/>
  <c r="F913" i="4"/>
  <c r="G913" i="4" s="1"/>
  <c r="F914" i="4"/>
  <c r="G914" i="4" s="1"/>
  <c r="F915" i="4"/>
  <c r="G915" i="4" s="1"/>
  <c r="F916" i="4"/>
  <c r="G916" i="4" s="1"/>
  <c r="F917" i="4"/>
  <c r="G917" i="4" s="1"/>
  <c r="F918" i="4"/>
  <c r="G918" i="4" s="1"/>
  <c r="F919" i="4"/>
  <c r="G919" i="4" s="1"/>
  <c r="F920" i="4"/>
  <c r="G920" i="4" s="1"/>
  <c r="F921" i="4"/>
  <c r="G921" i="4" s="1"/>
  <c r="F922" i="4"/>
  <c r="G922" i="4" s="1"/>
  <c r="F923" i="4"/>
  <c r="G923" i="4" s="1"/>
  <c r="F924" i="4"/>
  <c r="G924" i="4" s="1"/>
  <c r="F925" i="4"/>
  <c r="G925" i="4" s="1"/>
  <c r="F926" i="4"/>
  <c r="G926" i="4" s="1"/>
  <c r="F927" i="4"/>
  <c r="G927" i="4" s="1"/>
  <c r="F928" i="4"/>
  <c r="G928" i="4" s="1"/>
  <c r="F929" i="4"/>
  <c r="G929" i="4" s="1"/>
  <c r="F930" i="4"/>
  <c r="G930" i="4" s="1"/>
  <c r="F931" i="4"/>
  <c r="G931" i="4" s="1"/>
  <c r="F932" i="4"/>
  <c r="G932" i="4" s="1"/>
  <c r="F933" i="4"/>
  <c r="G933" i="4" s="1"/>
  <c r="F934" i="4"/>
  <c r="G934" i="4" s="1"/>
  <c r="F935" i="4"/>
  <c r="G935" i="4" s="1"/>
  <c r="F936" i="4"/>
  <c r="G936" i="4" s="1"/>
  <c r="F937" i="4"/>
  <c r="G937" i="4" s="1"/>
  <c r="F938" i="4"/>
  <c r="G938" i="4" s="1"/>
  <c r="F939" i="4"/>
  <c r="G939" i="4" s="1"/>
  <c r="F940" i="4"/>
  <c r="G940" i="4" s="1"/>
  <c r="F941" i="4"/>
  <c r="G941" i="4" s="1"/>
  <c r="F942" i="4"/>
  <c r="G942" i="4" s="1"/>
  <c r="F943" i="4"/>
  <c r="G943" i="4" s="1"/>
  <c r="F944" i="4"/>
  <c r="G944" i="4" s="1"/>
  <c r="F945" i="4"/>
  <c r="G945" i="4" s="1"/>
  <c r="F946" i="4"/>
  <c r="G946" i="4" s="1"/>
  <c r="F947" i="4"/>
  <c r="G947" i="4" s="1"/>
  <c r="F948" i="4"/>
  <c r="G948" i="4" s="1"/>
  <c r="F949" i="4"/>
  <c r="G949" i="4" s="1"/>
  <c r="F950" i="4"/>
  <c r="G950" i="4" s="1"/>
  <c r="F951" i="4"/>
  <c r="G951" i="4" s="1"/>
  <c r="F952" i="4"/>
  <c r="G952" i="4" s="1"/>
  <c r="F953" i="4"/>
  <c r="G953" i="4" s="1"/>
  <c r="F954" i="4"/>
  <c r="G954" i="4" s="1"/>
  <c r="F955" i="4"/>
  <c r="G955" i="4" s="1"/>
  <c r="F956" i="4"/>
  <c r="G956" i="4" s="1"/>
  <c r="F957" i="4"/>
  <c r="G957" i="4" s="1"/>
  <c r="F958" i="4"/>
  <c r="G958" i="4" s="1"/>
  <c r="F959" i="4"/>
  <c r="G959" i="4" s="1"/>
  <c r="F960" i="4"/>
  <c r="G960" i="4" s="1"/>
  <c r="F961" i="4"/>
  <c r="G961" i="4" s="1"/>
  <c r="F962" i="4"/>
  <c r="G962" i="4" s="1"/>
  <c r="F963" i="4"/>
  <c r="G963" i="4" s="1"/>
  <c r="F964" i="4"/>
  <c r="G964" i="4" s="1"/>
  <c r="F965" i="4"/>
  <c r="G965" i="4" s="1"/>
  <c r="F966" i="4"/>
  <c r="G966" i="4" s="1"/>
  <c r="F967" i="4"/>
  <c r="G967" i="4" s="1"/>
  <c r="F968" i="4"/>
  <c r="G968" i="4" s="1"/>
  <c r="F969" i="4"/>
  <c r="G969" i="4" s="1"/>
  <c r="F970" i="4"/>
  <c r="G970" i="4" s="1"/>
  <c r="F971" i="4"/>
  <c r="G971" i="4" s="1"/>
  <c r="F972" i="4"/>
  <c r="G972" i="4" s="1"/>
  <c r="F973" i="4"/>
  <c r="G973" i="4" s="1"/>
  <c r="F974" i="4"/>
  <c r="G974" i="4" s="1"/>
  <c r="F975" i="4"/>
  <c r="G975" i="4" s="1"/>
  <c r="F976" i="4"/>
  <c r="G976" i="4" s="1"/>
  <c r="F977" i="4"/>
  <c r="G977" i="4" s="1"/>
  <c r="F978" i="4"/>
  <c r="G978" i="4" s="1"/>
  <c r="F979" i="4"/>
  <c r="G979" i="4" s="1"/>
  <c r="F980" i="4"/>
  <c r="G980" i="4" s="1"/>
  <c r="F981" i="4"/>
  <c r="G981" i="4" s="1"/>
  <c r="F982" i="4"/>
  <c r="G982" i="4" s="1"/>
  <c r="F983" i="4"/>
  <c r="G983" i="4" s="1"/>
  <c r="F984" i="4"/>
  <c r="G984" i="4" s="1"/>
  <c r="F985" i="4"/>
  <c r="G985" i="4" s="1"/>
  <c r="F986" i="4"/>
  <c r="G986" i="4" s="1"/>
  <c r="F987" i="4"/>
  <c r="G987" i="4" s="1"/>
  <c r="F988" i="4"/>
  <c r="G988" i="4" s="1"/>
  <c r="F989" i="4"/>
  <c r="G989" i="4" s="1"/>
  <c r="F990" i="4"/>
  <c r="G990" i="4" s="1"/>
  <c r="F991" i="4"/>
  <c r="G991" i="4" s="1"/>
  <c r="F992" i="4"/>
  <c r="G992" i="4" s="1"/>
  <c r="F993" i="4"/>
  <c r="G993" i="4" s="1"/>
  <c r="F994" i="4"/>
  <c r="G994" i="4" s="1"/>
  <c r="F995" i="4"/>
  <c r="G995" i="4" s="1"/>
  <c r="F996" i="4"/>
  <c r="G996" i="4" s="1"/>
  <c r="F997" i="4"/>
  <c r="G997" i="4" s="1"/>
  <c r="F998" i="4"/>
  <c r="G998" i="4" s="1"/>
  <c r="F999" i="4"/>
  <c r="G999" i="4" s="1"/>
  <c r="F1000" i="4"/>
  <c r="G1000" i="4" s="1"/>
  <c r="F1001" i="4"/>
  <c r="G1001" i="4" s="1"/>
  <c r="F1002" i="4"/>
  <c r="G1002" i="4" s="1"/>
  <c r="F1003" i="4"/>
  <c r="G1003" i="4" s="1"/>
  <c r="F1004" i="4"/>
  <c r="G1004" i="4" s="1"/>
  <c r="F1005" i="4"/>
  <c r="G1005" i="4" s="1"/>
  <c r="F1006" i="4"/>
  <c r="G1006" i="4" s="1"/>
  <c r="F1007" i="4"/>
  <c r="G1007" i="4" s="1"/>
  <c r="F1008" i="4"/>
  <c r="G1008" i="4" s="1"/>
  <c r="F1009" i="4"/>
  <c r="G1009" i="4" s="1"/>
  <c r="F1010" i="4"/>
  <c r="G1010" i="4" s="1"/>
  <c r="F1011" i="4"/>
  <c r="G1011" i="4" s="1"/>
  <c r="F1012" i="4"/>
  <c r="G1012" i="4" s="1"/>
  <c r="F1013" i="4"/>
  <c r="G1013" i="4" s="1"/>
  <c r="F1014" i="4"/>
  <c r="G1014" i="4" s="1"/>
  <c r="F1015" i="4"/>
  <c r="G1015" i="4" s="1"/>
  <c r="F1016" i="4"/>
  <c r="G1016" i="4" s="1"/>
  <c r="F1017" i="4"/>
  <c r="G1017" i="4" s="1"/>
  <c r="F1018" i="4"/>
  <c r="G1018" i="4" s="1"/>
  <c r="F1019" i="4"/>
  <c r="G1019" i="4" s="1"/>
  <c r="F1020" i="4"/>
  <c r="G1020" i="4" s="1"/>
  <c r="F1021" i="4"/>
  <c r="G1021" i="4" s="1"/>
  <c r="F1022" i="4"/>
  <c r="G1022" i="4" s="1"/>
  <c r="F1023" i="4"/>
  <c r="G1023" i="4" s="1"/>
  <c r="F1024" i="4"/>
  <c r="G1024" i="4" s="1"/>
  <c r="F1025" i="4"/>
  <c r="G1025" i="4" s="1"/>
  <c r="F1026" i="4"/>
  <c r="G1026" i="4" s="1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330" i="7"/>
  <c r="C124" i="8"/>
  <c r="D124" i="8"/>
  <c r="C125" i="8"/>
  <c r="D125" i="8"/>
  <c r="C126" i="8"/>
  <c r="D126" i="8"/>
  <c r="C127" i="8"/>
  <c r="D127" i="8"/>
  <c r="C128" i="8"/>
  <c r="D128" i="8"/>
  <c r="C129" i="8"/>
  <c r="D129" i="8"/>
  <c r="C130" i="8"/>
  <c r="D130" i="8"/>
  <c r="C131" i="8"/>
  <c r="D131" i="8"/>
  <c r="C132" i="8"/>
  <c r="D132" i="8"/>
  <c r="C133" i="8"/>
  <c r="D133" i="8"/>
  <c r="C134" i="8"/>
  <c r="D134" i="8"/>
  <c r="C135" i="8"/>
  <c r="D135" i="8"/>
  <c r="C136" i="8"/>
  <c r="D136" i="8"/>
  <c r="C137" i="8"/>
  <c r="D137" i="8"/>
  <c r="C138" i="8"/>
  <c r="D138" i="8"/>
  <c r="C139" i="8"/>
  <c r="D139" i="8"/>
  <c r="C140" i="8"/>
  <c r="D140" i="8"/>
  <c r="C141" i="8"/>
  <c r="D141" i="8"/>
  <c r="C142" i="8"/>
  <c r="D142" i="8"/>
  <c r="C143" i="8"/>
  <c r="D143" i="8"/>
  <c r="C144" i="8"/>
  <c r="D144" i="8"/>
  <c r="C145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G368" i="2" l="1"/>
  <c r="H368" i="2"/>
  <c r="G367" i="2"/>
  <c r="H367" i="2"/>
  <c r="G366" i="2"/>
  <c r="H366" i="2"/>
  <c r="G365" i="2"/>
  <c r="H365" i="2"/>
  <c r="G364" i="2"/>
  <c r="H364" i="2"/>
  <c r="G363" i="2"/>
  <c r="H363" i="2"/>
  <c r="G362" i="2"/>
  <c r="H362" i="2"/>
  <c r="G361" i="2"/>
  <c r="H361" i="2"/>
  <c r="G360" i="2"/>
  <c r="H360" i="2"/>
  <c r="G359" i="2"/>
  <c r="H359" i="2"/>
  <c r="G358" i="2"/>
  <c r="H358" i="2"/>
  <c r="G357" i="2"/>
  <c r="H357" i="2"/>
  <c r="G356" i="2"/>
  <c r="H356" i="2"/>
  <c r="G355" i="2"/>
  <c r="H355" i="2"/>
  <c r="G354" i="2"/>
  <c r="H354" i="2"/>
  <c r="G353" i="2"/>
  <c r="H353" i="2"/>
  <c r="G352" i="2"/>
  <c r="H352" i="2"/>
  <c r="G351" i="2"/>
  <c r="H351" i="2"/>
  <c r="G350" i="2"/>
  <c r="H350" i="2"/>
  <c r="G349" i="2"/>
  <c r="H349" i="2"/>
  <c r="G348" i="2"/>
  <c r="H348" i="2"/>
  <c r="G347" i="2"/>
  <c r="H347" i="2"/>
  <c r="G346" i="2"/>
  <c r="H346" i="2"/>
  <c r="G345" i="2"/>
  <c r="H345" i="2"/>
  <c r="G344" i="2"/>
  <c r="H344" i="2"/>
  <c r="G343" i="2"/>
  <c r="H343" i="2"/>
  <c r="G342" i="2"/>
  <c r="H342" i="2"/>
  <c r="G341" i="2"/>
  <c r="H341" i="2"/>
  <c r="G340" i="2"/>
  <c r="H340" i="2"/>
  <c r="G339" i="2"/>
  <c r="H339" i="2"/>
  <c r="G338" i="2"/>
  <c r="H338" i="2"/>
  <c r="G337" i="2"/>
  <c r="H337" i="2"/>
  <c r="G336" i="2"/>
  <c r="H336" i="2"/>
  <c r="G335" i="2"/>
  <c r="H335" i="2"/>
  <c r="G334" i="2"/>
  <c r="H334" i="2"/>
  <c r="G333" i="2"/>
  <c r="H333" i="2"/>
  <c r="G332" i="2"/>
  <c r="H332" i="2"/>
  <c r="G331" i="2"/>
  <c r="H331" i="2"/>
  <c r="G330" i="2"/>
  <c r="H330" i="2"/>
  <c r="G329" i="2"/>
  <c r="H329" i="2"/>
  <c r="G328" i="2"/>
  <c r="H328" i="2"/>
  <c r="G327" i="2"/>
  <c r="H327" i="2"/>
  <c r="G326" i="2"/>
  <c r="H326" i="2"/>
  <c r="G325" i="2"/>
  <c r="H325" i="2"/>
  <c r="G324" i="2"/>
  <c r="H324" i="2"/>
  <c r="G323" i="2"/>
  <c r="H323" i="2"/>
  <c r="G322" i="2"/>
  <c r="H322" i="2"/>
  <c r="G321" i="2"/>
  <c r="H321" i="2"/>
  <c r="G320" i="2"/>
  <c r="H320" i="2"/>
  <c r="G319" i="2"/>
  <c r="H319" i="2"/>
  <c r="G318" i="2"/>
  <c r="H318" i="2"/>
  <c r="G317" i="2"/>
  <c r="H317" i="2"/>
  <c r="G316" i="2"/>
  <c r="H316" i="2"/>
  <c r="G315" i="2"/>
  <c r="H315" i="2"/>
  <c r="G314" i="2"/>
  <c r="H314" i="2"/>
  <c r="G313" i="2"/>
  <c r="H313" i="2"/>
  <c r="G312" i="2"/>
  <c r="H312" i="2"/>
  <c r="G311" i="2"/>
  <c r="H311" i="2"/>
  <c r="G310" i="2"/>
  <c r="H310" i="2"/>
  <c r="G309" i="2"/>
  <c r="H309" i="2"/>
  <c r="G308" i="2"/>
  <c r="H308" i="2"/>
  <c r="G307" i="2"/>
  <c r="H307" i="2"/>
  <c r="G306" i="2"/>
  <c r="H306" i="2"/>
  <c r="G305" i="2"/>
  <c r="H305" i="2"/>
  <c r="G304" i="2"/>
  <c r="H304" i="2"/>
  <c r="G303" i="2"/>
  <c r="H303" i="2"/>
  <c r="G302" i="2"/>
  <c r="H302" i="2"/>
  <c r="G301" i="2"/>
  <c r="H301" i="2"/>
  <c r="G300" i="2"/>
  <c r="H300" i="2"/>
  <c r="G299" i="2"/>
  <c r="H299" i="2"/>
  <c r="G298" i="2"/>
  <c r="H298" i="2"/>
  <c r="G297" i="2"/>
  <c r="H297" i="2"/>
  <c r="G296" i="2"/>
  <c r="H296" i="2"/>
  <c r="G295" i="2"/>
  <c r="H295" i="2"/>
  <c r="G294" i="2"/>
  <c r="H294" i="2"/>
  <c r="G293" i="2"/>
  <c r="H293" i="2"/>
  <c r="G292" i="2"/>
  <c r="H292" i="2"/>
  <c r="G291" i="2"/>
  <c r="H291" i="2"/>
  <c r="G290" i="2"/>
  <c r="H290" i="2"/>
  <c r="G289" i="2"/>
  <c r="H289" i="2"/>
  <c r="G288" i="2"/>
  <c r="H288" i="2"/>
  <c r="G287" i="2"/>
  <c r="H287" i="2"/>
  <c r="G286" i="2"/>
  <c r="H286" i="2"/>
  <c r="G285" i="2"/>
  <c r="H285" i="2"/>
  <c r="G284" i="2"/>
  <c r="H284" i="2"/>
  <c r="G283" i="2"/>
  <c r="H283" i="2"/>
  <c r="G282" i="2"/>
  <c r="H282" i="2"/>
  <c r="G281" i="2"/>
  <c r="H281" i="2"/>
  <c r="G280" i="2"/>
  <c r="H280" i="2"/>
  <c r="G279" i="2"/>
  <c r="H279" i="2"/>
  <c r="G278" i="2"/>
  <c r="H278" i="2"/>
  <c r="G277" i="2"/>
  <c r="H277" i="2"/>
  <c r="G276" i="2"/>
  <c r="H276" i="2"/>
  <c r="G275" i="2"/>
  <c r="H275" i="2"/>
  <c r="G274" i="2"/>
  <c r="H274" i="2"/>
  <c r="G273" i="2"/>
  <c r="H273" i="2"/>
  <c r="G272" i="2"/>
  <c r="H272" i="2"/>
  <c r="G271" i="2"/>
  <c r="H271" i="2"/>
  <c r="G270" i="2"/>
  <c r="H270" i="2"/>
  <c r="G269" i="2"/>
  <c r="H269" i="2"/>
  <c r="G268" i="2"/>
  <c r="H268" i="2"/>
  <c r="G267" i="2"/>
  <c r="H267" i="2"/>
  <c r="G266" i="2"/>
  <c r="H266" i="2"/>
  <c r="G265" i="2"/>
  <c r="H265" i="2"/>
  <c r="G264" i="2"/>
  <c r="H264" i="2"/>
  <c r="G263" i="2"/>
  <c r="H263" i="2"/>
  <c r="G262" i="2"/>
  <c r="H262" i="2"/>
  <c r="G261" i="2"/>
  <c r="H261" i="2"/>
  <c r="G260" i="2"/>
  <c r="H260" i="2"/>
  <c r="G259" i="2"/>
  <c r="H259" i="2"/>
  <c r="G258" i="2"/>
  <c r="H258" i="2"/>
  <c r="G257" i="2"/>
  <c r="H257" i="2"/>
  <c r="G256" i="2"/>
  <c r="H256" i="2"/>
  <c r="G255" i="2"/>
  <c r="H255" i="2"/>
  <c r="G254" i="2"/>
  <c r="H254" i="2"/>
  <c r="G253" i="2"/>
  <c r="H253" i="2"/>
  <c r="G252" i="2"/>
  <c r="H252" i="2"/>
  <c r="G251" i="2"/>
  <c r="H251" i="2"/>
  <c r="G250" i="2"/>
  <c r="H250" i="2"/>
  <c r="G249" i="2"/>
  <c r="H249" i="2"/>
  <c r="G248" i="2"/>
  <c r="H248" i="2"/>
  <c r="G247" i="2"/>
  <c r="H247" i="2"/>
  <c r="G246" i="2"/>
  <c r="H246" i="2"/>
  <c r="G245" i="2"/>
  <c r="H245" i="2"/>
  <c r="G244" i="2"/>
  <c r="H244" i="2"/>
  <c r="G243" i="2"/>
  <c r="H243" i="2"/>
  <c r="G242" i="2"/>
  <c r="H242" i="2"/>
  <c r="G241" i="2"/>
  <c r="H241" i="2"/>
  <c r="G240" i="2"/>
  <c r="H240" i="2"/>
  <c r="G239" i="2"/>
  <c r="H239" i="2"/>
  <c r="G238" i="2"/>
  <c r="H238" i="2"/>
  <c r="G237" i="2"/>
  <c r="H237" i="2"/>
  <c r="G236" i="2"/>
  <c r="H236" i="2"/>
  <c r="G235" i="2"/>
  <c r="H235" i="2"/>
  <c r="G234" i="2"/>
  <c r="H234" i="2"/>
  <c r="G233" i="2"/>
  <c r="H233" i="2"/>
  <c r="G232" i="2"/>
  <c r="H232" i="2"/>
  <c r="G231" i="2"/>
  <c r="H231" i="2"/>
  <c r="G230" i="2"/>
  <c r="H230" i="2"/>
  <c r="G229" i="2"/>
  <c r="H229" i="2"/>
  <c r="G228" i="2"/>
  <c r="H228" i="2"/>
  <c r="G227" i="2"/>
  <c r="H227" i="2"/>
  <c r="G226" i="2"/>
  <c r="H226" i="2"/>
  <c r="G225" i="2"/>
  <c r="H225" i="2"/>
  <c r="G224" i="2"/>
  <c r="H224" i="2"/>
  <c r="G223" i="2"/>
  <c r="H223" i="2"/>
  <c r="G222" i="2"/>
  <c r="H222" i="2"/>
  <c r="G221" i="2"/>
  <c r="H221" i="2"/>
  <c r="G220" i="2"/>
  <c r="H220" i="2"/>
  <c r="G219" i="2"/>
  <c r="H219" i="2"/>
  <c r="G218" i="2"/>
  <c r="H218" i="2"/>
  <c r="G217" i="2"/>
  <c r="H217" i="2"/>
  <c r="G216" i="2"/>
  <c r="H216" i="2"/>
  <c r="G215" i="2"/>
  <c r="H215" i="2"/>
  <c r="G214" i="2"/>
  <c r="H214" i="2"/>
  <c r="G213" i="2"/>
  <c r="H213" i="2"/>
  <c r="G212" i="2"/>
  <c r="H212" i="2"/>
  <c r="G211" i="2"/>
  <c r="H211" i="2"/>
  <c r="G210" i="2"/>
  <c r="H210" i="2"/>
  <c r="G209" i="2"/>
  <c r="H209" i="2"/>
  <c r="G208" i="2"/>
  <c r="H208" i="2"/>
  <c r="G207" i="2"/>
  <c r="H207" i="2"/>
  <c r="G206" i="2"/>
  <c r="H206" i="2"/>
  <c r="G205" i="2"/>
  <c r="H205" i="2"/>
  <c r="G204" i="2"/>
  <c r="H204" i="2"/>
  <c r="G203" i="2"/>
  <c r="H203" i="2"/>
  <c r="G202" i="2"/>
  <c r="H202" i="2"/>
  <c r="G201" i="2"/>
  <c r="H201" i="2"/>
  <c r="G200" i="2"/>
  <c r="H200" i="2"/>
  <c r="G199" i="2"/>
  <c r="H199" i="2"/>
  <c r="G198" i="2"/>
  <c r="H198" i="2"/>
  <c r="G197" i="2"/>
  <c r="H197" i="2"/>
  <c r="G196" i="2"/>
  <c r="H196" i="2"/>
  <c r="G195" i="2"/>
  <c r="H195" i="2"/>
  <c r="G194" i="2"/>
  <c r="H194" i="2"/>
  <c r="G193" i="2"/>
  <c r="H193" i="2"/>
  <c r="G192" i="2"/>
  <c r="H192" i="2"/>
  <c r="G191" i="2"/>
  <c r="H191" i="2"/>
  <c r="G190" i="2"/>
  <c r="H190" i="2"/>
  <c r="G189" i="2"/>
  <c r="H189" i="2"/>
  <c r="G188" i="2"/>
  <c r="H188" i="2"/>
  <c r="G187" i="2"/>
  <c r="H187" i="2"/>
  <c r="G186" i="2"/>
  <c r="H186" i="2"/>
  <c r="G185" i="2"/>
  <c r="H185" i="2"/>
  <c r="G184" i="2"/>
  <c r="H184" i="2"/>
  <c r="G183" i="2"/>
  <c r="H183" i="2"/>
  <c r="G182" i="2"/>
  <c r="H182" i="2"/>
  <c r="G181" i="2"/>
  <c r="H181" i="2"/>
  <c r="G180" i="2"/>
  <c r="H180" i="2"/>
  <c r="G179" i="2"/>
  <c r="H179" i="2"/>
  <c r="G178" i="2"/>
  <c r="H178" i="2"/>
  <c r="G177" i="2"/>
  <c r="H177" i="2"/>
  <c r="G176" i="2"/>
  <c r="H176" i="2"/>
  <c r="G175" i="2"/>
  <c r="H175" i="2"/>
  <c r="G174" i="2"/>
  <c r="H174" i="2"/>
  <c r="G173" i="2"/>
  <c r="H173" i="2"/>
  <c r="G172" i="2"/>
  <c r="H172" i="2"/>
  <c r="G171" i="2"/>
  <c r="H171" i="2"/>
  <c r="G170" i="2"/>
  <c r="H170" i="2"/>
  <c r="G169" i="2"/>
  <c r="H169" i="2"/>
  <c r="G168" i="2"/>
  <c r="H168" i="2"/>
  <c r="G167" i="2"/>
  <c r="H167" i="2"/>
  <c r="G166" i="2"/>
  <c r="H166" i="2"/>
  <c r="G165" i="2"/>
  <c r="H165" i="2"/>
  <c r="G164" i="2"/>
  <c r="H164" i="2"/>
  <c r="G163" i="2"/>
  <c r="H163" i="2"/>
  <c r="G162" i="2"/>
  <c r="H162" i="2"/>
  <c r="G161" i="2"/>
  <c r="H161" i="2"/>
  <c r="G160" i="2"/>
  <c r="H160" i="2"/>
  <c r="G159" i="2"/>
  <c r="H159" i="2"/>
  <c r="G158" i="2"/>
  <c r="H158" i="2"/>
  <c r="G157" i="2"/>
  <c r="H157" i="2"/>
  <c r="G156" i="2"/>
  <c r="H156" i="2"/>
  <c r="G155" i="2"/>
  <c r="H155" i="2"/>
  <c r="G154" i="2"/>
  <c r="H154" i="2"/>
  <c r="G153" i="2"/>
  <c r="H153" i="2"/>
  <c r="G152" i="2"/>
  <c r="H152" i="2"/>
  <c r="G151" i="2"/>
  <c r="H151" i="2"/>
  <c r="G150" i="2"/>
  <c r="H150" i="2"/>
  <c r="G149" i="2"/>
  <c r="H149" i="2"/>
  <c r="G148" i="2"/>
  <c r="H148" i="2"/>
  <c r="G147" i="2"/>
  <c r="H147" i="2"/>
  <c r="G146" i="2"/>
  <c r="H146" i="2"/>
  <c r="G145" i="2"/>
  <c r="H145" i="2"/>
  <c r="G144" i="2"/>
  <c r="H144" i="2"/>
  <c r="G143" i="2"/>
  <c r="H143" i="2"/>
  <c r="G142" i="2"/>
  <c r="H142" i="2"/>
  <c r="G141" i="2"/>
  <c r="H141" i="2"/>
  <c r="G140" i="2"/>
  <c r="H140" i="2"/>
  <c r="G139" i="2"/>
  <c r="H139" i="2"/>
  <c r="G138" i="2"/>
  <c r="H138" i="2"/>
  <c r="G137" i="2"/>
  <c r="H137" i="2"/>
  <c r="G136" i="2"/>
  <c r="H136" i="2"/>
  <c r="G135" i="2"/>
  <c r="H135" i="2"/>
  <c r="G134" i="2"/>
  <c r="H134" i="2"/>
  <c r="G133" i="2"/>
  <c r="H133" i="2"/>
  <c r="G132" i="2"/>
  <c r="H132" i="2"/>
  <c r="G131" i="2"/>
  <c r="H131" i="2"/>
  <c r="G130" i="2"/>
  <c r="H130" i="2"/>
  <c r="G129" i="2"/>
  <c r="H129" i="2"/>
  <c r="G128" i="2"/>
  <c r="H128" i="2"/>
  <c r="G127" i="2"/>
  <c r="H127" i="2"/>
  <c r="G126" i="2"/>
  <c r="H126" i="2"/>
  <c r="G125" i="2"/>
  <c r="H125" i="2"/>
  <c r="G124" i="2"/>
  <c r="H124" i="2"/>
  <c r="G123" i="2"/>
  <c r="H123" i="2"/>
  <c r="G122" i="2"/>
  <c r="H122" i="2"/>
  <c r="G121" i="2"/>
  <c r="H121" i="2"/>
  <c r="G120" i="2"/>
  <c r="H120" i="2"/>
  <c r="G119" i="2"/>
  <c r="H119" i="2"/>
  <c r="G118" i="2"/>
  <c r="H118" i="2"/>
  <c r="G117" i="2"/>
  <c r="H117" i="2"/>
  <c r="G116" i="2"/>
  <c r="H116" i="2"/>
  <c r="G115" i="2"/>
  <c r="H115" i="2"/>
  <c r="G114" i="2"/>
  <c r="H114" i="2"/>
  <c r="G113" i="2"/>
  <c r="H113" i="2"/>
  <c r="G112" i="2"/>
  <c r="H112" i="2"/>
  <c r="G111" i="2"/>
  <c r="H111" i="2"/>
  <c r="G110" i="2"/>
  <c r="H110" i="2"/>
  <c r="G109" i="2"/>
  <c r="H109" i="2"/>
  <c r="G108" i="2"/>
  <c r="H108" i="2"/>
  <c r="G107" i="2"/>
  <c r="H107" i="2"/>
  <c r="G106" i="2"/>
  <c r="H106" i="2"/>
  <c r="G105" i="2"/>
  <c r="H105" i="2"/>
  <c r="G104" i="2"/>
  <c r="H104" i="2"/>
  <c r="G103" i="2"/>
  <c r="H103" i="2"/>
  <c r="G102" i="2"/>
  <c r="H102" i="2"/>
  <c r="G101" i="2"/>
  <c r="H101" i="2"/>
  <c r="G100" i="2"/>
  <c r="H100" i="2"/>
  <c r="G99" i="2"/>
  <c r="H99" i="2"/>
  <c r="G98" i="2"/>
  <c r="H98" i="2"/>
  <c r="G97" i="2"/>
  <c r="H97" i="2"/>
  <c r="G96" i="2"/>
  <c r="H96" i="2"/>
  <c r="G95" i="2"/>
  <c r="H95" i="2"/>
  <c r="G94" i="2"/>
  <c r="H94" i="2"/>
  <c r="G93" i="2"/>
  <c r="H93" i="2"/>
  <c r="G92" i="2"/>
  <c r="H92" i="2"/>
  <c r="G91" i="2"/>
  <c r="H91" i="2"/>
  <c r="G90" i="2"/>
  <c r="H90" i="2"/>
  <c r="G89" i="2"/>
  <c r="H89" i="2"/>
  <c r="G88" i="2"/>
  <c r="H88" i="2"/>
  <c r="G87" i="2"/>
  <c r="H87" i="2"/>
  <c r="G86" i="2"/>
  <c r="H86" i="2"/>
  <c r="G85" i="2"/>
  <c r="H85" i="2"/>
  <c r="G84" i="2"/>
  <c r="H84" i="2"/>
  <c r="G83" i="2"/>
  <c r="H83" i="2"/>
  <c r="G82" i="2"/>
  <c r="H82" i="2"/>
  <c r="G81" i="2"/>
  <c r="H81" i="2"/>
  <c r="G79" i="2"/>
  <c r="H79" i="2"/>
  <c r="G74" i="2"/>
  <c r="H74" i="2"/>
  <c r="G67" i="2"/>
  <c r="H67" i="2"/>
  <c r="G66" i="2"/>
  <c r="H66" i="2"/>
  <c r="G53" i="2"/>
  <c r="H53" i="2"/>
  <c r="G46" i="2"/>
  <c r="H46" i="2"/>
  <c r="G39" i="2"/>
  <c r="H39" i="2"/>
  <c r="G32" i="2"/>
  <c r="H32" i="2"/>
  <c r="G25" i="2"/>
  <c r="H25" i="2"/>
  <c r="G24" i="2"/>
  <c r="H24" i="2"/>
  <c r="G18" i="2"/>
  <c r="H18" i="2"/>
  <c r="F71" i="2"/>
  <c r="G71" i="2" s="1"/>
  <c r="F72" i="2"/>
  <c r="G72" i="2" s="1"/>
  <c r="F73" i="2"/>
  <c r="G73" i="2" s="1"/>
  <c r="F75" i="2"/>
  <c r="G75" i="2" s="1"/>
  <c r="F76" i="2"/>
  <c r="G76" i="2" s="1"/>
  <c r="F77" i="2"/>
  <c r="G77" i="2" s="1"/>
  <c r="F78" i="2"/>
  <c r="G78" i="2" s="1"/>
  <c r="F5" i="2"/>
  <c r="F6" i="2"/>
  <c r="F7" i="2"/>
  <c r="F8" i="2"/>
  <c r="F9" i="2"/>
  <c r="F10" i="2"/>
  <c r="F11" i="2"/>
  <c r="F12" i="2"/>
  <c r="F13" i="2"/>
  <c r="F15" i="2"/>
  <c r="F16" i="2"/>
  <c r="F14" i="2"/>
  <c r="F17" i="2"/>
  <c r="F19" i="2"/>
  <c r="F20" i="2"/>
  <c r="F21" i="2"/>
  <c r="F22" i="2"/>
  <c r="F23" i="2"/>
  <c r="F26" i="2"/>
  <c r="F27" i="2"/>
  <c r="F28" i="2"/>
  <c r="F29" i="2"/>
  <c r="F30" i="2"/>
  <c r="F31" i="2"/>
  <c r="F33" i="2"/>
  <c r="F34" i="2"/>
  <c r="F35" i="2"/>
  <c r="F36" i="2"/>
  <c r="F37" i="2"/>
  <c r="F38" i="2"/>
  <c r="F40" i="2"/>
  <c r="F41" i="2"/>
  <c r="F42" i="2"/>
  <c r="F43" i="2"/>
  <c r="F44" i="2"/>
  <c r="F45" i="2"/>
  <c r="F47" i="2"/>
  <c r="F48" i="2"/>
  <c r="F49" i="2"/>
  <c r="F50" i="2"/>
  <c r="F51" i="2"/>
  <c r="F52" i="2"/>
  <c r="F54" i="2"/>
  <c r="F55" i="2"/>
  <c r="F56" i="2"/>
  <c r="F57" i="2"/>
  <c r="F58" i="2"/>
  <c r="F59" i="2"/>
  <c r="F60" i="2"/>
  <c r="F61" i="2"/>
  <c r="F62" i="2"/>
  <c r="F63" i="2"/>
  <c r="F64" i="2"/>
  <c r="F65" i="2"/>
  <c r="F68" i="2"/>
  <c r="F69" i="2"/>
  <c r="F70" i="2"/>
  <c r="J12" i="2"/>
  <c r="J13" i="2"/>
  <c r="J14" i="2"/>
  <c r="J16" i="2"/>
  <c r="J23" i="2"/>
  <c r="J33" i="2"/>
  <c r="J36" i="2"/>
  <c r="J38" i="2"/>
  <c r="J40" i="2"/>
  <c r="J42" i="2"/>
  <c r="J57" i="2"/>
  <c r="J58" i="2"/>
  <c r="J49" i="2"/>
  <c r="J59" i="2"/>
  <c r="J69" i="2"/>
  <c r="I70" i="2"/>
  <c r="E70" i="2"/>
  <c r="I5" i="2"/>
  <c r="E5" i="2"/>
  <c r="I6" i="2"/>
  <c r="E6" i="2"/>
  <c r="I9" i="2"/>
  <c r="E9" i="2"/>
  <c r="I12" i="2"/>
  <c r="E12" i="2"/>
  <c r="I11" i="2"/>
  <c r="E11" i="2"/>
  <c r="I8" i="2"/>
  <c r="E8" i="2"/>
  <c r="I7" i="2"/>
  <c r="E7" i="2"/>
  <c r="I10" i="2"/>
  <c r="E10" i="2"/>
  <c r="I13" i="2"/>
  <c r="E13" i="2"/>
  <c r="I15" i="2"/>
  <c r="E15" i="2"/>
  <c r="I16" i="2"/>
  <c r="E16" i="2"/>
  <c r="I14" i="2"/>
  <c r="E14" i="2"/>
  <c r="I17" i="2"/>
  <c r="E17" i="2"/>
  <c r="I19" i="2"/>
  <c r="E19" i="2"/>
  <c r="I20" i="2"/>
  <c r="E20" i="2"/>
  <c r="I21" i="2"/>
  <c r="E21" i="2"/>
  <c r="I22" i="2"/>
  <c r="E22" i="2"/>
  <c r="I23" i="2"/>
  <c r="E23" i="2"/>
  <c r="I26" i="2"/>
  <c r="E26" i="2"/>
  <c r="I27" i="2"/>
  <c r="E27" i="2"/>
  <c r="I28" i="2"/>
  <c r="E28" i="2"/>
  <c r="I31" i="2"/>
  <c r="E31" i="2"/>
  <c r="I30" i="2"/>
  <c r="E30" i="2"/>
  <c r="I29" i="2"/>
  <c r="E29" i="2"/>
  <c r="I33" i="2"/>
  <c r="E33" i="2"/>
  <c r="I34" i="2"/>
  <c r="E34" i="2"/>
  <c r="I35" i="2"/>
  <c r="E35" i="2"/>
  <c r="I36" i="2"/>
  <c r="E36" i="2"/>
  <c r="I37" i="2"/>
  <c r="E37" i="2"/>
  <c r="I38" i="2"/>
  <c r="E38" i="2"/>
  <c r="I40" i="2"/>
  <c r="E40" i="2"/>
  <c r="I41" i="2"/>
  <c r="E41" i="2"/>
  <c r="I42" i="2"/>
  <c r="E42" i="2"/>
  <c r="I43" i="2"/>
  <c r="E43" i="2"/>
  <c r="I44" i="2"/>
  <c r="E44" i="2"/>
  <c r="I45" i="2"/>
  <c r="E45" i="2"/>
  <c r="I47" i="2"/>
  <c r="E47" i="2"/>
  <c r="I48" i="2"/>
  <c r="E48" i="2"/>
  <c r="I49" i="2"/>
  <c r="E49" i="2"/>
  <c r="I50" i="2"/>
  <c r="E50" i="2"/>
  <c r="I51" i="2"/>
  <c r="E51" i="2"/>
  <c r="I52" i="2"/>
  <c r="E52" i="2"/>
  <c r="I54" i="2"/>
  <c r="E54" i="2"/>
  <c r="I55" i="2"/>
  <c r="E55" i="2"/>
  <c r="I56" i="2"/>
  <c r="E56" i="2"/>
  <c r="I57" i="2"/>
  <c r="E57" i="2"/>
  <c r="I58" i="2"/>
  <c r="E58" i="2"/>
  <c r="I59" i="2"/>
  <c r="E59" i="2"/>
  <c r="I60" i="2"/>
  <c r="E60" i="2"/>
  <c r="I61" i="2"/>
  <c r="E61" i="2"/>
  <c r="I62" i="2"/>
  <c r="E62" i="2"/>
  <c r="I63" i="2"/>
  <c r="E63" i="2"/>
  <c r="I64" i="2"/>
  <c r="E64" i="2"/>
  <c r="I65" i="2"/>
  <c r="E65" i="2"/>
  <c r="I68" i="2"/>
  <c r="E68" i="2"/>
  <c r="I69" i="2"/>
  <c r="E69" i="2"/>
  <c r="C146" i="8"/>
  <c r="C147" i="8"/>
  <c r="C148" i="8"/>
  <c r="C149" i="8"/>
  <c r="C150" i="8"/>
  <c r="C151" i="8"/>
  <c r="C152" i="8"/>
  <c r="C153" i="8"/>
  <c r="C154" i="8"/>
  <c r="C155" i="8"/>
  <c r="C156" i="8"/>
  <c r="G69" i="2" l="1"/>
  <c r="H69" i="2"/>
  <c r="G68" i="2"/>
  <c r="H68" i="2"/>
  <c r="G65" i="2"/>
  <c r="H65" i="2"/>
  <c r="G64" i="2"/>
  <c r="H64" i="2"/>
  <c r="G63" i="2"/>
  <c r="H63" i="2"/>
  <c r="G62" i="2"/>
  <c r="H62" i="2"/>
  <c r="G61" i="2"/>
  <c r="H61" i="2"/>
  <c r="G60" i="2"/>
  <c r="H60" i="2"/>
  <c r="G59" i="2"/>
  <c r="H59" i="2"/>
  <c r="G58" i="2"/>
  <c r="H58" i="2"/>
  <c r="G57" i="2"/>
  <c r="H57" i="2"/>
  <c r="G56" i="2"/>
  <c r="H56" i="2"/>
  <c r="G55" i="2"/>
  <c r="H55" i="2"/>
  <c r="G54" i="2"/>
  <c r="H54" i="2"/>
  <c r="G52" i="2"/>
  <c r="H52" i="2"/>
  <c r="G51" i="2"/>
  <c r="H51" i="2"/>
  <c r="G50" i="2"/>
  <c r="H50" i="2"/>
  <c r="G49" i="2"/>
  <c r="H49" i="2"/>
  <c r="G48" i="2"/>
  <c r="H48" i="2"/>
  <c r="G47" i="2"/>
  <c r="H47" i="2"/>
  <c r="G45" i="2"/>
  <c r="H45" i="2"/>
  <c r="G44" i="2"/>
  <c r="H44" i="2"/>
  <c r="G43" i="2"/>
  <c r="H43" i="2"/>
  <c r="G42" i="2"/>
  <c r="H42" i="2"/>
  <c r="G41" i="2"/>
  <c r="H41" i="2"/>
  <c r="G40" i="2"/>
  <c r="H40" i="2"/>
  <c r="G38" i="2"/>
  <c r="H38" i="2"/>
  <c r="G37" i="2"/>
  <c r="H37" i="2"/>
  <c r="G36" i="2"/>
  <c r="H36" i="2"/>
  <c r="G35" i="2"/>
  <c r="H35" i="2"/>
  <c r="G34" i="2"/>
  <c r="H34" i="2"/>
  <c r="G33" i="2"/>
  <c r="H33" i="2"/>
  <c r="G29" i="2"/>
  <c r="H29" i="2"/>
  <c r="G30" i="2"/>
  <c r="H30" i="2"/>
  <c r="G31" i="2"/>
  <c r="H31" i="2"/>
  <c r="G28" i="2"/>
  <c r="H28" i="2"/>
  <c r="G27" i="2"/>
  <c r="H27" i="2"/>
  <c r="G26" i="2"/>
  <c r="H26" i="2"/>
  <c r="G23" i="2"/>
  <c r="H23" i="2"/>
  <c r="G22" i="2"/>
  <c r="H22" i="2"/>
  <c r="G21" i="2"/>
  <c r="H21" i="2"/>
  <c r="G20" i="2"/>
  <c r="H20" i="2"/>
  <c r="G19" i="2"/>
  <c r="H19" i="2"/>
  <c r="G17" i="2"/>
  <c r="H17" i="2"/>
  <c r="G14" i="2"/>
  <c r="H14" i="2"/>
  <c r="G16" i="2"/>
  <c r="H16" i="2"/>
  <c r="G15" i="2"/>
  <c r="H15" i="2"/>
  <c r="G13" i="2"/>
  <c r="H13" i="2"/>
  <c r="G10" i="2"/>
  <c r="H10" i="2"/>
  <c r="G7" i="2"/>
  <c r="H7" i="2"/>
  <c r="G8" i="2"/>
  <c r="H8" i="2"/>
  <c r="G11" i="2"/>
  <c r="H11" i="2"/>
  <c r="G12" i="2"/>
  <c r="H12" i="2"/>
  <c r="G9" i="2"/>
  <c r="H9" i="2"/>
  <c r="G6" i="2"/>
  <c r="H6" i="2"/>
  <c r="G5" i="2"/>
  <c r="H5" i="2"/>
  <c r="G70" i="2"/>
  <c r="H70" i="2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 l="1"/>
  <c r="C192" i="8"/>
  <c r="C308" i="2" l="1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K64" i="2" l="1"/>
  <c r="J4" i="2" l="1"/>
  <c r="I4" i="2" l="1"/>
  <c r="E4" i="2"/>
  <c r="H4" i="2" s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C299" i="2"/>
  <c r="C300" i="2"/>
  <c r="C301" i="2"/>
  <c r="C302" i="2"/>
  <c r="C303" i="2"/>
  <c r="C304" i="2"/>
  <c r="C305" i="2"/>
  <c r="C306" i="2"/>
  <c r="C307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D15" i="6" l="1"/>
  <c r="D14" i="6"/>
  <c r="D13" i="6"/>
  <c r="D12" i="6"/>
  <c r="D11" i="6"/>
  <c r="D10" i="6"/>
  <c r="D9" i="6"/>
  <c r="D8" i="6"/>
  <c r="D7" i="6"/>
  <c r="E15" i="6"/>
  <c r="E14" i="6"/>
  <c r="E13" i="6"/>
  <c r="E12" i="6"/>
  <c r="E11" i="6"/>
  <c r="E10" i="6"/>
  <c r="E9" i="6"/>
  <c r="E8" i="6"/>
  <c r="E7" i="6"/>
  <c r="E6" i="6"/>
  <c r="E5" i="6"/>
  <c r="D6" i="6"/>
  <c r="D5" i="6"/>
  <c r="D4" i="6"/>
  <c r="C4" i="6"/>
  <c r="G4" i="2"/>
  <c r="E4" i="6" s="1"/>
  <c r="H15" i="6"/>
  <c r="H14" i="6"/>
  <c r="H13" i="6"/>
  <c r="H12" i="6"/>
  <c r="H11" i="6"/>
  <c r="H10" i="6"/>
  <c r="H9" i="6"/>
  <c r="H8" i="6"/>
  <c r="H7" i="6"/>
  <c r="H6" i="6"/>
  <c r="H5" i="6"/>
  <c r="L61" i="2"/>
  <c r="H4" i="6"/>
  <c r="C15" i="6"/>
  <c r="C14" i="6"/>
  <c r="C13" i="6"/>
  <c r="C12" i="6"/>
  <c r="C11" i="6"/>
  <c r="C10" i="6"/>
  <c r="C9" i="6"/>
  <c r="C8" i="6"/>
  <c r="C6" i="6"/>
  <c r="F15" i="6"/>
  <c r="J15" i="6" s="1"/>
  <c r="F14" i="6"/>
  <c r="J14" i="6" s="1"/>
  <c r="F13" i="6"/>
  <c r="J13" i="6" s="1"/>
  <c r="F12" i="6"/>
  <c r="J12" i="6" s="1"/>
  <c r="F11" i="6"/>
  <c r="J11" i="6" s="1"/>
  <c r="F10" i="6"/>
  <c r="J10" i="6" s="1"/>
  <c r="F9" i="6"/>
  <c r="J9" i="6" s="1"/>
  <c r="F8" i="6"/>
  <c r="J8" i="6" s="1"/>
  <c r="F6" i="6"/>
  <c r="J6" i="6" s="1"/>
  <c r="F4" i="6"/>
  <c r="J4" i="6" s="1"/>
  <c r="K4" i="6"/>
  <c r="L4" i="6" l="1"/>
  <c r="M4" i="6"/>
  <c r="L6" i="6"/>
  <c r="M6" i="6"/>
  <c r="L8" i="6"/>
  <c r="M8" i="6"/>
  <c r="L9" i="6"/>
  <c r="M9" i="6"/>
  <c r="L10" i="6"/>
  <c r="M10" i="6"/>
  <c r="L11" i="6"/>
  <c r="M11" i="6"/>
  <c r="L12" i="6"/>
  <c r="M12" i="6"/>
  <c r="L13" i="6"/>
  <c r="M13" i="6"/>
  <c r="L14" i="6"/>
  <c r="M14" i="6"/>
  <c r="L15" i="6"/>
  <c r="M15" i="6"/>
  <c r="K6" i="6"/>
  <c r="K8" i="6"/>
  <c r="K9" i="6"/>
  <c r="K10" i="6"/>
  <c r="K11" i="6"/>
  <c r="K12" i="6"/>
  <c r="K13" i="6"/>
  <c r="K14" i="6"/>
  <c r="K15" i="6"/>
  <c r="C5" i="6"/>
  <c r="F5" i="6"/>
  <c r="J5" i="6" s="1"/>
  <c r="C7" i="6"/>
  <c r="F7" i="6"/>
  <c r="J7" i="6" s="1"/>
  <c r="G15" i="6"/>
  <c r="G14" i="6"/>
  <c r="G13" i="6"/>
  <c r="G12" i="6"/>
  <c r="G11" i="6"/>
  <c r="G10" i="6"/>
  <c r="G9" i="6"/>
  <c r="G8" i="6"/>
  <c r="G7" i="6"/>
  <c r="I7" i="6" s="1"/>
  <c r="G6" i="6"/>
  <c r="G5" i="6"/>
  <c r="G4" i="6"/>
  <c r="L307" i="2"/>
  <c r="M307" i="2"/>
  <c r="L306" i="2"/>
  <c r="M306" i="2"/>
  <c r="L305" i="2"/>
  <c r="M305" i="2"/>
  <c r="L304" i="2"/>
  <c r="M304" i="2"/>
  <c r="L303" i="2"/>
  <c r="M303" i="2"/>
  <c r="L302" i="2"/>
  <c r="M302" i="2"/>
  <c r="L301" i="2"/>
  <c r="M301" i="2"/>
  <c r="L300" i="2"/>
  <c r="M300" i="2"/>
  <c r="L299" i="2"/>
  <c r="M299" i="2"/>
  <c r="L298" i="2"/>
  <c r="M298" i="2"/>
  <c r="L297" i="2"/>
  <c r="M297" i="2"/>
  <c r="L296" i="2"/>
  <c r="M296" i="2"/>
  <c r="L295" i="2"/>
  <c r="M295" i="2"/>
  <c r="L294" i="2"/>
  <c r="M294" i="2"/>
  <c r="L293" i="2"/>
  <c r="M293" i="2"/>
  <c r="L292" i="2"/>
  <c r="M292" i="2"/>
  <c r="L291" i="2"/>
  <c r="M291" i="2"/>
  <c r="L290" i="2"/>
  <c r="M290" i="2"/>
  <c r="L289" i="2"/>
  <c r="M289" i="2"/>
  <c r="L288" i="2"/>
  <c r="M288" i="2"/>
  <c r="L287" i="2"/>
  <c r="M287" i="2"/>
  <c r="L286" i="2"/>
  <c r="M286" i="2"/>
  <c r="L285" i="2"/>
  <c r="M285" i="2"/>
  <c r="L284" i="2"/>
  <c r="M284" i="2"/>
  <c r="L283" i="2"/>
  <c r="M283" i="2"/>
  <c r="L282" i="2"/>
  <c r="M282" i="2"/>
  <c r="L281" i="2"/>
  <c r="M281" i="2"/>
  <c r="L280" i="2"/>
  <c r="M280" i="2"/>
  <c r="L279" i="2"/>
  <c r="M279" i="2"/>
  <c r="L278" i="2"/>
  <c r="M278" i="2"/>
  <c r="L277" i="2"/>
  <c r="M277" i="2"/>
  <c r="L276" i="2"/>
  <c r="M276" i="2"/>
  <c r="L275" i="2"/>
  <c r="M275" i="2"/>
  <c r="L274" i="2"/>
  <c r="M274" i="2"/>
  <c r="L273" i="2"/>
  <c r="M273" i="2"/>
  <c r="L272" i="2"/>
  <c r="M272" i="2"/>
  <c r="L271" i="2"/>
  <c r="M271" i="2"/>
  <c r="L270" i="2"/>
  <c r="M270" i="2"/>
  <c r="L269" i="2"/>
  <c r="M269" i="2"/>
  <c r="L268" i="2"/>
  <c r="M268" i="2"/>
  <c r="L267" i="2"/>
  <c r="M267" i="2"/>
  <c r="L266" i="2"/>
  <c r="M266" i="2"/>
  <c r="L265" i="2"/>
  <c r="M265" i="2"/>
  <c r="L264" i="2"/>
  <c r="M264" i="2"/>
  <c r="L263" i="2"/>
  <c r="M263" i="2"/>
  <c r="L262" i="2"/>
  <c r="M262" i="2"/>
  <c r="L261" i="2"/>
  <c r="M261" i="2"/>
  <c r="L260" i="2"/>
  <c r="M260" i="2"/>
  <c r="L259" i="2"/>
  <c r="M259" i="2"/>
  <c r="L258" i="2"/>
  <c r="M258" i="2"/>
  <c r="L257" i="2"/>
  <c r="M257" i="2"/>
  <c r="L256" i="2"/>
  <c r="M256" i="2"/>
  <c r="L255" i="2"/>
  <c r="M255" i="2"/>
  <c r="L254" i="2"/>
  <c r="M254" i="2"/>
  <c r="L253" i="2"/>
  <c r="M253" i="2"/>
  <c r="L252" i="2"/>
  <c r="M252" i="2"/>
  <c r="L251" i="2"/>
  <c r="M251" i="2"/>
  <c r="L250" i="2"/>
  <c r="M250" i="2"/>
  <c r="L249" i="2"/>
  <c r="M249" i="2"/>
  <c r="L248" i="2"/>
  <c r="M248" i="2"/>
  <c r="L247" i="2"/>
  <c r="M247" i="2"/>
  <c r="L246" i="2"/>
  <c r="M246" i="2"/>
  <c r="L245" i="2"/>
  <c r="M245" i="2"/>
  <c r="L244" i="2"/>
  <c r="M244" i="2"/>
  <c r="L243" i="2"/>
  <c r="M243" i="2"/>
  <c r="L242" i="2"/>
  <c r="M242" i="2"/>
  <c r="L241" i="2"/>
  <c r="M241" i="2"/>
  <c r="L240" i="2"/>
  <c r="M240" i="2"/>
  <c r="L239" i="2"/>
  <c r="M239" i="2"/>
  <c r="L238" i="2"/>
  <c r="M238" i="2"/>
  <c r="L237" i="2"/>
  <c r="M237" i="2"/>
  <c r="L236" i="2"/>
  <c r="M236" i="2"/>
  <c r="L235" i="2"/>
  <c r="M235" i="2"/>
  <c r="L234" i="2"/>
  <c r="M234" i="2"/>
  <c r="L233" i="2"/>
  <c r="M233" i="2"/>
  <c r="L232" i="2"/>
  <c r="M232" i="2"/>
  <c r="L231" i="2"/>
  <c r="M231" i="2"/>
  <c r="L230" i="2"/>
  <c r="M230" i="2"/>
  <c r="L229" i="2"/>
  <c r="M229" i="2"/>
  <c r="L228" i="2"/>
  <c r="M228" i="2"/>
  <c r="L227" i="2"/>
  <c r="M227" i="2"/>
  <c r="L226" i="2"/>
  <c r="M226" i="2"/>
  <c r="L225" i="2"/>
  <c r="M225" i="2"/>
  <c r="L224" i="2"/>
  <c r="M224" i="2"/>
  <c r="L223" i="2"/>
  <c r="M223" i="2"/>
  <c r="L222" i="2"/>
  <c r="M222" i="2"/>
  <c r="L221" i="2"/>
  <c r="M221" i="2"/>
  <c r="L220" i="2"/>
  <c r="M220" i="2"/>
  <c r="L219" i="2"/>
  <c r="M219" i="2"/>
  <c r="L218" i="2"/>
  <c r="M218" i="2"/>
  <c r="L217" i="2"/>
  <c r="M217" i="2"/>
  <c r="L216" i="2"/>
  <c r="M216" i="2"/>
  <c r="L215" i="2"/>
  <c r="M215" i="2"/>
  <c r="L214" i="2"/>
  <c r="M214" i="2"/>
  <c r="L213" i="2"/>
  <c r="M213" i="2"/>
  <c r="L212" i="2"/>
  <c r="M212" i="2"/>
  <c r="L211" i="2"/>
  <c r="M211" i="2"/>
  <c r="L210" i="2"/>
  <c r="M210" i="2"/>
  <c r="L209" i="2"/>
  <c r="M209" i="2"/>
  <c r="L208" i="2"/>
  <c r="M208" i="2"/>
  <c r="L207" i="2"/>
  <c r="M207" i="2"/>
  <c r="L206" i="2"/>
  <c r="M206" i="2"/>
  <c r="L205" i="2"/>
  <c r="M205" i="2"/>
  <c r="L204" i="2"/>
  <c r="M204" i="2"/>
  <c r="L203" i="2"/>
  <c r="M203" i="2"/>
  <c r="L202" i="2"/>
  <c r="M202" i="2"/>
  <c r="L201" i="2"/>
  <c r="M201" i="2"/>
  <c r="L200" i="2"/>
  <c r="M200" i="2"/>
  <c r="L199" i="2"/>
  <c r="M199" i="2"/>
  <c r="L198" i="2"/>
  <c r="M198" i="2"/>
  <c r="L197" i="2"/>
  <c r="M197" i="2"/>
  <c r="L196" i="2"/>
  <c r="M196" i="2"/>
  <c r="L195" i="2"/>
  <c r="M195" i="2"/>
  <c r="L194" i="2"/>
  <c r="M194" i="2"/>
  <c r="L193" i="2"/>
  <c r="M193" i="2"/>
  <c r="L192" i="2"/>
  <c r="M192" i="2"/>
  <c r="L191" i="2"/>
  <c r="M191" i="2"/>
  <c r="L190" i="2"/>
  <c r="M190" i="2"/>
  <c r="L189" i="2"/>
  <c r="M189" i="2"/>
  <c r="L188" i="2"/>
  <c r="M188" i="2"/>
  <c r="L187" i="2"/>
  <c r="M187" i="2"/>
  <c r="L186" i="2"/>
  <c r="M186" i="2"/>
  <c r="L185" i="2"/>
  <c r="M185" i="2"/>
  <c r="L184" i="2"/>
  <c r="M184" i="2"/>
  <c r="L183" i="2"/>
  <c r="M183" i="2"/>
  <c r="L182" i="2"/>
  <c r="M182" i="2"/>
  <c r="L181" i="2"/>
  <c r="M181" i="2"/>
  <c r="L180" i="2"/>
  <c r="M180" i="2"/>
  <c r="L179" i="2"/>
  <c r="M179" i="2"/>
  <c r="L178" i="2"/>
  <c r="M178" i="2"/>
  <c r="L177" i="2"/>
  <c r="M177" i="2"/>
  <c r="L176" i="2"/>
  <c r="M176" i="2"/>
  <c r="L175" i="2"/>
  <c r="M175" i="2"/>
  <c r="L174" i="2"/>
  <c r="M174" i="2"/>
  <c r="L173" i="2"/>
  <c r="M173" i="2"/>
  <c r="L172" i="2"/>
  <c r="M172" i="2"/>
  <c r="L171" i="2"/>
  <c r="M171" i="2"/>
  <c r="L170" i="2"/>
  <c r="M170" i="2"/>
  <c r="L169" i="2"/>
  <c r="M169" i="2"/>
  <c r="L168" i="2"/>
  <c r="M168" i="2"/>
  <c r="L167" i="2"/>
  <c r="M167" i="2"/>
  <c r="L166" i="2"/>
  <c r="M166" i="2"/>
  <c r="L165" i="2"/>
  <c r="M165" i="2"/>
  <c r="L164" i="2"/>
  <c r="M164" i="2"/>
  <c r="L163" i="2"/>
  <c r="M163" i="2"/>
  <c r="L162" i="2"/>
  <c r="M162" i="2"/>
  <c r="L161" i="2"/>
  <c r="M161" i="2"/>
  <c r="L160" i="2"/>
  <c r="M160" i="2"/>
  <c r="L159" i="2"/>
  <c r="M159" i="2"/>
  <c r="L158" i="2"/>
  <c r="M158" i="2"/>
  <c r="L157" i="2"/>
  <c r="M157" i="2"/>
  <c r="L156" i="2"/>
  <c r="M156" i="2"/>
  <c r="L155" i="2"/>
  <c r="M155" i="2"/>
  <c r="L154" i="2"/>
  <c r="M154" i="2"/>
  <c r="L153" i="2"/>
  <c r="M153" i="2"/>
  <c r="L152" i="2"/>
  <c r="M152" i="2"/>
  <c r="L151" i="2"/>
  <c r="M151" i="2"/>
  <c r="L150" i="2"/>
  <c r="M150" i="2"/>
  <c r="L149" i="2"/>
  <c r="M149" i="2"/>
  <c r="L148" i="2"/>
  <c r="M148" i="2"/>
  <c r="L147" i="2"/>
  <c r="M147" i="2"/>
  <c r="L146" i="2"/>
  <c r="M146" i="2"/>
  <c r="L145" i="2"/>
  <c r="M145" i="2"/>
  <c r="L144" i="2"/>
  <c r="M144" i="2"/>
  <c r="L143" i="2"/>
  <c r="M143" i="2"/>
  <c r="L142" i="2"/>
  <c r="M142" i="2"/>
  <c r="L141" i="2"/>
  <c r="M141" i="2"/>
  <c r="L140" i="2"/>
  <c r="M140" i="2"/>
  <c r="L139" i="2"/>
  <c r="M139" i="2"/>
  <c r="L138" i="2"/>
  <c r="M138" i="2"/>
  <c r="L137" i="2"/>
  <c r="M137" i="2"/>
  <c r="L136" i="2"/>
  <c r="M136" i="2"/>
  <c r="L135" i="2"/>
  <c r="M135" i="2"/>
  <c r="L134" i="2"/>
  <c r="M134" i="2"/>
  <c r="L133" i="2"/>
  <c r="M133" i="2"/>
  <c r="L132" i="2"/>
  <c r="M132" i="2"/>
  <c r="L131" i="2"/>
  <c r="M131" i="2"/>
  <c r="L130" i="2"/>
  <c r="M130" i="2"/>
  <c r="L129" i="2"/>
  <c r="M129" i="2"/>
  <c r="L128" i="2"/>
  <c r="M128" i="2"/>
  <c r="L127" i="2"/>
  <c r="M127" i="2"/>
  <c r="L126" i="2"/>
  <c r="M126" i="2"/>
  <c r="L125" i="2"/>
  <c r="M125" i="2"/>
  <c r="L124" i="2"/>
  <c r="M124" i="2"/>
  <c r="L123" i="2"/>
  <c r="M123" i="2"/>
  <c r="L122" i="2"/>
  <c r="M122" i="2"/>
  <c r="L121" i="2"/>
  <c r="M121" i="2"/>
  <c r="L120" i="2"/>
  <c r="M120" i="2"/>
  <c r="L119" i="2"/>
  <c r="M119" i="2"/>
  <c r="L118" i="2"/>
  <c r="M118" i="2"/>
  <c r="L117" i="2"/>
  <c r="M117" i="2"/>
  <c r="L116" i="2"/>
  <c r="M116" i="2"/>
  <c r="L115" i="2"/>
  <c r="M115" i="2"/>
  <c r="L114" i="2"/>
  <c r="M114" i="2"/>
  <c r="L113" i="2"/>
  <c r="M113" i="2"/>
  <c r="L112" i="2"/>
  <c r="M112" i="2"/>
  <c r="L111" i="2"/>
  <c r="M111" i="2"/>
  <c r="L110" i="2"/>
  <c r="M110" i="2"/>
  <c r="L109" i="2"/>
  <c r="M109" i="2"/>
  <c r="L108" i="2"/>
  <c r="M108" i="2"/>
  <c r="L107" i="2"/>
  <c r="M107" i="2"/>
  <c r="L106" i="2"/>
  <c r="M106" i="2"/>
  <c r="L105" i="2"/>
  <c r="M105" i="2"/>
  <c r="L104" i="2"/>
  <c r="M104" i="2"/>
  <c r="L103" i="2"/>
  <c r="M103" i="2"/>
  <c r="L102" i="2"/>
  <c r="M102" i="2"/>
  <c r="L101" i="2"/>
  <c r="M101" i="2"/>
  <c r="L100" i="2"/>
  <c r="M100" i="2"/>
  <c r="L99" i="2"/>
  <c r="M99" i="2"/>
  <c r="L98" i="2"/>
  <c r="M98" i="2"/>
  <c r="L97" i="2"/>
  <c r="M97" i="2"/>
  <c r="L96" i="2"/>
  <c r="M96" i="2"/>
  <c r="L95" i="2"/>
  <c r="M95" i="2"/>
  <c r="L94" i="2"/>
  <c r="M94" i="2"/>
  <c r="L93" i="2"/>
  <c r="M93" i="2"/>
  <c r="L92" i="2"/>
  <c r="M92" i="2"/>
  <c r="L91" i="2"/>
  <c r="M91" i="2"/>
  <c r="L90" i="2"/>
  <c r="M90" i="2"/>
  <c r="L89" i="2"/>
  <c r="M89" i="2"/>
  <c r="L88" i="2"/>
  <c r="M88" i="2"/>
  <c r="L87" i="2"/>
  <c r="M87" i="2"/>
  <c r="L86" i="2"/>
  <c r="M86" i="2"/>
  <c r="L85" i="2"/>
  <c r="M85" i="2"/>
  <c r="L84" i="2"/>
  <c r="M84" i="2"/>
  <c r="L83" i="2"/>
  <c r="M83" i="2"/>
  <c r="L82" i="2"/>
  <c r="M82" i="2"/>
  <c r="L81" i="2"/>
  <c r="M81" i="2"/>
  <c r="L80" i="2"/>
  <c r="M80" i="2"/>
  <c r="L79" i="2"/>
  <c r="M79" i="2"/>
  <c r="L78" i="2"/>
  <c r="M78" i="2"/>
  <c r="L77" i="2"/>
  <c r="M77" i="2"/>
  <c r="L76" i="2"/>
  <c r="M76" i="2"/>
  <c r="L75" i="2"/>
  <c r="M75" i="2"/>
  <c r="L74" i="2"/>
  <c r="M74" i="2"/>
  <c r="L73" i="2"/>
  <c r="M73" i="2"/>
  <c r="L72" i="2"/>
  <c r="M72" i="2"/>
  <c r="L71" i="2"/>
  <c r="M71" i="2"/>
  <c r="L70" i="2"/>
  <c r="M70" i="2"/>
  <c r="L69" i="2"/>
  <c r="M69" i="2"/>
  <c r="L68" i="2"/>
  <c r="M68" i="2"/>
  <c r="L67" i="2"/>
  <c r="M67" i="2"/>
  <c r="L66" i="2"/>
  <c r="M66" i="2"/>
  <c r="L65" i="2"/>
  <c r="M65" i="2"/>
  <c r="L64" i="2"/>
  <c r="M64" i="2"/>
  <c r="L63" i="2"/>
  <c r="M63" i="2"/>
  <c r="L62" i="2"/>
  <c r="M62" i="2"/>
  <c r="M61" i="2"/>
  <c r="L60" i="2"/>
  <c r="M60" i="2"/>
  <c r="L59" i="2"/>
  <c r="M59" i="2"/>
  <c r="L58" i="2"/>
  <c r="M58" i="2"/>
  <c r="L57" i="2"/>
  <c r="M57" i="2"/>
  <c r="L56" i="2"/>
  <c r="M56" i="2"/>
  <c r="L55" i="2"/>
  <c r="M55" i="2"/>
  <c r="L54" i="2"/>
  <c r="M54" i="2"/>
  <c r="L53" i="2"/>
  <c r="M53" i="2"/>
  <c r="L52" i="2"/>
  <c r="M52" i="2"/>
  <c r="L51" i="2"/>
  <c r="M51" i="2"/>
  <c r="L50" i="2"/>
  <c r="M50" i="2"/>
  <c r="L49" i="2"/>
  <c r="M49" i="2"/>
  <c r="L48" i="2"/>
  <c r="M48" i="2"/>
  <c r="L47" i="2"/>
  <c r="M47" i="2"/>
  <c r="L46" i="2"/>
  <c r="M46" i="2"/>
  <c r="L45" i="2"/>
  <c r="M45" i="2"/>
  <c r="L44" i="2"/>
  <c r="M44" i="2"/>
  <c r="L43" i="2"/>
  <c r="M43" i="2"/>
  <c r="L42" i="2"/>
  <c r="M42" i="2"/>
  <c r="L41" i="2"/>
  <c r="M41" i="2"/>
  <c r="L40" i="2"/>
  <c r="M40" i="2"/>
  <c r="L39" i="2"/>
  <c r="M39" i="2"/>
  <c r="L38" i="2"/>
  <c r="M38" i="2"/>
  <c r="L37" i="2"/>
  <c r="M37" i="2"/>
  <c r="L36" i="2"/>
  <c r="M36" i="2"/>
  <c r="L35" i="2"/>
  <c r="M35" i="2"/>
  <c r="L34" i="2"/>
  <c r="M34" i="2"/>
  <c r="L33" i="2"/>
  <c r="M33" i="2"/>
  <c r="L32" i="2"/>
  <c r="M32" i="2"/>
  <c r="L31" i="2"/>
  <c r="M31" i="2"/>
  <c r="L30" i="2"/>
  <c r="M30" i="2"/>
  <c r="L29" i="2"/>
  <c r="M29" i="2"/>
  <c r="L28" i="2"/>
  <c r="M28" i="2"/>
  <c r="L27" i="2"/>
  <c r="M27" i="2"/>
  <c r="L26" i="2"/>
  <c r="M26" i="2"/>
  <c r="L25" i="2"/>
  <c r="M25" i="2"/>
  <c r="L24" i="2"/>
  <c r="M24" i="2"/>
  <c r="L23" i="2"/>
  <c r="M23" i="2"/>
  <c r="L22" i="2"/>
  <c r="M22" i="2"/>
  <c r="L21" i="2"/>
  <c r="M21" i="2"/>
  <c r="L20" i="2"/>
  <c r="M20" i="2"/>
  <c r="L19" i="2"/>
  <c r="M19" i="2"/>
  <c r="L18" i="2"/>
  <c r="M18" i="2"/>
  <c r="L17" i="2"/>
  <c r="M17" i="2"/>
  <c r="L16" i="2"/>
  <c r="M16" i="2"/>
  <c r="L15" i="2"/>
  <c r="M15" i="2"/>
  <c r="L14" i="2"/>
  <c r="M14" i="2"/>
  <c r="L13" i="2"/>
  <c r="M13" i="2"/>
  <c r="L12" i="2"/>
  <c r="M12" i="2"/>
  <c r="L11" i="2"/>
  <c r="M11" i="2"/>
  <c r="L10" i="2"/>
  <c r="M10" i="2"/>
  <c r="L9" i="2"/>
  <c r="M9" i="2"/>
  <c r="L8" i="2"/>
  <c r="M8" i="2"/>
  <c r="L7" i="2"/>
  <c r="M7" i="2"/>
  <c r="L6" i="2"/>
  <c r="M6" i="2"/>
  <c r="L5" i="2"/>
  <c r="M5" i="2"/>
  <c r="L4" i="2"/>
  <c r="M4" i="2"/>
  <c r="L7" i="6" l="1"/>
  <c r="M7" i="6"/>
  <c r="L5" i="6"/>
  <c r="M5" i="6"/>
  <c r="K7" i="6"/>
  <c r="K5" i="6"/>
  <c r="I4" i="6"/>
  <c r="I5" i="6"/>
  <c r="I6" i="6"/>
  <c r="I8" i="6"/>
  <c r="I9" i="6"/>
  <c r="I10" i="6"/>
  <c r="I11" i="6"/>
  <c r="I12" i="6"/>
  <c r="I13" i="6"/>
  <c r="I14" i="6"/>
  <c r="I15" i="6"/>
  <c r="I311" i="7"/>
  <c r="L311" i="7"/>
  <c r="I312" i="7"/>
  <c r="L312" i="7"/>
  <c r="I313" i="7"/>
  <c r="L313" i="7"/>
  <c r="I314" i="7"/>
  <c r="L314" i="7"/>
  <c r="I315" i="7"/>
  <c r="L315" i="7"/>
  <c r="I316" i="7"/>
  <c r="L316" i="7"/>
  <c r="I317" i="7"/>
  <c r="L317" i="7"/>
  <c r="I318" i="7"/>
  <c r="L318" i="7"/>
  <c r="I319" i="7"/>
  <c r="L319" i="7"/>
  <c r="I320" i="7"/>
  <c r="L320" i="7"/>
  <c r="I321" i="7"/>
  <c r="L321" i="7"/>
  <c r="I322" i="7"/>
  <c r="L322" i="7"/>
  <c r="I323" i="7"/>
  <c r="L323" i="7"/>
  <c r="I327" i="7"/>
  <c r="L327" i="7"/>
  <c r="I325" i="7"/>
  <c r="L325" i="7"/>
  <c r="I324" i="7"/>
  <c r="L324" i="7"/>
  <c r="I326" i="7"/>
  <c r="L326" i="7"/>
  <c r="I330" i="7"/>
  <c r="L330" i="7"/>
  <c r="I894" i="7"/>
  <c r="L894" i="7"/>
  <c r="I893" i="7"/>
  <c r="L893" i="7"/>
  <c r="I892" i="7"/>
  <c r="L892" i="7"/>
  <c r="I891" i="7"/>
  <c r="L891" i="7"/>
  <c r="I890" i="7"/>
  <c r="L890" i="7"/>
  <c r="I889" i="7"/>
  <c r="L889" i="7"/>
  <c r="I888" i="7"/>
  <c r="L888" i="7"/>
  <c r="I887" i="7"/>
  <c r="L887" i="7"/>
  <c r="I886" i="7"/>
  <c r="L886" i="7"/>
  <c r="I885" i="7"/>
  <c r="L885" i="7"/>
  <c r="I884" i="7"/>
  <c r="L884" i="7"/>
  <c r="I883" i="7"/>
  <c r="L883" i="7"/>
  <c r="I882" i="7"/>
  <c r="L882" i="7"/>
  <c r="I881" i="7"/>
  <c r="L881" i="7"/>
  <c r="I880" i="7"/>
  <c r="L880" i="7"/>
  <c r="I879" i="7"/>
  <c r="L879" i="7"/>
  <c r="I878" i="7"/>
  <c r="L878" i="7"/>
  <c r="I877" i="7"/>
  <c r="L877" i="7"/>
  <c r="I876" i="7"/>
  <c r="L876" i="7"/>
  <c r="I875" i="7"/>
  <c r="L875" i="7"/>
  <c r="I874" i="7"/>
  <c r="L874" i="7"/>
  <c r="I873" i="7"/>
  <c r="L873" i="7"/>
  <c r="I872" i="7"/>
  <c r="L872" i="7"/>
  <c r="I871" i="7"/>
  <c r="L871" i="7"/>
  <c r="I870" i="7"/>
  <c r="L870" i="7"/>
  <c r="I869" i="7"/>
  <c r="L869" i="7"/>
  <c r="I868" i="7"/>
  <c r="L868" i="7"/>
  <c r="I867" i="7"/>
  <c r="L867" i="7"/>
  <c r="I866" i="7"/>
  <c r="L866" i="7"/>
  <c r="I865" i="7"/>
  <c r="L865" i="7"/>
  <c r="I864" i="7"/>
  <c r="L864" i="7"/>
  <c r="I863" i="7"/>
  <c r="L863" i="7"/>
  <c r="I862" i="7"/>
  <c r="L862" i="7"/>
  <c r="I861" i="7"/>
  <c r="L861" i="7"/>
  <c r="I860" i="7"/>
  <c r="L860" i="7"/>
  <c r="I859" i="7"/>
  <c r="L859" i="7"/>
  <c r="I858" i="7"/>
  <c r="L858" i="7"/>
  <c r="I857" i="7"/>
  <c r="L857" i="7"/>
  <c r="I856" i="7"/>
  <c r="L856" i="7"/>
  <c r="I855" i="7"/>
  <c r="L855" i="7"/>
  <c r="I854" i="7"/>
  <c r="L854" i="7"/>
  <c r="I853" i="7"/>
  <c r="L853" i="7"/>
  <c r="I852" i="7"/>
  <c r="L852" i="7"/>
  <c r="I851" i="7"/>
  <c r="L851" i="7"/>
  <c r="I850" i="7"/>
  <c r="L850" i="7"/>
  <c r="I849" i="7"/>
  <c r="L849" i="7"/>
  <c r="I848" i="7"/>
  <c r="L848" i="7"/>
  <c r="I847" i="7"/>
  <c r="L847" i="7"/>
  <c r="I846" i="7"/>
  <c r="L846" i="7"/>
  <c r="I845" i="7"/>
  <c r="L845" i="7"/>
  <c r="I844" i="7"/>
  <c r="L844" i="7"/>
  <c r="I843" i="7"/>
  <c r="L843" i="7"/>
  <c r="I842" i="7"/>
  <c r="L842" i="7"/>
  <c r="I841" i="7"/>
  <c r="L841" i="7"/>
  <c r="I840" i="7"/>
  <c r="L840" i="7"/>
  <c r="I839" i="7"/>
  <c r="L839" i="7"/>
  <c r="I838" i="7"/>
  <c r="L838" i="7"/>
  <c r="I837" i="7"/>
  <c r="L837" i="7"/>
  <c r="I836" i="7"/>
  <c r="L836" i="7"/>
  <c r="I835" i="7"/>
  <c r="L835" i="7"/>
  <c r="I834" i="7"/>
  <c r="L834" i="7"/>
  <c r="I833" i="7"/>
  <c r="L833" i="7"/>
  <c r="I832" i="7"/>
  <c r="L832" i="7"/>
  <c r="I831" i="7"/>
  <c r="L831" i="7"/>
  <c r="I830" i="7"/>
  <c r="L830" i="7"/>
  <c r="I829" i="7"/>
  <c r="L829" i="7"/>
  <c r="I828" i="7"/>
  <c r="L828" i="7"/>
  <c r="I827" i="7"/>
  <c r="L827" i="7"/>
  <c r="I826" i="7"/>
  <c r="L826" i="7"/>
  <c r="I825" i="7"/>
  <c r="L825" i="7"/>
  <c r="I824" i="7"/>
  <c r="L824" i="7"/>
  <c r="I823" i="7"/>
  <c r="L823" i="7"/>
  <c r="I822" i="7"/>
  <c r="L822" i="7"/>
  <c r="I821" i="7"/>
  <c r="L821" i="7"/>
  <c r="I820" i="7"/>
  <c r="L820" i="7"/>
  <c r="I819" i="7"/>
  <c r="L819" i="7"/>
  <c r="I818" i="7"/>
  <c r="L818" i="7"/>
  <c r="I817" i="7"/>
  <c r="L817" i="7"/>
  <c r="I816" i="7"/>
  <c r="L816" i="7"/>
  <c r="I815" i="7"/>
  <c r="L815" i="7"/>
  <c r="I814" i="7"/>
  <c r="L814" i="7"/>
  <c r="I813" i="7"/>
  <c r="L813" i="7"/>
  <c r="I812" i="7"/>
  <c r="L812" i="7"/>
  <c r="I811" i="7"/>
  <c r="L811" i="7"/>
  <c r="I810" i="7"/>
  <c r="L810" i="7"/>
  <c r="I809" i="7"/>
  <c r="L809" i="7"/>
  <c r="I808" i="7"/>
  <c r="L808" i="7"/>
  <c r="I807" i="7"/>
  <c r="L807" i="7"/>
  <c r="I806" i="7"/>
  <c r="L806" i="7"/>
  <c r="I805" i="7"/>
  <c r="L805" i="7"/>
  <c r="I804" i="7"/>
  <c r="L804" i="7"/>
  <c r="I803" i="7"/>
  <c r="L803" i="7"/>
  <c r="I802" i="7"/>
  <c r="L802" i="7"/>
  <c r="I801" i="7"/>
  <c r="L801" i="7"/>
  <c r="I800" i="7"/>
  <c r="L800" i="7"/>
  <c r="I799" i="7"/>
  <c r="L799" i="7"/>
  <c r="I798" i="7"/>
  <c r="L798" i="7"/>
  <c r="I797" i="7"/>
  <c r="L797" i="7"/>
  <c r="I796" i="7"/>
  <c r="L796" i="7"/>
  <c r="I795" i="7"/>
  <c r="L795" i="7"/>
  <c r="I794" i="7"/>
  <c r="L794" i="7"/>
  <c r="I793" i="7"/>
  <c r="L793" i="7"/>
  <c r="I792" i="7"/>
  <c r="L792" i="7"/>
  <c r="I791" i="7"/>
  <c r="L791" i="7"/>
  <c r="I790" i="7"/>
  <c r="L790" i="7"/>
  <c r="I789" i="7"/>
  <c r="L789" i="7"/>
  <c r="I788" i="7"/>
  <c r="L788" i="7"/>
  <c r="I787" i="7"/>
  <c r="L787" i="7"/>
  <c r="I786" i="7"/>
  <c r="L786" i="7"/>
  <c r="I785" i="7"/>
  <c r="L785" i="7"/>
  <c r="I784" i="7"/>
  <c r="L784" i="7"/>
  <c r="I783" i="7"/>
  <c r="L783" i="7"/>
  <c r="I782" i="7"/>
  <c r="L782" i="7"/>
  <c r="I781" i="7"/>
  <c r="L781" i="7"/>
  <c r="I780" i="7"/>
  <c r="L780" i="7"/>
  <c r="I779" i="7"/>
  <c r="L779" i="7"/>
  <c r="I778" i="7"/>
  <c r="L778" i="7"/>
  <c r="I777" i="7"/>
  <c r="L777" i="7"/>
  <c r="I776" i="7"/>
  <c r="L776" i="7"/>
  <c r="I775" i="7"/>
  <c r="L775" i="7"/>
  <c r="I774" i="7"/>
  <c r="L774" i="7"/>
  <c r="I773" i="7"/>
  <c r="L773" i="7"/>
  <c r="I772" i="7"/>
  <c r="L772" i="7"/>
  <c r="I771" i="7"/>
  <c r="L771" i="7"/>
  <c r="I770" i="7"/>
  <c r="L770" i="7"/>
  <c r="I769" i="7"/>
  <c r="L769" i="7"/>
  <c r="I768" i="7"/>
  <c r="L768" i="7"/>
  <c r="I767" i="7"/>
  <c r="L767" i="7"/>
  <c r="I766" i="7"/>
  <c r="L766" i="7"/>
  <c r="I765" i="7"/>
  <c r="L765" i="7"/>
  <c r="I764" i="7"/>
  <c r="L764" i="7"/>
  <c r="I763" i="7"/>
  <c r="L763" i="7"/>
  <c r="I762" i="7"/>
  <c r="L762" i="7"/>
  <c r="I761" i="7"/>
  <c r="L761" i="7"/>
  <c r="I760" i="7"/>
  <c r="L760" i="7"/>
  <c r="I759" i="7"/>
  <c r="L759" i="7"/>
  <c r="I758" i="7"/>
  <c r="L758" i="7"/>
  <c r="I757" i="7"/>
  <c r="L757" i="7"/>
  <c r="I756" i="7"/>
  <c r="L756" i="7"/>
  <c r="I755" i="7"/>
  <c r="L755" i="7"/>
  <c r="I754" i="7"/>
  <c r="L754" i="7"/>
  <c r="I753" i="7"/>
  <c r="L753" i="7"/>
  <c r="I752" i="7"/>
  <c r="L752" i="7"/>
  <c r="I751" i="7"/>
  <c r="L751" i="7"/>
  <c r="I750" i="7"/>
  <c r="L750" i="7"/>
  <c r="I749" i="7"/>
  <c r="L749" i="7"/>
  <c r="I748" i="7"/>
  <c r="L748" i="7"/>
  <c r="I747" i="7"/>
  <c r="L747" i="7"/>
  <c r="I746" i="7"/>
  <c r="L746" i="7"/>
  <c r="I745" i="7"/>
  <c r="L745" i="7"/>
  <c r="I744" i="7"/>
  <c r="L744" i="7"/>
  <c r="I743" i="7"/>
  <c r="L743" i="7"/>
  <c r="I742" i="7"/>
  <c r="L742" i="7"/>
  <c r="I741" i="7"/>
  <c r="L741" i="7"/>
  <c r="I740" i="7"/>
  <c r="L740" i="7"/>
  <c r="I739" i="7"/>
  <c r="L739" i="7"/>
  <c r="I738" i="7"/>
  <c r="L738" i="7"/>
  <c r="I737" i="7"/>
  <c r="L737" i="7"/>
  <c r="I736" i="7"/>
  <c r="L736" i="7"/>
  <c r="I735" i="7"/>
  <c r="L735" i="7"/>
  <c r="I734" i="7"/>
  <c r="L734" i="7"/>
  <c r="I733" i="7"/>
  <c r="L733" i="7"/>
  <c r="I732" i="7"/>
  <c r="L732" i="7"/>
  <c r="I731" i="7"/>
  <c r="L731" i="7"/>
  <c r="I730" i="7"/>
  <c r="L730" i="7"/>
  <c r="I729" i="7"/>
  <c r="L729" i="7"/>
  <c r="I728" i="7"/>
  <c r="L728" i="7"/>
  <c r="I727" i="7"/>
  <c r="L727" i="7"/>
  <c r="I726" i="7"/>
  <c r="L726" i="7"/>
  <c r="I725" i="7"/>
  <c r="L725" i="7"/>
  <c r="I724" i="7"/>
  <c r="L724" i="7"/>
  <c r="I723" i="7"/>
  <c r="L723" i="7"/>
  <c r="I722" i="7"/>
  <c r="L722" i="7"/>
  <c r="I721" i="7"/>
  <c r="L721" i="7"/>
  <c r="I720" i="7"/>
  <c r="L720" i="7"/>
  <c r="I719" i="7"/>
  <c r="L719" i="7"/>
  <c r="I718" i="7"/>
  <c r="L718" i="7"/>
  <c r="I717" i="7"/>
  <c r="L717" i="7"/>
  <c r="I716" i="7"/>
  <c r="L716" i="7"/>
  <c r="I715" i="7"/>
  <c r="L715" i="7"/>
  <c r="I714" i="7"/>
  <c r="L714" i="7"/>
  <c r="I713" i="7"/>
  <c r="L713" i="7"/>
  <c r="I712" i="7"/>
  <c r="L712" i="7"/>
  <c r="I711" i="7"/>
  <c r="L711" i="7"/>
  <c r="I710" i="7"/>
  <c r="L710" i="7"/>
  <c r="I709" i="7"/>
  <c r="L709" i="7"/>
  <c r="I708" i="7"/>
  <c r="L708" i="7"/>
  <c r="I707" i="7"/>
  <c r="L707" i="7"/>
  <c r="I706" i="7"/>
  <c r="L706" i="7"/>
  <c r="I705" i="7"/>
  <c r="L705" i="7"/>
  <c r="I704" i="7"/>
  <c r="L704" i="7"/>
  <c r="I703" i="7"/>
  <c r="L703" i="7"/>
  <c r="I702" i="7"/>
  <c r="L702" i="7"/>
  <c r="I701" i="7"/>
  <c r="L701" i="7"/>
  <c r="I700" i="7"/>
  <c r="L700" i="7"/>
  <c r="I699" i="7"/>
  <c r="L699" i="7"/>
  <c r="I698" i="7"/>
  <c r="L698" i="7"/>
  <c r="I697" i="7"/>
  <c r="L697" i="7"/>
  <c r="I696" i="7"/>
  <c r="L696" i="7"/>
  <c r="I695" i="7"/>
  <c r="L695" i="7"/>
  <c r="I694" i="7"/>
  <c r="L694" i="7"/>
  <c r="I693" i="7"/>
  <c r="L693" i="7"/>
  <c r="I692" i="7"/>
  <c r="L692" i="7"/>
  <c r="I691" i="7"/>
  <c r="L691" i="7"/>
  <c r="I690" i="7"/>
  <c r="L690" i="7"/>
  <c r="I689" i="7"/>
  <c r="L689" i="7"/>
  <c r="I688" i="7"/>
  <c r="L688" i="7"/>
  <c r="I687" i="7"/>
  <c r="L687" i="7"/>
  <c r="I686" i="7"/>
  <c r="L686" i="7"/>
  <c r="I685" i="7"/>
  <c r="L685" i="7"/>
  <c r="I684" i="7"/>
  <c r="L684" i="7"/>
  <c r="I683" i="7"/>
  <c r="L683" i="7"/>
  <c r="I682" i="7"/>
  <c r="L682" i="7"/>
  <c r="I681" i="7"/>
  <c r="L681" i="7"/>
  <c r="I680" i="7"/>
  <c r="L680" i="7"/>
  <c r="I679" i="7"/>
  <c r="L679" i="7"/>
  <c r="I678" i="7"/>
  <c r="L678" i="7"/>
  <c r="I677" i="7"/>
  <c r="L677" i="7"/>
  <c r="I676" i="7"/>
  <c r="L676" i="7"/>
  <c r="I675" i="7"/>
  <c r="L675" i="7"/>
  <c r="I674" i="7"/>
  <c r="L674" i="7"/>
  <c r="I673" i="7"/>
  <c r="L673" i="7"/>
  <c r="I672" i="7"/>
  <c r="L672" i="7"/>
  <c r="I671" i="7"/>
  <c r="L671" i="7"/>
  <c r="I670" i="7"/>
  <c r="L670" i="7"/>
  <c r="I669" i="7"/>
  <c r="L669" i="7"/>
  <c r="I668" i="7"/>
  <c r="L668" i="7"/>
  <c r="I667" i="7"/>
  <c r="L667" i="7"/>
  <c r="I666" i="7"/>
  <c r="L666" i="7"/>
  <c r="I665" i="7"/>
  <c r="L665" i="7"/>
  <c r="I664" i="7"/>
  <c r="L664" i="7"/>
  <c r="I663" i="7"/>
  <c r="L663" i="7"/>
  <c r="I662" i="7"/>
  <c r="L662" i="7"/>
  <c r="I661" i="7"/>
  <c r="L661" i="7"/>
  <c r="I660" i="7"/>
  <c r="L660" i="7"/>
  <c r="I659" i="7"/>
  <c r="L659" i="7"/>
  <c r="I658" i="7"/>
  <c r="L658" i="7"/>
  <c r="I657" i="7"/>
  <c r="L657" i="7"/>
  <c r="I656" i="7"/>
  <c r="L656" i="7"/>
  <c r="I655" i="7"/>
  <c r="L655" i="7"/>
  <c r="I654" i="7"/>
  <c r="L654" i="7"/>
  <c r="I653" i="7"/>
  <c r="L653" i="7"/>
  <c r="I652" i="7"/>
  <c r="L652" i="7"/>
  <c r="I651" i="7"/>
  <c r="L651" i="7"/>
  <c r="I650" i="7"/>
  <c r="L650" i="7"/>
  <c r="I649" i="7"/>
  <c r="L649" i="7"/>
  <c r="I648" i="7"/>
  <c r="L648" i="7"/>
  <c r="I647" i="7"/>
  <c r="L647" i="7"/>
  <c r="I646" i="7"/>
  <c r="L646" i="7"/>
  <c r="I645" i="7"/>
  <c r="L645" i="7"/>
  <c r="I644" i="7"/>
  <c r="L644" i="7"/>
  <c r="I643" i="7"/>
  <c r="L643" i="7"/>
  <c r="I642" i="7"/>
  <c r="L642" i="7"/>
  <c r="I641" i="7"/>
  <c r="L641" i="7"/>
  <c r="I640" i="7"/>
  <c r="L640" i="7"/>
  <c r="I639" i="7"/>
  <c r="L639" i="7"/>
  <c r="I638" i="7"/>
  <c r="L638" i="7"/>
  <c r="I637" i="7"/>
  <c r="L637" i="7"/>
  <c r="I636" i="7"/>
  <c r="L636" i="7"/>
  <c r="I635" i="7"/>
  <c r="L635" i="7"/>
  <c r="I634" i="7"/>
  <c r="L634" i="7"/>
  <c r="I633" i="7"/>
  <c r="L633" i="7"/>
  <c r="I632" i="7"/>
  <c r="L632" i="7"/>
  <c r="I631" i="7"/>
  <c r="L631" i="7"/>
  <c r="I630" i="7"/>
  <c r="L630" i="7"/>
  <c r="I629" i="7"/>
  <c r="L629" i="7"/>
  <c r="I628" i="7"/>
  <c r="L628" i="7"/>
  <c r="I627" i="7"/>
  <c r="L627" i="7"/>
  <c r="I626" i="7"/>
  <c r="L626" i="7"/>
  <c r="I625" i="7"/>
  <c r="L625" i="7"/>
  <c r="I624" i="7"/>
  <c r="L624" i="7"/>
  <c r="I623" i="7"/>
  <c r="L623" i="7"/>
  <c r="I622" i="7"/>
  <c r="L622" i="7"/>
  <c r="I621" i="7"/>
  <c r="L621" i="7"/>
  <c r="I620" i="7"/>
  <c r="L620" i="7"/>
  <c r="I619" i="7"/>
  <c r="L619" i="7"/>
  <c r="I618" i="7"/>
  <c r="L618" i="7"/>
  <c r="I617" i="7"/>
  <c r="L617" i="7"/>
  <c r="I616" i="7"/>
  <c r="L616" i="7"/>
  <c r="I615" i="7"/>
  <c r="L615" i="7"/>
  <c r="I614" i="7"/>
  <c r="L614" i="7"/>
  <c r="I613" i="7"/>
  <c r="L613" i="7"/>
  <c r="I612" i="7"/>
  <c r="L612" i="7"/>
  <c r="I611" i="7"/>
  <c r="L611" i="7"/>
  <c r="I610" i="7"/>
  <c r="L610" i="7"/>
  <c r="I609" i="7"/>
  <c r="L609" i="7"/>
  <c r="I608" i="7"/>
  <c r="L608" i="7"/>
  <c r="I607" i="7"/>
  <c r="L607" i="7"/>
  <c r="I606" i="7"/>
  <c r="L606" i="7"/>
  <c r="I605" i="7"/>
  <c r="L605" i="7"/>
  <c r="I604" i="7"/>
  <c r="L604" i="7"/>
  <c r="I603" i="7"/>
  <c r="L603" i="7"/>
  <c r="I602" i="7"/>
  <c r="L602" i="7"/>
  <c r="I601" i="7"/>
  <c r="L601" i="7"/>
  <c r="I600" i="7"/>
  <c r="L600" i="7"/>
  <c r="I599" i="7"/>
  <c r="L599" i="7"/>
  <c r="I598" i="7"/>
  <c r="L598" i="7"/>
  <c r="I597" i="7"/>
  <c r="L597" i="7"/>
  <c r="I596" i="7"/>
  <c r="L596" i="7"/>
  <c r="I595" i="7"/>
  <c r="L595" i="7"/>
  <c r="I594" i="7"/>
  <c r="L594" i="7"/>
  <c r="I593" i="7"/>
  <c r="L593" i="7"/>
  <c r="I592" i="7"/>
  <c r="L592" i="7"/>
  <c r="I591" i="7"/>
  <c r="L591" i="7"/>
  <c r="I590" i="7"/>
  <c r="L590" i="7"/>
  <c r="I589" i="7"/>
  <c r="L589" i="7"/>
  <c r="I588" i="7"/>
  <c r="L588" i="7"/>
  <c r="I587" i="7"/>
  <c r="L587" i="7"/>
  <c r="I586" i="7"/>
  <c r="L586" i="7"/>
  <c r="I585" i="7"/>
  <c r="L585" i="7"/>
  <c r="I584" i="7"/>
  <c r="L584" i="7"/>
  <c r="I583" i="7"/>
  <c r="L583" i="7"/>
  <c r="I582" i="7"/>
  <c r="L582" i="7"/>
  <c r="I581" i="7"/>
  <c r="L581" i="7"/>
  <c r="I580" i="7"/>
  <c r="L580" i="7"/>
  <c r="I579" i="7"/>
  <c r="L579" i="7"/>
  <c r="I578" i="7"/>
  <c r="L578" i="7"/>
  <c r="I577" i="7"/>
  <c r="L577" i="7"/>
  <c r="I576" i="7"/>
  <c r="L576" i="7"/>
  <c r="I575" i="7"/>
  <c r="L575" i="7"/>
  <c r="I574" i="7"/>
  <c r="L574" i="7"/>
  <c r="I573" i="7"/>
  <c r="L573" i="7"/>
  <c r="I572" i="7"/>
  <c r="L572" i="7"/>
  <c r="I571" i="7"/>
  <c r="L571" i="7"/>
  <c r="I570" i="7"/>
  <c r="L570" i="7"/>
  <c r="I569" i="7"/>
  <c r="L569" i="7"/>
  <c r="I568" i="7"/>
  <c r="L568" i="7"/>
  <c r="I567" i="7"/>
  <c r="L567" i="7"/>
  <c r="I566" i="7"/>
  <c r="L566" i="7"/>
  <c r="I565" i="7"/>
  <c r="L565" i="7"/>
  <c r="I564" i="7"/>
  <c r="L564" i="7"/>
  <c r="I563" i="7"/>
  <c r="L563" i="7"/>
  <c r="I562" i="7"/>
  <c r="L562" i="7"/>
  <c r="I561" i="7"/>
  <c r="L561" i="7"/>
  <c r="I560" i="7"/>
  <c r="L560" i="7"/>
  <c r="I559" i="7"/>
  <c r="L559" i="7"/>
  <c r="I558" i="7"/>
  <c r="L558" i="7"/>
  <c r="I557" i="7"/>
  <c r="L557" i="7"/>
  <c r="I556" i="7"/>
  <c r="L556" i="7"/>
  <c r="I555" i="7"/>
  <c r="L555" i="7"/>
  <c r="I554" i="7"/>
  <c r="L554" i="7"/>
  <c r="I553" i="7"/>
  <c r="L553" i="7"/>
  <c r="I552" i="7"/>
  <c r="L552" i="7"/>
  <c r="I551" i="7"/>
  <c r="L551" i="7"/>
  <c r="I550" i="7"/>
  <c r="L550" i="7"/>
  <c r="I549" i="7"/>
  <c r="L549" i="7"/>
  <c r="I548" i="7"/>
  <c r="L548" i="7"/>
  <c r="I547" i="7"/>
  <c r="L547" i="7"/>
  <c r="I546" i="7"/>
  <c r="L546" i="7"/>
  <c r="I545" i="7"/>
  <c r="L545" i="7"/>
  <c r="I544" i="7"/>
  <c r="L544" i="7"/>
  <c r="I543" i="7"/>
  <c r="L543" i="7"/>
  <c r="I542" i="7"/>
  <c r="L542" i="7"/>
  <c r="I541" i="7"/>
  <c r="L541" i="7"/>
  <c r="I540" i="7"/>
  <c r="L540" i="7"/>
  <c r="I539" i="7"/>
  <c r="L539" i="7"/>
  <c r="I538" i="7"/>
  <c r="L538" i="7"/>
  <c r="I537" i="7"/>
  <c r="L537" i="7"/>
  <c r="I536" i="7"/>
  <c r="L536" i="7"/>
  <c r="I535" i="7"/>
  <c r="L535" i="7"/>
  <c r="I534" i="7"/>
  <c r="L534" i="7"/>
  <c r="I533" i="7"/>
  <c r="L533" i="7"/>
  <c r="I532" i="7"/>
  <c r="L532" i="7"/>
  <c r="I531" i="7"/>
  <c r="L531" i="7"/>
  <c r="I530" i="7"/>
  <c r="L530" i="7"/>
  <c r="I529" i="7"/>
  <c r="L529" i="7"/>
  <c r="I528" i="7"/>
  <c r="L528" i="7"/>
  <c r="I527" i="7"/>
  <c r="L527" i="7"/>
  <c r="I526" i="7"/>
  <c r="L526" i="7"/>
  <c r="I525" i="7"/>
  <c r="L525" i="7"/>
  <c r="I524" i="7"/>
  <c r="L524" i="7"/>
  <c r="I523" i="7"/>
  <c r="L523" i="7"/>
  <c r="I522" i="7"/>
  <c r="L522" i="7"/>
  <c r="I521" i="7"/>
  <c r="L521" i="7"/>
  <c r="I520" i="7"/>
  <c r="L520" i="7"/>
  <c r="I519" i="7"/>
  <c r="L519" i="7"/>
  <c r="I518" i="7"/>
  <c r="L518" i="7"/>
  <c r="I517" i="7"/>
  <c r="L517" i="7"/>
  <c r="I516" i="7"/>
  <c r="L516" i="7"/>
  <c r="I515" i="7"/>
  <c r="L515" i="7"/>
  <c r="I514" i="7"/>
  <c r="L514" i="7"/>
  <c r="I513" i="7"/>
  <c r="L513" i="7"/>
  <c r="I512" i="7"/>
  <c r="L512" i="7"/>
  <c r="I511" i="7"/>
  <c r="L511" i="7"/>
  <c r="I510" i="7"/>
  <c r="L510" i="7"/>
  <c r="I509" i="7"/>
  <c r="L509" i="7"/>
  <c r="I508" i="7"/>
  <c r="L508" i="7"/>
  <c r="I507" i="7"/>
  <c r="L507" i="7"/>
  <c r="I506" i="7"/>
  <c r="L506" i="7"/>
  <c r="I505" i="7"/>
  <c r="L505" i="7"/>
  <c r="I504" i="7"/>
  <c r="L504" i="7"/>
  <c r="I503" i="7"/>
  <c r="L503" i="7"/>
  <c r="I502" i="7"/>
  <c r="L502" i="7"/>
  <c r="I501" i="7"/>
  <c r="L501" i="7"/>
  <c r="I500" i="7"/>
  <c r="L500" i="7"/>
  <c r="I499" i="7"/>
  <c r="L499" i="7"/>
  <c r="I498" i="7"/>
  <c r="L498" i="7"/>
  <c r="I497" i="7"/>
  <c r="L497" i="7"/>
  <c r="I496" i="7"/>
  <c r="L496" i="7"/>
  <c r="I495" i="7"/>
  <c r="L495" i="7"/>
  <c r="I494" i="7"/>
  <c r="L494" i="7"/>
  <c r="I493" i="7"/>
  <c r="L493" i="7"/>
  <c r="I492" i="7"/>
  <c r="L492" i="7"/>
  <c r="I491" i="7"/>
  <c r="L491" i="7"/>
  <c r="I490" i="7"/>
  <c r="L490" i="7"/>
  <c r="I489" i="7"/>
  <c r="L489" i="7"/>
  <c r="I488" i="7"/>
  <c r="L488" i="7"/>
  <c r="I487" i="7"/>
  <c r="L487" i="7"/>
  <c r="I486" i="7"/>
  <c r="L486" i="7"/>
  <c r="I485" i="7"/>
  <c r="L485" i="7"/>
  <c r="I484" i="7"/>
  <c r="L484" i="7"/>
  <c r="I483" i="7"/>
  <c r="L483" i="7"/>
  <c r="I482" i="7"/>
  <c r="L482" i="7"/>
  <c r="I481" i="7"/>
  <c r="L481" i="7"/>
  <c r="I480" i="7"/>
  <c r="L480" i="7"/>
  <c r="I479" i="7"/>
  <c r="L479" i="7"/>
  <c r="I478" i="7"/>
  <c r="L478" i="7"/>
  <c r="I477" i="7"/>
  <c r="L477" i="7"/>
  <c r="I476" i="7"/>
  <c r="L476" i="7"/>
  <c r="I475" i="7"/>
  <c r="L475" i="7"/>
  <c r="I474" i="7"/>
  <c r="L474" i="7"/>
  <c r="I473" i="7"/>
  <c r="L473" i="7"/>
  <c r="I472" i="7"/>
  <c r="L472" i="7"/>
  <c r="I471" i="7"/>
  <c r="L471" i="7"/>
  <c r="I470" i="7"/>
  <c r="L470" i="7"/>
  <c r="I469" i="7"/>
  <c r="L469" i="7"/>
  <c r="I468" i="7"/>
  <c r="L468" i="7"/>
  <c r="I467" i="7"/>
  <c r="L467" i="7"/>
  <c r="I466" i="7"/>
  <c r="L466" i="7"/>
  <c r="I465" i="7"/>
  <c r="L465" i="7"/>
  <c r="I464" i="7"/>
  <c r="L464" i="7"/>
  <c r="I463" i="7"/>
  <c r="L463" i="7"/>
  <c r="I462" i="7"/>
  <c r="L462" i="7"/>
  <c r="I461" i="7"/>
  <c r="L461" i="7"/>
  <c r="I460" i="7"/>
  <c r="L460" i="7"/>
  <c r="I459" i="7"/>
  <c r="L459" i="7"/>
  <c r="I458" i="7"/>
  <c r="L458" i="7"/>
  <c r="I457" i="7"/>
  <c r="L457" i="7"/>
  <c r="I456" i="7"/>
  <c r="L456" i="7"/>
  <c r="I455" i="7"/>
  <c r="L455" i="7"/>
  <c r="I454" i="7"/>
  <c r="L454" i="7"/>
  <c r="I453" i="7"/>
  <c r="L453" i="7"/>
  <c r="I452" i="7"/>
  <c r="L452" i="7"/>
  <c r="I451" i="7"/>
  <c r="L451" i="7"/>
  <c r="I450" i="7"/>
  <c r="L450" i="7"/>
  <c r="I449" i="7"/>
  <c r="L449" i="7"/>
  <c r="I448" i="7"/>
  <c r="L448" i="7"/>
  <c r="I447" i="7"/>
  <c r="L447" i="7"/>
  <c r="I446" i="7"/>
  <c r="L446" i="7"/>
  <c r="I445" i="7"/>
  <c r="L445" i="7"/>
  <c r="I444" i="7"/>
  <c r="L444" i="7"/>
  <c r="I443" i="7"/>
  <c r="L443" i="7"/>
  <c r="I442" i="7"/>
  <c r="L442" i="7"/>
  <c r="I441" i="7"/>
  <c r="L441" i="7"/>
  <c r="I440" i="7"/>
  <c r="L440" i="7"/>
  <c r="I439" i="7"/>
  <c r="L439" i="7"/>
  <c r="I438" i="7"/>
  <c r="L438" i="7"/>
  <c r="I437" i="7"/>
  <c r="L437" i="7"/>
  <c r="I436" i="7"/>
  <c r="L436" i="7"/>
  <c r="I435" i="7"/>
  <c r="L435" i="7"/>
  <c r="I434" i="7"/>
  <c r="L434" i="7"/>
  <c r="I433" i="7"/>
  <c r="L433" i="7"/>
  <c r="I432" i="7"/>
  <c r="L432" i="7"/>
  <c r="I431" i="7"/>
  <c r="L431" i="7"/>
  <c r="I430" i="7"/>
  <c r="L430" i="7"/>
  <c r="I429" i="7"/>
  <c r="L429" i="7"/>
  <c r="I428" i="7"/>
  <c r="L428" i="7"/>
  <c r="I427" i="7"/>
  <c r="L427" i="7"/>
  <c r="I426" i="7"/>
  <c r="L426" i="7"/>
  <c r="I425" i="7"/>
  <c r="L425" i="7"/>
  <c r="I424" i="7"/>
  <c r="L424" i="7"/>
  <c r="I423" i="7"/>
  <c r="L423" i="7"/>
  <c r="I422" i="7"/>
  <c r="L422" i="7"/>
  <c r="I421" i="7"/>
  <c r="L421" i="7"/>
  <c r="I420" i="7"/>
  <c r="L420" i="7"/>
  <c r="I419" i="7"/>
  <c r="L419" i="7"/>
  <c r="I418" i="7"/>
  <c r="L418" i="7"/>
  <c r="I417" i="7"/>
  <c r="L417" i="7"/>
  <c r="I416" i="7"/>
  <c r="L416" i="7"/>
  <c r="I415" i="7"/>
  <c r="L415" i="7"/>
  <c r="I414" i="7"/>
  <c r="L414" i="7"/>
  <c r="I413" i="7"/>
  <c r="L413" i="7"/>
  <c r="I412" i="7"/>
  <c r="L412" i="7"/>
  <c r="I411" i="7"/>
  <c r="L411" i="7"/>
  <c r="I410" i="7"/>
  <c r="L410" i="7"/>
  <c r="I409" i="7"/>
  <c r="L409" i="7"/>
  <c r="I408" i="7"/>
  <c r="L408" i="7"/>
  <c r="I407" i="7"/>
  <c r="L407" i="7"/>
  <c r="I406" i="7"/>
  <c r="L406" i="7"/>
  <c r="I405" i="7"/>
  <c r="L405" i="7"/>
  <c r="I404" i="7"/>
  <c r="L404" i="7"/>
  <c r="I403" i="7"/>
  <c r="L403" i="7"/>
  <c r="I402" i="7"/>
  <c r="L402" i="7"/>
  <c r="I401" i="7"/>
  <c r="L401" i="7"/>
  <c r="I400" i="7"/>
  <c r="L400" i="7"/>
  <c r="I399" i="7"/>
  <c r="L399" i="7"/>
  <c r="I398" i="7"/>
  <c r="L398" i="7"/>
  <c r="I397" i="7"/>
  <c r="L397" i="7"/>
  <c r="I396" i="7"/>
  <c r="L396" i="7"/>
  <c r="I395" i="7"/>
  <c r="L395" i="7"/>
  <c r="I394" i="7"/>
  <c r="L394" i="7"/>
  <c r="I393" i="7"/>
  <c r="L393" i="7"/>
  <c r="I392" i="7"/>
  <c r="L392" i="7"/>
  <c r="I391" i="7"/>
  <c r="L391" i="7"/>
  <c r="I390" i="7"/>
  <c r="L390" i="7"/>
  <c r="I389" i="7"/>
  <c r="L389" i="7"/>
  <c r="I388" i="7"/>
  <c r="L388" i="7"/>
  <c r="I387" i="7"/>
  <c r="L387" i="7"/>
  <c r="I386" i="7"/>
  <c r="L386" i="7"/>
  <c r="I385" i="7"/>
  <c r="L385" i="7"/>
  <c r="I384" i="7"/>
  <c r="L384" i="7"/>
  <c r="I383" i="7"/>
  <c r="L383" i="7"/>
  <c r="I382" i="7"/>
  <c r="L382" i="7"/>
  <c r="I381" i="7"/>
  <c r="L381" i="7"/>
  <c r="I380" i="7"/>
  <c r="L380" i="7"/>
  <c r="I379" i="7"/>
  <c r="L379" i="7"/>
  <c r="I378" i="7"/>
  <c r="L378" i="7"/>
  <c r="I377" i="7"/>
  <c r="L377" i="7"/>
  <c r="I376" i="7"/>
  <c r="L376" i="7"/>
  <c r="I375" i="7"/>
  <c r="L375" i="7"/>
  <c r="I374" i="7"/>
  <c r="L374" i="7"/>
  <c r="I373" i="7"/>
  <c r="L373" i="7"/>
  <c r="I372" i="7"/>
  <c r="L372" i="7"/>
  <c r="I371" i="7"/>
  <c r="L371" i="7"/>
  <c r="I370" i="7"/>
  <c r="L370" i="7"/>
  <c r="I369" i="7"/>
  <c r="L369" i="7"/>
  <c r="I368" i="7"/>
  <c r="L368" i="7"/>
  <c r="I367" i="7"/>
  <c r="L367" i="7"/>
  <c r="I366" i="7"/>
  <c r="L366" i="7"/>
  <c r="I365" i="7"/>
  <c r="L365" i="7"/>
  <c r="I364" i="7"/>
  <c r="L364" i="7"/>
  <c r="I363" i="7"/>
  <c r="L363" i="7"/>
  <c r="I362" i="7"/>
  <c r="L362" i="7"/>
  <c r="I361" i="7"/>
  <c r="L361" i="7"/>
  <c r="I360" i="7"/>
  <c r="L360" i="7"/>
  <c r="I359" i="7"/>
  <c r="L359" i="7"/>
  <c r="I358" i="7"/>
  <c r="L358" i="7"/>
  <c r="I357" i="7"/>
  <c r="L357" i="7"/>
  <c r="I356" i="7"/>
  <c r="L356" i="7"/>
  <c r="I355" i="7"/>
  <c r="L355" i="7"/>
  <c r="I354" i="7"/>
  <c r="L354" i="7"/>
  <c r="I353" i="7"/>
  <c r="L353" i="7"/>
  <c r="I352" i="7"/>
  <c r="L352" i="7"/>
  <c r="I351" i="7"/>
  <c r="L351" i="7"/>
  <c r="I350" i="7"/>
  <c r="L350" i="7"/>
  <c r="I349" i="7"/>
  <c r="L349" i="7"/>
  <c r="I348" i="7"/>
  <c r="L348" i="7"/>
  <c r="I347" i="7"/>
  <c r="L347" i="7"/>
  <c r="I346" i="7"/>
  <c r="L346" i="7"/>
  <c r="I345" i="7"/>
  <c r="L345" i="7"/>
  <c r="I344" i="7"/>
  <c r="L344" i="7"/>
  <c r="I343" i="7"/>
  <c r="L343" i="7"/>
  <c r="I342" i="7"/>
  <c r="L342" i="7"/>
  <c r="I341" i="7"/>
  <c r="L341" i="7"/>
  <c r="I340" i="7"/>
  <c r="L340" i="7"/>
  <c r="I339" i="7"/>
  <c r="L339" i="7"/>
  <c r="I338" i="7"/>
  <c r="L338" i="7"/>
  <c r="I337" i="7"/>
  <c r="L337" i="7"/>
  <c r="I336" i="7"/>
  <c r="L336" i="7"/>
  <c r="I335" i="7"/>
  <c r="L335" i="7"/>
  <c r="I334" i="7"/>
  <c r="L334" i="7"/>
  <c r="I333" i="7"/>
  <c r="L333" i="7"/>
  <c r="I332" i="7"/>
  <c r="L332" i="7"/>
  <c r="I331" i="7"/>
  <c r="L331" i="7"/>
  <c r="I329" i="7"/>
  <c r="L329" i="7"/>
  <c r="I328" i="7"/>
  <c r="L328" i="7"/>
  <c r="L310" i="7"/>
  <c r="I310" i="7"/>
  <c r="L26" i="7"/>
  <c r="I26" i="7"/>
  <c r="L27" i="7"/>
  <c r="I27" i="7"/>
  <c r="I28" i="7"/>
  <c r="L28" i="7"/>
  <c r="I29" i="7"/>
  <c r="L29" i="7"/>
  <c r="I30" i="7"/>
  <c r="L30" i="7"/>
  <c r="I31" i="7"/>
  <c r="L31" i="7"/>
  <c r="I32" i="7"/>
  <c r="L32" i="7"/>
  <c r="I33" i="7"/>
  <c r="L33" i="7"/>
  <c r="I34" i="7"/>
  <c r="L34" i="7"/>
  <c r="I35" i="7"/>
  <c r="L35" i="7"/>
  <c r="I36" i="7"/>
  <c r="L36" i="7"/>
  <c r="I37" i="7"/>
  <c r="L37" i="7"/>
  <c r="I38" i="7"/>
  <c r="L38" i="7"/>
  <c r="I39" i="7"/>
  <c r="L39" i="7"/>
  <c r="I40" i="7"/>
  <c r="L40" i="7"/>
  <c r="I41" i="7"/>
  <c r="L41" i="7"/>
  <c r="I42" i="7"/>
  <c r="L42" i="7"/>
  <c r="I43" i="7"/>
  <c r="L43" i="7"/>
  <c r="I44" i="7"/>
  <c r="L44" i="7"/>
  <c r="I45" i="7"/>
  <c r="L45" i="7"/>
  <c r="I46" i="7"/>
  <c r="L46" i="7"/>
  <c r="I47" i="7"/>
  <c r="L47" i="7"/>
  <c r="I48" i="7"/>
  <c r="L48" i="7"/>
  <c r="I49" i="7"/>
  <c r="L49" i="7"/>
  <c r="I50" i="7"/>
  <c r="L50" i="7"/>
  <c r="I51" i="7"/>
  <c r="L51" i="7"/>
  <c r="I52" i="7"/>
  <c r="L52" i="7"/>
  <c r="I53" i="7"/>
  <c r="L53" i="7"/>
  <c r="I54" i="7"/>
  <c r="L54" i="7"/>
  <c r="I55" i="7"/>
  <c r="L55" i="7"/>
  <c r="I56" i="7"/>
  <c r="L56" i="7"/>
  <c r="I57" i="7"/>
  <c r="L57" i="7"/>
  <c r="I58" i="7"/>
  <c r="L58" i="7"/>
  <c r="I59" i="7"/>
  <c r="L59" i="7"/>
  <c r="I60" i="7"/>
  <c r="L60" i="7"/>
  <c r="I61" i="7"/>
  <c r="L61" i="7"/>
  <c r="I62" i="7"/>
  <c r="L62" i="7"/>
  <c r="I63" i="7"/>
  <c r="L63" i="7"/>
  <c r="I64" i="7"/>
  <c r="L64" i="7"/>
  <c r="I65" i="7"/>
  <c r="L65" i="7"/>
  <c r="I66" i="7"/>
  <c r="L66" i="7"/>
  <c r="I67" i="7"/>
  <c r="L67" i="7"/>
  <c r="I68" i="7"/>
  <c r="L68" i="7"/>
  <c r="I69" i="7"/>
  <c r="L69" i="7"/>
  <c r="I70" i="7"/>
  <c r="L70" i="7"/>
  <c r="I71" i="7"/>
  <c r="L71" i="7"/>
  <c r="I72" i="7"/>
  <c r="L72" i="7"/>
  <c r="I73" i="7"/>
  <c r="L73" i="7"/>
  <c r="I74" i="7"/>
  <c r="L74" i="7"/>
  <c r="I75" i="7"/>
  <c r="L75" i="7"/>
  <c r="I76" i="7"/>
  <c r="L76" i="7"/>
  <c r="I77" i="7"/>
  <c r="L77" i="7"/>
  <c r="I78" i="7"/>
  <c r="L78" i="7"/>
  <c r="I79" i="7"/>
  <c r="L79" i="7"/>
  <c r="I80" i="7"/>
  <c r="L80" i="7"/>
  <c r="I81" i="7"/>
  <c r="L81" i="7"/>
  <c r="I82" i="7"/>
  <c r="L82" i="7"/>
  <c r="I83" i="7"/>
  <c r="L83" i="7"/>
  <c r="I84" i="7"/>
  <c r="L84" i="7"/>
  <c r="I85" i="7"/>
  <c r="L85" i="7"/>
  <c r="I86" i="7"/>
  <c r="L86" i="7"/>
  <c r="I87" i="7"/>
  <c r="L87" i="7"/>
  <c r="I88" i="7"/>
  <c r="L88" i="7"/>
  <c r="I89" i="7"/>
  <c r="L89" i="7"/>
  <c r="I90" i="7"/>
  <c r="L90" i="7"/>
  <c r="I91" i="7"/>
  <c r="L91" i="7"/>
  <c r="I92" i="7"/>
  <c r="L92" i="7"/>
  <c r="I93" i="7"/>
  <c r="L93" i="7"/>
  <c r="I94" i="7"/>
  <c r="L94" i="7"/>
  <c r="I95" i="7"/>
  <c r="L95" i="7"/>
  <c r="I96" i="7"/>
  <c r="L96" i="7"/>
  <c r="I97" i="7"/>
  <c r="L97" i="7"/>
  <c r="I98" i="7"/>
  <c r="L98" i="7"/>
  <c r="I99" i="7"/>
  <c r="L99" i="7"/>
  <c r="I100" i="7"/>
  <c r="L100" i="7"/>
  <c r="I101" i="7"/>
  <c r="L101" i="7"/>
  <c r="I102" i="7"/>
  <c r="L102" i="7"/>
  <c r="I103" i="7"/>
  <c r="L103" i="7"/>
  <c r="I104" i="7"/>
  <c r="L104" i="7"/>
  <c r="I105" i="7"/>
  <c r="L105" i="7"/>
  <c r="I106" i="7"/>
  <c r="L106" i="7"/>
  <c r="I107" i="7"/>
  <c r="L107" i="7"/>
  <c r="I108" i="7"/>
  <c r="L108" i="7"/>
  <c r="I109" i="7"/>
  <c r="L109" i="7"/>
  <c r="I110" i="7"/>
  <c r="L110" i="7"/>
  <c r="I111" i="7"/>
  <c r="L111" i="7"/>
  <c r="I112" i="7"/>
  <c r="L112" i="7"/>
  <c r="I113" i="7"/>
  <c r="L113" i="7"/>
  <c r="I114" i="7"/>
  <c r="L114" i="7"/>
  <c r="I115" i="7"/>
  <c r="L115" i="7"/>
  <c r="I116" i="7"/>
  <c r="L116" i="7"/>
  <c r="I117" i="7"/>
  <c r="L117" i="7"/>
  <c r="I118" i="7"/>
  <c r="L118" i="7"/>
  <c r="I119" i="7"/>
  <c r="L119" i="7"/>
  <c r="I120" i="7"/>
  <c r="L120" i="7"/>
  <c r="I121" i="7"/>
  <c r="L121" i="7"/>
  <c r="I122" i="7"/>
  <c r="L122" i="7"/>
  <c r="I123" i="7"/>
  <c r="L123" i="7"/>
  <c r="I124" i="7"/>
  <c r="L124" i="7"/>
  <c r="I125" i="7"/>
  <c r="L125" i="7"/>
  <c r="I126" i="7"/>
  <c r="L126" i="7"/>
  <c r="I127" i="7"/>
  <c r="L127" i="7"/>
  <c r="I128" i="7"/>
  <c r="L128" i="7"/>
  <c r="I129" i="7"/>
  <c r="L129" i="7"/>
  <c r="I130" i="7"/>
  <c r="L130" i="7"/>
  <c r="I131" i="7"/>
  <c r="L131" i="7"/>
  <c r="I132" i="7"/>
  <c r="L132" i="7"/>
  <c r="I133" i="7"/>
  <c r="L133" i="7"/>
  <c r="I134" i="7"/>
  <c r="L134" i="7"/>
  <c r="I135" i="7"/>
  <c r="L135" i="7"/>
  <c r="I136" i="7"/>
  <c r="L136" i="7"/>
  <c r="I137" i="7"/>
  <c r="L137" i="7"/>
  <c r="I138" i="7"/>
  <c r="L138" i="7"/>
  <c r="I139" i="7"/>
  <c r="L139" i="7"/>
  <c r="I140" i="7"/>
  <c r="L140" i="7"/>
  <c r="I141" i="7"/>
  <c r="L141" i="7"/>
  <c r="I142" i="7"/>
  <c r="L142" i="7"/>
  <c r="I143" i="7"/>
  <c r="L143" i="7"/>
  <c r="I144" i="7"/>
  <c r="L144" i="7"/>
  <c r="I145" i="7"/>
  <c r="L145" i="7"/>
  <c r="I146" i="7"/>
  <c r="L146" i="7"/>
  <c r="I147" i="7"/>
  <c r="L147" i="7"/>
  <c r="I148" i="7"/>
  <c r="L148" i="7"/>
  <c r="I149" i="7"/>
  <c r="L149" i="7"/>
  <c r="I150" i="7"/>
  <c r="L150" i="7"/>
  <c r="I151" i="7"/>
  <c r="L151" i="7"/>
  <c r="I152" i="7"/>
  <c r="L152" i="7"/>
  <c r="I153" i="7"/>
  <c r="L153" i="7"/>
  <c r="I154" i="7"/>
  <c r="L154" i="7"/>
  <c r="I155" i="7"/>
  <c r="L155" i="7"/>
  <c r="I156" i="7"/>
  <c r="L156" i="7"/>
  <c r="I157" i="7"/>
  <c r="L157" i="7"/>
  <c r="I158" i="7"/>
  <c r="L158" i="7"/>
  <c r="I159" i="7"/>
  <c r="L159" i="7"/>
  <c r="I160" i="7"/>
  <c r="L160" i="7"/>
  <c r="I161" i="7"/>
  <c r="L161" i="7"/>
  <c r="I162" i="7"/>
  <c r="L162" i="7"/>
  <c r="I163" i="7"/>
  <c r="L163" i="7"/>
  <c r="I164" i="7"/>
  <c r="L164" i="7"/>
  <c r="I165" i="7"/>
  <c r="L165" i="7"/>
  <c r="I166" i="7"/>
  <c r="L166" i="7"/>
  <c r="I167" i="7"/>
  <c r="L167" i="7"/>
  <c r="I168" i="7"/>
  <c r="L168" i="7"/>
  <c r="I169" i="7"/>
  <c r="L169" i="7"/>
  <c r="I170" i="7"/>
  <c r="L170" i="7"/>
  <c r="I171" i="7"/>
  <c r="L171" i="7"/>
  <c r="I172" i="7"/>
  <c r="L172" i="7"/>
  <c r="I173" i="7"/>
  <c r="L173" i="7"/>
  <c r="I174" i="7"/>
  <c r="L174" i="7"/>
  <c r="I175" i="7"/>
  <c r="L175" i="7"/>
  <c r="I176" i="7"/>
  <c r="L176" i="7"/>
  <c r="I177" i="7"/>
  <c r="L177" i="7"/>
  <c r="I178" i="7"/>
  <c r="L178" i="7"/>
  <c r="I179" i="7"/>
  <c r="L179" i="7"/>
  <c r="I180" i="7"/>
  <c r="L180" i="7"/>
  <c r="I181" i="7"/>
  <c r="L181" i="7"/>
  <c r="I182" i="7"/>
  <c r="L182" i="7"/>
  <c r="I183" i="7"/>
  <c r="L183" i="7"/>
  <c r="I184" i="7"/>
  <c r="L184" i="7"/>
  <c r="I185" i="7"/>
  <c r="L185" i="7"/>
  <c r="I186" i="7"/>
  <c r="L186" i="7"/>
  <c r="I187" i="7"/>
  <c r="L187" i="7"/>
  <c r="I188" i="7"/>
  <c r="L188" i="7"/>
  <c r="I189" i="7"/>
  <c r="L189" i="7"/>
  <c r="I190" i="7"/>
  <c r="L190" i="7"/>
  <c r="I191" i="7"/>
  <c r="L191" i="7"/>
  <c r="I192" i="7"/>
  <c r="L192" i="7"/>
  <c r="I193" i="7"/>
  <c r="L193" i="7"/>
  <c r="I194" i="7"/>
  <c r="L194" i="7"/>
  <c r="I195" i="7"/>
  <c r="L195" i="7"/>
  <c r="I196" i="7"/>
  <c r="L196" i="7"/>
  <c r="I197" i="7"/>
  <c r="L197" i="7"/>
  <c r="I198" i="7"/>
  <c r="L198" i="7"/>
  <c r="I199" i="7"/>
  <c r="L199" i="7"/>
  <c r="I200" i="7"/>
  <c r="L200" i="7"/>
  <c r="I201" i="7"/>
  <c r="L201" i="7"/>
  <c r="I202" i="7"/>
  <c r="L202" i="7"/>
  <c r="I203" i="7"/>
  <c r="L203" i="7"/>
  <c r="I204" i="7"/>
  <c r="L204" i="7"/>
  <c r="I205" i="7"/>
  <c r="L205" i="7"/>
  <c r="I206" i="7"/>
  <c r="L206" i="7"/>
  <c r="I207" i="7"/>
  <c r="L207" i="7"/>
  <c r="I208" i="7"/>
  <c r="L208" i="7"/>
  <c r="I209" i="7"/>
  <c r="L209" i="7"/>
  <c r="I210" i="7"/>
  <c r="L210" i="7"/>
  <c r="I211" i="7"/>
  <c r="L211" i="7"/>
  <c r="I212" i="7"/>
  <c r="L212" i="7"/>
  <c r="I213" i="7"/>
  <c r="L213" i="7"/>
  <c r="I214" i="7"/>
  <c r="L214" i="7"/>
  <c r="I215" i="7"/>
  <c r="L215" i="7"/>
  <c r="I216" i="7"/>
  <c r="L216" i="7"/>
  <c r="I217" i="7"/>
  <c r="L217" i="7"/>
  <c r="I218" i="7"/>
  <c r="L218" i="7"/>
  <c r="I219" i="7"/>
  <c r="L219" i="7"/>
  <c r="I220" i="7"/>
  <c r="L220" i="7"/>
  <c r="I221" i="7"/>
  <c r="L221" i="7"/>
  <c r="I222" i="7"/>
  <c r="L222" i="7"/>
  <c r="I223" i="7"/>
  <c r="L223" i="7"/>
  <c r="I224" i="7"/>
  <c r="L224" i="7"/>
  <c r="I225" i="7"/>
  <c r="L225" i="7"/>
  <c r="I226" i="7"/>
  <c r="L226" i="7"/>
  <c r="I227" i="7"/>
  <c r="L227" i="7"/>
  <c r="I228" i="7"/>
  <c r="L228" i="7"/>
  <c r="I229" i="7"/>
  <c r="L229" i="7"/>
  <c r="I230" i="7"/>
  <c r="L230" i="7"/>
  <c r="I231" i="7"/>
  <c r="L231" i="7"/>
  <c r="I232" i="7"/>
  <c r="L232" i="7"/>
  <c r="I233" i="7"/>
  <c r="L233" i="7"/>
  <c r="I234" i="7"/>
  <c r="L234" i="7"/>
  <c r="I235" i="7"/>
  <c r="L235" i="7"/>
  <c r="I236" i="7"/>
  <c r="L236" i="7"/>
  <c r="I237" i="7"/>
  <c r="L237" i="7"/>
  <c r="I238" i="7"/>
  <c r="L238" i="7"/>
  <c r="I239" i="7"/>
  <c r="L239" i="7"/>
  <c r="I240" i="7"/>
  <c r="L240" i="7"/>
  <c r="I241" i="7"/>
  <c r="L241" i="7"/>
  <c r="I242" i="7"/>
  <c r="L242" i="7"/>
  <c r="I243" i="7"/>
  <c r="L243" i="7"/>
  <c r="I244" i="7"/>
  <c r="L244" i="7"/>
  <c r="I245" i="7"/>
  <c r="L245" i="7"/>
  <c r="I246" i="7"/>
  <c r="L246" i="7"/>
  <c r="I247" i="7"/>
  <c r="L247" i="7"/>
  <c r="I248" i="7"/>
  <c r="L248" i="7"/>
  <c r="I249" i="7"/>
  <c r="L249" i="7"/>
  <c r="I250" i="7"/>
  <c r="L250" i="7"/>
  <c r="I251" i="7"/>
  <c r="L251" i="7"/>
  <c r="I252" i="7"/>
  <c r="L252" i="7"/>
  <c r="I253" i="7"/>
  <c r="L253" i="7"/>
  <c r="I254" i="7"/>
  <c r="L254" i="7"/>
  <c r="I255" i="7"/>
  <c r="L255" i="7"/>
  <c r="I256" i="7"/>
  <c r="L256" i="7"/>
  <c r="I257" i="7"/>
  <c r="L257" i="7"/>
  <c r="I258" i="7"/>
  <c r="L258" i="7"/>
  <c r="I259" i="7"/>
  <c r="L259" i="7"/>
  <c r="I260" i="7"/>
  <c r="L260" i="7"/>
  <c r="I261" i="7"/>
  <c r="L261" i="7"/>
  <c r="I262" i="7"/>
  <c r="L262" i="7"/>
  <c r="I263" i="7"/>
  <c r="L263" i="7"/>
  <c r="I264" i="7"/>
  <c r="L264" i="7"/>
  <c r="I265" i="7"/>
  <c r="L265" i="7"/>
  <c r="I266" i="7"/>
  <c r="L266" i="7"/>
  <c r="I267" i="7"/>
  <c r="L267" i="7"/>
  <c r="I268" i="7"/>
  <c r="L268" i="7"/>
  <c r="I269" i="7"/>
  <c r="L269" i="7"/>
  <c r="I270" i="7"/>
  <c r="L270" i="7"/>
  <c r="I271" i="7"/>
  <c r="L271" i="7"/>
  <c r="I272" i="7"/>
  <c r="L272" i="7"/>
  <c r="I273" i="7"/>
  <c r="L273" i="7"/>
  <c r="I274" i="7"/>
  <c r="L274" i="7"/>
  <c r="I275" i="7"/>
  <c r="L275" i="7"/>
  <c r="I276" i="7"/>
  <c r="L276" i="7"/>
  <c r="I277" i="7"/>
  <c r="L277" i="7"/>
  <c r="I278" i="7"/>
  <c r="L278" i="7"/>
  <c r="I279" i="7"/>
  <c r="L279" i="7"/>
  <c r="I280" i="7"/>
  <c r="L280" i="7"/>
  <c r="I281" i="7"/>
  <c r="L281" i="7"/>
  <c r="I282" i="7"/>
  <c r="L282" i="7"/>
  <c r="I283" i="7"/>
  <c r="L283" i="7"/>
  <c r="I284" i="7"/>
  <c r="L284" i="7"/>
  <c r="I285" i="7"/>
  <c r="L285" i="7"/>
  <c r="I286" i="7"/>
  <c r="L286" i="7"/>
  <c r="I287" i="7"/>
  <c r="L287" i="7"/>
  <c r="I288" i="7"/>
  <c r="L288" i="7"/>
  <c r="I289" i="7"/>
  <c r="L289" i="7"/>
  <c r="I290" i="7"/>
  <c r="L290" i="7"/>
  <c r="I291" i="7"/>
  <c r="L291" i="7"/>
  <c r="I292" i="7"/>
  <c r="L292" i="7"/>
  <c r="I293" i="7"/>
  <c r="L293" i="7"/>
  <c r="I294" i="7"/>
  <c r="L294" i="7"/>
  <c r="I295" i="7"/>
  <c r="L295" i="7"/>
  <c r="I296" i="7"/>
  <c r="L296" i="7"/>
  <c r="I297" i="7"/>
  <c r="L297" i="7"/>
  <c r="I298" i="7"/>
  <c r="L298" i="7"/>
  <c r="I299" i="7"/>
  <c r="L299" i="7"/>
  <c r="I300" i="7"/>
  <c r="L300" i="7"/>
  <c r="I301" i="7"/>
  <c r="L301" i="7"/>
  <c r="I302" i="7"/>
  <c r="L302" i="7"/>
  <c r="I303" i="7"/>
  <c r="L303" i="7"/>
  <c r="I304" i="7"/>
  <c r="L304" i="7"/>
  <c r="I305" i="7"/>
  <c r="L305" i="7"/>
  <c r="I306" i="7"/>
  <c r="L306" i="7"/>
  <c r="I307" i="7"/>
  <c r="L307" i="7"/>
  <c r="I308" i="7"/>
  <c r="L308" i="7"/>
  <c r="I309" i="7"/>
  <c r="L309" i="7"/>
  <c r="I24" i="7"/>
  <c r="L24" i="7"/>
  <c r="I25" i="7"/>
  <c r="B4" i="10" s="1"/>
  <c r="L25" i="7"/>
  <c r="C4" i="10" s="1"/>
  <c r="E4" i="10"/>
  <c r="K7" i="7"/>
  <c r="O7" i="7"/>
  <c r="K894" i="7"/>
  <c r="N894" i="7" s="1"/>
  <c r="O894" i="7"/>
  <c r="K893" i="7"/>
  <c r="N893" i="7" s="1"/>
  <c r="O893" i="7"/>
  <c r="K892" i="7"/>
  <c r="N892" i="7" s="1"/>
  <c r="O892" i="7"/>
  <c r="K891" i="7"/>
  <c r="N891" i="7" s="1"/>
  <c r="O891" i="7"/>
  <c r="K890" i="7"/>
  <c r="N890" i="7" s="1"/>
  <c r="O890" i="7"/>
  <c r="K889" i="7"/>
  <c r="N889" i="7" s="1"/>
  <c r="O889" i="7"/>
  <c r="K888" i="7"/>
  <c r="N888" i="7" s="1"/>
  <c r="O888" i="7"/>
  <c r="K887" i="7"/>
  <c r="N887" i="7" s="1"/>
  <c r="O887" i="7"/>
  <c r="K886" i="7"/>
  <c r="N886" i="7" s="1"/>
  <c r="O886" i="7"/>
  <c r="K885" i="7"/>
  <c r="N885" i="7" s="1"/>
  <c r="O885" i="7"/>
  <c r="K884" i="7"/>
  <c r="N884" i="7" s="1"/>
  <c r="O884" i="7"/>
  <c r="K883" i="7"/>
  <c r="N883" i="7" s="1"/>
  <c r="O883" i="7"/>
  <c r="K882" i="7"/>
  <c r="N882" i="7" s="1"/>
  <c r="O882" i="7"/>
  <c r="K881" i="7"/>
  <c r="N881" i="7" s="1"/>
  <c r="O881" i="7"/>
  <c r="K880" i="7"/>
  <c r="N880" i="7" s="1"/>
  <c r="O880" i="7"/>
  <c r="K879" i="7"/>
  <c r="N879" i="7" s="1"/>
  <c r="O879" i="7"/>
  <c r="K878" i="7"/>
  <c r="N878" i="7" s="1"/>
  <c r="O878" i="7"/>
  <c r="K877" i="7"/>
  <c r="N877" i="7" s="1"/>
  <c r="O877" i="7"/>
  <c r="K876" i="7"/>
  <c r="N876" i="7" s="1"/>
  <c r="O876" i="7"/>
  <c r="K875" i="7"/>
  <c r="N875" i="7" s="1"/>
  <c r="O875" i="7"/>
  <c r="K874" i="7"/>
  <c r="N874" i="7" s="1"/>
  <c r="O874" i="7"/>
  <c r="K873" i="7"/>
  <c r="N873" i="7" s="1"/>
  <c r="O873" i="7"/>
  <c r="K872" i="7"/>
  <c r="N872" i="7" s="1"/>
  <c r="O872" i="7"/>
  <c r="K871" i="7"/>
  <c r="N871" i="7" s="1"/>
  <c r="O871" i="7"/>
  <c r="K870" i="7"/>
  <c r="N870" i="7" s="1"/>
  <c r="O870" i="7"/>
  <c r="K869" i="7"/>
  <c r="N869" i="7" s="1"/>
  <c r="O869" i="7"/>
  <c r="K868" i="7"/>
  <c r="N868" i="7" s="1"/>
  <c r="O868" i="7"/>
  <c r="K867" i="7"/>
  <c r="N867" i="7" s="1"/>
  <c r="O867" i="7"/>
  <c r="K866" i="7"/>
  <c r="N866" i="7" s="1"/>
  <c r="O866" i="7"/>
  <c r="K865" i="7"/>
  <c r="N865" i="7" s="1"/>
  <c r="O865" i="7"/>
  <c r="K864" i="7"/>
  <c r="N864" i="7" s="1"/>
  <c r="O864" i="7"/>
  <c r="K863" i="7"/>
  <c r="N863" i="7" s="1"/>
  <c r="O863" i="7"/>
  <c r="K862" i="7"/>
  <c r="N862" i="7" s="1"/>
  <c r="O862" i="7"/>
  <c r="K861" i="7"/>
  <c r="N861" i="7" s="1"/>
  <c r="O861" i="7"/>
  <c r="K860" i="7"/>
  <c r="N860" i="7" s="1"/>
  <c r="O860" i="7"/>
  <c r="K859" i="7"/>
  <c r="N859" i="7" s="1"/>
  <c r="O859" i="7"/>
  <c r="K858" i="7"/>
  <c r="N858" i="7" s="1"/>
  <c r="O858" i="7"/>
  <c r="K857" i="7"/>
  <c r="N857" i="7" s="1"/>
  <c r="O857" i="7"/>
  <c r="K856" i="7"/>
  <c r="N856" i="7" s="1"/>
  <c r="O856" i="7"/>
  <c r="K855" i="7"/>
  <c r="N855" i="7" s="1"/>
  <c r="O855" i="7"/>
  <c r="K854" i="7"/>
  <c r="N854" i="7" s="1"/>
  <c r="O854" i="7"/>
  <c r="K853" i="7"/>
  <c r="N853" i="7" s="1"/>
  <c r="O853" i="7"/>
  <c r="K852" i="7"/>
  <c r="N852" i="7" s="1"/>
  <c r="O852" i="7"/>
  <c r="K851" i="7"/>
  <c r="N851" i="7" s="1"/>
  <c r="O851" i="7"/>
  <c r="K850" i="7"/>
  <c r="N850" i="7" s="1"/>
  <c r="O850" i="7"/>
  <c r="K849" i="7"/>
  <c r="N849" i="7" s="1"/>
  <c r="O849" i="7"/>
  <c r="K848" i="7"/>
  <c r="N848" i="7" s="1"/>
  <c r="O848" i="7"/>
  <c r="K847" i="7"/>
  <c r="N847" i="7" s="1"/>
  <c r="O847" i="7"/>
  <c r="K846" i="7"/>
  <c r="N846" i="7" s="1"/>
  <c r="O846" i="7"/>
  <c r="K845" i="7"/>
  <c r="N845" i="7" s="1"/>
  <c r="O845" i="7"/>
  <c r="K844" i="7"/>
  <c r="N844" i="7" s="1"/>
  <c r="O844" i="7"/>
  <c r="K843" i="7"/>
  <c r="N843" i="7" s="1"/>
  <c r="O843" i="7"/>
  <c r="K842" i="7"/>
  <c r="N842" i="7" s="1"/>
  <c r="O842" i="7"/>
  <c r="K841" i="7"/>
  <c r="N841" i="7" s="1"/>
  <c r="O841" i="7"/>
  <c r="K840" i="7"/>
  <c r="N840" i="7" s="1"/>
  <c r="O840" i="7"/>
  <c r="K839" i="7"/>
  <c r="N839" i="7" s="1"/>
  <c r="O839" i="7"/>
  <c r="K838" i="7"/>
  <c r="N838" i="7" s="1"/>
  <c r="O838" i="7"/>
  <c r="K837" i="7"/>
  <c r="N837" i="7" s="1"/>
  <c r="O837" i="7"/>
  <c r="K836" i="7"/>
  <c r="N836" i="7" s="1"/>
  <c r="O836" i="7"/>
  <c r="K835" i="7"/>
  <c r="N835" i="7" s="1"/>
  <c r="O835" i="7"/>
  <c r="K834" i="7"/>
  <c r="N834" i="7" s="1"/>
  <c r="O834" i="7"/>
  <c r="K833" i="7"/>
  <c r="N833" i="7" s="1"/>
  <c r="O833" i="7"/>
  <c r="K832" i="7"/>
  <c r="N832" i="7" s="1"/>
  <c r="O832" i="7"/>
  <c r="K831" i="7"/>
  <c r="N831" i="7" s="1"/>
  <c r="O831" i="7"/>
  <c r="K830" i="7"/>
  <c r="N830" i="7" s="1"/>
  <c r="O830" i="7"/>
  <c r="K829" i="7"/>
  <c r="N829" i="7" s="1"/>
  <c r="O829" i="7"/>
  <c r="K828" i="7"/>
  <c r="N828" i="7" s="1"/>
  <c r="O828" i="7"/>
  <c r="K827" i="7"/>
  <c r="N827" i="7" s="1"/>
  <c r="O827" i="7"/>
  <c r="K826" i="7"/>
  <c r="N826" i="7" s="1"/>
  <c r="O826" i="7"/>
  <c r="K825" i="7"/>
  <c r="N825" i="7" s="1"/>
  <c r="O825" i="7"/>
  <c r="K824" i="7"/>
  <c r="N824" i="7" s="1"/>
  <c r="O824" i="7"/>
  <c r="K823" i="7"/>
  <c r="N823" i="7" s="1"/>
  <c r="O823" i="7"/>
  <c r="K822" i="7"/>
  <c r="N822" i="7" s="1"/>
  <c r="O822" i="7"/>
  <c r="K821" i="7"/>
  <c r="N821" i="7" s="1"/>
  <c r="O821" i="7"/>
  <c r="K820" i="7"/>
  <c r="N820" i="7" s="1"/>
  <c r="O820" i="7"/>
  <c r="K819" i="7"/>
  <c r="N819" i="7" s="1"/>
  <c r="O819" i="7"/>
  <c r="K818" i="7"/>
  <c r="N818" i="7" s="1"/>
  <c r="O818" i="7"/>
  <c r="K817" i="7"/>
  <c r="N817" i="7" s="1"/>
  <c r="O817" i="7"/>
  <c r="K816" i="7"/>
  <c r="N816" i="7" s="1"/>
  <c r="O816" i="7"/>
  <c r="K815" i="7"/>
  <c r="N815" i="7" s="1"/>
  <c r="O815" i="7"/>
  <c r="K814" i="7"/>
  <c r="N814" i="7" s="1"/>
  <c r="O814" i="7"/>
  <c r="K813" i="7"/>
  <c r="N813" i="7" s="1"/>
  <c r="O813" i="7"/>
  <c r="K812" i="7"/>
  <c r="N812" i="7" s="1"/>
  <c r="O812" i="7"/>
  <c r="K811" i="7"/>
  <c r="N811" i="7" s="1"/>
  <c r="O811" i="7"/>
  <c r="K810" i="7"/>
  <c r="N810" i="7" s="1"/>
  <c r="O810" i="7"/>
  <c r="K809" i="7"/>
  <c r="N809" i="7" s="1"/>
  <c r="O809" i="7"/>
  <c r="K808" i="7"/>
  <c r="N808" i="7" s="1"/>
  <c r="O808" i="7"/>
  <c r="K807" i="7"/>
  <c r="N807" i="7" s="1"/>
  <c r="O807" i="7"/>
  <c r="K806" i="7"/>
  <c r="N806" i="7" s="1"/>
  <c r="O806" i="7"/>
  <c r="K805" i="7"/>
  <c r="N805" i="7" s="1"/>
  <c r="O805" i="7"/>
  <c r="K804" i="7"/>
  <c r="N804" i="7" s="1"/>
  <c r="O804" i="7"/>
  <c r="K803" i="7"/>
  <c r="N803" i="7" s="1"/>
  <c r="O803" i="7"/>
  <c r="K802" i="7"/>
  <c r="N802" i="7" s="1"/>
  <c r="O802" i="7"/>
  <c r="K801" i="7"/>
  <c r="N801" i="7" s="1"/>
  <c r="O801" i="7"/>
  <c r="K800" i="7"/>
  <c r="N800" i="7" s="1"/>
  <c r="O800" i="7"/>
  <c r="K799" i="7"/>
  <c r="N799" i="7" s="1"/>
  <c r="O799" i="7"/>
  <c r="K798" i="7"/>
  <c r="N798" i="7" s="1"/>
  <c r="O798" i="7"/>
  <c r="K797" i="7"/>
  <c r="N797" i="7" s="1"/>
  <c r="O797" i="7"/>
  <c r="K796" i="7"/>
  <c r="N796" i="7" s="1"/>
  <c r="O796" i="7"/>
  <c r="K795" i="7"/>
  <c r="N795" i="7" s="1"/>
  <c r="O795" i="7"/>
  <c r="K794" i="7"/>
  <c r="N794" i="7" s="1"/>
  <c r="O794" i="7"/>
  <c r="K793" i="7"/>
  <c r="N793" i="7" s="1"/>
  <c r="O793" i="7"/>
  <c r="K792" i="7"/>
  <c r="N792" i="7" s="1"/>
  <c r="O792" i="7"/>
  <c r="K791" i="7"/>
  <c r="N791" i="7" s="1"/>
  <c r="O791" i="7"/>
  <c r="K790" i="7"/>
  <c r="N790" i="7" s="1"/>
  <c r="O790" i="7"/>
  <c r="K789" i="7"/>
  <c r="N789" i="7" s="1"/>
  <c r="O789" i="7"/>
  <c r="K788" i="7"/>
  <c r="N788" i="7" s="1"/>
  <c r="O788" i="7"/>
  <c r="K787" i="7"/>
  <c r="N787" i="7" s="1"/>
  <c r="O787" i="7"/>
  <c r="K786" i="7"/>
  <c r="N786" i="7" s="1"/>
  <c r="O786" i="7"/>
  <c r="K785" i="7"/>
  <c r="N785" i="7" s="1"/>
  <c r="O785" i="7"/>
  <c r="K784" i="7"/>
  <c r="N784" i="7" s="1"/>
  <c r="O784" i="7"/>
  <c r="K783" i="7"/>
  <c r="N783" i="7" s="1"/>
  <c r="O783" i="7"/>
  <c r="K782" i="7"/>
  <c r="N782" i="7" s="1"/>
  <c r="O782" i="7"/>
  <c r="K781" i="7"/>
  <c r="N781" i="7" s="1"/>
  <c r="O781" i="7"/>
  <c r="K780" i="7"/>
  <c r="N780" i="7" s="1"/>
  <c r="O780" i="7"/>
  <c r="K779" i="7"/>
  <c r="N779" i="7" s="1"/>
  <c r="O779" i="7"/>
  <c r="K778" i="7"/>
  <c r="N778" i="7" s="1"/>
  <c r="O778" i="7"/>
  <c r="K777" i="7"/>
  <c r="N777" i="7" s="1"/>
  <c r="O777" i="7"/>
  <c r="K776" i="7"/>
  <c r="N776" i="7" s="1"/>
  <c r="O776" i="7"/>
  <c r="K775" i="7"/>
  <c r="N775" i="7" s="1"/>
  <c r="O775" i="7"/>
  <c r="K774" i="7"/>
  <c r="N774" i="7" s="1"/>
  <c r="O774" i="7"/>
  <c r="K773" i="7"/>
  <c r="N773" i="7" s="1"/>
  <c r="O773" i="7"/>
  <c r="K772" i="7"/>
  <c r="N772" i="7" s="1"/>
  <c r="O772" i="7"/>
  <c r="K771" i="7"/>
  <c r="N771" i="7" s="1"/>
  <c r="O771" i="7"/>
  <c r="K770" i="7"/>
  <c r="N770" i="7" s="1"/>
  <c r="O770" i="7"/>
  <c r="K769" i="7"/>
  <c r="N769" i="7" s="1"/>
  <c r="O769" i="7"/>
  <c r="K768" i="7"/>
  <c r="N768" i="7" s="1"/>
  <c r="O768" i="7"/>
  <c r="K767" i="7"/>
  <c r="N767" i="7" s="1"/>
  <c r="O767" i="7"/>
  <c r="K766" i="7"/>
  <c r="N766" i="7" s="1"/>
  <c r="O766" i="7"/>
  <c r="K765" i="7"/>
  <c r="N765" i="7" s="1"/>
  <c r="O765" i="7"/>
  <c r="K764" i="7"/>
  <c r="N764" i="7" s="1"/>
  <c r="O764" i="7"/>
  <c r="K763" i="7"/>
  <c r="N763" i="7" s="1"/>
  <c r="O763" i="7"/>
  <c r="K762" i="7"/>
  <c r="N762" i="7" s="1"/>
  <c r="O762" i="7"/>
  <c r="K761" i="7"/>
  <c r="N761" i="7" s="1"/>
  <c r="O761" i="7"/>
  <c r="K760" i="7"/>
  <c r="N760" i="7" s="1"/>
  <c r="O760" i="7"/>
  <c r="K759" i="7"/>
  <c r="N759" i="7" s="1"/>
  <c r="O759" i="7"/>
  <c r="K758" i="7"/>
  <c r="N758" i="7" s="1"/>
  <c r="O758" i="7"/>
  <c r="K757" i="7"/>
  <c r="N757" i="7" s="1"/>
  <c r="O757" i="7"/>
  <c r="K756" i="7"/>
  <c r="N756" i="7" s="1"/>
  <c r="O756" i="7"/>
  <c r="K755" i="7"/>
  <c r="N755" i="7" s="1"/>
  <c r="O755" i="7"/>
  <c r="K754" i="7"/>
  <c r="N754" i="7" s="1"/>
  <c r="O754" i="7"/>
  <c r="K753" i="7"/>
  <c r="N753" i="7" s="1"/>
  <c r="O753" i="7"/>
  <c r="K752" i="7"/>
  <c r="N752" i="7" s="1"/>
  <c r="O752" i="7"/>
  <c r="K751" i="7"/>
  <c r="N751" i="7" s="1"/>
  <c r="O751" i="7"/>
  <c r="K750" i="7"/>
  <c r="N750" i="7" s="1"/>
  <c r="O750" i="7"/>
  <c r="K749" i="7"/>
  <c r="N749" i="7" s="1"/>
  <c r="O749" i="7"/>
  <c r="K748" i="7"/>
  <c r="N748" i="7" s="1"/>
  <c r="O748" i="7"/>
  <c r="K747" i="7"/>
  <c r="N747" i="7" s="1"/>
  <c r="O747" i="7"/>
  <c r="K746" i="7"/>
  <c r="N746" i="7" s="1"/>
  <c r="O746" i="7"/>
  <c r="K745" i="7"/>
  <c r="N745" i="7" s="1"/>
  <c r="O745" i="7"/>
  <c r="K744" i="7"/>
  <c r="N744" i="7" s="1"/>
  <c r="O744" i="7"/>
  <c r="K743" i="7"/>
  <c r="N743" i="7" s="1"/>
  <c r="O743" i="7"/>
  <c r="K742" i="7"/>
  <c r="N742" i="7" s="1"/>
  <c r="O742" i="7"/>
  <c r="K741" i="7"/>
  <c r="N741" i="7" s="1"/>
  <c r="O741" i="7"/>
  <c r="K740" i="7"/>
  <c r="N740" i="7" s="1"/>
  <c r="O740" i="7"/>
  <c r="K739" i="7"/>
  <c r="N739" i="7" s="1"/>
  <c r="O739" i="7"/>
  <c r="K738" i="7"/>
  <c r="N738" i="7" s="1"/>
  <c r="O738" i="7"/>
  <c r="K737" i="7"/>
  <c r="N737" i="7" s="1"/>
  <c r="O737" i="7"/>
  <c r="K736" i="7"/>
  <c r="N736" i="7" s="1"/>
  <c r="O736" i="7"/>
  <c r="K735" i="7"/>
  <c r="N735" i="7" s="1"/>
  <c r="O735" i="7"/>
  <c r="K734" i="7"/>
  <c r="N734" i="7" s="1"/>
  <c r="O734" i="7"/>
  <c r="K733" i="7"/>
  <c r="N733" i="7" s="1"/>
  <c r="O733" i="7"/>
  <c r="K732" i="7"/>
  <c r="N732" i="7" s="1"/>
  <c r="O732" i="7"/>
  <c r="K731" i="7"/>
  <c r="N731" i="7" s="1"/>
  <c r="O731" i="7"/>
  <c r="K730" i="7"/>
  <c r="N730" i="7" s="1"/>
  <c r="O730" i="7"/>
  <c r="K729" i="7"/>
  <c r="N729" i="7" s="1"/>
  <c r="O729" i="7"/>
  <c r="K728" i="7"/>
  <c r="N728" i="7" s="1"/>
  <c r="O728" i="7"/>
  <c r="K727" i="7"/>
  <c r="N727" i="7" s="1"/>
  <c r="O727" i="7"/>
  <c r="K726" i="7"/>
  <c r="N726" i="7" s="1"/>
  <c r="O726" i="7"/>
  <c r="K725" i="7"/>
  <c r="N725" i="7" s="1"/>
  <c r="O725" i="7"/>
  <c r="K724" i="7"/>
  <c r="N724" i="7" s="1"/>
  <c r="O724" i="7"/>
  <c r="K723" i="7"/>
  <c r="N723" i="7" s="1"/>
  <c r="O723" i="7"/>
  <c r="K722" i="7"/>
  <c r="N722" i="7" s="1"/>
  <c r="O722" i="7"/>
  <c r="K721" i="7"/>
  <c r="N721" i="7" s="1"/>
  <c r="O721" i="7"/>
  <c r="K720" i="7"/>
  <c r="N720" i="7" s="1"/>
  <c r="O720" i="7"/>
  <c r="K719" i="7"/>
  <c r="N719" i="7" s="1"/>
  <c r="O719" i="7"/>
  <c r="K718" i="7"/>
  <c r="N718" i="7" s="1"/>
  <c r="O718" i="7"/>
  <c r="K717" i="7"/>
  <c r="N717" i="7" s="1"/>
  <c r="O717" i="7"/>
  <c r="K716" i="7"/>
  <c r="N716" i="7" s="1"/>
  <c r="O716" i="7"/>
  <c r="K715" i="7"/>
  <c r="N715" i="7" s="1"/>
  <c r="O715" i="7"/>
  <c r="K714" i="7"/>
  <c r="N714" i="7" s="1"/>
  <c r="O714" i="7"/>
  <c r="K713" i="7"/>
  <c r="N713" i="7" s="1"/>
  <c r="O713" i="7"/>
  <c r="K712" i="7"/>
  <c r="N712" i="7" s="1"/>
  <c r="O712" i="7"/>
  <c r="K711" i="7"/>
  <c r="N711" i="7" s="1"/>
  <c r="O711" i="7"/>
  <c r="K710" i="7"/>
  <c r="N710" i="7" s="1"/>
  <c r="O710" i="7"/>
  <c r="K709" i="7"/>
  <c r="N709" i="7" s="1"/>
  <c r="O709" i="7"/>
  <c r="K708" i="7"/>
  <c r="N708" i="7" s="1"/>
  <c r="O708" i="7"/>
  <c r="K707" i="7"/>
  <c r="N707" i="7" s="1"/>
  <c r="O707" i="7"/>
  <c r="K706" i="7"/>
  <c r="N706" i="7" s="1"/>
  <c r="O706" i="7"/>
  <c r="K705" i="7"/>
  <c r="N705" i="7" s="1"/>
  <c r="O705" i="7"/>
  <c r="K704" i="7"/>
  <c r="N704" i="7" s="1"/>
  <c r="O704" i="7"/>
  <c r="K703" i="7"/>
  <c r="N703" i="7" s="1"/>
  <c r="O703" i="7"/>
  <c r="K702" i="7"/>
  <c r="N702" i="7" s="1"/>
  <c r="O702" i="7"/>
  <c r="K701" i="7"/>
  <c r="N701" i="7" s="1"/>
  <c r="O701" i="7"/>
  <c r="K700" i="7"/>
  <c r="N700" i="7" s="1"/>
  <c r="O700" i="7"/>
  <c r="K699" i="7"/>
  <c r="N699" i="7" s="1"/>
  <c r="O699" i="7"/>
  <c r="K698" i="7"/>
  <c r="N698" i="7" s="1"/>
  <c r="O698" i="7"/>
  <c r="K697" i="7"/>
  <c r="N697" i="7" s="1"/>
  <c r="O697" i="7"/>
  <c r="K696" i="7"/>
  <c r="N696" i="7" s="1"/>
  <c r="O696" i="7"/>
  <c r="K695" i="7"/>
  <c r="N695" i="7" s="1"/>
  <c r="O695" i="7"/>
  <c r="K694" i="7"/>
  <c r="N694" i="7" s="1"/>
  <c r="O694" i="7"/>
  <c r="K693" i="7"/>
  <c r="N693" i="7" s="1"/>
  <c r="O693" i="7"/>
  <c r="K692" i="7"/>
  <c r="N692" i="7" s="1"/>
  <c r="O692" i="7"/>
  <c r="K691" i="7"/>
  <c r="N691" i="7" s="1"/>
  <c r="O691" i="7"/>
  <c r="K690" i="7"/>
  <c r="N690" i="7" s="1"/>
  <c r="O690" i="7"/>
  <c r="K689" i="7"/>
  <c r="N689" i="7" s="1"/>
  <c r="O689" i="7"/>
  <c r="K688" i="7"/>
  <c r="N688" i="7" s="1"/>
  <c r="O688" i="7"/>
  <c r="K687" i="7"/>
  <c r="N687" i="7" s="1"/>
  <c r="O687" i="7"/>
  <c r="K686" i="7"/>
  <c r="N686" i="7" s="1"/>
  <c r="O686" i="7"/>
  <c r="K685" i="7"/>
  <c r="N685" i="7" s="1"/>
  <c r="O685" i="7"/>
  <c r="K684" i="7"/>
  <c r="N684" i="7" s="1"/>
  <c r="O684" i="7"/>
  <c r="K683" i="7"/>
  <c r="N683" i="7" s="1"/>
  <c r="O683" i="7"/>
  <c r="K682" i="7"/>
  <c r="N682" i="7" s="1"/>
  <c r="O682" i="7"/>
  <c r="K681" i="7"/>
  <c r="N681" i="7" s="1"/>
  <c r="O681" i="7"/>
  <c r="K680" i="7"/>
  <c r="N680" i="7" s="1"/>
  <c r="O680" i="7"/>
  <c r="K679" i="7"/>
  <c r="N679" i="7" s="1"/>
  <c r="O679" i="7"/>
  <c r="K678" i="7"/>
  <c r="N678" i="7" s="1"/>
  <c r="O678" i="7"/>
  <c r="K677" i="7"/>
  <c r="N677" i="7" s="1"/>
  <c r="O677" i="7"/>
  <c r="K676" i="7"/>
  <c r="N676" i="7" s="1"/>
  <c r="O676" i="7"/>
  <c r="K675" i="7"/>
  <c r="N675" i="7" s="1"/>
  <c r="O675" i="7"/>
  <c r="K674" i="7"/>
  <c r="N674" i="7" s="1"/>
  <c r="O674" i="7"/>
  <c r="K673" i="7"/>
  <c r="N673" i="7" s="1"/>
  <c r="O673" i="7"/>
  <c r="K672" i="7"/>
  <c r="N672" i="7" s="1"/>
  <c r="O672" i="7"/>
  <c r="K671" i="7"/>
  <c r="N671" i="7" s="1"/>
  <c r="O671" i="7"/>
  <c r="K670" i="7"/>
  <c r="N670" i="7" s="1"/>
  <c r="O670" i="7"/>
  <c r="K669" i="7"/>
  <c r="N669" i="7" s="1"/>
  <c r="O669" i="7"/>
  <c r="K668" i="7"/>
  <c r="N668" i="7" s="1"/>
  <c r="O668" i="7"/>
  <c r="K667" i="7"/>
  <c r="N667" i="7" s="1"/>
  <c r="O667" i="7"/>
  <c r="K666" i="7"/>
  <c r="N666" i="7" s="1"/>
  <c r="O666" i="7"/>
  <c r="K665" i="7"/>
  <c r="N665" i="7" s="1"/>
  <c r="O665" i="7"/>
  <c r="K664" i="7"/>
  <c r="N664" i="7" s="1"/>
  <c r="O664" i="7"/>
  <c r="K663" i="7"/>
  <c r="N663" i="7" s="1"/>
  <c r="O663" i="7"/>
  <c r="K662" i="7"/>
  <c r="N662" i="7" s="1"/>
  <c r="O662" i="7"/>
  <c r="K661" i="7"/>
  <c r="N661" i="7" s="1"/>
  <c r="O661" i="7"/>
  <c r="K660" i="7"/>
  <c r="N660" i="7" s="1"/>
  <c r="O660" i="7"/>
  <c r="K659" i="7"/>
  <c r="N659" i="7" s="1"/>
  <c r="O659" i="7"/>
  <c r="K658" i="7"/>
  <c r="N658" i="7" s="1"/>
  <c r="O658" i="7"/>
  <c r="K657" i="7"/>
  <c r="N657" i="7" s="1"/>
  <c r="O657" i="7"/>
  <c r="K656" i="7"/>
  <c r="N656" i="7" s="1"/>
  <c r="O656" i="7"/>
  <c r="K655" i="7"/>
  <c r="N655" i="7" s="1"/>
  <c r="O655" i="7"/>
  <c r="K654" i="7"/>
  <c r="N654" i="7" s="1"/>
  <c r="O654" i="7"/>
  <c r="K653" i="7"/>
  <c r="N653" i="7" s="1"/>
  <c r="O653" i="7"/>
  <c r="K652" i="7"/>
  <c r="N652" i="7" s="1"/>
  <c r="O652" i="7"/>
  <c r="K651" i="7"/>
  <c r="N651" i="7" s="1"/>
  <c r="O651" i="7"/>
  <c r="K650" i="7"/>
  <c r="N650" i="7" s="1"/>
  <c r="O650" i="7"/>
  <c r="K649" i="7"/>
  <c r="N649" i="7" s="1"/>
  <c r="O649" i="7"/>
  <c r="K648" i="7"/>
  <c r="N648" i="7" s="1"/>
  <c r="O648" i="7"/>
  <c r="K647" i="7"/>
  <c r="N647" i="7" s="1"/>
  <c r="O647" i="7"/>
  <c r="K646" i="7"/>
  <c r="N646" i="7" s="1"/>
  <c r="O646" i="7"/>
  <c r="K645" i="7"/>
  <c r="N645" i="7" s="1"/>
  <c r="O645" i="7"/>
  <c r="K644" i="7"/>
  <c r="N644" i="7" s="1"/>
  <c r="O644" i="7"/>
  <c r="K643" i="7"/>
  <c r="N643" i="7" s="1"/>
  <c r="O643" i="7"/>
  <c r="K642" i="7"/>
  <c r="N642" i="7" s="1"/>
  <c r="O642" i="7"/>
  <c r="K641" i="7"/>
  <c r="N641" i="7" s="1"/>
  <c r="O641" i="7"/>
  <c r="K640" i="7"/>
  <c r="N640" i="7" s="1"/>
  <c r="O640" i="7"/>
  <c r="K639" i="7"/>
  <c r="N639" i="7" s="1"/>
  <c r="O639" i="7"/>
  <c r="K638" i="7"/>
  <c r="N638" i="7" s="1"/>
  <c r="O638" i="7"/>
  <c r="K637" i="7"/>
  <c r="N637" i="7" s="1"/>
  <c r="O637" i="7"/>
  <c r="K636" i="7"/>
  <c r="N636" i="7" s="1"/>
  <c r="O636" i="7"/>
  <c r="K635" i="7"/>
  <c r="N635" i="7" s="1"/>
  <c r="O635" i="7"/>
  <c r="K634" i="7"/>
  <c r="N634" i="7" s="1"/>
  <c r="O634" i="7"/>
  <c r="K633" i="7"/>
  <c r="N633" i="7" s="1"/>
  <c r="O633" i="7"/>
  <c r="K632" i="7"/>
  <c r="N632" i="7" s="1"/>
  <c r="O632" i="7"/>
  <c r="K631" i="7"/>
  <c r="N631" i="7" s="1"/>
  <c r="O631" i="7"/>
  <c r="K630" i="7"/>
  <c r="N630" i="7" s="1"/>
  <c r="O630" i="7"/>
  <c r="K629" i="7"/>
  <c r="N629" i="7" s="1"/>
  <c r="O629" i="7"/>
  <c r="K628" i="7"/>
  <c r="N628" i="7" s="1"/>
  <c r="O628" i="7"/>
  <c r="K627" i="7"/>
  <c r="N627" i="7" s="1"/>
  <c r="O627" i="7"/>
  <c r="K626" i="7"/>
  <c r="N626" i="7" s="1"/>
  <c r="O626" i="7"/>
  <c r="K625" i="7"/>
  <c r="N625" i="7" s="1"/>
  <c r="O625" i="7"/>
  <c r="K624" i="7"/>
  <c r="N624" i="7" s="1"/>
  <c r="O624" i="7"/>
  <c r="K623" i="7"/>
  <c r="N623" i="7" s="1"/>
  <c r="O623" i="7"/>
  <c r="K622" i="7"/>
  <c r="N622" i="7" s="1"/>
  <c r="O622" i="7"/>
  <c r="K621" i="7"/>
  <c r="N621" i="7" s="1"/>
  <c r="O621" i="7"/>
  <c r="K620" i="7"/>
  <c r="N620" i="7" s="1"/>
  <c r="O620" i="7"/>
  <c r="K619" i="7"/>
  <c r="N619" i="7" s="1"/>
  <c r="O619" i="7"/>
  <c r="K618" i="7"/>
  <c r="N618" i="7" s="1"/>
  <c r="O618" i="7"/>
  <c r="K617" i="7"/>
  <c r="N617" i="7" s="1"/>
  <c r="O617" i="7"/>
  <c r="K616" i="7"/>
  <c r="N616" i="7" s="1"/>
  <c r="O616" i="7"/>
  <c r="K615" i="7"/>
  <c r="N615" i="7" s="1"/>
  <c r="O615" i="7"/>
  <c r="K614" i="7"/>
  <c r="N614" i="7" s="1"/>
  <c r="O614" i="7"/>
  <c r="K613" i="7"/>
  <c r="N613" i="7" s="1"/>
  <c r="O613" i="7"/>
  <c r="K612" i="7"/>
  <c r="N612" i="7" s="1"/>
  <c r="O612" i="7"/>
  <c r="K611" i="7"/>
  <c r="N611" i="7" s="1"/>
  <c r="O611" i="7"/>
  <c r="K610" i="7"/>
  <c r="N610" i="7" s="1"/>
  <c r="O610" i="7"/>
  <c r="K609" i="7"/>
  <c r="N609" i="7" s="1"/>
  <c r="O609" i="7"/>
  <c r="K608" i="7"/>
  <c r="N608" i="7" s="1"/>
  <c r="O608" i="7"/>
  <c r="K607" i="7"/>
  <c r="N607" i="7" s="1"/>
  <c r="O607" i="7"/>
  <c r="K606" i="7"/>
  <c r="N606" i="7" s="1"/>
  <c r="O606" i="7"/>
  <c r="K605" i="7"/>
  <c r="N605" i="7" s="1"/>
  <c r="O605" i="7"/>
  <c r="K604" i="7"/>
  <c r="N604" i="7" s="1"/>
  <c r="O604" i="7"/>
  <c r="K603" i="7"/>
  <c r="N603" i="7" s="1"/>
  <c r="O603" i="7"/>
  <c r="K602" i="7"/>
  <c r="N602" i="7" s="1"/>
  <c r="O602" i="7"/>
  <c r="K601" i="7"/>
  <c r="N601" i="7" s="1"/>
  <c r="O601" i="7"/>
  <c r="K600" i="7"/>
  <c r="N600" i="7" s="1"/>
  <c r="O600" i="7"/>
  <c r="K599" i="7"/>
  <c r="N599" i="7" s="1"/>
  <c r="O599" i="7"/>
  <c r="K598" i="7"/>
  <c r="N598" i="7" s="1"/>
  <c r="O598" i="7"/>
  <c r="K597" i="7"/>
  <c r="N597" i="7" s="1"/>
  <c r="O597" i="7"/>
  <c r="K596" i="7"/>
  <c r="N596" i="7" s="1"/>
  <c r="O596" i="7"/>
  <c r="K595" i="7"/>
  <c r="N595" i="7" s="1"/>
  <c r="O595" i="7"/>
  <c r="K594" i="7"/>
  <c r="N594" i="7" s="1"/>
  <c r="O594" i="7"/>
  <c r="K593" i="7"/>
  <c r="N593" i="7" s="1"/>
  <c r="O593" i="7"/>
  <c r="K592" i="7"/>
  <c r="N592" i="7" s="1"/>
  <c r="O592" i="7"/>
  <c r="K591" i="7"/>
  <c r="N591" i="7" s="1"/>
  <c r="O591" i="7"/>
  <c r="K590" i="7"/>
  <c r="N590" i="7" s="1"/>
  <c r="O590" i="7"/>
  <c r="K589" i="7"/>
  <c r="N589" i="7" s="1"/>
  <c r="O589" i="7"/>
  <c r="K588" i="7"/>
  <c r="N588" i="7" s="1"/>
  <c r="O588" i="7"/>
  <c r="K587" i="7"/>
  <c r="N587" i="7" s="1"/>
  <c r="O587" i="7"/>
  <c r="K586" i="7"/>
  <c r="N586" i="7" s="1"/>
  <c r="O586" i="7"/>
  <c r="K585" i="7"/>
  <c r="N585" i="7" s="1"/>
  <c r="O585" i="7"/>
  <c r="K584" i="7"/>
  <c r="N584" i="7" s="1"/>
  <c r="O584" i="7"/>
  <c r="K583" i="7"/>
  <c r="N583" i="7" s="1"/>
  <c r="O583" i="7"/>
  <c r="K582" i="7"/>
  <c r="N582" i="7" s="1"/>
  <c r="O582" i="7"/>
  <c r="K581" i="7"/>
  <c r="N581" i="7" s="1"/>
  <c r="O581" i="7"/>
  <c r="K580" i="7"/>
  <c r="N580" i="7" s="1"/>
  <c r="O580" i="7"/>
  <c r="K579" i="7"/>
  <c r="N579" i="7" s="1"/>
  <c r="O579" i="7"/>
  <c r="K578" i="7"/>
  <c r="N578" i="7" s="1"/>
  <c r="O578" i="7"/>
  <c r="K577" i="7"/>
  <c r="N577" i="7" s="1"/>
  <c r="O577" i="7"/>
  <c r="K576" i="7"/>
  <c r="N576" i="7" s="1"/>
  <c r="O576" i="7"/>
  <c r="K575" i="7"/>
  <c r="N575" i="7" s="1"/>
  <c r="O575" i="7"/>
  <c r="K574" i="7"/>
  <c r="N574" i="7" s="1"/>
  <c r="O574" i="7"/>
  <c r="K573" i="7"/>
  <c r="N573" i="7" s="1"/>
  <c r="O573" i="7"/>
  <c r="K572" i="7"/>
  <c r="N572" i="7" s="1"/>
  <c r="O572" i="7"/>
  <c r="K571" i="7"/>
  <c r="N571" i="7" s="1"/>
  <c r="O571" i="7"/>
  <c r="K570" i="7"/>
  <c r="N570" i="7" s="1"/>
  <c r="O570" i="7"/>
  <c r="K569" i="7"/>
  <c r="N569" i="7" s="1"/>
  <c r="O569" i="7"/>
  <c r="K568" i="7"/>
  <c r="N568" i="7" s="1"/>
  <c r="O568" i="7"/>
  <c r="K567" i="7"/>
  <c r="N567" i="7" s="1"/>
  <c r="O567" i="7"/>
  <c r="K566" i="7"/>
  <c r="N566" i="7" s="1"/>
  <c r="O566" i="7"/>
  <c r="K565" i="7"/>
  <c r="N565" i="7" s="1"/>
  <c r="O565" i="7"/>
  <c r="K564" i="7"/>
  <c r="N564" i="7" s="1"/>
  <c r="O564" i="7"/>
  <c r="K563" i="7"/>
  <c r="N563" i="7" s="1"/>
  <c r="O563" i="7"/>
  <c r="K562" i="7"/>
  <c r="N562" i="7" s="1"/>
  <c r="O562" i="7"/>
  <c r="K561" i="7"/>
  <c r="N561" i="7" s="1"/>
  <c r="O561" i="7"/>
  <c r="K560" i="7"/>
  <c r="N560" i="7" s="1"/>
  <c r="O560" i="7"/>
  <c r="K559" i="7"/>
  <c r="N559" i="7" s="1"/>
  <c r="O559" i="7"/>
  <c r="K558" i="7"/>
  <c r="N558" i="7" s="1"/>
  <c r="O558" i="7"/>
  <c r="K557" i="7"/>
  <c r="N557" i="7" s="1"/>
  <c r="O557" i="7"/>
  <c r="K556" i="7"/>
  <c r="N556" i="7" s="1"/>
  <c r="O556" i="7"/>
  <c r="K555" i="7"/>
  <c r="N555" i="7" s="1"/>
  <c r="O555" i="7"/>
  <c r="K554" i="7"/>
  <c r="N554" i="7" s="1"/>
  <c r="O554" i="7"/>
  <c r="K553" i="7"/>
  <c r="N553" i="7" s="1"/>
  <c r="O553" i="7"/>
  <c r="K552" i="7"/>
  <c r="N552" i="7" s="1"/>
  <c r="O552" i="7"/>
  <c r="K551" i="7"/>
  <c r="N551" i="7" s="1"/>
  <c r="O551" i="7"/>
  <c r="K550" i="7"/>
  <c r="N550" i="7" s="1"/>
  <c r="O550" i="7"/>
  <c r="K549" i="7"/>
  <c r="N549" i="7" s="1"/>
  <c r="O549" i="7"/>
  <c r="K548" i="7"/>
  <c r="N548" i="7" s="1"/>
  <c r="O548" i="7"/>
  <c r="K547" i="7"/>
  <c r="N547" i="7" s="1"/>
  <c r="O547" i="7"/>
  <c r="K546" i="7"/>
  <c r="N546" i="7" s="1"/>
  <c r="O546" i="7"/>
  <c r="K545" i="7"/>
  <c r="N545" i="7" s="1"/>
  <c r="O545" i="7"/>
  <c r="K544" i="7"/>
  <c r="N544" i="7" s="1"/>
  <c r="O544" i="7"/>
  <c r="K543" i="7"/>
  <c r="N543" i="7" s="1"/>
  <c r="O543" i="7"/>
  <c r="K542" i="7"/>
  <c r="N542" i="7" s="1"/>
  <c r="O542" i="7"/>
  <c r="K541" i="7"/>
  <c r="N541" i="7" s="1"/>
  <c r="O541" i="7"/>
  <c r="K540" i="7"/>
  <c r="N540" i="7" s="1"/>
  <c r="O540" i="7"/>
  <c r="K539" i="7"/>
  <c r="N539" i="7" s="1"/>
  <c r="O539" i="7"/>
  <c r="K538" i="7"/>
  <c r="N538" i="7" s="1"/>
  <c r="O538" i="7"/>
  <c r="K537" i="7"/>
  <c r="N537" i="7" s="1"/>
  <c r="O537" i="7"/>
  <c r="K536" i="7"/>
  <c r="N536" i="7" s="1"/>
  <c r="O536" i="7"/>
  <c r="K535" i="7"/>
  <c r="N535" i="7" s="1"/>
  <c r="O535" i="7"/>
  <c r="K534" i="7"/>
  <c r="N534" i="7" s="1"/>
  <c r="O534" i="7"/>
  <c r="K533" i="7"/>
  <c r="N533" i="7" s="1"/>
  <c r="O533" i="7"/>
  <c r="K532" i="7"/>
  <c r="N532" i="7" s="1"/>
  <c r="O532" i="7"/>
  <c r="K531" i="7"/>
  <c r="N531" i="7" s="1"/>
  <c r="O531" i="7"/>
  <c r="K530" i="7"/>
  <c r="N530" i="7" s="1"/>
  <c r="O530" i="7"/>
  <c r="K529" i="7"/>
  <c r="N529" i="7" s="1"/>
  <c r="O529" i="7"/>
  <c r="K528" i="7"/>
  <c r="N528" i="7" s="1"/>
  <c r="O528" i="7"/>
  <c r="K527" i="7"/>
  <c r="N527" i="7" s="1"/>
  <c r="O527" i="7"/>
  <c r="K526" i="7"/>
  <c r="N526" i="7" s="1"/>
  <c r="O526" i="7"/>
  <c r="K525" i="7"/>
  <c r="N525" i="7" s="1"/>
  <c r="O525" i="7"/>
  <c r="K524" i="7"/>
  <c r="N524" i="7" s="1"/>
  <c r="O524" i="7"/>
  <c r="K523" i="7"/>
  <c r="N523" i="7" s="1"/>
  <c r="O523" i="7"/>
  <c r="K522" i="7"/>
  <c r="N522" i="7" s="1"/>
  <c r="O522" i="7"/>
  <c r="K521" i="7"/>
  <c r="N521" i="7" s="1"/>
  <c r="O521" i="7"/>
  <c r="K520" i="7"/>
  <c r="N520" i="7" s="1"/>
  <c r="O520" i="7"/>
  <c r="K519" i="7"/>
  <c r="N519" i="7" s="1"/>
  <c r="O519" i="7"/>
  <c r="K518" i="7"/>
  <c r="N518" i="7" s="1"/>
  <c r="O518" i="7"/>
  <c r="K517" i="7"/>
  <c r="N517" i="7" s="1"/>
  <c r="O517" i="7"/>
  <c r="K516" i="7"/>
  <c r="N516" i="7" s="1"/>
  <c r="O516" i="7"/>
  <c r="K515" i="7"/>
  <c r="N515" i="7" s="1"/>
  <c r="O515" i="7"/>
  <c r="K514" i="7"/>
  <c r="N514" i="7" s="1"/>
  <c r="O514" i="7"/>
  <c r="K513" i="7"/>
  <c r="N513" i="7" s="1"/>
  <c r="O513" i="7"/>
  <c r="K512" i="7"/>
  <c r="N512" i="7" s="1"/>
  <c r="O512" i="7"/>
  <c r="K511" i="7"/>
  <c r="N511" i="7" s="1"/>
  <c r="O511" i="7"/>
  <c r="K510" i="7"/>
  <c r="N510" i="7" s="1"/>
  <c r="O510" i="7"/>
  <c r="K509" i="7"/>
  <c r="N509" i="7" s="1"/>
  <c r="O509" i="7"/>
  <c r="K508" i="7"/>
  <c r="N508" i="7" s="1"/>
  <c r="O508" i="7"/>
  <c r="K507" i="7"/>
  <c r="N507" i="7" s="1"/>
  <c r="O507" i="7"/>
  <c r="K506" i="7"/>
  <c r="N506" i="7" s="1"/>
  <c r="O506" i="7"/>
  <c r="K505" i="7"/>
  <c r="N505" i="7" s="1"/>
  <c r="O505" i="7"/>
  <c r="K504" i="7"/>
  <c r="N504" i="7" s="1"/>
  <c r="O504" i="7"/>
  <c r="K503" i="7"/>
  <c r="N503" i="7" s="1"/>
  <c r="O503" i="7"/>
  <c r="K502" i="7"/>
  <c r="N502" i="7" s="1"/>
  <c r="O502" i="7"/>
  <c r="K501" i="7"/>
  <c r="N501" i="7" s="1"/>
  <c r="O501" i="7"/>
  <c r="K500" i="7"/>
  <c r="N500" i="7" s="1"/>
  <c r="O500" i="7"/>
  <c r="K499" i="7"/>
  <c r="N499" i="7" s="1"/>
  <c r="O499" i="7"/>
  <c r="K498" i="7"/>
  <c r="N498" i="7" s="1"/>
  <c r="O498" i="7"/>
  <c r="K497" i="7"/>
  <c r="N497" i="7" s="1"/>
  <c r="O497" i="7"/>
  <c r="K496" i="7"/>
  <c r="N496" i="7" s="1"/>
  <c r="O496" i="7"/>
  <c r="K495" i="7"/>
  <c r="N495" i="7" s="1"/>
  <c r="O495" i="7"/>
  <c r="K494" i="7"/>
  <c r="N494" i="7" s="1"/>
  <c r="O494" i="7"/>
  <c r="K493" i="7"/>
  <c r="N493" i="7" s="1"/>
  <c r="O493" i="7"/>
  <c r="K492" i="7"/>
  <c r="N492" i="7" s="1"/>
  <c r="O492" i="7"/>
  <c r="K491" i="7"/>
  <c r="N491" i="7" s="1"/>
  <c r="O491" i="7"/>
  <c r="K490" i="7"/>
  <c r="N490" i="7" s="1"/>
  <c r="O490" i="7"/>
  <c r="K489" i="7"/>
  <c r="N489" i="7" s="1"/>
  <c r="O489" i="7"/>
  <c r="K488" i="7"/>
  <c r="N488" i="7" s="1"/>
  <c r="O488" i="7"/>
  <c r="K487" i="7"/>
  <c r="N487" i="7" s="1"/>
  <c r="O487" i="7"/>
  <c r="K486" i="7"/>
  <c r="N486" i="7" s="1"/>
  <c r="O486" i="7"/>
  <c r="K485" i="7"/>
  <c r="N485" i="7" s="1"/>
  <c r="O485" i="7"/>
  <c r="K484" i="7"/>
  <c r="N484" i="7" s="1"/>
  <c r="O484" i="7"/>
  <c r="K483" i="7"/>
  <c r="N483" i="7" s="1"/>
  <c r="O483" i="7"/>
  <c r="K482" i="7"/>
  <c r="N482" i="7" s="1"/>
  <c r="O482" i="7"/>
  <c r="K481" i="7"/>
  <c r="N481" i="7" s="1"/>
  <c r="O481" i="7"/>
  <c r="K480" i="7"/>
  <c r="N480" i="7" s="1"/>
  <c r="O480" i="7"/>
  <c r="K479" i="7"/>
  <c r="N479" i="7" s="1"/>
  <c r="O479" i="7"/>
  <c r="K478" i="7"/>
  <c r="N478" i="7" s="1"/>
  <c r="O478" i="7"/>
  <c r="K477" i="7"/>
  <c r="N477" i="7" s="1"/>
  <c r="O477" i="7"/>
  <c r="K476" i="7"/>
  <c r="N476" i="7" s="1"/>
  <c r="O476" i="7"/>
  <c r="K475" i="7"/>
  <c r="N475" i="7" s="1"/>
  <c r="O475" i="7"/>
  <c r="K474" i="7"/>
  <c r="N474" i="7" s="1"/>
  <c r="O474" i="7"/>
  <c r="K473" i="7"/>
  <c r="N473" i="7" s="1"/>
  <c r="O473" i="7"/>
  <c r="K472" i="7"/>
  <c r="N472" i="7" s="1"/>
  <c r="O472" i="7"/>
  <c r="K471" i="7"/>
  <c r="N471" i="7" s="1"/>
  <c r="O471" i="7"/>
  <c r="K470" i="7"/>
  <c r="N470" i="7" s="1"/>
  <c r="O470" i="7"/>
  <c r="K469" i="7"/>
  <c r="N469" i="7" s="1"/>
  <c r="O469" i="7"/>
  <c r="K468" i="7"/>
  <c r="N468" i="7" s="1"/>
  <c r="O468" i="7"/>
  <c r="K467" i="7"/>
  <c r="N467" i="7" s="1"/>
  <c r="O467" i="7"/>
  <c r="K466" i="7"/>
  <c r="N466" i="7" s="1"/>
  <c r="O466" i="7"/>
  <c r="K465" i="7"/>
  <c r="N465" i="7" s="1"/>
  <c r="O465" i="7"/>
  <c r="K464" i="7"/>
  <c r="N464" i="7" s="1"/>
  <c r="O464" i="7"/>
  <c r="K463" i="7"/>
  <c r="N463" i="7" s="1"/>
  <c r="O463" i="7"/>
  <c r="K462" i="7"/>
  <c r="N462" i="7" s="1"/>
  <c r="O462" i="7"/>
  <c r="K461" i="7"/>
  <c r="N461" i="7" s="1"/>
  <c r="O461" i="7"/>
  <c r="K460" i="7"/>
  <c r="N460" i="7" s="1"/>
  <c r="O460" i="7"/>
  <c r="K459" i="7"/>
  <c r="N459" i="7" s="1"/>
  <c r="O459" i="7"/>
  <c r="K458" i="7"/>
  <c r="N458" i="7" s="1"/>
  <c r="O458" i="7"/>
  <c r="K457" i="7"/>
  <c r="N457" i="7" s="1"/>
  <c r="O457" i="7"/>
  <c r="K456" i="7"/>
  <c r="N456" i="7" s="1"/>
  <c r="O456" i="7"/>
  <c r="K455" i="7"/>
  <c r="N455" i="7" s="1"/>
  <c r="O455" i="7"/>
  <c r="K454" i="7"/>
  <c r="N454" i="7" s="1"/>
  <c r="O454" i="7"/>
  <c r="K453" i="7"/>
  <c r="N453" i="7" s="1"/>
  <c r="O453" i="7"/>
  <c r="K452" i="7"/>
  <c r="N452" i="7" s="1"/>
  <c r="O452" i="7"/>
  <c r="K451" i="7"/>
  <c r="N451" i="7" s="1"/>
  <c r="O451" i="7"/>
  <c r="K450" i="7"/>
  <c r="N450" i="7" s="1"/>
  <c r="O450" i="7"/>
  <c r="K449" i="7"/>
  <c r="N449" i="7" s="1"/>
  <c r="O449" i="7"/>
  <c r="K448" i="7"/>
  <c r="N448" i="7" s="1"/>
  <c r="O448" i="7"/>
  <c r="K447" i="7"/>
  <c r="N447" i="7" s="1"/>
  <c r="O447" i="7"/>
  <c r="K446" i="7"/>
  <c r="N446" i="7" s="1"/>
  <c r="O446" i="7"/>
  <c r="K445" i="7"/>
  <c r="N445" i="7" s="1"/>
  <c r="O445" i="7"/>
  <c r="K444" i="7"/>
  <c r="N444" i="7" s="1"/>
  <c r="O444" i="7"/>
  <c r="K443" i="7"/>
  <c r="N443" i="7" s="1"/>
  <c r="O443" i="7"/>
  <c r="K442" i="7"/>
  <c r="N442" i="7" s="1"/>
  <c r="O442" i="7"/>
  <c r="K441" i="7"/>
  <c r="N441" i="7" s="1"/>
  <c r="O441" i="7"/>
  <c r="K440" i="7"/>
  <c r="N440" i="7" s="1"/>
  <c r="O440" i="7"/>
  <c r="K439" i="7"/>
  <c r="N439" i="7" s="1"/>
  <c r="O439" i="7"/>
  <c r="K438" i="7"/>
  <c r="N438" i="7" s="1"/>
  <c r="O438" i="7"/>
  <c r="K437" i="7"/>
  <c r="N437" i="7" s="1"/>
  <c r="O437" i="7"/>
  <c r="K436" i="7"/>
  <c r="N436" i="7" s="1"/>
  <c r="O436" i="7"/>
  <c r="K435" i="7"/>
  <c r="N435" i="7" s="1"/>
  <c r="O435" i="7"/>
  <c r="K434" i="7"/>
  <c r="N434" i="7" s="1"/>
  <c r="O434" i="7"/>
  <c r="K433" i="7"/>
  <c r="N433" i="7" s="1"/>
  <c r="O433" i="7"/>
  <c r="K432" i="7"/>
  <c r="N432" i="7" s="1"/>
  <c r="O432" i="7"/>
  <c r="K431" i="7"/>
  <c r="N431" i="7" s="1"/>
  <c r="O431" i="7"/>
  <c r="K430" i="7"/>
  <c r="N430" i="7" s="1"/>
  <c r="O430" i="7"/>
  <c r="K429" i="7"/>
  <c r="N429" i="7" s="1"/>
  <c r="O429" i="7"/>
  <c r="K428" i="7"/>
  <c r="N428" i="7" s="1"/>
  <c r="O428" i="7"/>
  <c r="K427" i="7"/>
  <c r="N427" i="7" s="1"/>
  <c r="O427" i="7"/>
  <c r="K426" i="7"/>
  <c r="N426" i="7" s="1"/>
  <c r="O426" i="7"/>
  <c r="K425" i="7"/>
  <c r="N425" i="7" s="1"/>
  <c r="O425" i="7"/>
  <c r="K424" i="7"/>
  <c r="N424" i="7" s="1"/>
  <c r="O424" i="7"/>
  <c r="K423" i="7"/>
  <c r="N423" i="7" s="1"/>
  <c r="O423" i="7"/>
  <c r="K422" i="7"/>
  <c r="N422" i="7" s="1"/>
  <c r="O422" i="7"/>
  <c r="K421" i="7"/>
  <c r="N421" i="7" s="1"/>
  <c r="O421" i="7"/>
  <c r="K420" i="7"/>
  <c r="N420" i="7" s="1"/>
  <c r="O420" i="7"/>
  <c r="K419" i="7"/>
  <c r="N419" i="7" s="1"/>
  <c r="O419" i="7"/>
  <c r="K418" i="7"/>
  <c r="N418" i="7" s="1"/>
  <c r="O418" i="7"/>
  <c r="K417" i="7"/>
  <c r="N417" i="7" s="1"/>
  <c r="O417" i="7"/>
  <c r="K416" i="7"/>
  <c r="N416" i="7" s="1"/>
  <c r="O416" i="7"/>
  <c r="K415" i="7"/>
  <c r="N415" i="7" s="1"/>
  <c r="O415" i="7"/>
  <c r="K414" i="7"/>
  <c r="N414" i="7" s="1"/>
  <c r="O414" i="7"/>
  <c r="K413" i="7"/>
  <c r="N413" i="7" s="1"/>
  <c r="O413" i="7"/>
  <c r="K412" i="7"/>
  <c r="N412" i="7" s="1"/>
  <c r="O412" i="7"/>
  <c r="K411" i="7"/>
  <c r="N411" i="7" s="1"/>
  <c r="O411" i="7"/>
  <c r="K410" i="7"/>
  <c r="N410" i="7" s="1"/>
  <c r="O410" i="7"/>
  <c r="K409" i="7"/>
  <c r="N409" i="7" s="1"/>
  <c r="O409" i="7"/>
  <c r="K408" i="7"/>
  <c r="N408" i="7" s="1"/>
  <c r="O408" i="7"/>
  <c r="K407" i="7"/>
  <c r="N407" i="7" s="1"/>
  <c r="O407" i="7"/>
  <c r="K406" i="7"/>
  <c r="N406" i="7" s="1"/>
  <c r="O406" i="7"/>
  <c r="K405" i="7"/>
  <c r="N405" i="7" s="1"/>
  <c r="O405" i="7"/>
  <c r="K404" i="7"/>
  <c r="N404" i="7" s="1"/>
  <c r="O404" i="7"/>
  <c r="K403" i="7"/>
  <c r="N403" i="7" s="1"/>
  <c r="O403" i="7"/>
  <c r="K402" i="7"/>
  <c r="N402" i="7" s="1"/>
  <c r="O402" i="7"/>
  <c r="K401" i="7"/>
  <c r="N401" i="7" s="1"/>
  <c r="O401" i="7"/>
  <c r="K400" i="7"/>
  <c r="N400" i="7" s="1"/>
  <c r="O400" i="7"/>
  <c r="K399" i="7"/>
  <c r="N399" i="7" s="1"/>
  <c r="O399" i="7"/>
  <c r="K398" i="7"/>
  <c r="N398" i="7" s="1"/>
  <c r="O398" i="7"/>
  <c r="K397" i="7"/>
  <c r="N397" i="7" s="1"/>
  <c r="O397" i="7"/>
  <c r="K396" i="7"/>
  <c r="N396" i="7" s="1"/>
  <c r="O396" i="7"/>
  <c r="K395" i="7"/>
  <c r="N395" i="7" s="1"/>
  <c r="O395" i="7"/>
  <c r="K394" i="7"/>
  <c r="N394" i="7" s="1"/>
  <c r="O394" i="7"/>
  <c r="K393" i="7"/>
  <c r="N393" i="7" s="1"/>
  <c r="O393" i="7"/>
  <c r="K392" i="7"/>
  <c r="N392" i="7" s="1"/>
  <c r="O392" i="7"/>
  <c r="K391" i="7"/>
  <c r="N391" i="7" s="1"/>
  <c r="O391" i="7"/>
  <c r="K390" i="7"/>
  <c r="N390" i="7" s="1"/>
  <c r="O390" i="7"/>
  <c r="K389" i="7"/>
  <c r="N389" i="7" s="1"/>
  <c r="O389" i="7"/>
  <c r="K388" i="7"/>
  <c r="N388" i="7" s="1"/>
  <c r="O388" i="7"/>
  <c r="K387" i="7"/>
  <c r="N387" i="7" s="1"/>
  <c r="O387" i="7"/>
  <c r="K386" i="7"/>
  <c r="N386" i="7" s="1"/>
  <c r="O386" i="7"/>
  <c r="K385" i="7"/>
  <c r="N385" i="7" s="1"/>
  <c r="O385" i="7"/>
  <c r="K384" i="7"/>
  <c r="N384" i="7" s="1"/>
  <c r="O384" i="7"/>
  <c r="K383" i="7"/>
  <c r="N383" i="7" s="1"/>
  <c r="O383" i="7"/>
  <c r="K382" i="7"/>
  <c r="N382" i="7" s="1"/>
  <c r="O382" i="7"/>
  <c r="K381" i="7"/>
  <c r="N381" i="7" s="1"/>
  <c r="O381" i="7"/>
  <c r="K380" i="7"/>
  <c r="N380" i="7" s="1"/>
  <c r="O380" i="7"/>
  <c r="K379" i="7"/>
  <c r="N379" i="7" s="1"/>
  <c r="O379" i="7"/>
  <c r="K378" i="7"/>
  <c r="N378" i="7" s="1"/>
  <c r="O378" i="7"/>
  <c r="K377" i="7"/>
  <c r="N377" i="7" s="1"/>
  <c r="O377" i="7"/>
  <c r="K376" i="7"/>
  <c r="N376" i="7" s="1"/>
  <c r="O376" i="7"/>
  <c r="K375" i="7"/>
  <c r="N375" i="7" s="1"/>
  <c r="O375" i="7"/>
  <c r="K374" i="7"/>
  <c r="N374" i="7" s="1"/>
  <c r="O374" i="7"/>
  <c r="K373" i="7"/>
  <c r="N373" i="7" s="1"/>
  <c r="O373" i="7"/>
  <c r="K372" i="7"/>
  <c r="N372" i="7" s="1"/>
  <c r="O372" i="7"/>
  <c r="K371" i="7"/>
  <c r="N371" i="7" s="1"/>
  <c r="O371" i="7"/>
  <c r="K370" i="7"/>
  <c r="N370" i="7" s="1"/>
  <c r="O370" i="7"/>
  <c r="K369" i="7"/>
  <c r="N369" i="7" s="1"/>
  <c r="O369" i="7"/>
  <c r="K368" i="7"/>
  <c r="N368" i="7" s="1"/>
  <c r="O368" i="7"/>
  <c r="K367" i="7"/>
  <c r="N367" i="7" s="1"/>
  <c r="O367" i="7"/>
  <c r="K366" i="7"/>
  <c r="N366" i="7" s="1"/>
  <c r="O366" i="7"/>
  <c r="K365" i="7"/>
  <c r="N365" i="7" s="1"/>
  <c r="O365" i="7"/>
  <c r="K364" i="7"/>
  <c r="N364" i="7" s="1"/>
  <c r="O364" i="7"/>
  <c r="K363" i="7"/>
  <c r="N363" i="7" s="1"/>
  <c r="O363" i="7"/>
  <c r="K362" i="7"/>
  <c r="N362" i="7" s="1"/>
  <c r="O362" i="7"/>
  <c r="K361" i="7"/>
  <c r="N361" i="7" s="1"/>
  <c r="O361" i="7"/>
  <c r="K360" i="7"/>
  <c r="N360" i="7" s="1"/>
  <c r="O360" i="7"/>
  <c r="K359" i="7"/>
  <c r="N359" i="7" s="1"/>
  <c r="O359" i="7"/>
  <c r="K358" i="7"/>
  <c r="N358" i="7" s="1"/>
  <c r="O358" i="7"/>
  <c r="K357" i="7"/>
  <c r="N357" i="7" s="1"/>
  <c r="O357" i="7"/>
  <c r="K356" i="7"/>
  <c r="N356" i="7" s="1"/>
  <c r="O356" i="7"/>
  <c r="K355" i="7"/>
  <c r="N355" i="7" s="1"/>
  <c r="O355" i="7"/>
  <c r="K354" i="7"/>
  <c r="N354" i="7" s="1"/>
  <c r="O354" i="7"/>
  <c r="K353" i="7"/>
  <c r="N353" i="7" s="1"/>
  <c r="O353" i="7"/>
  <c r="K352" i="7"/>
  <c r="N352" i="7" s="1"/>
  <c r="O352" i="7"/>
  <c r="K351" i="7"/>
  <c r="N351" i="7" s="1"/>
  <c r="O351" i="7"/>
  <c r="K350" i="7"/>
  <c r="N350" i="7" s="1"/>
  <c r="O350" i="7"/>
  <c r="K349" i="7"/>
  <c r="N349" i="7" s="1"/>
  <c r="O349" i="7"/>
  <c r="K348" i="7"/>
  <c r="N348" i="7" s="1"/>
  <c r="O348" i="7"/>
  <c r="K347" i="7"/>
  <c r="N347" i="7" s="1"/>
  <c r="O347" i="7"/>
  <c r="K346" i="7"/>
  <c r="N346" i="7" s="1"/>
  <c r="O346" i="7"/>
  <c r="K345" i="7"/>
  <c r="N345" i="7" s="1"/>
  <c r="O345" i="7"/>
  <c r="K344" i="7"/>
  <c r="N344" i="7" s="1"/>
  <c r="O344" i="7"/>
  <c r="K343" i="7"/>
  <c r="N343" i="7" s="1"/>
  <c r="O343" i="7"/>
  <c r="K342" i="7"/>
  <c r="N342" i="7" s="1"/>
  <c r="O342" i="7"/>
  <c r="K341" i="7"/>
  <c r="N341" i="7" s="1"/>
  <c r="O341" i="7"/>
  <c r="K340" i="7"/>
  <c r="N340" i="7" s="1"/>
  <c r="O340" i="7"/>
  <c r="K339" i="7"/>
  <c r="N339" i="7" s="1"/>
  <c r="O339" i="7"/>
  <c r="K338" i="7"/>
  <c r="N338" i="7" s="1"/>
  <c r="O338" i="7"/>
  <c r="K337" i="7"/>
  <c r="N337" i="7" s="1"/>
  <c r="O337" i="7"/>
  <c r="K336" i="7"/>
  <c r="N336" i="7" s="1"/>
  <c r="O336" i="7"/>
  <c r="K335" i="7"/>
  <c r="N335" i="7" s="1"/>
  <c r="O335" i="7"/>
  <c r="K334" i="7"/>
  <c r="N334" i="7" s="1"/>
  <c r="O334" i="7"/>
  <c r="K333" i="7"/>
  <c r="N333" i="7" s="1"/>
  <c r="O333" i="7"/>
  <c r="K332" i="7"/>
  <c r="N332" i="7" s="1"/>
  <c r="O332" i="7"/>
  <c r="K331" i="7"/>
  <c r="N331" i="7" s="1"/>
  <c r="O331" i="7"/>
  <c r="K330" i="7"/>
  <c r="N330" i="7" s="1"/>
  <c r="O330" i="7"/>
  <c r="K329" i="7"/>
  <c r="N329" i="7" s="1"/>
  <c r="O329" i="7"/>
  <c r="K328" i="7"/>
  <c r="N328" i="7" s="1"/>
  <c r="O328" i="7"/>
  <c r="K327" i="7"/>
  <c r="N327" i="7" s="1"/>
  <c r="O327" i="7"/>
  <c r="K326" i="7"/>
  <c r="N326" i="7" s="1"/>
  <c r="O326" i="7"/>
  <c r="K325" i="7"/>
  <c r="N325" i="7" s="1"/>
  <c r="O325" i="7"/>
  <c r="K324" i="7"/>
  <c r="N324" i="7" s="1"/>
  <c r="O324" i="7"/>
  <c r="K323" i="7"/>
  <c r="N323" i="7" s="1"/>
  <c r="O323" i="7"/>
  <c r="K322" i="7"/>
  <c r="N322" i="7" s="1"/>
  <c r="O322" i="7"/>
  <c r="K321" i="7"/>
  <c r="N321" i="7" s="1"/>
  <c r="O321" i="7"/>
  <c r="K320" i="7"/>
  <c r="N320" i="7" s="1"/>
  <c r="O320" i="7"/>
  <c r="K319" i="7"/>
  <c r="N319" i="7" s="1"/>
  <c r="O319" i="7"/>
  <c r="K318" i="7"/>
  <c r="N318" i="7" s="1"/>
  <c r="O318" i="7"/>
  <c r="K317" i="7"/>
  <c r="N317" i="7" s="1"/>
  <c r="O317" i="7"/>
  <c r="K316" i="7"/>
  <c r="N316" i="7" s="1"/>
  <c r="O316" i="7"/>
  <c r="K315" i="7"/>
  <c r="N315" i="7" s="1"/>
  <c r="O315" i="7"/>
  <c r="K314" i="7"/>
  <c r="N314" i="7" s="1"/>
  <c r="O314" i="7"/>
  <c r="K313" i="7"/>
  <c r="N313" i="7" s="1"/>
  <c r="O313" i="7"/>
  <c r="K312" i="7"/>
  <c r="N312" i="7" s="1"/>
  <c r="O312" i="7"/>
  <c r="K311" i="7"/>
  <c r="N311" i="7" s="1"/>
  <c r="O311" i="7"/>
  <c r="K310" i="7"/>
  <c r="N310" i="7" s="1"/>
  <c r="O310" i="7"/>
  <c r="K309" i="7"/>
  <c r="N309" i="7" s="1"/>
  <c r="O309" i="7"/>
  <c r="K308" i="7"/>
  <c r="N308" i="7" s="1"/>
  <c r="O308" i="7"/>
  <c r="K307" i="7"/>
  <c r="N307" i="7" s="1"/>
  <c r="O307" i="7"/>
  <c r="K306" i="7"/>
  <c r="N306" i="7" s="1"/>
  <c r="O306" i="7"/>
  <c r="K305" i="7"/>
  <c r="N305" i="7" s="1"/>
  <c r="O305" i="7"/>
  <c r="K304" i="7"/>
  <c r="N304" i="7" s="1"/>
  <c r="O304" i="7"/>
  <c r="K303" i="7"/>
  <c r="N303" i="7" s="1"/>
  <c r="O303" i="7"/>
  <c r="K302" i="7"/>
  <c r="N302" i="7" s="1"/>
  <c r="O302" i="7"/>
  <c r="K301" i="7"/>
  <c r="N301" i="7" s="1"/>
  <c r="O301" i="7"/>
  <c r="K300" i="7"/>
  <c r="N300" i="7" s="1"/>
  <c r="O300" i="7"/>
  <c r="K299" i="7"/>
  <c r="N299" i="7" s="1"/>
  <c r="O299" i="7"/>
  <c r="K298" i="7"/>
  <c r="N298" i="7" s="1"/>
  <c r="O298" i="7"/>
  <c r="K297" i="7"/>
  <c r="N297" i="7" s="1"/>
  <c r="O297" i="7"/>
  <c r="K296" i="7"/>
  <c r="N296" i="7" s="1"/>
  <c r="O296" i="7"/>
  <c r="K295" i="7"/>
  <c r="N295" i="7" s="1"/>
  <c r="O295" i="7"/>
  <c r="K294" i="7"/>
  <c r="N294" i="7" s="1"/>
  <c r="O294" i="7"/>
  <c r="K293" i="7"/>
  <c r="N293" i="7" s="1"/>
  <c r="O293" i="7"/>
  <c r="K292" i="7"/>
  <c r="N292" i="7" s="1"/>
  <c r="O292" i="7"/>
  <c r="K291" i="7"/>
  <c r="N291" i="7" s="1"/>
  <c r="O291" i="7"/>
  <c r="K290" i="7"/>
  <c r="N290" i="7" s="1"/>
  <c r="O290" i="7"/>
  <c r="K289" i="7"/>
  <c r="N289" i="7" s="1"/>
  <c r="O289" i="7"/>
  <c r="K288" i="7"/>
  <c r="N288" i="7" s="1"/>
  <c r="O288" i="7"/>
  <c r="K287" i="7"/>
  <c r="N287" i="7" s="1"/>
  <c r="O287" i="7"/>
  <c r="K286" i="7"/>
  <c r="N286" i="7" s="1"/>
  <c r="O286" i="7"/>
  <c r="K285" i="7"/>
  <c r="N285" i="7" s="1"/>
  <c r="O285" i="7"/>
  <c r="K284" i="7"/>
  <c r="N284" i="7" s="1"/>
  <c r="O284" i="7"/>
  <c r="K283" i="7"/>
  <c r="N283" i="7" s="1"/>
  <c r="O283" i="7"/>
  <c r="K282" i="7"/>
  <c r="N282" i="7" s="1"/>
  <c r="O282" i="7"/>
  <c r="K281" i="7"/>
  <c r="N281" i="7" s="1"/>
  <c r="O281" i="7"/>
  <c r="K280" i="7"/>
  <c r="N280" i="7" s="1"/>
  <c r="O280" i="7"/>
  <c r="K279" i="7"/>
  <c r="N279" i="7" s="1"/>
  <c r="O279" i="7"/>
  <c r="K278" i="7"/>
  <c r="N278" i="7" s="1"/>
  <c r="O278" i="7"/>
  <c r="K277" i="7"/>
  <c r="N277" i="7" s="1"/>
  <c r="O277" i="7"/>
  <c r="K276" i="7"/>
  <c r="N276" i="7" s="1"/>
  <c r="O276" i="7"/>
  <c r="K275" i="7"/>
  <c r="N275" i="7" s="1"/>
  <c r="O275" i="7"/>
  <c r="K274" i="7"/>
  <c r="N274" i="7" s="1"/>
  <c r="O274" i="7"/>
  <c r="K273" i="7"/>
  <c r="N273" i="7" s="1"/>
  <c r="O273" i="7"/>
  <c r="K272" i="7"/>
  <c r="N272" i="7" s="1"/>
  <c r="O272" i="7"/>
  <c r="K271" i="7"/>
  <c r="N271" i="7" s="1"/>
  <c r="O271" i="7"/>
  <c r="K270" i="7"/>
  <c r="N270" i="7" s="1"/>
  <c r="O270" i="7"/>
  <c r="K269" i="7"/>
  <c r="N269" i="7" s="1"/>
  <c r="O269" i="7"/>
  <c r="K268" i="7"/>
  <c r="N268" i="7" s="1"/>
  <c r="O268" i="7"/>
  <c r="K267" i="7"/>
  <c r="N267" i="7" s="1"/>
  <c r="O267" i="7"/>
  <c r="K266" i="7"/>
  <c r="N266" i="7" s="1"/>
  <c r="O266" i="7"/>
  <c r="K265" i="7"/>
  <c r="N265" i="7" s="1"/>
  <c r="O265" i="7"/>
  <c r="K264" i="7"/>
  <c r="N264" i="7" s="1"/>
  <c r="O264" i="7"/>
  <c r="K263" i="7"/>
  <c r="N263" i="7" s="1"/>
  <c r="O263" i="7"/>
  <c r="K262" i="7"/>
  <c r="N262" i="7" s="1"/>
  <c r="O262" i="7"/>
  <c r="K261" i="7"/>
  <c r="N261" i="7" s="1"/>
  <c r="O261" i="7"/>
  <c r="K260" i="7"/>
  <c r="N260" i="7" s="1"/>
  <c r="O260" i="7"/>
  <c r="K259" i="7"/>
  <c r="N259" i="7" s="1"/>
  <c r="O259" i="7"/>
  <c r="K258" i="7"/>
  <c r="N258" i="7" s="1"/>
  <c r="O258" i="7"/>
  <c r="K257" i="7"/>
  <c r="N257" i="7" s="1"/>
  <c r="O257" i="7"/>
  <c r="K256" i="7"/>
  <c r="N256" i="7" s="1"/>
  <c r="O256" i="7"/>
  <c r="K255" i="7"/>
  <c r="N255" i="7" s="1"/>
  <c r="O255" i="7"/>
  <c r="K254" i="7"/>
  <c r="N254" i="7" s="1"/>
  <c r="O254" i="7"/>
  <c r="K253" i="7"/>
  <c r="N253" i="7" s="1"/>
  <c r="O253" i="7"/>
  <c r="K252" i="7"/>
  <c r="N252" i="7" s="1"/>
  <c r="O252" i="7"/>
  <c r="K251" i="7"/>
  <c r="N251" i="7" s="1"/>
  <c r="O251" i="7"/>
  <c r="K250" i="7"/>
  <c r="N250" i="7" s="1"/>
  <c r="O250" i="7"/>
  <c r="K249" i="7"/>
  <c r="N249" i="7" s="1"/>
  <c r="O249" i="7"/>
  <c r="K248" i="7"/>
  <c r="N248" i="7" s="1"/>
  <c r="O248" i="7"/>
  <c r="K247" i="7"/>
  <c r="N247" i="7" s="1"/>
  <c r="O247" i="7"/>
  <c r="K246" i="7"/>
  <c r="N246" i="7" s="1"/>
  <c r="O246" i="7"/>
  <c r="K245" i="7"/>
  <c r="N245" i="7" s="1"/>
  <c r="O245" i="7"/>
  <c r="K244" i="7"/>
  <c r="N244" i="7" s="1"/>
  <c r="O244" i="7"/>
  <c r="K243" i="7"/>
  <c r="N243" i="7" s="1"/>
  <c r="O243" i="7"/>
  <c r="K242" i="7"/>
  <c r="N242" i="7" s="1"/>
  <c r="O242" i="7"/>
  <c r="K241" i="7"/>
  <c r="N241" i="7" s="1"/>
  <c r="O241" i="7"/>
  <c r="K240" i="7"/>
  <c r="N240" i="7" s="1"/>
  <c r="O240" i="7"/>
  <c r="K239" i="7"/>
  <c r="N239" i="7" s="1"/>
  <c r="O239" i="7"/>
  <c r="K238" i="7"/>
  <c r="N238" i="7" s="1"/>
  <c r="O238" i="7"/>
  <c r="K237" i="7"/>
  <c r="N237" i="7" s="1"/>
  <c r="O237" i="7"/>
  <c r="K236" i="7"/>
  <c r="N236" i="7" s="1"/>
  <c r="O236" i="7"/>
  <c r="K235" i="7"/>
  <c r="N235" i="7" s="1"/>
  <c r="O235" i="7"/>
  <c r="K234" i="7"/>
  <c r="N234" i="7" s="1"/>
  <c r="O234" i="7"/>
  <c r="K233" i="7"/>
  <c r="N233" i="7" s="1"/>
  <c r="O233" i="7"/>
  <c r="K232" i="7"/>
  <c r="N232" i="7" s="1"/>
  <c r="O232" i="7"/>
  <c r="K231" i="7"/>
  <c r="N231" i="7" s="1"/>
  <c r="O231" i="7"/>
  <c r="K230" i="7"/>
  <c r="N230" i="7" s="1"/>
  <c r="O230" i="7"/>
  <c r="K229" i="7"/>
  <c r="N229" i="7" s="1"/>
  <c r="O229" i="7"/>
  <c r="K228" i="7"/>
  <c r="N228" i="7" s="1"/>
  <c r="O228" i="7"/>
  <c r="K227" i="7"/>
  <c r="N227" i="7" s="1"/>
  <c r="O227" i="7"/>
  <c r="K226" i="7"/>
  <c r="N226" i="7" s="1"/>
  <c r="O226" i="7"/>
  <c r="K225" i="7"/>
  <c r="N225" i="7" s="1"/>
  <c r="O225" i="7"/>
  <c r="K224" i="7"/>
  <c r="N224" i="7" s="1"/>
  <c r="O224" i="7"/>
  <c r="K223" i="7"/>
  <c r="N223" i="7" s="1"/>
  <c r="O223" i="7"/>
  <c r="K222" i="7"/>
  <c r="N222" i="7" s="1"/>
  <c r="O222" i="7"/>
  <c r="K221" i="7"/>
  <c r="N221" i="7" s="1"/>
  <c r="O221" i="7"/>
  <c r="K220" i="7"/>
  <c r="N220" i="7" s="1"/>
  <c r="O220" i="7"/>
  <c r="K219" i="7"/>
  <c r="N219" i="7" s="1"/>
  <c r="O219" i="7"/>
  <c r="K218" i="7"/>
  <c r="N218" i="7" s="1"/>
  <c r="O218" i="7"/>
  <c r="K217" i="7"/>
  <c r="N217" i="7" s="1"/>
  <c r="O217" i="7"/>
  <c r="K216" i="7"/>
  <c r="N216" i="7" s="1"/>
  <c r="O216" i="7"/>
  <c r="K215" i="7"/>
  <c r="N215" i="7" s="1"/>
  <c r="O215" i="7"/>
  <c r="K214" i="7"/>
  <c r="N214" i="7" s="1"/>
  <c r="O214" i="7"/>
  <c r="K213" i="7"/>
  <c r="N213" i="7" s="1"/>
  <c r="O213" i="7"/>
  <c r="K212" i="7"/>
  <c r="N212" i="7" s="1"/>
  <c r="O212" i="7"/>
  <c r="K211" i="7"/>
  <c r="N211" i="7" s="1"/>
  <c r="O211" i="7"/>
  <c r="K210" i="7"/>
  <c r="N210" i="7" s="1"/>
  <c r="O210" i="7"/>
  <c r="K209" i="7"/>
  <c r="N209" i="7" s="1"/>
  <c r="O209" i="7"/>
  <c r="K208" i="7"/>
  <c r="N208" i="7" s="1"/>
  <c r="O208" i="7"/>
  <c r="K207" i="7"/>
  <c r="N207" i="7" s="1"/>
  <c r="O207" i="7"/>
  <c r="K206" i="7"/>
  <c r="N206" i="7" s="1"/>
  <c r="O206" i="7"/>
  <c r="K205" i="7"/>
  <c r="N205" i="7" s="1"/>
  <c r="O205" i="7"/>
  <c r="K204" i="7"/>
  <c r="N204" i="7" s="1"/>
  <c r="O204" i="7"/>
  <c r="K203" i="7"/>
  <c r="N203" i="7" s="1"/>
  <c r="O203" i="7"/>
  <c r="K202" i="7"/>
  <c r="N202" i="7" s="1"/>
  <c r="O202" i="7"/>
  <c r="K201" i="7"/>
  <c r="N201" i="7" s="1"/>
  <c r="O201" i="7"/>
  <c r="K200" i="7"/>
  <c r="N200" i="7" s="1"/>
  <c r="O200" i="7"/>
  <c r="K199" i="7"/>
  <c r="N199" i="7" s="1"/>
  <c r="O199" i="7"/>
  <c r="K198" i="7"/>
  <c r="N198" i="7" s="1"/>
  <c r="O198" i="7"/>
  <c r="K197" i="7"/>
  <c r="N197" i="7" s="1"/>
  <c r="O197" i="7"/>
  <c r="K196" i="7"/>
  <c r="N196" i="7" s="1"/>
  <c r="O196" i="7"/>
  <c r="K195" i="7"/>
  <c r="N195" i="7" s="1"/>
  <c r="O195" i="7"/>
  <c r="K194" i="7"/>
  <c r="N194" i="7" s="1"/>
  <c r="O194" i="7"/>
  <c r="K193" i="7"/>
  <c r="N193" i="7" s="1"/>
  <c r="O193" i="7"/>
  <c r="K192" i="7"/>
  <c r="N192" i="7" s="1"/>
  <c r="O192" i="7"/>
  <c r="K191" i="7"/>
  <c r="N191" i="7" s="1"/>
  <c r="O191" i="7"/>
  <c r="K190" i="7"/>
  <c r="N190" i="7" s="1"/>
  <c r="O190" i="7"/>
  <c r="K189" i="7"/>
  <c r="N189" i="7" s="1"/>
  <c r="O189" i="7"/>
  <c r="K188" i="7"/>
  <c r="N188" i="7" s="1"/>
  <c r="O188" i="7"/>
  <c r="K187" i="7"/>
  <c r="N187" i="7" s="1"/>
  <c r="O187" i="7"/>
  <c r="K186" i="7"/>
  <c r="N186" i="7" s="1"/>
  <c r="O186" i="7"/>
  <c r="K185" i="7"/>
  <c r="N185" i="7" s="1"/>
  <c r="O185" i="7"/>
  <c r="K184" i="7"/>
  <c r="N184" i="7" s="1"/>
  <c r="O184" i="7"/>
  <c r="K183" i="7"/>
  <c r="N183" i="7" s="1"/>
  <c r="O183" i="7"/>
  <c r="K182" i="7"/>
  <c r="N182" i="7" s="1"/>
  <c r="O182" i="7"/>
  <c r="K181" i="7"/>
  <c r="N181" i="7" s="1"/>
  <c r="O181" i="7"/>
  <c r="K180" i="7"/>
  <c r="N180" i="7" s="1"/>
  <c r="O180" i="7"/>
  <c r="K179" i="7"/>
  <c r="N179" i="7" s="1"/>
  <c r="O179" i="7"/>
  <c r="K178" i="7"/>
  <c r="N178" i="7" s="1"/>
  <c r="O178" i="7"/>
  <c r="K177" i="7"/>
  <c r="N177" i="7" s="1"/>
  <c r="O177" i="7"/>
  <c r="K176" i="7"/>
  <c r="N176" i="7" s="1"/>
  <c r="O176" i="7"/>
  <c r="K175" i="7"/>
  <c r="N175" i="7" s="1"/>
  <c r="O175" i="7"/>
  <c r="K174" i="7"/>
  <c r="N174" i="7" s="1"/>
  <c r="O174" i="7"/>
  <c r="K173" i="7"/>
  <c r="N173" i="7" s="1"/>
  <c r="O173" i="7"/>
  <c r="K172" i="7"/>
  <c r="N172" i="7" s="1"/>
  <c r="O172" i="7"/>
  <c r="K171" i="7"/>
  <c r="N171" i="7" s="1"/>
  <c r="O171" i="7"/>
  <c r="K170" i="7"/>
  <c r="N170" i="7" s="1"/>
  <c r="O170" i="7"/>
  <c r="K169" i="7"/>
  <c r="N169" i="7" s="1"/>
  <c r="O169" i="7"/>
  <c r="K168" i="7"/>
  <c r="N168" i="7" s="1"/>
  <c r="O168" i="7"/>
  <c r="K167" i="7"/>
  <c r="N167" i="7" s="1"/>
  <c r="O167" i="7"/>
  <c r="K166" i="7"/>
  <c r="N166" i="7" s="1"/>
  <c r="O166" i="7"/>
  <c r="K165" i="7"/>
  <c r="N165" i="7" s="1"/>
  <c r="O165" i="7"/>
  <c r="K164" i="7"/>
  <c r="N164" i="7" s="1"/>
  <c r="O164" i="7"/>
  <c r="K163" i="7"/>
  <c r="N163" i="7" s="1"/>
  <c r="O163" i="7"/>
  <c r="K162" i="7"/>
  <c r="N162" i="7" s="1"/>
  <c r="O162" i="7"/>
  <c r="K161" i="7"/>
  <c r="N161" i="7" s="1"/>
  <c r="O161" i="7"/>
  <c r="K160" i="7"/>
  <c r="N160" i="7" s="1"/>
  <c r="O160" i="7"/>
  <c r="K159" i="7"/>
  <c r="N159" i="7" s="1"/>
  <c r="O159" i="7"/>
  <c r="K158" i="7"/>
  <c r="N158" i="7" s="1"/>
  <c r="O158" i="7"/>
  <c r="K157" i="7"/>
  <c r="N157" i="7" s="1"/>
  <c r="O157" i="7"/>
  <c r="K156" i="7"/>
  <c r="N156" i="7" s="1"/>
  <c r="O156" i="7"/>
  <c r="K155" i="7"/>
  <c r="N155" i="7" s="1"/>
  <c r="O155" i="7"/>
  <c r="K154" i="7"/>
  <c r="N154" i="7" s="1"/>
  <c r="O154" i="7"/>
  <c r="K153" i="7"/>
  <c r="N153" i="7" s="1"/>
  <c r="O153" i="7"/>
  <c r="K152" i="7"/>
  <c r="N152" i="7" s="1"/>
  <c r="O152" i="7"/>
  <c r="K151" i="7"/>
  <c r="N151" i="7" s="1"/>
  <c r="O151" i="7"/>
  <c r="K150" i="7"/>
  <c r="N150" i="7" s="1"/>
  <c r="O150" i="7"/>
  <c r="K149" i="7"/>
  <c r="N149" i="7" s="1"/>
  <c r="O149" i="7"/>
  <c r="K148" i="7"/>
  <c r="N148" i="7" s="1"/>
  <c r="O148" i="7"/>
  <c r="K147" i="7"/>
  <c r="N147" i="7" s="1"/>
  <c r="O147" i="7"/>
  <c r="K146" i="7"/>
  <c r="N146" i="7" s="1"/>
  <c r="O146" i="7"/>
  <c r="K145" i="7"/>
  <c r="N145" i="7" s="1"/>
  <c r="O145" i="7"/>
  <c r="K144" i="7"/>
  <c r="N144" i="7" s="1"/>
  <c r="O144" i="7"/>
  <c r="K143" i="7"/>
  <c r="N143" i="7" s="1"/>
  <c r="O143" i="7"/>
  <c r="K142" i="7"/>
  <c r="N142" i="7" s="1"/>
  <c r="O142" i="7"/>
  <c r="K141" i="7"/>
  <c r="N141" i="7" s="1"/>
  <c r="O141" i="7"/>
  <c r="K140" i="7"/>
  <c r="N140" i="7" s="1"/>
  <c r="O140" i="7"/>
  <c r="K139" i="7"/>
  <c r="N139" i="7" s="1"/>
  <c r="O139" i="7"/>
  <c r="K138" i="7"/>
  <c r="N138" i="7" s="1"/>
  <c r="O138" i="7"/>
  <c r="K137" i="7"/>
  <c r="N137" i="7" s="1"/>
  <c r="O137" i="7"/>
  <c r="K136" i="7"/>
  <c r="N136" i="7" s="1"/>
  <c r="O136" i="7"/>
  <c r="K135" i="7"/>
  <c r="N135" i="7" s="1"/>
  <c r="O135" i="7"/>
  <c r="K134" i="7"/>
  <c r="N134" i="7" s="1"/>
  <c r="O134" i="7"/>
  <c r="K133" i="7"/>
  <c r="N133" i="7" s="1"/>
  <c r="O133" i="7"/>
  <c r="K132" i="7"/>
  <c r="N132" i="7" s="1"/>
  <c r="O132" i="7"/>
  <c r="K131" i="7"/>
  <c r="N131" i="7" s="1"/>
  <c r="O131" i="7"/>
  <c r="K130" i="7"/>
  <c r="N130" i="7" s="1"/>
  <c r="O130" i="7"/>
  <c r="K129" i="7"/>
  <c r="N129" i="7" s="1"/>
  <c r="O129" i="7"/>
  <c r="K128" i="7"/>
  <c r="N128" i="7" s="1"/>
  <c r="O128" i="7"/>
  <c r="K127" i="7"/>
  <c r="N127" i="7" s="1"/>
  <c r="O127" i="7"/>
  <c r="K126" i="7"/>
  <c r="N126" i="7" s="1"/>
  <c r="O126" i="7"/>
  <c r="K125" i="7"/>
  <c r="N125" i="7" s="1"/>
  <c r="O125" i="7"/>
  <c r="K124" i="7"/>
  <c r="N124" i="7" s="1"/>
  <c r="O124" i="7"/>
  <c r="K123" i="7"/>
  <c r="N123" i="7" s="1"/>
  <c r="O123" i="7"/>
  <c r="K122" i="7"/>
  <c r="N122" i="7" s="1"/>
  <c r="O122" i="7"/>
  <c r="K121" i="7"/>
  <c r="N121" i="7" s="1"/>
  <c r="O121" i="7"/>
  <c r="K120" i="7"/>
  <c r="N120" i="7" s="1"/>
  <c r="O120" i="7"/>
  <c r="K119" i="7"/>
  <c r="N119" i="7" s="1"/>
  <c r="O119" i="7"/>
  <c r="K118" i="7"/>
  <c r="N118" i="7" s="1"/>
  <c r="O118" i="7"/>
  <c r="K117" i="7"/>
  <c r="N117" i="7" s="1"/>
  <c r="O117" i="7"/>
  <c r="K116" i="7"/>
  <c r="N116" i="7" s="1"/>
  <c r="O116" i="7"/>
  <c r="K115" i="7"/>
  <c r="N115" i="7" s="1"/>
  <c r="O115" i="7"/>
  <c r="K114" i="7"/>
  <c r="N114" i="7" s="1"/>
  <c r="O114" i="7"/>
  <c r="K113" i="7"/>
  <c r="N113" i="7" s="1"/>
  <c r="O113" i="7"/>
  <c r="K112" i="7"/>
  <c r="N112" i="7" s="1"/>
  <c r="O112" i="7"/>
  <c r="K111" i="7"/>
  <c r="N111" i="7" s="1"/>
  <c r="O111" i="7"/>
  <c r="K110" i="7"/>
  <c r="N110" i="7" s="1"/>
  <c r="O110" i="7"/>
  <c r="K109" i="7"/>
  <c r="N109" i="7" s="1"/>
  <c r="O109" i="7"/>
  <c r="K108" i="7"/>
  <c r="N108" i="7" s="1"/>
  <c r="O108" i="7"/>
  <c r="K107" i="7"/>
  <c r="N107" i="7" s="1"/>
  <c r="O107" i="7"/>
  <c r="K106" i="7"/>
  <c r="N106" i="7" s="1"/>
  <c r="O106" i="7"/>
  <c r="K105" i="7"/>
  <c r="N105" i="7" s="1"/>
  <c r="O105" i="7"/>
  <c r="K104" i="7"/>
  <c r="N104" i="7" s="1"/>
  <c r="O104" i="7"/>
  <c r="K103" i="7"/>
  <c r="N103" i="7" s="1"/>
  <c r="O103" i="7"/>
  <c r="K102" i="7"/>
  <c r="N102" i="7" s="1"/>
  <c r="O102" i="7"/>
  <c r="K101" i="7"/>
  <c r="N101" i="7" s="1"/>
  <c r="O101" i="7"/>
  <c r="K100" i="7"/>
  <c r="N100" i="7" s="1"/>
  <c r="O100" i="7"/>
  <c r="K99" i="7"/>
  <c r="N99" i="7" s="1"/>
  <c r="O99" i="7"/>
  <c r="K98" i="7"/>
  <c r="N98" i="7" s="1"/>
  <c r="O98" i="7"/>
  <c r="K97" i="7"/>
  <c r="N97" i="7" s="1"/>
  <c r="O97" i="7"/>
  <c r="K96" i="7"/>
  <c r="N96" i="7" s="1"/>
  <c r="O96" i="7"/>
  <c r="K95" i="7"/>
  <c r="N95" i="7" s="1"/>
  <c r="O95" i="7"/>
  <c r="K94" i="7"/>
  <c r="N94" i="7" s="1"/>
  <c r="O94" i="7"/>
  <c r="K93" i="7"/>
  <c r="N93" i="7" s="1"/>
  <c r="O93" i="7"/>
  <c r="K92" i="7"/>
  <c r="N92" i="7" s="1"/>
  <c r="O92" i="7"/>
  <c r="K91" i="7"/>
  <c r="N91" i="7" s="1"/>
  <c r="O91" i="7"/>
  <c r="K90" i="7"/>
  <c r="N90" i="7" s="1"/>
  <c r="O90" i="7"/>
  <c r="K89" i="7"/>
  <c r="N89" i="7" s="1"/>
  <c r="O89" i="7"/>
  <c r="K88" i="7"/>
  <c r="N88" i="7" s="1"/>
  <c r="O88" i="7"/>
  <c r="K87" i="7"/>
  <c r="N87" i="7" s="1"/>
  <c r="O87" i="7"/>
  <c r="K86" i="7"/>
  <c r="N86" i="7" s="1"/>
  <c r="O86" i="7"/>
  <c r="K85" i="7"/>
  <c r="N85" i="7" s="1"/>
  <c r="O85" i="7"/>
  <c r="K84" i="7"/>
  <c r="N84" i="7" s="1"/>
  <c r="O84" i="7"/>
  <c r="K83" i="7"/>
  <c r="N83" i="7" s="1"/>
  <c r="O83" i="7"/>
  <c r="K82" i="7"/>
  <c r="N82" i="7" s="1"/>
  <c r="O82" i="7"/>
  <c r="K81" i="7"/>
  <c r="N81" i="7" s="1"/>
  <c r="O81" i="7"/>
  <c r="K80" i="7"/>
  <c r="N80" i="7" s="1"/>
  <c r="O80" i="7"/>
  <c r="K79" i="7"/>
  <c r="N79" i="7" s="1"/>
  <c r="O79" i="7"/>
  <c r="K78" i="7"/>
  <c r="N78" i="7" s="1"/>
  <c r="O78" i="7"/>
  <c r="K77" i="7"/>
  <c r="N77" i="7" s="1"/>
  <c r="O77" i="7"/>
  <c r="K76" i="7"/>
  <c r="N76" i="7" s="1"/>
  <c r="O76" i="7"/>
  <c r="K75" i="7"/>
  <c r="N75" i="7" s="1"/>
  <c r="O75" i="7"/>
  <c r="K74" i="7"/>
  <c r="N74" i="7" s="1"/>
  <c r="O74" i="7"/>
  <c r="K73" i="7"/>
  <c r="N73" i="7" s="1"/>
  <c r="O73" i="7"/>
  <c r="K72" i="7"/>
  <c r="N72" i="7" s="1"/>
  <c r="O72" i="7"/>
  <c r="K71" i="7"/>
  <c r="N71" i="7" s="1"/>
  <c r="O71" i="7"/>
  <c r="K70" i="7"/>
  <c r="N70" i="7" s="1"/>
  <c r="O70" i="7"/>
  <c r="K69" i="7"/>
  <c r="N69" i="7" s="1"/>
  <c r="O69" i="7"/>
  <c r="K68" i="7"/>
  <c r="N68" i="7" s="1"/>
  <c r="O68" i="7"/>
  <c r="K67" i="7"/>
  <c r="N67" i="7" s="1"/>
  <c r="O67" i="7"/>
  <c r="K66" i="7"/>
  <c r="N66" i="7" s="1"/>
  <c r="O66" i="7"/>
  <c r="K65" i="7"/>
  <c r="N65" i="7" s="1"/>
  <c r="O65" i="7"/>
  <c r="K64" i="7"/>
  <c r="N64" i="7" s="1"/>
  <c r="O64" i="7"/>
  <c r="K63" i="7"/>
  <c r="N63" i="7" s="1"/>
  <c r="O63" i="7"/>
  <c r="K62" i="7"/>
  <c r="N62" i="7" s="1"/>
  <c r="O62" i="7"/>
  <c r="K61" i="7"/>
  <c r="N61" i="7" s="1"/>
  <c r="O61" i="7"/>
  <c r="K60" i="7"/>
  <c r="N60" i="7" s="1"/>
  <c r="O60" i="7"/>
  <c r="K59" i="7"/>
  <c r="N59" i="7" s="1"/>
  <c r="O59" i="7"/>
  <c r="K58" i="7"/>
  <c r="N58" i="7" s="1"/>
  <c r="O58" i="7"/>
  <c r="K57" i="7"/>
  <c r="N57" i="7" s="1"/>
  <c r="O57" i="7"/>
  <c r="K56" i="7"/>
  <c r="N56" i="7" s="1"/>
  <c r="O56" i="7"/>
  <c r="K55" i="7"/>
  <c r="N55" i="7" s="1"/>
  <c r="O55" i="7"/>
  <c r="K54" i="7"/>
  <c r="N54" i="7" s="1"/>
  <c r="O54" i="7"/>
  <c r="K53" i="7"/>
  <c r="N53" i="7" s="1"/>
  <c r="O53" i="7"/>
  <c r="K52" i="7"/>
  <c r="N52" i="7" s="1"/>
  <c r="O52" i="7"/>
  <c r="K51" i="7"/>
  <c r="N51" i="7" s="1"/>
  <c r="O51" i="7"/>
  <c r="K50" i="7"/>
  <c r="N50" i="7" s="1"/>
  <c r="O50" i="7"/>
  <c r="K49" i="7"/>
  <c r="N49" i="7" s="1"/>
  <c r="O49" i="7"/>
  <c r="K48" i="7"/>
  <c r="N48" i="7" s="1"/>
  <c r="O48" i="7"/>
  <c r="K47" i="7"/>
  <c r="N47" i="7" s="1"/>
  <c r="O47" i="7"/>
  <c r="K46" i="7"/>
  <c r="N46" i="7" s="1"/>
  <c r="O46" i="7"/>
  <c r="K45" i="7"/>
  <c r="N45" i="7" s="1"/>
  <c r="O45" i="7"/>
  <c r="K44" i="7"/>
  <c r="N44" i="7" s="1"/>
  <c r="O44" i="7"/>
  <c r="K43" i="7"/>
  <c r="N43" i="7" s="1"/>
  <c r="O43" i="7"/>
  <c r="K42" i="7"/>
  <c r="N42" i="7" s="1"/>
  <c r="O42" i="7"/>
  <c r="K41" i="7"/>
  <c r="N41" i="7" s="1"/>
  <c r="O41" i="7"/>
  <c r="K40" i="7"/>
  <c r="N40" i="7" s="1"/>
  <c r="O40" i="7"/>
  <c r="K39" i="7"/>
  <c r="N39" i="7" s="1"/>
  <c r="O39" i="7"/>
  <c r="K38" i="7"/>
  <c r="N38" i="7" s="1"/>
  <c r="O38" i="7"/>
  <c r="K37" i="7"/>
  <c r="N37" i="7" s="1"/>
  <c r="O37" i="7"/>
  <c r="K36" i="7"/>
  <c r="N36" i="7" s="1"/>
  <c r="O36" i="7"/>
  <c r="K35" i="7"/>
  <c r="N35" i="7" s="1"/>
  <c r="O35" i="7"/>
  <c r="K34" i="7"/>
  <c r="N34" i="7" s="1"/>
  <c r="O34" i="7"/>
  <c r="K33" i="7"/>
  <c r="N33" i="7" s="1"/>
  <c r="O33" i="7"/>
  <c r="K32" i="7"/>
  <c r="N32" i="7" s="1"/>
  <c r="O32" i="7"/>
  <c r="K31" i="7"/>
  <c r="N31" i="7" s="1"/>
  <c r="O31" i="7"/>
  <c r="K30" i="7"/>
  <c r="N30" i="7" s="1"/>
  <c r="O30" i="7"/>
  <c r="K29" i="7"/>
  <c r="N29" i="7" s="1"/>
  <c r="O29" i="7"/>
  <c r="K28" i="7"/>
  <c r="N28" i="7" s="1"/>
  <c r="O28" i="7"/>
  <c r="K27" i="7"/>
  <c r="N27" i="7" s="1"/>
  <c r="O27" i="7"/>
  <c r="K26" i="7"/>
  <c r="N26" i="7" s="1"/>
  <c r="O26" i="7"/>
  <c r="K25" i="7"/>
  <c r="N25" i="7" s="1"/>
  <c r="O25" i="7"/>
  <c r="K24" i="7"/>
  <c r="N24" i="7" s="1"/>
  <c r="O24" i="7"/>
  <c r="K23" i="7"/>
  <c r="N23" i="7" s="1"/>
  <c r="O23" i="7"/>
  <c r="K22" i="7"/>
  <c r="N22" i="7" s="1"/>
  <c r="O22" i="7"/>
  <c r="K21" i="7"/>
  <c r="N21" i="7" s="1"/>
  <c r="O21" i="7"/>
  <c r="K20" i="7"/>
  <c r="N20" i="7" s="1"/>
  <c r="O20" i="7"/>
  <c r="K19" i="7"/>
  <c r="N19" i="7" s="1"/>
  <c r="O19" i="7"/>
  <c r="K18" i="7"/>
  <c r="N18" i="7" s="1"/>
  <c r="O18" i="7"/>
  <c r="K17" i="7"/>
  <c r="N17" i="7" s="1"/>
  <c r="O17" i="7"/>
  <c r="K16" i="7"/>
  <c r="N16" i="7" s="1"/>
  <c r="O16" i="7"/>
  <c r="K15" i="7"/>
  <c r="N15" i="7" s="1"/>
  <c r="O15" i="7"/>
  <c r="K14" i="7"/>
  <c r="N14" i="7" s="1"/>
  <c r="O14" i="7"/>
  <c r="K13" i="7"/>
  <c r="N13" i="7" s="1"/>
  <c r="O13" i="7"/>
  <c r="K12" i="7"/>
  <c r="N12" i="7" s="1"/>
  <c r="O12" i="7"/>
  <c r="K11" i="7"/>
  <c r="N11" i="7" s="1"/>
  <c r="O11" i="7"/>
  <c r="K10" i="7"/>
  <c r="N10" i="7" s="1"/>
  <c r="O10" i="7"/>
  <c r="K9" i="7"/>
  <c r="N9" i="7" s="1"/>
  <c r="O9" i="7"/>
  <c r="K8" i="7"/>
  <c r="N8" i="7" s="1"/>
  <c r="O8" i="7"/>
  <c r="G4" i="10" s="1"/>
  <c r="N7" i="7" l="1"/>
  <c r="F4" i="10" s="1"/>
  <c r="H4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Stock" description="Conexión a la consulta 'Stock' en el libro." type="5" refreshedVersion="8" background="1" saveData="1">
    <dbPr connection="Provider=Microsoft.Mashup.OleDb.1;Data Source=$Workbook$;Location=Stock;Extended Properties=&quot;&quot;" command="SELECT * FROM [Stock]"/>
  </connection>
</connections>
</file>

<file path=xl/sharedStrings.xml><?xml version="1.0" encoding="utf-8"?>
<sst xmlns="http://schemas.openxmlformats.org/spreadsheetml/2006/main" count="4433" uniqueCount="1179">
  <si>
    <t>Fecha</t>
  </si>
  <si>
    <t>Producto</t>
  </si>
  <si>
    <t>VENTAS</t>
  </si>
  <si>
    <t>COMPRAS</t>
  </si>
  <si>
    <t>GASTOS</t>
  </si>
  <si>
    <t>Descripción</t>
  </si>
  <si>
    <t>Monto</t>
  </si>
  <si>
    <t>Mes</t>
  </si>
  <si>
    <t>Compras</t>
  </si>
  <si>
    <t>Gastos</t>
  </si>
  <si>
    <t>RESUMEN DIARIO</t>
  </si>
  <si>
    <t>RESUMEN MENSUAL</t>
  </si>
  <si>
    <t>Precio de Compra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</si>
  <si>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</si>
  <si>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</si>
  <si>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</si>
  <si>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</si>
  <si>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</si>
  <si>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</si>
  <si>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</si>
  <si>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</si>
  <si>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</si>
  <si>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</si>
  <si>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</si>
  <si>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</si>
  <si>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CropSecret 250ml Full Roots</t>
  </si>
  <si>
    <t>CropSecret 250ml Green Session</t>
  </si>
  <si>
    <t>CropSecret 250ml Booster Potion</t>
  </si>
  <si>
    <t>CropSecret 250ml Floral Session</t>
  </si>
  <si>
    <t>CropSecret Kit Automáticas</t>
  </si>
  <si>
    <t xml:space="preserve">CropSecret Kit Fotoperiódicas </t>
  </si>
  <si>
    <t>Bio Brew</t>
  </si>
  <si>
    <t>Organic Life gel enraizante</t>
  </si>
  <si>
    <t>Organic Life jabón potásico</t>
  </si>
  <si>
    <t>Nostress aceite de neem</t>
  </si>
  <si>
    <t>Power PH-</t>
  </si>
  <si>
    <t>Power Buffer PH7</t>
  </si>
  <si>
    <t>Power Buffer PH4</t>
  </si>
  <si>
    <t>TreeMIX A 1l</t>
  </si>
  <si>
    <t>TreeMIX ZYM 200ml</t>
  </si>
  <si>
    <t>TreeMIX KILL MIX 200ml</t>
  </si>
  <si>
    <t>VAMP Supermelaza</t>
  </si>
  <si>
    <t>VAMP hechizo BOOM</t>
  </si>
  <si>
    <t>VAMP hechizo BLOOM</t>
  </si>
  <si>
    <t>VAMP sustrato Mágico 10l</t>
  </si>
  <si>
    <t>Landiner humus de lombríz 5l</t>
  </si>
  <si>
    <t>sustrato lombríz californiana</t>
  </si>
  <si>
    <t xml:space="preserve"> Blunt Wrap Chocolate</t>
  </si>
  <si>
    <t xml:space="preserve"> Blunt Wrap Purple</t>
  </si>
  <si>
    <t xml:space="preserve"> Blunt Wrap Peach</t>
  </si>
  <si>
    <t xml:space="preserve"> Blunt Wrap White Grape</t>
  </si>
  <si>
    <t xml:space="preserve"> Blunt Wrap Strawberry Kiwi</t>
  </si>
  <si>
    <t xml:space="preserve"> Blunt Wrap Berries</t>
  </si>
  <si>
    <t xml:space="preserve"> Blunt Wrap Blueberry</t>
  </si>
  <si>
    <t>Pipa Naguile</t>
  </si>
  <si>
    <t>Medidor de PH</t>
  </si>
  <si>
    <t>Medidor de Electroconductividad</t>
  </si>
  <si>
    <t>Termohidrógeno</t>
  </si>
  <si>
    <t>POWER TREBOL</t>
  </si>
  <si>
    <t>Piedra para encendedor</t>
  </si>
  <si>
    <t>Rejillas x5</t>
  </si>
  <si>
    <t>FLYATRAP</t>
  </si>
  <si>
    <t>Melaza Respeta mi 4:20 250cc</t>
  </si>
  <si>
    <t xml:space="preserve">pilas </t>
  </si>
  <si>
    <t>BioEnergy bioestimulante Vegetación</t>
  </si>
  <si>
    <t>BioEnergy bioestimulante Floración</t>
  </si>
  <si>
    <t>BioEnergy Trichodermas</t>
  </si>
  <si>
    <t>BioEnergy Bauveria Bassiana</t>
  </si>
  <si>
    <t>CropSecret 250ml Automatic Crop</t>
  </si>
  <si>
    <t>CropSecret 250ml Candy Maker</t>
  </si>
  <si>
    <t>Sustrato Perlita</t>
  </si>
  <si>
    <t>Maca Brew 500cc</t>
  </si>
  <si>
    <t>TreeMIX ZYM 45ml</t>
  </si>
  <si>
    <t>TreeMIX PRO 45ml</t>
  </si>
  <si>
    <t>TreeMIX CANDY 45 ml</t>
  </si>
  <si>
    <t>TreeMIX KILL BTI 45 ml</t>
  </si>
  <si>
    <t>TreeMIX PRO 200ml</t>
  </si>
  <si>
    <t>TreeMIX A 45ml</t>
  </si>
  <si>
    <t>TreeMIX F 45ml</t>
  </si>
  <si>
    <t>TreeMIX N 45ml</t>
  </si>
  <si>
    <t>TreeMIX A 200ml</t>
  </si>
  <si>
    <t>TreeMIX F 200ml</t>
  </si>
  <si>
    <t>TreeMIX N 200ml</t>
  </si>
  <si>
    <t>JIFFY moneda turba</t>
  </si>
  <si>
    <t>TreeMIX KILL MIX 45ml</t>
  </si>
  <si>
    <t>Lupa con clip x60</t>
  </si>
  <si>
    <t>Entradas</t>
  </si>
  <si>
    <t>Salidas</t>
  </si>
  <si>
    <t>Dia</t>
  </si>
  <si>
    <t>Cantidad</t>
  </si>
  <si>
    <t>Codigo</t>
  </si>
  <si>
    <t>Inversion</t>
  </si>
  <si>
    <t>Unidad</t>
  </si>
  <si>
    <t>Perlita Terrafertil</t>
  </si>
  <si>
    <t>Cenicero BullDog Portatil</t>
  </si>
  <si>
    <t>Power Cleaning H2O</t>
  </si>
  <si>
    <t>LISTA DE STOCK</t>
  </si>
  <si>
    <t>Total</t>
  </si>
  <si>
    <t>Precio Venta</t>
  </si>
  <si>
    <t>Precio compra</t>
  </si>
  <si>
    <t>Ingresos Brutos</t>
  </si>
  <si>
    <t>Ganancias Brutas</t>
  </si>
  <si>
    <t>Ganancias Finales</t>
  </si>
  <si>
    <t>Total 2</t>
  </si>
  <si>
    <t>Domingo</t>
  </si>
  <si>
    <t>Lunes</t>
  </si>
  <si>
    <t>Martes</t>
  </si>
  <si>
    <t>Miércoles</t>
  </si>
  <si>
    <t>Jueves</t>
  </si>
  <si>
    <t>Viernes</t>
  </si>
  <si>
    <t>Sábado</t>
  </si>
  <si>
    <t>Ingresos Finales</t>
  </si>
  <si>
    <t>Tips STAMPS Black</t>
  </si>
  <si>
    <t>Tips OCB Organic</t>
  </si>
  <si>
    <t>Tips Rok Organic</t>
  </si>
  <si>
    <t>Tips Lion Rolling Circus pre-armados</t>
  </si>
  <si>
    <t>Filtros GIZEH biodegradable</t>
  </si>
  <si>
    <t>Filtros Lion Rolling Circus biodegradable</t>
  </si>
  <si>
    <t>Papel Rosin Lion Rolling Circus doble silicona</t>
  </si>
  <si>
    <t>Papel Rosin Lion Rolling Circus Natural</t>
  </si>
  <si>
    <t>Papel Rosin RAW XL</t>
  </si>
  <si>
    <t>Tabaco Cerrito</t>
  </si>
  <si>
    <t xml:space="preserve">Tabaco Van Häasen </t>
  </si>
  <si>
    <t>Tabaco RED FIELD</t>
  </si>
  <si>
    <t>Tabaco Flandria Sauvage</t>
  </si>
  <si>
    <t>Tabaco Flandria Silver</t>
  </si>
  <si>
    <t>Tabaco Van Kiff Natural</t>
  </si>
  <si>
    <t>Tabaco Van Kiff Chocolate</t>
  </si>
  <si>
    <t>Tabaco Van Kiff Vainilla</t>
  </si>
  <si>
    <t>Tabaco Adayya naguile</t>
  </si>
  <si>
    <t>Tabaco Argento pipa</t>
  </si>
  <si>
    <t xml:space="preserve">Conos $100 Honey Puff </t>
  </si>
  <si>
    <t>Conos RAW x5 Stage RAWKET</t>
  </si>
  <si>
    <t>Conos RAW Challenge Cone</t>
  </si>
  <si>
    <t>Conos CYCLONES x2 Purple</t>
  </si>
  <si>
    <t>Bandeja Blunt Rey chicas m/v</t>
  </si>
  <si>
    <t>Bandeja RAW chica</t>
  </si>
  <si>
    <t>Bandeja RAW grande</t>
  </si>
  <si>
    <t>Bandeja STAMPS grande</t>
  </si>
  <si>
    <t>Bandeja STAMPS chica</t>
  </si>
  <si>
    <t xml:space="preserve">Bandeja Silicona </t>
  </si>
  <si>
    <t>Bandeja FUMANCHÚ</t>
  </si>
  <si>
    <t>Bandeja Motivos Varios</t>
  </si>
  <si>
    <t>Bandeja RAW madera</t>
  </si>
  <si>
    <t>Bandeja ZEUS 18x7 con tapa</t>
  </si>
  <si>
    <t>Bandeja CEASE madera</t>
  </si>
  <si>
    <t>Cenicero Lion Rolling Circus</t>
  </si>
  <si>
    <t>Cenicero Bull Dog</t>
  </si>
  <si>
    <t>Cenicero Calavera Chala</t>
  </si>
  <si>
    <t>Cenicero Vidrio Chala</t>
  </si>
  <si>
    <t xml:space="preserve">Cenicero STAMS </t>
  </si>
  <si>
    <t>Lata Lion Rolling Circus</t>
  </si>
  <si>
    <t>Lata Element</t>
  </si>
  <si>
    <t xml:space="preserve">Lata Van Häasen </t>
  </si>
  <si>
    <t>Lata Cigarrera</t>
  </si>
  <si>
    <t>Portaseda RAW 1/4</t>
  </si>
  <si>
    <t xml:space="preserve">Portaseda RAW Kz </t>
  </si>
  <si>
    <t>Portaseda Lion Rolling Circus</t>
  </si>
  <si>
    <t>Pipa Vaquero</t>
  </si>
  <si>
    <t>Pipa Madera</t>
  </si>
  <si>
    <t>Pipa Vidrio y Silicona</t>
  </si>
  <si>
    <t>Pipa Silicona</t>
  </si>
  <si>
    <t>Pipa India</t>
  </si>
  <si>
    <t>Pipa D&amp;K Calavera</t>
  </si>
  <si>
    <t>Pipa D&amp;K Chica</t>
  </si>
  <si>
    <t>Pipa D&amp;K Metal+Picador</t>
  </si>
  <si>
    <t>Pipa D&amp;K estuche+picador+rejillas</t>
  </si>
  <si>
    <t>Pipa D&amp;K Flexible</t>
  </si>
  <si>
    <t>Turbina Pico de Silicona</t>
  </si>
  <si>
    <t>Turbina Bate</t>
  </si>
  <si>
    <t>Turbina Filtrado</t>
  </si>
  <si>
    <t>Turbina D&amp;K Pico de Vidrio</t>
  </si>
  <si>
    <t>Armador Lion Rolling Circus</t>
  </si>
  <si>
    <t>Armador GIZEH</t>
  </si>
  <si>
    <t>Recipiente Rosin SQUADAFUM Redondo Grande</t>
  </si>
  <si>
    <t>Recipiente Rosin SQUADAFUM Redondo Mediano</t>
  </si>
  <si>
    <t>Recipiente Rosin SQUADAFUM Triangular</t>
  </si>
  <si>
    <t>Distribuidor de Riengo 15x15</t>
  </si>
  <si>
    <t>Distribuidor de Riengo Redondo</t>
  </si>
  <si>
    <t>Regulador de Humedad 67g 55%</t>
  </si>
  <si>
    <t>Regulador de Humedad 67g 62%</t>
  </si>
  <si>
    <t>Regulador de Humedad 8g 55%</t>
  </si>
  <si>
    <t>Regulador de Humedad 8g 62%</t>
  </si>
  <si>
    <t>Red de Scrog 60x60</t>
  </si>
  <si>
    <t>Red de Scrog 80x80</t>
  </si>
  <si>
    <t>Red de Scrog 100x100</t>
  </si>
  <si>
    <t>Red de Scrog 120x120</t>
  </si>
  <si>
    <t>Red de Scrog 150x150</t>
  </si>
  <si>
    <t>Red de Scrog Cronic Scrog Pot</t>
  </si>
  <si>
    <t xml:space="preserve">Poleas Buen Consejo </t>
  </si>
  <si>
    <t>Juego REFUMANYI</t>
  </si>
  <si>
    <t>Juego TKBIÓ</t>
  </si>
  <si>
    <t>Picador SKANK Haisenberg</t>
  </si>
  <si>
    <t>Picador SKANK Seta Roja</t>
  </si>
  <si>
    <t>Picador SKANK Seta Verde</t>
  </si>
  <si>
    <t>Picador SKANK Sargento Cogollo</t>
  </si>
  <si>
    <t>Picador Huevo</t>
  </si>
  <si>
    <t>Picador Calaca Mexicana</t>
  </si>
  <si>
    <t>Picador Laberinto</t>
  </si>
  <si>
    <t>Picador Calavera Corona</t>
  </si>
  <si>
    <t>Picador Barril Inflamable</t>
  </si>
  <si>
    <t>Picador D&amp;K Ojo</t>
  </si>
  <si>
    <t>Picador D&amp;K Peace and Love</t>
  </si>
  <si>
    <t>Picador D&amp;K Calavera Mexicana</t>
  </si>
  <si>
    <t xml:space="preserve">Picador Star Wars Darth Vader </t>
  </si>
  <si>
    <t>Picador Star Wars R2D2</t>
  </si>
  <si>
    <t>Picador ZEUS I Love Amsterdam</t>
  </si>
  <si>
    <t>Picador Ficha 5</t>
  </si>
  <si>
    <t>Picador Ficha 50</t>
  </si>
  <si>
    <t>Picador D&amp;K Roses Vidrio</t>
  </si>
  <si>
    <t>Picador Lion Rolling Circus Negro Lionpepers.com</t>
  </si>
  <si>
    <t>Picador Lion Rolling Circus Amsterdam California Barcelona</t>
  </si>
  <si>
    <t>Picador The Bulldog Molino</t>
  </si>
  <si>
    <t>Picador Tornasolados</t>
  </si>
  <si>
    <t>Picador Tambor 9mm</t>
  </si>
  <si>
    <t>Picador Calavera Tambor</t>
  </si>
  <si>
    <t>Picador Madera</t>
  </si>
  <si>
    <t>Bandeja de Almacidos 325</t>
  </si>
  <si>
    <t>Bandeja de Almacidos 200</t>
  </si>
  <si>
    <t>Bandeja de Almacidos 72</t>
  </si>
  <si>
    <t>Bandeja de Almacidos 50</t>
  </si>
  <si>
    <t>Bandeja de Almacidos 25</t>
  </si>
  <si>
    <t>Masetas Sopladas 3 litros</t>
  </si>
  <si>
    <t>Secador Buen Consejo 4 pisos</t>
  </si>
  <si>
    <t>Lampara Galponera Silver Light 50w</t>
  </si>
  <si>
    <t>Extractor KUDU</t>
  </si>
  <si>
    <t>Timer Zurich</t>
  </si>
  <si>
    <t xml:space="preserve">Encendedor Clipper </t>
  </si>
  <si>
    <t>Encendedor Clipper Lion Rolling Circus</t>
  </si>
  <si>
    <t xml:space="preserve">Encendedor DJEEP </t>
  </si>
  <si>
    <t xml:space="preserve">Encendedor OCB </t>
  </si>
  <si>
    <t>Sedas Lion Rolling Circus 1/4 alfalfa</t>
  </si>
  <si>
    <t>Sedas Lion Rolling Circus Kz alfalfa</t>
  </si>
  <si>
    <t>Sedas Lion Rolling Circus 1/4 celulosa</t>
  </si>
  <si>
    <t>Sedas Blunt Rey 1/4 organic</t>
  </si>
  <si>
    <t>Sedas Blunt Rey Kz celulosa Orange</t>
  </si>
  <si>
    <t>Sedas Blunt Rey Kz celulosa Celeste</t>
  </si>
  <si>
    <t>Sedas Blunt Rey Kz celulosa Verde</t>
  </si>
  <si>
    <t>Sedas Blunt Rey 1/4 celulosa Orange</t>
  </si>
  <si>
    <t>Sedas Blunt Rey 1/4 celulosa Verde</t>
  </si>
  <si>
    <t>Sedas Blunt Rey 1/4 saborizadas Durazno</t>
  </si>
  <si>
    <t>Sedas Blunt Rey 1/4 saborizadas Uva</t>
  </si>
  <si>
    <t>Sedas STAMPS Kz Organic</t>
  </si>
  <si>
    <t>Sedas OCB 1/4 Organic  Bamboo</t>
  </si>
  <si>
    <t xml:space="preserve"> Sedas LION Kz Ultra fina</t>
  </si>
  <si>
    <t>Sedas Libella 1/4 Cáñamo</t>
  </si>
  <si>
    <t>Sedas RAW 1/4 +tips BROWN</t>
  </si>
  <si>
    <t>Sedas RAW 1/4 +tips BLACK</t>
  </si>
  <si>
    <t>Sedas RAW 1/4 BROWN</t>
  </si>
  <si>
    <t>Sedas Smoking x 300</t>
  </si>
  <si>
    <t>Sedas ABADIE x 100</t>
  </si>
  <si>
    <t>Sedas ABADIE x 500</t>
  </si>
  <si>
    <t>Sedas GIZEH Kz Pink</t>
  </si>
  <si>
    <t xml:space="preserve">Sedas GIZEH 1/4 +tips </t>
  </si>
  <si>
    <t xml:space="preserve">Sedas GIZEH Kz +tips </t>
  </si>
  <si>
    <t>Sedas GIZEH rollo de seda</t>
  </si>
  <si>
    <t>Sedas PRISMA 1/4 Purple</t>
  </si>
  <si>
    <t>Sedas PRISMA 1/4 Blue</t>
  </si>
  <si>
    <t>Sedas PRISMA 1/4 Pink</t>
  </si>
  <si>
    <t>Sedas ROK 1/4 celulosa</t>
  </si>
  <si>
    <t xml:space="preserve">Pastilla para pipa ZEUS </t>
  </si>
  <si>
    <t>Picador 3 rayos aluminio negro</t>
  </si>
  <si>
    <t>Picador Metal 1 Euro</t>
  </si>
  <si>
    <t>Picador Metal Dólar Canadiense</t>
  </si>
  <si>
    <t>Tabaco Flandria Vainilla</t>
  </si>
  <si>
    <t>Crema de Cannabis</t>
  </si>
  <si>
    <t>Papel Rosin RAW 10 cm</t>
  </si>
  <si>
    <t>Pipa silicona colmena</t>
  </si>
  <si>
    <t>Armador Zeus de Metal</t>
  </si>
  <si>
    <t>Sedas Blunt Rey 1/4  Hemp</t>
  </si>
  <si>
    <t>Organic Life Beauveria Bassiana</t>
  </si>
  <si>
    <t>Macetas Crop Secret 30 litros</t>
  </si>
  <si>
    <t>Macetas Sopladas N12</t>
  </si>
  <si>
    <t>Macetas Mad Rocket 25 Litros</t>
  </si>
  <si>
    <t>Macetas Sopladas 7 litros</t>
  </si>
  <si>
    <t>Macetas Root House 3,7 litros</t>
  </si>
  <si>
    <t>Macetas Root House 10 litros</t>
  </si>
  <si>
    <t>Macetas Root House 35 litros</t>
  </si>
  <si>
    <t>Macetas Crop Secret 40 litros</t>
  </si>
  <si>
    <t>Macetas Crop Secret 20 litros</t>
  </si>
  <si>
    <t>Macetas Crop secret 15 litros</t>
  </si>
  <si>
    <t>Macetas Crop Secret 10 litros</t>
  </si>
  <si>
    <t>Macetas Crop Secret 5 litros</t>
  </si>
  <si>
    <t>Macetas Dame Aire 80 litros</t>
  </si>
  <si>
    <t>Macetas Dame Aire 60 litros</t>
  </si>
  <si>
    <t>Macetas Dame Aire 40 litros</t>
  </si>
  <si>
    <t>Macetas Pochita Grow 100 litros</t>
  </si>
  <si>
    <t>Hisopos de madera 100 u</t>
  </si>
  <si>
    <t>Mallas para prensa 90 micras</t>
  </si>
  <si>
    <t>Mallas para prensa 27 micras</t>
  </si>
  <si>
    <t>Mallas para prensa 150 micras</t>
  </si>
  <si>
    <t>Soplete</t>
  </si>
  <si>
    <t>Dabber #2</t>
  </si>
  <si>
    <t>Dabber #3</t>
  </si>
  <si>
    <t>Dabber #4</t>
  </si>
  <si>
    <t>Alcohol Isopropílico 60 ml</t>
  </si>
  <si>
    <t>Hisopos de madera 20 u</t>
  </si>
  <si>
    <t xml:space="preserve">Pisón de madera </t>
  </si>
  <si>
    <t>Gas Butano Universal</t>
  </si>
  <si>
    <t>Terp Balls</t>
  </si>
  <si>
    <t>Fan of Hash #2</t>
  </si>
  <si>
    <t>Tuqueros</t>
  </si>
  <si>
    <t>Tips STAMPS ECO</t>
  </si>
  <si>
    <t>Sedas Lion Rolling Circus Ultra Thin</t>
  </si>
  <si>
    <t xml:space="preserve">Sedas 3 Rayos Celulosa </t>
  </si>
  <si>
    <t>Cortahilo</t>
  </si>
  <si>
    <t>Bandeja de Acrilico Rick and Morty</t>
  </si>
  <si>
    <t>Tijeras Garden High Pro curva</t>
  </si>
  <si>
    <t>Masetas Air Pot</t>
  </si>
  <si>
    <t xml:space="preserve">Tijeras Plásticas </t>
  </si>
  <si>
    <t>v</t>
  </si>
  <si>
    <t>Encendedor Candela soplete</t>
  </si>
  <si>
    <t>Poleas Growth 5 Kg</t>
  </si>
  <si>
    <t>Filtros Libella x200</t>
  </si>
  <si>
    <t>Picador Galleta</t>
  </si>
  <si>
    <t>Picador Burger</t>
  </si>
  <si>
    <t>Picador ZEUS Hoyo</t>
  </si>
  <si>
    <t>Picador D&amp;K Granada</t>
  </si>
  <si>
    <t>Carpa 80x80x180</t>
  </si>
  <si>
    <t>Led 400w Growtech</t>
  </si>
  <si>
    <t>Poleas 62 kg</t>
  </si>
  <si>
    <t>Prensa Pisando Fuerte 15 Toneladas</t>
  </si>
  <si>
    <t>Maceta Soplada 5 litros</t>
  </si>
  <si>
    <t xml:space="preserve">Picador Bronce </t>
  </si>
  <si>
    <t>Triple 15 Landiner</t>
  </si>
  <si>
    <t>Banger 10mm</t>
  </si>
  <si>
    <t xml:space="preserve">Cápsula Cuarzo </t>
  </si>
  <si>
    <t xml:space="preserve">Capsula Cuarzo Flúo </t>
  </si>
  <si>
    <t>Namaste Nutripack</t>
  </si>
  <si>
    <t xml:space="preserve">Tapa Banger Chupete </t>
  </si>
  <si>
    <t xml:space="preserve">Tabaco Van Kiff American Blend </t>
  </si>
  <si>
    <t>Armador ZEUS Plástico</t>
  </si>
  <si>
    <t xml:space="preserve">Latas GB Acrilico Medianas </t>
  </si>
  <si>
    <t>Banger 14mm</t>
  </si>
  <si>
    <t>Servicio de Extracción</t>
  </si>
  <si>
    <t>Pipa de Piedra</t>
  </si>
  <si>
    <t>Aguilas Cannalum 55x60</t>
  </si>
  <si>
    <t>Led Growtech 300watts</t>
  </si>
  <si>
    <t>Tabaco Van Kiff Cherry</t>
  </si>
  <si>
    <t>Precio</t>
  </si>
  <si>
    <t>Usados</t>
  </si>
  <si>
    <t>DESCONTAR PRODUCTOS</t>
  </si>
  <si>
    <t xml:space="preserve">ocb ultimate </t>
  </si>
  <si>
    <t xml:space="preserve">ocb white </t>
  </si>
  <si>
    <t xml:space="preserve">tips moon </t>
  </si>
  <si>
    <t>Bong Atrapa Hielo</t>
  </si>
  <si>
    <t>Maceta Mad Rocket 10L</t>
  </si>
  <si>
    <t>Crop Secret Floral session 500ml</t>
  </si>
  <si>
    <t xml:space="preserve">Latas Zeus </t>
  </si>
  <si>
    <t xml:space="preserve">Picador Zeus plastico 2P </t>
  </si>
  <si>
    <t>Picador Zeus cañamo 2p</t>
  </si>
  <si>
    <t>Picador Lion Cubo</t>
  </si>
  <si>
    <t xml:space="preserve">Picador moderm space </t>
  </si>
  <si>
    <t xml:space="preserve">Picador cannabis shop 4p dk </t>
  </si>
  <si>
    <t xml:space="preserve">Turbina pipa </t>
  </si>
  <si>
    <t xml:space="preserve">Turbina Bate chica </t>
  </si>
  <si>
    <t xml:space="preserve">kit Sodio 1000wtts </t>
  </si>
  <si>
    <t>Macetas Soplada 15L</t>
  </si>
  <si>
    <t>turbina de 4" Agroled</t>
  </si>
  <si>
    <t>Advance Big Bud 250ml</t>
  </si>
  <si>
    <t>Advance Rhino Skin 250ml</t>
  </si>
  <si>
    <t>Advance Bud Candy  250ml</t>
  </si>
  <si>
    <t xml:space="preserve">Bong de vidrio cuello curbo Dk </t>
  </si>
  <si>
    <t>Bandeja Raw Papas Fritas</t>
  </si>
  <si>
    <t xml:space="preserve">Pïcador Dragon Ball </t>
  </si>
  <si>
    <t>Carpa Santa planta 80X80X160</t>
  </si>
  <si>
    <t xml:space="preserve">Grotek Micropack </t>
  </si>
  <si>
    <t xml:space="preserve">El gran tabacal Rubio </t>
  </si>
  <si>
    <t>El gran tabacal criollo</t>
  </si>
  <si>
    <t xml:space="preserve">El gran tabacal tabaco pipa </t>
  </si>
  <si>
    <t xml:space="preserve">Tree mix Candy 1L </t>
  </si>
  <si>
    <t>Extractor Kudu 6"</t>
  </si>
  <si>
    <t xml:space="preserve">Pangea kit profesional </t>
  </si>
  <si>
    <t xml:space="preserve">Van kiff Menta </t>
  </si>
  <si>
    <t>Bong Scuadarfum percolator</t>
  </si>
  <si>
    <t>Picador Scuadarfum plastico 3p</t>
  </si>
  <si>
    <t xml:space="preserve">Lion Blunt Tangie </t>
  </si>
  <si>
    <t xml:space="preserve">Lion Blunt Gorilla </t>
  </si>
  <si>
    <t>Lion Blunt KKSH</t>
  </si>
  <si>
    <t xml:space="preserve">Filtros Stamp Regular </t>
  </si>
  <si>
    <t xml:space="preserve">Filtros Stamp Bio </t>
  </si>
  <si>
    <t xml:space="preserve">Tabaquera GB </t>
  </si>
  <si>
    <t xml:space="preserve">Bong pirex Dk Mediano Verde </t>
  </si>
  <si>
    <t xml:space="preserve">Bong pirex Dk Bicolor </t>
  </si>
  <si>
    <t>Van Kiff Uv</t>
  </si>
  <si>
    <t xml:space="preserve">Bong dk mini Vidrio </t>
  </si>
  <si>
    <t xml:space="preserve">Picar StampsAcrilico 4 partes </t>
  </si>
  <si>
    <t>Bong Keep it Freesh 2</t>
  </si>
  <si>
    <t>Bong Keep it Freesh 3</t>
  </si>
  <si>
    <t>Porta porros 420</t>
  </si>
  <si>
    <t xml:space="preserve">Bong Acrilico chicomagi </t>
  </si>
  <si>
    <t>Picador 420</t>
  </si>
  <si>
    <t xml:space="preserve">Encendedor Catalatico 1 llama </t>
  </si>
  <si>
    <t xml:space="preserve">bong Acrilico mini liso </t>
  </si>
  <si>
    <t>Pipas metalicas largas</t>
  </si>
  <si>
    <t>Pipas Dk Vidrio cortas</t>
  </si>
  <si>
    <t xml:space="preserve">Turbina Bujia </t>
  </si>
  <si>
    <t>Picador Dk Calavera 3p</t>
  </si>
  <si>
    <t xml:space="preserve">Picador Dk 4p Amsterdam hoja </t>
  </si>
  <si>
    <t xml:space="preserve">Picador Stamp Metalico 4p </t>
  </si>
  <si>
    <t xml:space="preserve">Pipas Capitan America </t>
  </si>
  <si>
    <t>Maceta Mad Rocket 16L</t>
  </si>
  <si>
    <t xml:space="preserve">Bolsas Ziplock Keep it </t>
  </si>
  <si>
    <t>Tree mix Pro 1L</t>
  </si>
  <si>
    <t xml:space="preserve">Tree mix N 1L  </t>
  </si>
  <si>
    <t xml:space="preserve">Tree mix F 1L  </t>
  </si>
  <si>
    <t>Tree Mix Pro 500ml</t>
  </si>
  <si>
    <t>Tree Mix N 500ml</t>
  </si>
  <si>
    <t>Tree Mix A 500ml</t>
  </si>
  <si>
    <t>Tree Mix F 500ml</t>
  </si>
  <si>
    <t>Tree Mix  Candy 500ml</t>
  </si>
  <si>
    <t>Tree Mix  Candy 200ml</t>
  </si>
  <si>
    <t>Vermiculita</t>
  </si>
  <si>
    <t xml:space="preserve">Tips Raw Cone </t>
  </si>
  <si>
    <t>Vax Skog</t>
  </si>
  <si>
    <t>Melaza 100% natural</t>
  </si>
  <si>
    <t>Macetas Sopladas 3L</t>
  </si>
  <si>
    <t>Tips Lion silver</t>
  </si>
  <si>
    <t>Tips Lion Unbleached</t>
  </si>
  <si>
    <t>Bandeja lion Gold</t>
  </si>
  <si>
    <t>Picador Pikachu</t>
  </si>
  <si>
    <t>Picador Scuadarfum triangulo</t>
  </si>
  <si>
    <t>Bandeja Vidrio templado</t>
  </si>
  <si>
    <t>Rape El gran tabacal</t>
  </si>
  <si>
    <t>Crema Cannabis Ned Lud</t>
  </si>
  <si>
    <t>Alga Delta 100ml</t>
  </si>
  <si>
    <t>Eztabilizador 15g 62% keep it Fresh</t>
  </si>
  <si>
    <t>Picador Lion  Acrilico 2p</t>
  </si>
  <si>
    <t xml:space="preserve">Filtros Gizhe + Sedas </t>
  </si>
  <si>
    <t>Namaste Amazonia 150gr</t>
  </si>
  <si>
    <t>Namaste Oro Negro 100ml</t>
  </si>
  <si>
    <t>Namaste Trico+ 100gr</t>
  </si>
  <si>
    <t>Namaste Flora Booster 100ml</t>
  </si>
  <si>
    <t>Pipa Trop Metal labrado</t>
  </si>
  <si>
    <t>Top Crop Top Bloom</t>
  </si>
  <si>
    <t xml:space="preserve">Tabaquera Tobac </t>
  </si>
  <si>
    <t>Bong Acrilico chico liso</t>
  </si>
  <si>
    <t xml:space="preserve">Bong Acrilico Grande 31cm </t>
  </si>
  <si>
    <t xml:space="preserve">Bong Calavera pirex </t>
  </si>
  <si>
    <t xml:space="preserve">Bong dk Atrapa Hielo </t>
  </si>
  <si>
    <t xml:space="preserve">Bong dk vidrio verde </t>
  </si>
  <si>
    <t>REPUESTO Bong dk 19mm</t>
  </si>
  <si>
    <t xml:space="preserve">Pulverizador 2L </t>
  </si>
  <si>
    <t xml:space="preserve">Bandeja Lion  Rolling Circus XXL </t>
  </si>
  <si>
    <t xml:space="preserve">Malla para Rosin Keep is Fresh 120 micras x10 </t>
  </si>
  <si>
    <t xml:space="preserve">Ducto flexible 4" por metro </t>
  </si>
  <si>
    <t>Filtro de Carbón Cultiva ARG 4"</t>
  </si>
  <si>
    <t xml:space="preserve">Perlita Terrafertil 5 litros </t>
  </si>
  <si>
    <t xml:space="preserve">tabaco Sayri 30gr natural </t>
  </si>
  <si>
    <t xml:space="preserve">Picador Lion plastico  traider </t>
  </si>
  <si>
    <t>Picador Cañamo Zeus 4p</t>
  </si>
  <si>
    <t>Bencina Clear Lata 133mlt</t>
  </si>
  <si>
    <t>El Duende Humus Luquido 250mlt</t>
  </si>
  <si>
    <t>Clonaste Namaste 30gr</t>
  </si>
  <si>
    <t>Pangea Kit Agroecologico</t>
  </si>
  <si>
    <t>Pangea Kit Preventivo</t>
  </si>
  <si>
    <t xml:space="preserve">Maceta Geotextil Pochita 24L </t>
  </si>
  <si>
    <t>Maceta Geotextil Pochita 12,5L</t>
  </si>
  <si>
    <t>Maceta Geotextil Pochita 40L</t>
  </si>
  <si>
    <t xml:space="preserve">Limpia Pipa Organic Life </t>
  </si>
  <si>
    <t>Picador Ricky y Morty 4p</t>
  </si>
  <si>
    <t>Revienta Esquejes 50cc</t>
  </si>
  <si>
    <t>Revienta Cogollos 100cc</t>
  </si>
  <si>
    <t xml:space="preserve">Regaderas Finas </t>
  </si>
  <si>
    <t>Maceta Cultivate 25L</t>
  </si>
  <si>
    <t>Cooler 4" Ruleman BtFans</t>
  </si>
  <si>
    <t xml:space="preserve">Clipper Raw </t>
  </si>
  <si>
    <t>Encendedor Magic Clip pop</t>
  </si>
  <si>
    <t>Sedas Lion Rolling Circus 1/4 saborizada Menta</t>
  </si>
  <si>
    <t>Blunt Wrap Champagne</t>
  </si>
  <si>
    <t>Blunt Wrap Vainilla</t>
  </si>
  <si>
    <t>Tuquero Acrílico</t>
  </si>
  <si>
    <t>Blunt Wrap Piña Colada</t>
  </si>
  <si>
    <t>Bioestimulante The Green Nousery 2 Litros</t>
  </si>
  <si>
    <t>Sedas Smoking Master</t>
  </si>
  <si>
    <t>Sedas Smoking Organic</t>
  </si>
  <si>
    <t>Sedas Smoking Brown</t>
  </si>
  <si>
    <t>Sedas Smoking Deluxe</t>
  </si>
  <si>
    <t>Balanza de Cocina</t>
  </si>
  <si>
    <t>Sedas Lion Rolling Circus 1/4 Saborizadas Uva</t>
  </si>
  <si>
    <t>Sedas Lion Rolling Circus 1/4 Saborizadas Coco</t>
  </si>
  <si>
    <t>Pipa Madera Intervenida Grande</t>
  </si>
  <si>
    <t>Pipa de Madera Intervenida Chica</t>
  </si>
  <si>
    <t>Pipa de Semilla Tigre</t>
  </si>
  <si>
    <t xml:space="preserve">Turbina de Semilla </t>
  </si>
  <si>
    <t>Pipa de Cerámica Hippie</t>
  </si>
  <si>
    <t>Motivo</t>
  </si>
  <si>
    <t>Picador 4 partes Radioactivo tapa de acrilico</t>
  </si>
  <si>
    <t>Blunt Lion Rolling Circus TERPENES GELATO</t>
  </si>
  <si>
    <t>Sedas OCB 1/4 Virgin Papers</t>
  </si>
  <si>
    <t xml:space="preserve">Aceite de Cannabis 30 ml </t>
  </si>
  <si>
    <t>9/1/2023</t>
  </si>
  <si>
    <t>Aceite de Cannabis Ned Lud 20ml</t>
  </si>
  <si>
    <t>Vapor Nice Orange Temptation</t>
  </si>
  <si>
    <t>Vapor Nice Strawberry Cake</t>
  </si>
  <si>
    <t>Bong Acrílico Mediano Diseños 20cm</t>
  </si>
  <si>
    <t>10/01/2023</t>
  </si>
  <si>
    <t>Sauver XL</t>
  </si>
  <si>
    <t>Sauver 1/4</t>
  </si>
  <si>
    <t>parte de pago Frank</t>
  </si>
  <si>
    <t>04/01/2023</t>
  </si>
  <si>
    <t>05/01/2023</t>
  </si>
  <si>
    <t>07/01/2023</t>
  </si>
  <si>
    <t>11/01/2023</t>
  </si>
  <si>
    <t>Alquiler</t>
  </si>
  <si>
    <t>Nacho</t>
  </si>
  <si>
    <t>Picador STAMPS 3p Acrilico</t>
  </si>
  <si>
    <t>Picador 3p Tornasolado</t>
  </si>
  <si>
    <t>Bong Vidrio Chico Multicolor DK8552A</t>
  </si>
  <si>
    <t>Bong D&amp;K Mediano Bicolor DK6470</t>
  </si>
  <si>
    <t>Bong Acrílico Chico Manzana Mordida</t>
  </si>
  <si>
    <t>Bong Chico Acrílico Redondo</t>
  </si>
  <si>
    <t>Pipa Cerámica Rick &amp; Morty</t>
  </si>
  <si>
    <t>Picador Metálico 4p Blanco</t>
  </si>
  <si>
    <t>Picador 3p Engranaje</t>
  </si>
  <si>
    <t>Picador 4p Calavera Psicodélica</t>
  </si>
  <si>
    <t xml:space="preserve">Contadora </t>
  </si>
  <si>
    <t>1</t>
  </si>
  <si>
    <t>13/01/2023</t>
  </si>
  <si>
    <t>03/01/2023</t>
  </si>
  <si>
    <t>regalo</t>
  </si>
  <si>
    <t>nachito</t>
  </si>
  <si>
    <t>juancito</t>
  </si>
  <si>
    <t>franqui</t>
  </si>
  <si>
    <t>12/01/2023</t>
  </si>
  <si>
    <t>Namaste Bioprotect 100ml</t>
  </si>
  <si>
    <t>Namaste PH- 500ml</t>
  </si>
  <si>
    <t>Cultivate Jabon Potasico 250ml</t>
  </si>
  <si>
    <t>Cultivate Melaza 250ml</t>
  </si>
  <si>
    <t>Cultivate Insecticida 100ml</t>
  </si>
  <si>
    <t>Cultivate Beauvaria Bassiana 100ml</t>
  </si>
  <si>
    <t>Bandeja OCB con tapa</t>
  </si>
  <si>
    <t>Recipiente de Silicona</t>
  </si>
  <si>
    <t>Anillos de Silicona</t>
  </si>
  <si>
    <t>Tabaquera Artesanal</t>
  </si>
  <si>
    <t>Anillo 3D</t>
  </si>
  <si>
    <t>Lata Cuadrada Smoke Weed Everiday</t>
  </si>
  <si>
    <t>Cenicero Motivos Varios</t>
  </si>
  <si>
    <t>Cigarrera</t>
  </si>
  <si>
    <t>Lata Cigarrera RAW</t>
  </si>
  <si>
    <t>Lata Redonda Chica RAW</t>
  </si>
  <si>
    <t>Lata GIZEH</t>
  </si>
  <si>
    <t>Lata GIZEH+Sedas</t>
  </si>
  <si>
    <t>Frasco Weed Chico</t>
  </si>
  <si>
    <t>Frasco Weed Mediano</t>
  </si>
  <si>
    <t>Cenicero Silicona</t>
  </si>
  <si>
    <t>Lata+Picador 420</t>
  </si>
  <si>
    <t>Cerveza 420</t>
  </si>
  <si>
    <t>Blunt Lion Rolling Circus Hemp Wraps Tequila</t>
  </si>
  <si>
    <t>Blunt Lion Hemp Wraps Natural</t>
  </si>
  <si>
    <t>14/1/2023</t>
  </si>
  <si>
    <t>16/01/2023</t>
  </si>
  <si>
    <t>juancito choro</t>
  </si>
  <si>
    <t>bar descuento tarjetas</t>
  </si>
  <si>
    <t>14/01/2023</t>
  </si>
  <si>
    <t>para el tabaquito</t>
  </si>
  <si>
    <t>1/01/2023</t>
  </si>
  <si>
    <t>Pipa Atomic Aluminio</t>
  </si>
  <si>
    <t>17/01/2023</t>
  </si>
  <si>
    <t>nacho transplante</t>
  </si>
  <si>
    <t>regalo padrino nacho</t>
  </si>
  <si>
    <t>02/01/2023</t>
  </si>
  <si>
    <t>Frank</t>
  </si>
  <si>
    <t>18/1/2023</t>
  </si>
  <si>
    <t xml:space="preserve">recambio por falla </t>
  </si>
  <si>
    <t>1/1/2023</t>
  </si>
  <si>
    <t>Bong D&amp;K Vidrio Chico Pico Curvo</t>
  </si>
  <si>
    <t>Bong D&amp;K Vidrio Recto</t>
  </si>
  <si>
    <t>Pago Frank 4 dias</t>
  </si>
  <si>
    <t>Mopa y bolsas</t>
  </si>
  <si>
    <t>Organic Life Silicio</t>
  </si>
  <si>
    <t>19/01/2023</t>
  </si>
  <si>
    <t xml:space="preserve">monotributo </t>
  </si>
  <si>
    <t>Mochila Lion Rolling Circus</t>
  </si>
  <si>
    <t>Picador Zeus 3p Plastico</t>
  </si>
  <si>
    <t>20/01/2023</t>
  </si>
  <si>
    <t>Bong Acrilico chico diseños</t>
  </si>
  <si>
    <t>Namaste Shanti 500ml</t>
  </si>
  <si>
    <t>nachillo</t>
  </si>
  <si>
    <t>23/1/2023</t>
  </si>
  <si>
    <t>Sorteo Evento winka</t>
  </si>
  <si>
    <t>sorteo winka</t>
  </si>
  <si>
    <t>Sorteo Winka</t>
  </si>
  <si>
    <t xml:space="preserve">Calcos </t>
  </si>
  <si>
    <t>Carteles</t>
  </si>
  <si>
    <t>Tarjetas de Descuento</t>
  </si>
  <si>
    <t>24/1/2023</t>
  </si>
  <si>
    <t>25/1/2023</t>
  </si>
  <si>
    <t>Frankillo</t>
  </si>
  <si>
    <t>25/01/2023</t>
  </si>
  <si>
    <t>nacho</t>
  </si>
  <si>
    <t xml:space="preserve"> 25/01/2023</t>
  </si>
  <si>
    <t>27/1/2023</t>
  </si>
  <si>
    <t>frankiño</t>
  </si>
  <si>
    <t>28/1/2023</t>
  </si>
  <si>
    <t>30/1/2023</t>
  </si>
  <si>
    <t>sorteos</t>
  </si>
  <si>
    <t>26/1/2023</t>
  </si>
  <si>
    <t>31/1/2023</t>
  </si>
  <si>
    <t>nachit</t>
  </si>
  <si>
    <t xml:space="preserve">plantas nuevas grow </t>
  </si>
  <si>
    <t xml:space="preserve">Plantas grow </t>
  </si>
  <si>
    <t>pago frank</t>
  </si>
  <si>
    <t xml:space="preserve">nacho cultivo </t>
  </si>
  <si>
    <t>1/2/2023</t>
  </si>
  <si>
    <t xml:space="preserve">Comision Frak enero </t>
  </si>
  <si>
    <t>frank pago</t>
  </si>
  <si>
    <t xml:space="preserve">Polea Santa Planta 5kg </t>
  </si>
  <si>
    <t>2/2/2023</t>
  </si>
  <si>
    <t>01/02/2023</t>
  </si>
  <si>
    <t>02/02/2023</t>
  </si>
  <si>
    <t xml:space="preserve">filtros gizhe slim 6mm </t>
  </si>
  <si>
    <t>30/01/2023</t>
  </si>
  <si>
    <t>31/02/2023</t>
  </si>
  <si>
    <t>nach</t>
  </si>
  <si>
    <t>uno de nacho y uno de frank</t>
  </si>
  <si>
    <t>03/02/2023</t>
  </si>
  <si>
    <t>04/02/2023</t>
  </si>
  <si>
    <t>Tijeras de Poda rectas GHP</t>
  </si>
  <si>
    <t>Maquina para Armar Metalica STAMPS</t>
  </si>
  <si>
    <t>4/2/2023</t>
  </si>
  <si>
    <t>6/2/2023</t>
  </si>
  <si>
    <t>nacho el pisador</t>
  </si>
  <si>
    <t>nacho el fumanchin</t>
  </si>
  <si>
    <t>franklin el atabacao</t>
  </si>
  <si>
    <t>frank el tabacalero</t>
  </si>
  <si>
    <t xml:space="preserve">pago fran por semana final enero/ comiendo febrero </t>
  </si>
  <si>
    <t>06/02/2023</t>
  </si>
  <si>
    <t xml:space="preserve">se hizo pingo </t>
  </si>
  <si>
    <t>frank</t>
  </si>
  <si>
    <t>07/02/2023</t>
  </si>
  <si>
    <t>vitux</t>
  </si>
  <si>
    <t>regalo?</t>
  </si>
  <si>
    <t>08/02/2023</t>
  </si>
  <si>
    <t xml:space="preserve">Picador lion Barcelona California Amsterdam 2 partes </t>
  </si>
  <si>
    <t>01/01/2023</t>
  </si>
  <si>
    <t>calcos</t>
  </si>
  <si>
    <t>8/2/2023</t>
  </si>
  <si>
    <t xml:space="preserve">venta de 200 sustratos </t>
  </si>
  <si>
    <t>DKHaze 2.0 EVO</t>
  </si>
  <si>
    <t>Estabilizador 8G keep it fresh</t>
  </si>
  <si>
    <t xml:space="preserve">Beauveria Bassiana Organic Life </t>
  </si>
  <si>
    <t>Geotextiles 40L cultivate</t>
  </si>
  <si>
    <t>Top Bloom 1L</t>
  </si>
  <si>
    <t>Sedas STAMPS Celulosa x300</t>
  </si>
  <si>
    <t>OCB premium</t>
  </si>
  <si>
    <t>OCB Cañamo Organico</t>
  </si>
  <si>
    <t>Picador Zeus Plastico Flor</t>
  </si>
  <si>
    <t>Picador D&amp;K Plastico Calavera</t>
  </si>
  <si>
    <t>Lata Elements</t>
  </si>
  <si>
    <t>Sedas Zeus Celulosa</t>
  </si>
  <si>
    <t>Picador Mini D&amp;K</t>
  </si>
  <si>
    <t>Filtros Gizeh Mentol 6mm</t>
  </si>
  <si>
    <t>Filtros Gizeh x100 6mm</t>
  </si>
  <si>
    <t xml:space="preserve">Tuqueros de Ceramica </t>
  </si>
  <si>
    <t>Pipa de Ceramica Grande</t>
  </si>
  <si>
    <t xml:space="preserve">Pipa de Ceramica chica </t>
  </si>
  <si>
    <t>Picador 3 Rayos 4p Madera</t>
  </si>
  <si>
    <t>Geotextiles 20l Iration</t>
  </si>
  <si>
    <t>Geotextiles 15l Iration</t>
  </si>
  <si>
    <t>Geotextiles 30l Dgrow</t>
  </si>
  <si>
    <t>Trichodermas Cultivate</t>
  </si>
  <si>
    <t>Trips Green Leaf Insumos 100ml</t>
  </si>
  <si>
    <t>4 en 1 250ml Green Leaf Insumos</t>
  </si>
  <si>
    <t>4 en 1 100ml Green Leaf Insumos</t>
  </si>
  <si>
    <t xml:space="preserve">Timer SICA </t>
  </si>
  <si>
    <t>Crema SANARCANN</t>
  </si>
  <si>
    <t xml:space="preserve">papel Mylar </t>
  </si>
  <si>
    <t>Pulverizador 1,5 litros</t>
  </si>
  <si>
    <t>El Duende Jabon Potasico con Neem y Canela 250ml</t>
  </si>
  <si>
    <t>Namaste Shanti 100ml</t>
  </si>
  <si>
    <t>Cigarrera Stamps Metal</t>
  </si>
  <si>
    <t>Bandeja Keep it Fresh Chica c/tapa</t>
  </si>
  <si>
    <t xml:space="preserve">Bong de Silicona Grande </t>
  </si>
  <si>
    <t>Picador Zeus 4p Plastico</t>
  </si>
  <si>
    <t>10/2/2023</t>
  </si>
  <si>
    <t>13/2/2023</t>
  </si>
  <si>
    <t>contadora</t>
  </si>
  <si>
    <t>20/2/2023</t>
  </si>
  <si>
    <t xml:space="preserve">pago frank </t>
  </si>
  <si>
    <t>18/2/2023</t>
  </si>
  <si>
    <t xml:space="preserve">pago frank sabado </t>
  </si>
  <si>
    <t>21/2/2023</t>
  </si>
  <si>
    <t xml:space="preserve">Alquiler local + Expensas </t>
  </si>
  <si>
    <t>23/2/2023</t>
  </si>
  <si>
    <t>zapatilla y cables</t>
  </si>
  <si>
    <t>monotribut</t>
  </si>
  <si>
    <t>24/2/2023</t>
  </si>
  <si>
    <t>envio planeta verde</t>
  </si>
  <si>
    <t>2/3/2023</t>
  </si>
  <si>
    <t xml:space="preserve">descuento susrato </t>
  </si>
  <si>
    <t>1/3/2023</t>
  </si>
  <si>
    <t xml:space="preserve">comision franco febrero </t>
  </si>
  <si>
    <t>07/03/2023</t>
  </si>
  <si>
    <t>06/03/2023</t>
  </si>
  <si>
    <t>28/02/2023</t>
  </si>
  <si>
    <t>25/2/2023</t>
  </si>
  <si>
    <t>15/2/2023</t>
  </si>
  <si>
    <t>13/02/2023</t>
  </si>
  <si>
    <t>03/03/2023</t>
  </si>
  <si>
    <t>02/03/2023</t>
  </si>
  <si>
    <t>01/03/2023</t>
  </si>
  <si>
    <t>27/2/2023</t>
  </si>
  <si>
    <t>18/02/2023</t>
  </si>
  <si>
    <t>17/02/2023</t>
  </si>
  <si>
    <t>16/02/2023</t>
  </si>
  <si>
    <t>16/2/2023</t>
  </si>
  <si>
    <t>14/2/2023</t>
  </si>
  <si>
    <t>11/02/2023</t>
  </si>
  <si>
    <t>10/02/2023</t>
  </si>
  <si>
    <t>09/02/2023</t>
  </si>
  <si>
    <t>08/03/2023</t>
  </si>
  <si>
    <t>REGALO</t>
  </si>
  <si>
    <t>Carpa 120x120x200</t>
  </si>
  <si>
    <t>8/3/2023</t>
  </si>
  <si>
    <t>09/03/2023</t>
  </si>
  <si>
    <t>banco nuevo</t>
  </si>
  <si>
    <t>mesita</t>
  </si>
  <si>
    <t>10/03/2023</t>
  </si>
  <si>
    <t xml:space="preserve">luz enero y febrero </t>
  </si>
  <si>
    <t xml:space="preserve">Alquiler mas expensas </t>
  </si>
  <si>
    <t>11/03/2023</t>
  </si>
  <si>
    <t>nache</t>
  </si>
  <si>
    <t>Led Growtech 200w</t>
  </si>
  <si>
    <t>pago semana frank</t>
  </si>
  <si>
    <t>13/03/2023</t>
  </si>
  <si>
    <t>13/3/2023</t>
  </si>
  <si>
    <t>1/03/2023</t>
  </si>
  <si>
    <t>Precio de Venta</t>
  </si>
  <si>
    <t>bars</t>
  </si>
  <si>
    <t>14/03/2023</t>
  </si>
  <si>
    <t>drogarse</t>
  </si>
  <si>
    <t>15/03/2023</t>
  </si>
  <si>
    <t>16/03/2023</t>
  </si>
  <si>
    <t>16/3/2023</t>
  </si>
  <si>
    <t>Cables Para la PC</t>
  </si>
  <si>
    <t>17/03/2023</t>
  </si>
  <si>
    <t>18/03/2023</t>
  </si>
  <si>
    <t>20/03/2023</t>
  </si>
  <si>
    <t>21/03/2023</t>
  </si>
  <si>
    <t>bar</t>
  </si>
  <si>
    <t>Namaste Ph- 100ml</t>
  </si>
  <si>
    <t>gas butano clear 250cc</t>
  </si>
  <si>
    <t>22/03/2023</t>
  </si>
  <si>
    <t>Perlita 5L</t>
  </si>
  <si>
    <t>Perlita 10L</t>
  </si>
  <si>
    <t>24/03/2023</t>
  </si>
  <si>
    <t>Dinero para Reinversión</t>
  </si>
  <si>
    <t>Porcentaje de Ganancias</t>
  </si>
  <si>
    <t>Dinero Libre</t>
  </si>
  <si>
    <t>25/03/2023</t>
  </si>
  <si>
    <t>27/03/2023</t>
  </si>
  <si>
    <t>trasladrog</t>
  </si>
  <si>
    <t>x</t>
  </si>
  <si>
    <t>macho</t>
  </si>
  <si>
    <t>28/03/2023</t>
  </si>
  <si>
    <t>Total 3</t>
  </si>
  <si>
    <t>29/03/2023</t>
  </si>
  <si>
    <t>Total 4</t>
  </si>
  <si>
    <t>Transferencia</t>
  </si>
  <si>
    <t>Efectivo</t>
  </si>
  <si>
    <t>Productos diferentes del Stock</t>
  </si>
  <si>
    <t>Inversion Venta</t>
  </si>
  <si>
    <t>INVERSIONES</t>
  </si>
  <si>
    <t>Kit de Fertilizantes POT</t>
  </si>
  <si>
    <t>SORTEO TRASLADROG</t>
  </si>
  <si>
    <t>Tipo de Venta</t>
  </si>
  <si>
    <t>30/03/2023</t>
  </si>
  <si>
    <t>31/03/2023</t>
  </si>
  <si>
    <t>sedas Blunt Rey Frutilla</t>
  </si>
  <si>
    <t>Sedas Blunt Rey Mango</t>
  </si>
  <si>
    <t>Sedas Blunt Rey Blueberry</t>
  </si>
  <si>
    <t>Sedas Blunt Rey Vainilla</t>
  </si>
  <si>
    <t>Sedas Blunt Rey Cherry</t>
  </si>
  <si>
    <t>Seda Blunt Rey Banana</t>
  </si>
  <si>
    <t>Sedas Blunt Rey Menta</t>
  </si>
  <si>
    <t>Sedas Blunt Rey Chocolate</t>
  </si>
  <si>
    <t>01/04/2023</t>
  </si>
  <si>
    <t xml:space="preserve">Pago Frank </t>
  </si>
  <si>
    <t>comision Marzo</t>
  </si>
  <si>
    <t>03/04/2023</t>
  </si>
  <si>
    <t>luz</t>
  </si>
  <si>
    <t>04/04/2023</t>
  </si>
  <si>
    <t>05/04/2023</t>
  </si>
  <si>
    <t>06/04/2023</t>
  </si>
  <si>
    <t>08/04/2023</t>
  </si>
  <si>
    <t>Picador 3p Calavera Rosa</t>
  </si>
  <si>
    <t>Picador 4p Amsterdam Holland</t>
  </si>
  <si>
    <t xml:space="preserve">Picador 3p Acrilico </t>
  </si>
  <si>
    <t>Tabaco Van Haasen Nativo</t>
  </si>
  <si>
    <t>Bong Mini Verde</t>
  </si>
  <si>
    <t xml:space="preserve">Sedas Stamps Celulosa </t>
  </si>
  <si>
    <t>10/04/2023</t>
  </si>
  <si>
    <t>11/04/2023</t>
  </si>
  <si>
    <t>alquiler loal + expensas</t>
  </si>
  <si>
    <t>13/04/2023</t>
  </si>
  <si>
    <t>14/04/2023</t>
  </si>
  <si>
    <t>15/04/2023</t>
  </si>
  <si>
    <t>17/04/2023</t>
  </si>
  <si>
    <t>18/04/2023</t>
  </si>
  <si>
    <t>19/04/2023</t>
  </si>
  <si>
    <t>21/04/2023</t>
  </si>
  <si>
    <t>22/04/2023</t>
  </si>
  <si>
    <t>24/04/2023</t>
  </si>
  <si>
    <t>25/04/2023</t>
  </si>
  <si>
    <t>sahumerios</t>
  </si>
  <si>
    <t>26/04/2023</t>
  </si>
  <si>
    <t>27/04/2023</t>
  </si>
  <si>
    <t>Stock Cultivate</t>
  </si>
  <si>
    <t>COMPRAS CULTIVATE</t>
  </si>
  <si>
    <t>Precio Compra</t>
  </si>
  <si>
    <t>Stock Deposito</t>
  </si>
  <si>
    <t>Compra Cultivate</t>
  </si>
  <si>
    <t>Descuento</t>
  </si>
  <si>
    <t>Inversion Cultivate</t>
  </si>
  <si>
    <t>Ganancia Cultivate</t>
  </si>
  <si>
    <t>Total de Productos  en Deposito</t>
  </si>
  <si>
    <t>Invertido en Cultivate</t>
  </si>
  <si>
    <t>Mercadería en Deposito</t>
  </si>
  <si>
    <t>Invertido en Deposito</t>
  </si>
  <si>
    <t>Total Productos en Cultivate</t>
  </si>
  <si>
    <t>02/05/2023</t>
  </si>
  <si>
    <t>Kawsay Base B 2l</t>
  </si>
  <si>
    <t xml:space="preserve">Kawsay Base A 2l </t>
  </si>
  <si>
    <t>Kawsay Vege 2l</t>
  </si>
  <si>
    <t>Kawsay Bloom 2l</t>
  </si>
  <si>
    <t>Kawsay Base B 500ml</t>
  </si>
  <si>
    <t xml:space="preserve">Kawsay Base A 500ml </t>
  </si>
  <si>
    <t>Kawsay Vege 500ml</t>
  </si>
  <si>
    <t>Kawsay Bloom 500ml</t>
  </si>
  <si>
    <t xml:space="preserve">Kawsay Base B 1l </t>
  </si>
  <si>
    <t xml:space="preserve">Kawsay Base A 1l </t>
  </si>
  <si>
    <t>Kawsay Bloom 1l</t>
  </si>
  <si>
    <t>Kawsay Vege 1l</t>
  </si>
  <si>
    <t>Kawsay Silicio 1l</t>
  </si>
  <si>
    <t>Kawsay Trichodermas 30ml</t>
  </si>
  <si>
    <t>Kawsay Micorrizas 30ml</t>
  </si>
  <si>
    <t>Kawsay Micorrizas 50ml</t>
  </si>
  <si>
    <t>Kawsay Trichodermas 50ml</t>
  </si>
  <si>
    <t>Kawsay Control Plagas 50ml</t>
  </si>
  <si>
    <t>Kawsay Ph+ 30ml</t>
  </si>
  <si>
    <t>Kawsay Ph- 30ml</t>
  </si>
  <si>
    <t>Kawsay Ph+ 60ml</t>
  </si>
  <si>
    <t>Kawsay Ph- 60ml</t>
  </si>
  <si>
    <t>Kawsay Base A 250ml</t>
  </si>
  <si>
    <t>Kawsay Base B 250ml</t>
  </si>
  <si>
    <t>Kawsay Vege 250ml</t>
  </si>
  <si>
    <t>Kawsay Bloom 250ml</t>
  </si>
  <si>
    <t>Kawsay Power Finish 250ml</t>
  </si>
  <si>
    <t>Pangea Black Rooster 300ml</t>
  </si>
  <si>
    <t>Pangea Last Chance 300ml</t>
  </si>
  <si>
    <t>Pangea Healty 300ml</t>
  </si>
  <si>
    <t>Pangea Fisher Juice 300ml</t>
  </si>
  <si>
    <t>Pangea Last Chance 100ml</t>
  </si>
  <si>
    <t>Pangea Fisher Juice 100ml</t>
  </si>
  <si>
    <t>Pangea Bloom Starter 100ml</t>
  </si>
  <si>
    <t>Pangea D-Killer 100g</t>
  </si>
  <si>
    <t>Namaste BioNeem 30ml</t>
  </si>
  <si>
    <t>Namaste Detox 500ml</t>
  </si>
  <si>
    <t>Namaste Flora Booster 2l</t>
  </si>
  <si>
    <t>Namaste Oro Negro 2l</t>
  </si>
  <si>
    <t>Namaste Ph- 2l</t>
  </si>
  <si>
    <t>Namaste Detox 2l</t>
  </si>
  <si>
    <t>Cultivate Tierra de Diatomeas 200cc</t>
  </si>
  <si>
    <t>Cultivate Dolomita 30g</t>
  </si>
  <si>
    <t>Cultivate Jabon Potasico 1l</t>
  </si>
  <si>
    <t>Tierra de Diatomeas 200cc Green Leaf</t>
  </si>
  <si>
    <t>Purin de Ortiga Green Leaf 100cc</t>
  </si>
  <si>
    <t>Mosca Blanca 100cc Green Leaf</t>
  </si>
  <si>
    <t>Purin de Cola de Caballo 100cc Green Leaf</t>
  </si>
  <si>
    <t>Plaguicida Cactus y Suculentas 100cc Green Leaf</t>
  </si>
  <si>
    <t>Beauveria Bassiana 30cc Green Leaf</t>
  </si>
  <si>
    <t>Bokashi Japones 200cc Green Leaf</t>
  </si>
  <si>
    <t>Harina de Hueso 100cc Green Leaf</t>
  </si>
  <si>
    <t xml:space="preserve">Harina de Sangre 100cc Green Leaf </t>
  </si>
  <si>
    <t>Silicio 200cc Green Leaf</t>
  </si>
  <si>
    <t>6 en 1 250cc Green Leaf</t>
  </si>
  <si>
    <t>Purin de Paraiso 100cc Green Leaf</t>
  </si>
  <si>
    <t>Leonardita 200ml Skog</t>
  </si>
  <si>
    <t>Alga Delta 200ml Skog</t>
  </si>
  <si>
    <t>Phos 30ml Skog</t>
  </si>
  <si>
    <t>Ento 30ml Skog</t>
  </si>
  <si>
    <t>Mico 200ml TreeMix</t>
  </si>
  <si>
    <t xml:space="preserve">Micorrizas 30ml Organic Life </t>
  </si>
  <si>
    <t>Top Crop Auto 250ml</t>
  </si>
  <si>
    <t>Deeper Underground 250ml Top Crop</t>
  </si>
  <si>
    <t>Big One 250ml Top Crop</t>
  </si>
  <si>
    <t>Barrier 250ml Top Crop</t>
  </si>
  <si>
    <t>Coco A 1l Top Crop</t>
  </si>
  <si>
    <t>Coco B 1l Top Crop</t>
  </si>
  <si>
    <t>Candy 1l Top Crop</t>
  </si>
  <si>
    <t>Wash 1l Top Crop</t>
  </si>
  <si>
    <t>Auto 1l Top Crop</t>
  </si>
  <si>
    <t>Bloom 1l Top Crop</t>
  </si>
  <si>
    <t>Guano de Gallina Vege Vamp</t>
  </si>
  <si>
    <t>Maca Brew 1l</t>
  </si>
  <si>
    <t>Guano de Gallina 500g GAP</t>
  </si>
  <si>
    <t>Guano de Gallina 1k GAP</t>
  </si>
  <si>
    <t>Harina de Pescado 200g GAP</t>
  </si>
  <si>
    <t>Dolomita 200g GAP</t>
  </si>
  <si>
    <t>STS 250ml GAP</t>
  </si>
  <si>
    <t>STS 500ml GAP</t>
  </si>
  <si>
    <t>Tierra de Diatomeas 80g GAP</t>
  </si>
  <si>
    <t>Aceite de Neem 30ml GAP</t>
  </si>
  <si>
    <t>Trichodermas 30ml GAP</t>
  </si>
  <si>
    <t>Jabon Potasico 250ml GAP</t>
  </si>
  <si>
    <t>Harina de Sangre 200g GAP</t>
  </si>
  <si>
    <t>Melaza 500ml Monkey</t>
  </si>
  <si>
    <t>Kong 100ml Monkey</t>
  </si>
  <si>
    <t xml:space="preserve">Flowers 100ml Monkey </t>
  </si>
  <si>
    <t>Neem 100ml Monkey</t>
  </si>
  <si>
    <t>Kong 200ml Monkey</t>
  </si>
  <si>
    <t>Flowers 200ml Monkey</t>
  </si>
  <si>
    <t>Kong 1l Monkey</t>
  </si>
  <si>
    <t>Flowers 1l Monkey</t>
  </si>
  <si>
    <t>Indian 100ml Monkey</t>
  </si>
  <si>
    <t xml:space="preserve">Indian 1l Monkey </t>
  </si>
  <si>
    <t>Indian 200ml Monkey</t>
  </si>
  <si>
    <t xml:space="preserve">Bio Nutrientes 150g Melumba </t>
  </si>
  <si>
    <t>Bio Diatomeas 150g Melumba</t>
  </si>
  <si>
    <t>Bio Flora 250g Melumba</t>
  </si>
  <si>
    <t>Bio Potasico 125g Melumba</t>
  </si>
  <si>
    <t>Bio Flora 125g Melumba</t>
  </si>
  <si>
    <t>Bio Automaticas 125g Melumba</t>
  </si>
  <si>
    <t>Bio Enraizante 50cc Melumba</t>
  </si>
  <si>
    <t>Bio Trichodermas 50cc Melumba</t>
  </si>
  <si>
    <t>Bio Neem 50cc Melumba</t>
  </si>
  <si>
    <t>Bio Micorrizas 50cc Melumba</t>
  </si>
  <si>
    <t>Todo en 1 1l Nostress</t>
  </si>
  <si>
    <t xml:space="preserve">Todo en 1 250ml Nostress </t>
  </si>
  <si>
    <t>Melaza 220cc Linea Dorada</t>
  </si>
  <si>
    <t>GuanoPack 500g Tupak</t>
  </si>
  <si>
    <t>Solu Pack Tupak</t>
  </si>
  <si>
    <t>Green Explosion 250ml Top Crop</t>
  </si>
  <si>
    <t>Neem 30cc Organic Life</t>
  </si>
  <si>
    <t>Bioestimulante Radicular 50cc Organic Life</t>
  </si>
  <si>
    <t>Micro 1l Magic Hidro</t>
  </si>
  <si>
    <t>Flora 1l Magic Hidro</t>
  </si>
  <si>
    <t>Macro 1l Magic Hidro</t>
  </si>
  <si>
    <t>Micro 250ml Magic Hidro</t>
  </si>
  <si>
    <t>Macro 250ml Magic Hidro</t>
  </si>
  <si>
    <t>Flora 250ml Magic Hidro</t>
  </si>
  <si>
    <t>Raiz 250ml Magic Hidro</t>
  </si>
  <si>
    <t>Ph+ 250ml Magic Hidro</t>
  </si>
  <si>
    <t>Revienta Plagas 100cc</t>
  </si>
  <si>
    <t>Melaza de Caña 250ml Terra Viva</t>
  </si>
  <si>
    <t xml:space="preserve">Tabaco Las Hojas Natural </t>
  </si>
  <si>
    <t>Tabaco Las Hojas Chocolate</t>
  </si>
  <si>
    <t xml:space="preserve">Tabaco Las Hojas Vainilla </t>
  </si>
  <si>
    <t>Tabaco Las Hojas Uva</t>
  </si>
  <si>
    <t>Tabaco Moro Mango</t>
  </si>
  <si>
    <t>Tabaco Moro Dark Blend</t>
  </si>
  <si>
    <t>Tabaco Moro Virginia Blend</t>
  </si>
  <si>
    <t>Tabaco Moro Vainilla</t>
  </si>
  <si>
    <t>Tabaco Argento Chocolate</t>
  </si>
  <si>
    <t>Tabaco Argento Natural</t>
  </si>
  <si>
    <t>Tabaco Argento Vainilla</t>
  </si>
  <si>
    <t>Tabaco para Pipa Argento Natural</t>
  </si>
  <si>
    <t>Tabaco para Pipa Argento Negro</t>
  </si>
  <si>
    <t>Tabaco para Pipa Argento Duo</t>
  </si>
  <si>
    <t xml:space="preserve">Tabaco para Pipa Argento Whisky y Chocolate </t>
  </si>
  <si>
    <t>Tabaco para Pipa Argento Nougat</t>
  </si>
  <si>
    <t>Tabaco Cerrito Chocolate</t>
  </si>
  <si>
    <t>Tabaco Manitou Natural</t>
  </si>
  <si>
    <t>Tabaco Saints Natural</t>
  </si>
  <si>
    <t>Tabaco Achalay Menta</t>
  </si>
  <si>
    <t>Tabaco Achalay Virginia</t>
  </si>
  <si>
    <t>Tabaco Bringg para Pipa Vainilla</t>
  </si>
  <si>
    <t>Tabaco Bringg para Pipa Regular</t>
  </si>
  <si>
    <t>Tabaco Red Field Virginia</t>
  </si>
  <si>
    <t>Tabaco Red Field Vainilla</t>
  </si>
  <si>
    <t>Tabaco Cuatro Leguas Natural</t>
  </si>
  <si>
    <t>Tabaco Padilla Natural Virginia</t>
  </si>
  <si>
    <t>Tabaco Exotic Fruit Mango</t>
  </si>
  <si>
    <t>Tabaco Exotic Fruit Ciruela</t>
  </si>
  <si>
    <t xml:space="preserve">Tabaco para Narguile Zomo Sandia </t>
  </si>
  <si>
    <t>Tabaco para Narguile Zomo Limon</t>
  </si>
  <si>
    <t>Tabaco Mazaya Mix</t>
  </si>
  <si>
    <t>Habanos Cienfiegos</t>
  </si>
  <si>
    <t>Habanos Principe</t>
  </si>
  <si>
    <t>Canamama Roll on Anti Stress</t>
  </si>
  <si>
    <t>Canamama Gel Intimo 50ml</t>
  </si>
  <si>
    <t>Canamama Crema para Tatoo</t>
  </si>
  <si>
    <t>Canamama Crema de Guayaba y Cannabis 150ml</t>
  </si>
  <si>
    <t>Canamama Aceite para Barba 30ml</t>
  </si>
  <si>
    <t>Canamama Aceite para Pies Cansados</t>
  </si>
  <si>
    <t>Canamama Aceite Deportivo</t>
  </si>
  <si>
    <t>Canamama Aceite para Pelo</t>
  </si>
  <si>
    <t>Canamama Balsamo para Labios</t>
  </si>
  <si>
    <t>Canamama Acondicionador</t>
  </si>
  <si>
    <t>Canamama Shampoo</t>
  </si>
  <si>
    <t>Demonio Verde 250ml</t>
  </si>
  <si>
    <t>Demonio Verde 100ml</t>
  </si>
  <si>
    <t>Limpia Pipa Faro</t>
  </si>
  <si>
    <t>Corta Habano Plateado</t>
  </si>
  <si>
    <t>Corta Habano Plastico</t>
  </si>
  <si>
    <t>Saca Bocado</t>
  </si>
  <si>
    <t>Tabaquera Palta</t>
  </si>
  <si>
    <t>Porta Boveda Chico</t>
  </si>
  <si>
    <t>Boveda 45g 62%</t>
  </si>
  <si>
    <t>Kaloud Calentador de Carbon</t>
  </si>
  <si>
    <t>Repuesto de Vapo Smoke</t>
  </si>
  <si>
    <t>Hielos de Whisky Schon</t>
  </si>
  <si>
    <t>Maceta Mad Rocket 5l</t>
  </si>
  <si>
    <t>Maceta Root House 18l</t>
  </si>
  <si>
    <t>Maceta Soplada N10</t>
  </si>
  <si>
    <t>Maceta Soplada 6l</t>
  </si>
  <si>
    <t>Maceta Soplada 5l</t>
  </si>
  <si>
    <t>Maceta Soplada 3l Cuadrada</t>
  </si>
  <si>
    <t>Maceta  Cultivate 60l</t>
  </si>
  <si>
    <t>Maceta Cultivate 50l</t>
  </si>
  <si>
    <t>Maceta Cultivate 5l</t>
  </si>
  <si>
    <t>Maceta Cultivate 10l</t>
  </si>
  <si>
    <t>Maceta Cultivate 20l</t>
  </si>
  <si>
    <t>Maceta D-Grows 80l</t>
  </si>
  <si>
    <t>Maceta D-Grows 7l</t>
  </si>
  <si>
    <t>Maceta D-Grows 4l</t>
  </si>
  <si>
    <t>Maceta Iration 15l</t>
  </si>
  <si>
    <t>Maceta Iration 10l</t>
  </si>
  <si>
    <t>Filtro de Olor 4"</t>
  </si>
  <si>
    <t>Kawsay Silicio 500ml</t>
  </si>
  <si>
    <t>Raiz 1l Magic Hidro</t>
  </si>
  <si>
    <t>Ph+ 1l Magic Hidro</t>
  </si>
  <si>
    <t>Coco B 250ml Top Crop</t>
  </si>
  <si>
    <t>Candy 250ml Top Crop</t>
  </si>
  <si>
    <t>Gas Butano 160cc Clear</t>
  </si>
  <si>
    <t>Gas Butano 400cc Clear</t>
  </si>
  <si>
    <t>Mecha de Bencina Zippo</t>
  </si>
  <si>
    <t>Llavero Picador</t>
  </si>
  <si>
    <t>Tabaquera Azul</t>
  </si>
  <si>
    <t>Frasco con Filtros 420</t>
  </si>
  <si>
    <t>ZipLoc con Filtros 420</t>
  </si>
  <si>
    <t>Portaseda Lion Rolling Circus Kz</t>
  </si>
  <si>
    <t>Lata Casino</t>
  </si>
  <si>
    <t>Lata Monedero</t>
  </si>
  <si>
    <t>Lata 3D</t>
  </si>
  <si>
    <t>Pipa Fibron</t>
  </si>
  <si>
    <t>Cenicero Montecristo Habanos</t>
  </si>
  <si>
    <t>Cenicero Montecristo para Auto</t>
  </si>
  <si>
    <t>Cenicero Montecristo para Auto con Luz</t>
  </si>
  <si>
    <t xml:space="preserve">Cenicero Montecristo Silicona </t>
  </si>
  <si>
    <t>Cenicero Montecristo Silicona Chico</t>
  </si>
  <si>
    <t>Cenicero Montecristo Vidrio Jamaica</t>
  </si>
  <si>
    <t>Cenicero Squadafum Silicona</t>
  </si>
  <si>
    <t>Armador RAW Kz</t>
  </si>
  <si>
    <t>Armador RAW Six Shooter</t>
  </si>
  <si>
    <t>Armador Lion Rolling Circus Ks</t>
  </si>
  <si>
    <t>Bandeja Zeus Cañamo</t>
  </si>
  <si>
    <t>Bandeja RAW Bamboo</t>
  </si>
  <si>
    <t>Bandeja Bull Dog Chica</t>
  </si>
  <si>
    <t>Bandeja Bull Dog Mediana</t>
  </si>
  <si>
    <t>Bandeja Lion Rolling Circus Chica</t>
  </si>
  <si>
    <t>Bandeja Gizeh Chica</t>
  </si>
  <si>
    <t>Bandeja Gizeh Mediana</t>
  </si>
  <si>
    <t>Bandeja Elements XL</t>
  </si>
  <si>
    <t>Portasahumerios Artesanal</t>
  </si>
  <si>
    <t>Destapador Schon</t>
  </si>
  <si>
    <t>Mazo de Cartas Poker Fournier</t>
  </si>
  <si>
    <t>Mazo de Cartas con eso no se jode</t>
  </si>
  <si>
    <t>Vaso Termico Chala</t>
  </si>
  <si>
    <t>Porta Etiquetas</t>
  </si>
  <si>
    <t>Juego de Poker</t>
  </si>
  <si>
    <t>Exhibidor de Cartas</t>
  </si>
  <si>
    <t>Red de Scrog Terra 40x40</t>
  </si>
  <si>
    <t>Red de Scrog Terra 60x60</t>
  </si>
  <si>
    <t>Red de Scrog Terra 80x80</t>
  </si>
  <si>
    <t>Red de Scrog Terra 100x100</t>
  </si>
  <si>
    <t>Red de Scrog Terra 120x120</t>
  </si>
  <si>
    <t>Red de Scrog Multired 60x60</t>
  </si>
  <si>
    <t>Red de Scrog Multired 120x120</t>
  </si>
  <si>
    <t>Lana de Roca BioProyect 10x5</t>
  </si>
  <si>
    <t>Ugrococo Small</t>
  </si>
  <si>
    <t>Boca de Cooler 4"</t>
  </si>
  <si>
    <t>Boca de Cooler 6"</t>
  </si>
  <si>
    <t>Contenedor Grower Mediano</t>
  </si>
  <si>
    <t>Contenedor Grower Grande</t>
  </si>
  <si>
    <t>Contenedor Tight XL</t>
  </si>
  <si>
    <t>Contenedor Tight Mediano</t>
  </si>
  <si>
    <t>Sedas Lion Rolling Circus 420</t>
  </si>
  <si>
    <t>Sedas RAW Natural 1/4</t>
  </si>
  <si>
    <t>Sedas RAW Natural Ks</t>
  </si>
  <si>
    <t>Sedas Gizeh 1/4 Pink</t>
  </si>
  <si>
    <t>Sedas Gizeh 1/4 Pure</t>
  </si>
  <si>
    <t>Sedas Celulosa Sativa Club 1/4</t>
  </si>
  <si>
    <t>Sedas Prisma Mango 1/4</t>
  </si>
  <si>
    <t>Sedas Cartel Slim Ks</t>
  </si>
  <si>
    <t>Sedas Cartel Bamboo Ks</t>
  </si>
  <si>
    <t>Sedas Cartel Unbleached 1/4</t>
  </si>
  <si>
    <t>Sedas Elements Artesano Ks</t>
  </si>
  <si>
    <t>Sedas OCB Ultimate Ks</t>
  </si>
  <si>
    <t>Sedas OCB Cañamo Ks</t>
  </si>
  <si>
    <t>Sedas OCB Slim Ks</t>
  </si>
  <si>
    <t xml:space="preserve">Sedas Mantra Chocolate 1/4 </t>
  </si>
  <si>
    <t>Sedas Mantra Frutilla 1/4</t>
  </si>
  <si>
    <t>Tips Zeus Mini</t>
  </si>
  <si>
    <t>Tips Blunt Rey Unbleached</t>
  </si>
  <si>
    <t>Tips Lion Rolling Circus Unbleached Large</t>
  </si>
  <si>
    <t xml:space="preserve">Conos RAW 1/4 </t>
  </si>
  <si>
    <t>Conos Bull Dog Reefer 1/4</t>
  </si>
  <si>
    <t>Conos Cyclones 1/4</t>
  </si>
  <si>
    <t>Rape Samuel Gawith</t>
  </si>
  <si>
    <t>06/05/2023</t>
  </si>
  <si>
    <t>Cenicero Montecristo Rueda de Auto</t>
  </si>
  <si>
    <t>Cenicero Montecristo Poker</t>
  </si>
  <si>
    <t>Canamama Aceite para Masajes</t>
  </si>
  <si>
    <t>Canamama Crema Corporal</t>
  </si>
  <si>
    <t>Coco A 250ml Top Crop</t>
  </si>
  <si>
    <t>Barrier 100ml Top Crop</t>
  </si>
  <si>
    <t>Green Explosion 100ml Top Crop</t>
  </si>
  <si>
    <t>Big One 100ml Top Crop</t>
  </si>
  <si>
    <t>Top Bud 100ml Top Crop</t>
  </si>
  <si>
    <t>Cyclone 50cc Top Crop</t>
  </si>
  <si>
    <t>Papel Aluminio para Narguile</t>
  </si>
  <si>
    <t>Cenicero STAMPS Metal Grande</t>
  </si>
  <si>
    <t>Pipa D&amp;K Metal Con Tapa</t>
  </si>
  <si>
    <t>Lupa x60 Sin Broche</t>
  </si>
  <si>
    <t>Picador Bull Dog Acrilico Transparente 3p</t>
  </si>
  <si>
    <t>Turbina Zeppelin Metal</t>
  </si>
  <si>
    <t xml:space="preserve">Picador Zeus Cañamo </t>
  </si>
  <si>
    <t>Bandeja Metal Ovalada</t>
  </si>
  <si>
    <t>Bong Tornasolado</t>
  </si>
  <si>
    <t>Sedas RAW Black Doble 1/4</t>
  </si>
  <si>
    <t>Sedas RAW Connoisseur 1/4</t>
  </si>
  <si>
    <t>08/05/2023</t>
  </si>
  <si>
    <t>Sedas Elements 1/4 Magnetic</t>
  </si>
  <si>
    <t>Sedas Rizla Natura Ks</t>
  </si>
  <si>
    <t>RAW Humidifying Stone</t>
  </si>
  <si>
    <t>09/05/2023</t>
  </si>
  <si>
    <t>Ganancia</t>
  </si>
  <si>
    <t>Costo</t>
  </si>
  <si>
    <t/>
  </si>
  <si>
    <t>11/05/2023</t>
  </si>
  <si>
    <t>frank y nacaho</t>
  </si>
  <si>
    <t>alquiler</t>
  </si>
  <si>
    <t>bolsas</t>
  </si>
  <si>
    <t>11/5/2023</t>
  </si>
  <si>
    <t xml:space="preserve">sorteo </t>
  </si>
  <si>
    <t>sorteo</t>
  </si>
  <si>
    <t>usaaaaooo</t>
  </si>
  <si>
    <t>Bandeja Lion Rollin Mediana</t>
  </si>
  <si>
    <t>12/05/2023</t>
  </si>
  <si>
    <t>ay no c</t>
  </si>
  <si>
    <t xml:space="preserve">Picador  Atomic Acrilico 5p </t>
  </si>
  <si>
    <t>picador lion plastico triner</t>
  </si>
  <si>
    <t>Bong Ceramica</t>
  </si>
  <si>
    <t>Sedas Dolar Honey Puff</t>
  </si>
  <si>
    <t>Blunt Lion Rolling Circus Buble gumm</t>
  </si>
  <si>
    <t>Blunt Lion Rolling Circus Straberry</t>
  </si>
  <si>
    <t>Celulosa Lion Rolling Circus Kz</t>
  </si>
  <si>
    <t>Tips Zeus Large</t>
  </si>
  <si>
    <t>Bandeja 3 Rayos Chica</t>
  </si>
  <si>
    <t>Mazo de Cartas Argentas</t>
  </si>
  <si>
    <t>Macetas Sopladas 10l</t>
  </si>
  <si>
    <t>Repelente para Hormigas Green Leaf</t>
  </si>
  <si>
    <t>Araña Roja Green Leaf 100ml</t>
  </si>
  <si>
    <t xml:space="preserve">Bio Proyect Ph + 125ml </t>
  </si>
  <si>
    <t>Namaste Oro Negro 500ml</t>
  </si>
  <si>
    <t>Namaste Flora Booster 500ml</t>
  </si>
  <si>
    <t xml:space="preserve">Namaste AMAZONIA  300gr </t>
  </si>
  <si>
    <t>Namaste Trico+ 250gr</t>
  </si>
  <si>
    <t>Vamp Polvos de Roca</t>
  </si>
  <si>
    <t>Vamp Guano de Gallina Flora</t>
  </si>
  <si>
    <t>VAMP Arcilla Volcanica</t>
  </si>
  <si>
    <t>VAMP Pocion INFERNAL</t>
  </si>
  <si>
    <t>VAMP Pocion IMPKBLE</t>
  </si>
  <si>
    <t>VAMP Guano de murcielago Flora</t>
  </si>
  <si>
    <t>VAMP Guano de murcielago Vegetativo</t>
  </si>
  <si>
    <t>Extractor Kudu 4"</t>
  </si>
  <si>
    <t>Lixi 2l</t>
  </si>
  <si>
    <t>Nostress Dolomita</t>
  </si>
  <si>
    <t>SKOG King Clon</t>
  </si>
  <si>
    <t>SKOG Zeta</t>
  </si>
  <si>
    <t>SKOG Ema</t>
  </si>
  <si>
    <t>Tierra de Diatomeas La Pota 500g</t>
  </si>
  <si>
    <t xml:space="preserve">Blunt Wrap Cosmopolitan </t>
  </si>
  <si>
    <t xml:space="preserve">Blunt Wrap Mango </t>
  </si>
  <si>
    <t>Landiner Harina de Hueso</t>
  </si>
  <si>
    <t>Landiner Turba 10l</t>
  </si>
  <si>
    <t>13/05/2023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</si>
</sst>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&quot;$&quot;\ #,##0.00"/>
    <numFmt numFmtId="165" formatCode="dd/mm/yyyy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u/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u/>
      <sz val="36"/>
      <color theme="0"/>
      <name val="Harlow Solid Italic"/>
      <family val="5"/>
    </font>
    <font>
      <i/>
      <u/>
      <sz val="48"/>
      <color theme="0"/>
      <name val="Harlow Solid Italic"/>
      <family val="5"/>
    </font>
    <font>
      <sz val="48"/>
      <color theme="0"/>
      <name val="Harlow Solid Italic"/>
      <family val="5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gradientFill>
        <stop position="0">
          <color rgb="FF7030A0"/>
        </stop>
        <stop position="0.5">
          <color rgb="FF00B050"/>
        </stop>
        <stop position="1">
          <color rgb="FF7030A0"/>
        </stop>
      </gradientFill>
    </fill>
    <fill>
      <gradientFill>
        <stop position="0">
          <color rgb="FF00B050"/>
        </stop>
        <stop position="0.5">
          <color rgb="FF7030A0"/>
        </stop>
        <stop position="1">
          <color rgb="FF00B050"/>
        </stop>
      </gradientFill>
    </fill>
    <fill>
      <gradientFill>
        <stop position="0">
          <color rgb="FF7030A0"/>
        </stop>
        <stop position="0.5">
          <color theme="7"/>
        </stop>
        <stop position="1">
          <color rgb="FF7030A0"/>
        </stop>
      </gradientFill>
    </fill>
    <fill>
      <gradientFill>
        <stop position="0">
          <color rgb="FF60005B"/>
        </stop>
        <stop position="0.5">
          <color rgb="FFFF0000"/>
        </stop>
        <stop position="1">
          <color rgb="FF60005B"/>
        </stop>
      </gradientFill>
    </fill>
    <fill>
      <gradientFill>
        <stop position="0">
          <color rgb="FF7030A0"/>
        </stop>
        <stop position="0.5">
          <color theme="8" tint="0.40000610370189521"/>
        </stop>
        <stop position="1">
          <color rgb="FF7030A0"/>
        </stop>
      </gradientFill>
    </fill>
    <fill>
      <gradientFill>
        <stop position="0">
          <color rgb="FFB482DA"/>
        </stop>
        <stop position="0.5">
          <color rgb="FF7030A0"/>
        </stop>
        <stop position="1">
          <color rgb="FFB482DA"/>
        </stop>
      </gradientFill>
    </fill>
    <fill>
      <patternFill patternType="solid">
        <fgColor theme="4" tint="0.39997558519241921"/>
        <bgColor indexed="64"/>
      </patternFill>
    </fill>
    <fill>
      <gradientFill>
        <stop position="0">
          <color rgb="FF7030A0"/>
        </stop>
        <stop position="0.5">
          <color rgb="FF92D050"/>
        </stop>
        <stop position="1">
          <color rgb="FF7030A0"/>
        </stop>
      </gradient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gradientFill>
        <stop position="0">
          <color rgb="FF60005B"/>
        </stop>
        <stop position="0.5">
          <color rgb="FF002060"/>
        </stop>
        <stop position="1">
          <color rgb="FF60005B"/>
        </stop>
      </gradient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7">
    <xf numFmtId="0" fontId="0" fillId="0" borderId="0" xfId="0"/>
    <xf numFmtId="0" fontId="0" fillId="2" borderId="0" xfId="0" applyFill="1"/>
    <xf numFmtId="0" fontId="0" fillId="5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0" fontId="0" fillId="6" borderId="0" xfId="0" applyFill="1"/>
    <xf numFmtId="14" fontId="0" fillId="0" borderId="0" xfId="0" applyNumberFormat="1" applyAlignment="1">
      <alignment horizontal="center"/>
    </xf>
    <xf numFmtId="0" fontId="0" fillId="5" borderId="0" xfId="0" applyFill="1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4" fontId="0" fillId="0" borderId="0" xfId="0" applyNumberFormat="1" applyAlignment="1">
      <alignment horizontal="left"/>
    </xf>
    <xf numFmtId="0" fontId="3" fillId="7" borderId="0" xfId="0" applyFont="1" applyFill="1"/>
    <xf numFmtId="14" fontId="0" fillId="0" borderId="0" xfId="0" applyNumberFormat="1"/>
    <xf numFmtId="0" fontId="0" fillId="9" borderId="0" xfId="0" applyFill="1"/>
    <xf numFmtId="0" fontId="0" fillId="9" borderId="0" xfId="0" applyFill="1" applyAlignment="1">
      <alignment horizontal="right"/>
    </xf>
    <xf numFmtId="0" fontId="3" fillId="9" borderId="0" xfId="0" applyFont="1" applyFill="1"/>
    <xf numFmtId="0" fontId="4" fillId="8" borderId="0" xfId="0" applyFont="1" applyFill="1"/>
    <xf numFmtId="0" fontId="0" fillId="9" borderId="0" xfId="0" applyFill="1" applyAlignment="1">
      <alignment horizontal="center"/>
    </xf>
    <xf numFmtId="0" fontId="0" fillId="9" borderId="0" xfId="0" applyFill="1" applyAlignment="1">
      <alignment horizontal="left"/>
    </xf>
    <xf numFmtId="0" fontId="4" fillId="16" borderId="0" xfId="0" applyFont="1" applyFill="1"/>
    <xf numFmtId="0" fontId="0" fillId="11" borderId="0" xfId="0" applyFill="1"/>
    <xf numFmtId="164" fontId="0" fillId="0" borderId="0" xfId="0" applyNumberFormat="1" applyAlignment="1">
      <alignment horizontal="left"/>
    </xf>
    <xf numFmtId="0" fontId="4" fillId="16" borderId="1" xfId="0" applyFont="1" applyFill="1" applyBorder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9" fillId="0" borderId="0" xfId="0" applyFont="1"/>
    <xf numFmtId="44" fontId="0" fillId="0" borderId="0" xfId="0" applyNumberFormat="1" applyAlignment="1">
      <alignment horizontal="left"/>
    </xf>
    <xf numFmtId="44" fontId="0" fillId="0" borderId="0" xfId="0" applyNumberFormat="1"/>
    <xf numFmtId="0" fontId="8" fillId="0" borderId="0" xfId="0" applyFont="1"/>
    <xf numFmtId="44" fontId="0" fillId="24" borderId="0" xfId="0" applyNumberFormat="1" applyFill="1"/>
    <xf numFmtId="44" fontId="0" fillId="24" borderId="0" xfId="1" applyFont="1" applyFill="1" applyAlignment="1">
      <alignment horizontal="left"/>
    </xf>
    <xf numFmtId="0" fontId="0" fillId="24" borderId="0" xfId="0" applyFill="1" applyAlignment="1">
      <alignment horizontal="center"/>
    </xf>
    <xf numFmtId="14" fontId="0" fillId="24" borderId="0" xfId="0" applyNumberFormat="1" applyFill="1" applyAlignment="1">
      <alignment horizontal="left"/>
    </xf>
    <xf numFmtId="0" fontId="0" fillId="25" borderId="0" xfId="0" applyFill="1" applyAlignment="1">
      <alignment horizontal="center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164" fontId="0" fillId="25" borderId="0" xfId="0" applyNumberFormat="1" applyFill="1" applyAlignment="1">
      <alignment horizontal="right"/>
    </xf>
    <xf numFmtId="0" fontId="0" fillId="24" borderId="0" xfId="0" applyFill="1" applyAlignment="1">
      <alignment horizontal="left"/>
    </xf>
    <xf numFmtId="164" fontId="0" fillId="24" borderId="0" xfId="0" applyNumberFormat="1" applyFill="1" applyAlignment="1">
      <alignment horizontal="left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8" fillId="26" borderId="0" xfId="0" applyFont="1" applyFill="1" applyAlignment="1">
      <alignment horizontal="left"/>
    </xf>
    <xf numFmtId="164" fontId="8" fillId="26" borderId="0" xfId="0" applyNumberFormat="1" applyFont="1" applyFill="1"/>
    <xf numFmtId="0" fontId="8" fillId="26" borderId="0" xfId="0" applyFont="1" applyFill="1" applyAlignment="1">
      <alignment horizontal="center"/>
    </xf>
    <xf numFmtId="14" fontId="8" fillId="26" borderId="0" xfId="0" applyNumberFormat="1" applyFont="1" applyFill="1" applyAlignment="1">
      <alignment horizontal="center"/>
    </xf>
    <xf numFmtId="0" fontId="9" fillId="26" borderId="0" xfId="0" applyFont="1" applyFill="1" applyAlignment="1">
      <alignment horizontal="left"/>
    </xf>
    <xf numFmtId="164" fontId="9" fillId="26" borderId="0" xfId="0" applyNumberFormat="1" applyFont="1" applyFill="1"/>
    <xf numFmtId="1" fontId="9" fillId="0" borderId="0" xfId="0" applyNumberFormat="1" applyFont="1" applyAlignment="1">
      <alignment horizontal="center"/>
    </xf>
    <xf numFmtId="0" fontId="9" fillId="26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10" fillId="26" borderId="0" xfId="0" applyFont="1" applyFill="1" applyAlignment="1">
      <alignment horizontal="left"/>
    </xf>
    <xf numFmtId="164" fontId="10" fillId="26" borderId="0" xfId="0" applyNumberFormat="1" applyFont="1" applyFill="1"/>
    <xf numFmtId="1" fontId="10" fillId="0" borderId="0" xfId="0" applyNumberFormat="1" applyFont="1" applyAlignment="1">
      <alignment horizontal="center"/>
    </xf>
    <xf numFmtId="0" fontId="10" fillId="26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44" fontId="0" fillId="0" borderId="0" xfId="1" applyFont="1" applyFill="1"/>
    <xf numFmtId="165" fontId="0" fillId="24" borderId="0" xfId="0" applyNumberFormat="1" applyFill="1" applyAlignment="1">
      <alignment horizontal="left"/>
    </xf>
    <xf numFmtId="0" fontId="0" fillId="28" borderId="0" xfId="0" applyFill="1"/>
    <xf numFmtId="164" fontId="0" fillId="26" borderId="0" xfId="0" applyNumberFormat="1" applyFill="1"/>
    <xf numFmtId="0" fontId="5" fillId="10" borderId="0" xfId="0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0" fontId="6" fillId="13" borderId="0" xfId="0" applyFont="1" applyFill="1" applyAlignment="1">
      <alignment horizontal="center"/>
    </xf>
    <xf numFmtId="0" fontId="6" fillId="14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6" fillId="17" borderId="0" xfId="0" applyFont="1" applyFill="1" applyAlignment="1">
      <alignment horizontal="center"/>
    </xf>
    <xf numFmtId="0" fontId="7" fillId="15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7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64" formatCode="&quot;$&quot;\ #,##0.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$&quot;\ #,##0.00"/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alignment horizontal="left" vertical="bottom" textRotation="0" wrapText="0" indent="0" justifyLastLine="0" shrinkToFit="0" readingOrder="0"/>
    </dxf>
    <dxf>
      <numFmt numFmtId="164" formatCode="&quot;$&quot;\ #,##0.00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&quot;$&quot;\ #,##0.00"/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&quot;$&quot;\ 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</dxf>
    <dxf>
      <numFmt numFmtId="164" formatCode="&quot;$&quot;\ #,##0.00"/>
      <alignment horizontal="left" vertical="bottom" textRotation="0" wrapText="0" indent="0" justifyLastLine="0" shrinkToFit="0" readingOrder="0"/>
    </dxf>
    <dxf>
      <numFmt numFmtId="164" formatCode="&quot;$&quot;\ #,##0.00"/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  <fill>
        <patternFill patternType="solid">
          <fgColor indexed="64"/>
          <bgColor theme="4" tint="0.59999389629810485"/>
        </patternFill>
      </fill>
    </dxf>
    <dxf>
      <numFmt numFmtId="164" formatCode="&quot;$&quot;\ #,##0.00"/>
      <fill>
        <patternFill patternType="solid">
          <fgColor indexed="64"/>
          <bgColor theme="4" tint="0.59999389629810485"/>
        </patternFill>
      </fill>
    </dxf>
    <dxf>
      <numFmt numFmtId="164" formatCode="&quot;$&quot;\ #,##0.0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$&quot;\ #,##0.0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numFmt numFmtId="164" formatCode="&quot;$&quot;\ #,##0.00"/>
      <alignment horizontal="right" vertical="bottom" textRotation="0" wrapText="0" indent="0" justifyLastLine="0" shrinkToFit="0" readingOrder="0"/>
    </dxf>
    <dxf>
      <numFmt numFmtId="164" formatCode="&quot;$&quot;\ #,##0.00"/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&quot;$&quot;\ #,##0.00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/m/yyyy"/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numFmt numFmtId="34" formatCode="_-&quot;$&quot;\ * #,##0.00_-;\-&quot;$&quot;\ * #,##0.00_-;_-&quot;$&quot;\ * &quot;-&quot;??_-;_-@_-"/>
      <fill>
        <patternFill patternType="solid">
          <fgColor indexed="64"/>
          <bgColor theme="9" tint="0.399975585192419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4" formatCode="_-&quot;$&quot;\ * #,##0.00_-;\-&quot;$&quot;\ * #,##0.00_-;_-&quot;$&quot;\ * &quot;-&quot;??_-;_-@_-"/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165" formatCode="dd/mm/yyyy"/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482DA"/>
      <color rgb="FF60005B"/>
      <color rgb="FFFF0000"/>
      <color rgb="FFFF4747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versiones!A1"/><Relationship Id="rId3" Type="http://schemas.openxmlformats.org/officeDocument/2006/relationships/hyperlink" Target="#Gastos!A1"/><Relationship Id="rId7" Type="http://schemas.openxmlformats.org/officeDocument/2006/relationships/hyperlink" Target="#'Usar Prod'!A1"/><Relationship Id="rId2" Type="http://schemas.openxmlformats.org/officeDocument/2006/relationships/hyperlink" Target="#'Compras'!A1"/><Relationship Id="rId1" Type="http://schemas.openxmlformats.org/officeDocument/2006/relationships/hyperlink" Target="#Stock!A1"/><Relationship Id="rId6" Type="http://schemas.openxmlformats.org/officeDocument/2006/relationships/hyperlink" Target="#'Resumen Mensual'!A1"/><Relationship Id="rId5" Type="http://schemas.openxmlformats.org/officeDocument/2006/relationships/hyperlink" Target="#Resumen!A1"/><Relationship Id="rId4" Type="http://schemas.openxmlformats.org/officeDocument/2006/relationships/hyperlink" Target="#'Ventas Diarias'!A1"/><Relationship Id="rId9" Type="http://schemas.openxmlformats.org/officeDocument/2006/relationships/hyperlink" Target="#'Agregar a Cultivate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Main!A1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Main!A1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Main!A1"/><Relationship Id="rId1" Type="http://schemas.openxmlformats.org/officeDocument/2006/relationships/image" Target="../media/image3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Main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Main!A1"/><Relationship Id="rId1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Main!A1"/><Relationship Id="rId1" Type="http://schemas.openxmlformats.org/officeDocument/2006/relationships/image" Target="../media/image5.png"/><Relationship Id="rId4" Type="http://schemas.microsoft.com/office/2007/relationships/hdphoto" Target="../media/hdphoto1.wdp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33</xdr:row>
      <xdr:rowOff>76200</xdr:rowOff>
    </xdr:from>
    <xdr:to>
      <xdr:col>3</xdr:col>
      <xdr:colOff>752475</xdr:colOff>
      <xdr:row>37</xdr:row>
      <xdr:rowOff>161925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B942FD-02C2-3E0C-80DB-EC6A4A61D56C}"/>
            </a:ext>
          </a:extLst>
        </xdr:cNvPr>
        <xdr:cNvSpPr/>
      </xdr:nvSpPr>
      <xdr:spPr>
        <a:xfrm>
          <a:off x="209550" y="6362700"/>
          <a:ext cx="2105025" cy="847725"/>
        </a:xfrm>
        <a:prstGeom prst="roundRect">
          <a:avLst/>
        </a:prstGeom>
        <a:solidFill>
          <a:srgbClr val="92D050"/>
        </a:solidFill>
        <a:ln w="57150"/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>
              <a:solidFill>
                <a:sysClr val="windowText" lastClr="000000"/>
              </a:solidFill>
            </a:rPr>
            <a:t>LISTA                  DE STOCK</a:t>
          </a:r>
        </a:p>
      </xdr:txBody>
    </xdr:sp>
    <xdr:clientData/>
  </xdr:twoCellAnchor>
  <xdr:twoCellAnchor>
    <xdr:from>
      <xdr:col>15</xdr:col>
      <xdr:colOff>9525</xdr:colOff>
      <xdr:row>33</xdr:row>
      <xdr:rowOff>38100</xdr:rowOff>
    </xdr:from>
    <xdr:to>
      <xdr:col>17</xdr:col>
      <xdr:colOff>590550</xdr:colOff>
      <xdr:row>37</xdr:row>
      <xdr:rowOff>123825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115D83-8CC0-1062-E5C5-AE688B778307}"/>
            </a:ext>
          </a:extLst>
        </xdr:cNvPr>
        <xdr:cNvSpPr/>
      </xdr:nvSpPr>
      <xdr:spPr>
        <a:xfrm>
          <a:off x="10715625" y="6324600"/>
          <a:ext cx="2105025" cy="847725"/>
        </a:xfrm>
        <a:prstGeom prst="roundRect">
          <a:avLst/>
        </a:prstGeom>
        <a:solidFill>
          <a:srgbClr val="FFC000"/>
        </a:solidFill>
        <a:ln w="57150"/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>
              <a:solidFill>
                <a:sysClr val="windowText" lastClr="000000"/>
              </a:solidFill>
            </a:rPr>
            <a:t>COMPRAR</a:t>
          </a:r>
          <a:r>
            <a:rPr lang="es-AR" sz="2000" baseline="0">
              <a:solidFill>
                <a:sysClr val="windowText" lastClr="000000"/>
              </a:solidFill>
            </a:rPr>
            <a:t> PRODUCTO</a:t>
          </a:r>
          <a:endParaRPr lang="es-A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457200</xdr:colOff>
      <xdr:row>33</xdr:row>
      <xdr:rowOff>66675</xdr:rowOff>
    </xdr:from>
    <xdr:to>
      <xdr:col>14</xdr:col>
      <xdr:colOff>276225</xdr:colOff>
      <xdr:row>37</xdr:row>
      <xdr:rowOff>123825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91CFEC3-8FA1-D47B-A680-34E21A662D73}"/>
            </a:ext>
          </a:extLst>
        </xdr:cNvPr>
        <xdr:cNvSpPr/>
      </xdr:nvSpPr>
      <xdr:spPr>
        <a:xfrm>
          <a:off x="8115300" y="6353175"/>
          <a:ext cx="2105025" cy="819150"/>
        </a:xfrm>
        <a:prstGeom prst="roundRect">
          <a:avLst/>
        </a:prstGeom>
        <a:solidFill>
          <a:srgbClr val="FF0000"/>
        </a:solidFill>
        <a:ln w="57150"/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>
              <a:solidFill>
                <a:sysClr val="windowText" lastClr="000000"/>
              </a:solidFill>
            </a:rPr>
            <a:t>AÑADIR      GASTO</a:t>
          </a:r>
        </a:p>
      </xdr:txBody>
    </xdr:sp>
    <xdr:clientData/>
  </xdr:twoCellAnchor>
  <xdr:twoCellAnchor>
    <xdr:from>
      <xdr:col>0</xdr:col>
      <xdr:colOff>104775</xdr:colOff>
      <xdr:row>1</xdr:row>
      <xdr:rowOff>104775</xdr:rowOff>
    </xdr:from>
    <xdr:to>
      <xdr:col>4</xdr:col>
      <xdr:colOff>619125</xdr:colOff>
      <xdr:row>7</xdr:row>
      <xdr:rowOff>171450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4FD1AB0-3B15-36A3-F09B-442D8264D721}"/>
            </a:ext>
          </a:extLst>
        </xdr:cNvPr>
        <xdr:cNvSpPr/>
      </xdr:nvSpPr>
      <xdr:spPr>
        <a:xfrm>
          <a:off x="104775" y="295275"/>
          <a:ext cx="2838450" cy="1209675"/>
        </a:xfrm>
        <a:prstGeom prst="roundRect">
          <a:avLst/>
        </a:prstGeom>
        <a:solidFill>
          <a:srgbClr val="00B050"/>
        </a:solidFill>
        <a:ln w="57150"/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>
              <a:solidFill>
                <a:sysClr val="windowText" lastClr="000000"/>
              </a:solidFill>
            </a:rPr>
            <a:t>VENDER</a:t>
          </a:r>
          <a:r>
            <a:rPr lang="es-AR" sz="2800" baseline="0">
              <a:solidFill>
                <a:sysClr val="windowText" lastClr="000000"/>
              </a:solidFill>
            </a:rPr>
            <a:t> PRODUCTO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552450</xdr:colOff>
      <xdr:row>1</xdr:row>
      <xdr:rowOff>38100</xdr:rowOff>
    </xdr:from>
    <xdr:to>
      <xdr:col>17</xdr:col>
      <xdr:colOff>371475</xdr:colOff>
      <xdr:row>5</xdr:row>
      <xdr:rowOff>123825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187929-C7D8-C31E-034F-92B220C7BFFF}"/>
            </a:ext>
          </a:extLst>
        </xdr:cNvPr>
        <xdr:cNvSpPr/>
      </xdr:nvSpPr>
      <xdr:spPr>
        <a:xfrm>
          <a:off x="10496550" y="228600"/>
          <a:ext cx="2105025" cy="8477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57150"/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>
              <a:solidFill>
                <a:sysClr val="windowText" lastClr="000000"/>
              </a:solidFill>
            </a:rPr>
            <a:t>VER</a:t>
          </a:r>
          <a:r>
            <a:rPr lang="es-AR" sz="2000" baseline="0">
              <a:solidFill>
                <a:sysClr val="windowText" lastClr="000000"/>
              </a:solidFill>
            </a:rPr>
            <a:t> RESUMEN DIARIO</a:t>
          </a:r>
          <a:endParaRPr lang="es-A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600075</xdr:colOff>
      <xdr:row>6</xdr:row>
      <xdr:rowOff>142875</xdr:rowOff>
    </xdr:from>
    <xdr:to>
      <xdr:col>17</xdr:col>
      <xdr:colOff>419100</xdr:colOff>
      <xdr:row>11</xdr:row>
      <xdr:rowOff>38100</xdr:rowOff>
    </xdr:to>
    <xdr:sp macro="" textlink="">
      <xdr:nvSpPr>
        <xdr:cNvPr id="8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747E776-1270-CB6F-80D0-3093F7637D5F}"/>
            </a:ext>
          </a:extLst>
        </xdr:cNvPr>
        <xdr:cNvSpPr/>
      </xdr:nvSpPr>
      <xdr:spPr>
        <a:xfrm>
          <a:off x="10544175" y="1285875"/>
          <a:ext cx="2105025" cy="8477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57150"/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>
              <a:solidFill>
                <a:sysClr val="windowText" lastClr="000000"/>
              </a:solidFill>
            </a:rPr>
            <a:t>VER RESUMEN MENSUAL</a:t>
          </a:r>
        </a:p>
      </xdr:txBody>
    </xdr:sp>
    <xdr:clientData/>
  </xdr:twoCellAnchor>
  <xdr:twoCellAnchor>
    <xdr:from>
      <xdr:col>8</xdr:col>
      <xdr:colOff>219075</xdr:colOff>
      <xdr:row>33</xdr:row>
      <xdr:rowOff>76200</xdr:rowOff>
    </xdr:from>
    <xdr:to>
      <xdr:col>11</xdr:col>
      <xdr:colOff>38100</xdr:colOff>
      <xdr:row>37</xdr:row>
      <xdr:rowOff>161925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6091B7C-9EE6-6F0F-5B7D-29A5CAEFB395}"/>
            </a:ext>
          </a:extLst>
        </xdr:cNvPr>
        <xdr:cNvSpPr/>
      </xdr:nvSpPr>
      <xdr:spPr>
        <a:xfrm>
          <a:off x="5591175" y="6362700"/>
          <a:ext cx="2105025" cy="847725"/>
        </a:xfrm>
        <a:prstGeom prst="roundRect">
          <a:avLst/>
        </a:prstGeom>
        <a:solidFill>
          <a:srgbClr val="7030A0"/>
        </a:solidFill>
        <a:ln w="57150"/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>
              <a:solidFill>
                <a:sysClr val="windowText" lastClr="000000"/>
              </a:solidFill>
            </a:rPr>
            <a:t>USAR </a:t>
          </a:r>
          <a:r>
            <a:rPr lang="es-AR" sz="2000" baseline="0">
              <a:solidFill>
                <a:sysClr val="windowText" lastClr="000000"/>
              </a:solidFill>
            </a:rPr>
            <a:t> PRODUCTO</a:t>
          </a:r>
          <a:endParaRPr lang="es-A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571500</xdr:colOff>
      <xdr:row>33</xdr:row>
      <xdr:rowOff>76200</xdr:rowOff>
    </xdr:from>
    <xdr:to>
      <xdr:col>7</xdr:col>
      <xdr:colOff>390525</xdr:colOff>
      <xdr:row>37</xdr:row>
      <xdr:rowOff>161925</xdr:rowOff>
    </xdr:to>
    <xdr:sp macro="" textlink="">
      <xdr:nvSpPr>
        <xdr:cNvPr id="19" name="Rectángulo: esquinas redondeada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7D00BEE-6319-49D3-AE47-1D2F85D5F57B}"/>
            </a:ext>
          </a:extLst>
        </xdr:cNvPr>
        <xdr:cNvSpPr/>
      </xdr:nvSpPr>
      <xdr:spPr>
        <a:xfrm>
          <a:off x="2895600" y="6362700"/>
          <a:ext cx="2105025" cy="84772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57150"/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>
              <a:solidFill>
                <a:sysClr val="windowText" lastClr="000000"/>
              </a:solidFill>
            </a:rPr>
            <a:t>VER </a:t>
          </a:r>
        </a:p>
        <a:p>
          <a:pPr algn="ctr"/>
          <a:r>
            <a:rPr lang="es-AR" sz="2000">
              <a:solidFill>
                <a:sysClr val="windowText" lastClr="000000"/>
              </a:solidFill>
            </a:rPr>
            <a:t>INVERSIONES</a:t>
          </a:r>
        </a:p>
      </xdr:txBody>
    </xdr:sp>
    <xdr:clientData/>
  </xdr:twoCellAnchor>
  <xdr:twoCellAnchor>
    <xdr:from>
      <xdr:col>5</xdr:col>
      <xdr:colOff>619125</xdr:colOff>
      <xdr:row>2</xdr:row>
      <xdr:rowOff>19050</xdr:rowOff>
    </xdr:from>
    <xdr:to>
      <xdr:col>8</xdr:col>
      <xdr:colOff>438150</xdr:colOff>
      <xdr:row>6</xdr:row>
      <xdr:rowOff>104775</xdr:rowOff>
    </xdr:to>
    <xdr:sp macro="" textlink="">
      <xdr:nvSpPr>
        <xdr:cNvPr id="7" name="Rectángulo: esquinas redondeada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BA46794-F17A-4DF8-A026-2B6984801A28}"/>
            </a:ext>
          </a:extLst>
        </xdr:cNvPr>
        <xdr:cNvSpPr/>
      </xdr:nvSpPr>
      <xdr:spPr>
        <a:xfrm>
          <a:off x="3705225" y="400050"/>
          <a:ext cx="2105025" cy="847725"/>
        </a:xfrm>
        <a:prstGeom prst="roundRect">
          <a:avLst/>
        </a:prstGeom>
        <a:solidFill>
          <a:srgbClr val="FFC000"/>
        </a:solidFill>
        <a:ln w="57150"/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>
              <a:solidFill>
                <a:sysClr val="windowText" lastClr="000000"/>
              </a:solidFill>
            </a:rPr>
            <a:t>AÑADIR</a:t>
          </a:r>
          <a:r>
            <a:rPr lang="es-AR" sz="2000" baseline="0">
              <a:solidFill>
                <a:sysClr val="windowText" lastClr="000000"/>
              </a:solidFill>
            </a:rPr>
            <a:t> A CULTIVATE</a:t>
          </a:r>
          <a:endParaRPr lang="es-AR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952500</xdr:colOff>
      <xdr:row>0</xdr:row>
      <xdr:rowOff>85725</xdr:rowOff>
    </xdr:from>
    <xdr:to>
      <xdr:col>4</xdr:col>
      <xdr:colOff>962025</xdr:colOff>
      <xdr:row>0</xdr:row>
      <xdr:rowOff>838200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8F8B0FBB-7B03-475F-B517-9E98919F9A52}"/>
            </a:ext>
          </a:extLst>
        </xdr:cNvPr>
        <xdr:cNvGrpSpPr/>
      </xdr:nvGrpSpPr>
      <xdr:grpSpPr>
        <a:xfrm>
          <a:off x="6800850" y="85725"/>
          <a:ext cx="1238250" cy="752475"/>
          <a:chOff x="11906250" y="458932"/>
          <a:chExt cx="718705" cy="476250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[0]!llamar_salida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F8E2D7C5-513C-4057-9920-147614611BBA}"/>
              </a:ext>
            </a:extLst>
          </xdr:cNvPr>
          <xdr:cNvSpPr/>
        </xdr:nvSpPr>
        <xdr:spPr>
          <a:xfrm>
            <a:off x="11906250" y="458932"/>
            <a:ext cx="718705" cy="476250"/>
          </a:xfrm>
          <a:prstGeom prst="roundRect">
            <a:avLst/>
          </a:prstGeom>
          <a:solidFill>
            <a:schemeClr val="accent3">
              <a:lumMod val="20000"/>
              <a:lumOff val="80000"/>
            </a:schemeClr>
          </a:solidFill>
          <a:ln w="38100">
            <a:solidFill>
              <a:srgbClr val="FF0000"/>
            </a:solidFill>
          </a:ln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 macro="[0]!llamar_salida">
        <xdr:nvPicPr>
          <xdr:cNvPr id="4" name="Imagen 3" descr="Lupa png imágenes | PNGWing">
            <a:extLst>
              <a:ext uri="{FF2B5EF4-FFF2-40B4-BE49-F238E27FC236}">
                <a16:creationId xmlns:a16="http://schemas.microsoft.com/office/drawing/2014/main" id="{E5232825-740B-4FB2-B2B2-F884B483E8F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940886" y="510888"/>
            <a:ext cx="640774" cy="356604"/>
          </a:xfrm>
          <a:prstGeom prst="rect">
            <a:avLst/>
          </a:prstGeom>
          <a:noFill/>
          <a:ln>
            <a:noFill/>
          </a:ln>
          <a:sp3d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3162299</xdr:colOff>
      <xdr:row>0</xdr:row>
      <xdr:rowOff>76200</xdr:rowOff>
    </xdr:from>
    <xdr:to>
      <xdr:col>2</xdr:col>
      <xdr:colOff>4457700</xdr:colOff>
      <xdr:row>0</xdr:row>
      <xdr:rowOff>828675</xdr:rowOff>
    </xdr:to>
    <xdr:grpSp>
      <xdr:nvGrpSpPr>
        <xdr:cNvPr id="8" name="Grup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A76D41-B9E9-EBE8-1FBD-62319F2A6851}"/>
            </a:ext>
          </a:extLst>
        </xdr:cNvPr>
        <xdr:cNvGrpSpPr/>
      </xdr:nvGrpSpPr>
      <xdr:grpSpPr>
        <a:xfrm>
          <a:off x="4048124" y="76200"/>
          <a:ext cx="1295401" cy="752475"/>
          <a:chOff x="390525" y="1219200"/>
          <a:chExt cx="781050" cy="542925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74CB0D7F-ED92-D064-BB54-77187F07887B}"/>
              </a:ext>
            </a:extLst>
          </xdr:cNvPr>
          <xdr:cNvSpPr/>
        </xdr:nvSpPr>
        <xdr:spPr>
          <a:xfrm>
            <a:off x="390525" y="1219200"/>
            <a:ext cx="781050" cy="542925"/>
          </a:xfrm>
          <a:prstGeom prst="roundRect">
            <a:avLst/>
          </a:prstGeom>
          <a:solidFill>
            <a:sysClr val="window" lastClr="FFFFFF"/>
          </a:solidFill>
          <a:ln w="38100"/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>
        <xdr:nvPicPr>
          <xdr:cNvPr id="7" name="Imagen 6">
            <a:extLst>
              <a:ext uri="{FF2B5EF4-FFF2-40B4-BE49-F238E27FC236}">
                <a16:creationId xmlns:a16="http://schemas.microsoft.com/office/drawing/2014/main" id="{E73B9068-E1F3-739D-D9EB-CB0DC68D927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rcRect l="19478" t="16670" r="21160" b="16663"/>
          <a:stretch/>
        </xdr:blipFill>
        <xdr:spPr>
          <a:xfrm>
            <a:off x="476250" y="1285876"/>
            <a:ext cx="609600" cy="381000"/>
          </a:xfrm>
          <a:prstGeom prst="rect">
            <a:avLst/>
          </a:prstGeom>
          <a:sp3d>
            <a:bevelT prst="relaxedInset"/>
          </a:sp3d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1076326</xdr:colOff>
      <xdr:row>0</xdr:row>
      <xdr:rowOff>85724</xdr:rowOff>
    </xdr:from>
    <xdr:to>
      <xdr:col>4</xdr:col>
      <xdr:colOff>609601</xdr:colOff>
      <xdr:row>0</xdr:row>
      <xdr:rowOff>838199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F9467F9A-0F4E-42F4-B8B7-F9FD9AB46C2D}"/>
            </a:ext>
          </a:extLst>
        </xdr:cNvPr>
        <xdr:cNvGrpSpPr/>
      </xdr:nvGrpSpPr>
      <xdr:grpSpPr>
        <a:xfrm>
          <a:off x="6924676" y="85724"/>
          <a:ext cx="1276350" cy="752475"/>
          <a:chOff x="11906250" y="458932"/>
          <a:chExt cx="718705" cy="476250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[0]!llamar_entrada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DC897275-E7BF-4143-BFA7-E17C9F132C7E}"/>
              </a:ext>
            </a:extLst>
          </xdr:cNvPr>
          <xdr:cNvSpPr/>
        </xdr:nvSpPr>
        <xdr:spPr>
          <a:xfrm>
            <a:off x="11906250" y="458932"/>
            <a:ext cx="718705" cy="476250"/>
          </a:xfrm>
          <a:prstGeom prst="roundRect">
            <a:avLst/>
          </a:prstGeom>
          <a:solidFill>
            <a:schemeClr val="accent3">
              <a:lumMod val="20000"/>
              <a:lumOff val="80000"/>
            </a:schemeClr>
          </a:solidFill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 macro="[0]!llamar_entrada">
        <xdr:nvPicPr>
          <xdr:cNvPr id="4" name="Imagen 3" descr="Lupa png imágenes | PNGWing">
            <a:extLst>
              <a:ext uri="{FF2B5EF4-FFF2-40B4-BE49-F238E27FC236}">
                <a16:creationId xmlns:a16="http://schemas.microsoft.com/office/drawing/2014/main" id="{29465D71-2CD9-4F6B-990C-F8D8B04B14B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940886" y="510888"/>
            <a:ext cx="640774" cy="3566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2105025</xdr:colOff>
      <xdr:row>0</xdr:row>
      <xdr:rowOff>47625</xdr:rowOff>
    </xdr:from>
    <xdr:to>
      <xdr:col>2</xdr:col>
      <xdr:colOff>3267075</xdr:colOff>
      <xdr:row>0</xdr:row>
      <xdr:rowOff>847725</xdr:rowOff>
    </xdr:to>
    <xdr:grpSp>
      <xdr:nvGrpSpPr>
        <xdr:cNvPr id="5" name="Grup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D3C037-145C-494E-A71C-CD93C60388F7}"/>
            </a:ext>
          </a:extLst>
        </xdr:cNvPr>
        <xdr:cNvGrpSpPr/>
      </xdr:nvGrpSpPr>
      <xdr:grpSpPr>
        <a:xfrm>
          <a:off x="3990975" y="47625"/>
          <a:ext cx="1162050" cy="800100"/>
          <a:chOff x="390525" y="1219200"/>
          <a:chExt cx="781050" cy="542925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CEFB0B93-3E8B-E5A6-6D68-D05DED59CB67}"/>
              </a:ext>
            </a:extLst>
          </xdr:cNvPr>
          <xdr:cNvSpPr/>
        </xdr:nvSpPr>
        <xdr:spPr>
          <a:xfrm>
            <a:off x="390525" y="1219200"/>
            <a:ext cx="781050" cy="542925"/>
          </a:xfrm>
          <a:prstGeom prst="roundRect">
            <a:avLst/>
          </a:prstGeom>
          <a:solidFill>
            <a:sysClr val="window" lastClr="FFFFFF"/>
          </a:solidFill>
          <a:ln w="381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>
        <xdr:nvPicPr>
          <xdr:cNvPr id="7" name="Imagen 6">
            <a:extLst>
              <a:ext uri="{FF2B5EF4-FFF2-40B4-BE49-F238E27FC236}">
                <a16:creationId xmlns:a16="http://schemas.microsoft.com/office/drawing/2014/main" id="{3D803C33-BDC6-24E0-ED66-39CDEF98A0E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rcRect l="19478" t="16670" r="21160" b="16663"/>
          <a:stretch/>
        </xdr:blipFill>
        <xdr:spPr>
          <a:xfrm>
            <a:off x="476250" y="1285876"/>
            <a:ext cx="609600" cy="381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1771650</xdr:colOff>
      <xdr:row>0</xdr:row>
      <xdr:rowOff>692622</xdr:rowOff>
    </xdr:from>
    <xdr:to>
      <xdr:col>0</xdr:col>
      <xdr:colOff>3112086</xdr:colOff>
      <xdr:row>1</xdr:row>
      <xdr:rowOff>592884</xdr:rowOff>
    </xdr:to>
    <xdr:pic macro="[0]!llamar_addgasto">
      <xdr:nvPicPr>
        <xdr:cNvPr id="3" name="Imagen 2">
          <a:extLst>
            <a:ext uri="{FF2B5EF4-FFF2-40B4-BE49-F238E27FC236}">
              <a16:creationId xmlns:a16="http://schemas.microsoft.com/office/drawing/2014/main" id="{63CEB00E-D26C-5DE4-3A08-AB3934090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692622"/>
          <a:ext cx="1340436" cy="824187"/>
        </a:xfrm>
        <a:prstGeom prst="rect">
          <a:avLst/>
        </a:prstGeo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spPr>
    </xdr:pic>
    <xdr:clientData/>
  </xdr:twoCellAnchor>
  <xdr:twoCellAnchor>
    <xdr:from>
      <xdr:col>0</xdr:col>
      <xdr:colOff>152400</xdr:colOff>
      <xdr:row>0</xdr:row>
      <xdr:rowOff>742950</xdr:rowOff>
    </xdr:from>
    <xdr:to>
      <xdr:col>0</xdr:col>
      <xdr:colOff>1362075</xdr:colOff>
      <xdr:row>1</xdr:row>
      <xdr:rowOff>533400</xdr:rowOff>
    </xdr:to>
    <xdr:grpSp>
      <xdr:nvGrpSpPr>
        <xdr:cNvPr id="2" name="Grup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3E364E5-8E1F-42AF-B217-BE39ABE002D8}"/>
            </a:ext>
          </a:extLst>
        </xdr:cNvPr>
        <xdr:cNvGrpSpPr/>
      </xdr:nvGrpSpPr>
      <xdr:grpSpPr>
        <a:xfrm>
          <a:off x="152400" y="742950"/>
          <a:ext cx="1209675" cy="714375"/>
          <a:chOff x="390525" y="1219200"/>
          <a:chExt cx="781050" cy="542925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7E628B39-90B8-30AB-77FA-A32863B52ECF}"/>
              </a:ext>
            </a:extLst>
          </xdr:cNvPr>
          <xdr:cNvSpPr/>
        </xdr:nvSpPr>
        <xdr:spPr>
          <a:xfrm>
            <a:off x="390525" y="1219200"/>
            <a:ext cx="781050" cy="542925"/>
          </a:xfrm>
          <a:prstGeom prst="roundRect">
            <a:avLst/>
          </a:prstGeom>
          <a:solidFill>
            <a:sysClr val="window" lastClr="FFFFFF"/>
          </a:solidFill>
          <a:ln w="381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>
        <xdr:nvPicPr>
          <xdr:cNvPr id="5" name="Imagen 4">
            <a:extLst>
              <a:ext uri="{FF2B5EF4-FFF2-40B4-BE49-F238E27FC236}">
                <a16:creationId xmlns:a16="http://schemas.microsoft.com/office/drawing/2014/main" id="{42EAB8DB-9832-5A30-141A-AA0452CA2EC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rcRect l="19478" t="16670" r="21160" b="16663"/>
          <a:stretch/>
        </xdr:blipFill>
        <xdr:spPr>
          <a:xfrm>
            <a:off x="476250" y="1285876"/>
            <a:ext cx="609600" cy="381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0</xdr:row>
      <xdr:rowOff>76201</xdr:rowOff>
    </xdr:from>
    <xdr:to>
      <xdr:col>5</xdr:col>
      <xdr:colOff>104775</xdr:colOff>
      <xdr:row>0</xdr:row>
      <xdr:rowOff>933451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E97C8-58B0-43AB-89C8-ED26415763AE}"/>
            </a:ext>
          </a:extLst>
        </xdr:cNvPr>
        <xdr:cNvGrpSpPr/>
      </xdr:nvGrpSpPr>
      <xdr:grpSpPr>
        <a:xfrm>
          <a:off x="2847975" y="76201"/>
          <a:ext cx="952500" cy="857250"/>
          <a:chOff x="390525" y="1219200"/>
          <a:chExt cx="781050" cy="542925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BEEAFFCF-27B0-F486-D255-7FD6007500C7}"/>
              </a:ext>
            </a:extLst>
          </xdr:cNvPr>
          <xdr:cNvSpPr/>
        </xdr:nvSpPr>
        <xdr:spPr>
          <a:xfrm>
            <a:off x="390525" y="1219200"/>
            <a:ext cx="781050" cy="542925"/>
          </a:xfrm>
          <a:prstGeom prst="roundRect">
            <a:avLst/>
          </a:prstGeom>
          <a:solidFill>
            <a:sysClr val="window" lastClr="FFFFFF"/>
          </a:solidFill>
          <a:ln w="381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>
        <xdr:nvPicPr>
          <xdr:cNvPr id="4" name="Imagen 3">
            <a:extLst>
              <a:ext uri="{FF2B5EF4-FFF2-40B4-BE49-F238E27FC236}">
                <a16:creationId xmlns:a16="http://schemas.microsoft.com/office/drawing/2014/main" id="{49AFA7D1-4CC6-C71F-F052-6C8F635FEEB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rcRect l="19478" t="16670" r="21160" b="16663"/>
          <a:stretch/>
        </xdr:blipFill>
        <xdr:spPr>
          <a:xfrm>
            <a:off x="476250" y="1285876"/>
            <a:ext cx="609600" cy="381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66675</xdr:rowOff>
    </xdr:from>
    <xdr:to>
      <xdr:col>3</xdr:col>
      <xdr:colOff>1428750</xdr:colOff>
      <xdr:row>0</xdr:row>
      <xdr:rowOff>762000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081D9B-2EBC-4FF6-B0AF-555412AF4315}"/>
            </a:ext>
          </a:extLst>
        </xdr:cNvPr>
        <xdr:cNvGrpSpPr/>
      </xdr:nvGrpSpPr>
      <xdr:grpSpPr>
        <a:xfrm>
          <a:off x="2019300" y="66675"/>
          <a:ext cx="1085850" cy="695325"/>
          <a:chOff x="390525" y="1219200"/>
          <a:chExt cx="781050" cy="542925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30A1FDF8-6BC3-8029-1B69-0F3447707DAF}"/>
              </a:ext>
            </a:extLst>
          </xdr:cNvPr>
          <xdr:cNvSpPr/>
        </xdr:nvSpPr>
        <xdr:spPr>
          <a:xfrm>
            <a:off x="390525" y="1219200"/>
            <a:ext cx="781050" cy="542925"/>
          </a:xfrm>
          <a:prstGeom prst="roundRect">
            <a:avLst/>
          </a:prstGeom>
          <a:solidFill>
            <a:sysClr val="window" lastClr="FFFFFF"/>
          </a:solidFill>
          <a:ln w="381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>
        <xdr:nvPicPr>
          <xdr:cNvPr id="4" name="Imagen 3">
            <a:extLst>
              <a:ext uri="{FF2B5EF4-FFF2-40B4-BE49-F238E27FC236}">
                <a16:creationId xmlns:a16="http://schemas.microsoft.com/office/drawing/2014/main" id="{0608B6D3-134E-0DB4-11DB-72F9D90D733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rcRect l="19478" t="16670" r="21160" b="16663"/>
          <a:stretch/>
        </xdr:blipFill>
        <xdr:spPr>
          <a:xfrm>
            <a:off x="476250" y="1285876"/>
            <a:ext cx="609600" cy="381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424658</xdr:colOff>
      <xdr:row>0</xdr:row>
      <xdr:rowOff>55959</xdr:rowOff>
    </xdr:from>
    <xdr:to>
      <xdr:col>8</xdr:col>
      <xdr:colOff>257177</xdr:colOff>
      <xdr:row>0</xdr:row>
      <xdr:rowOff>894159</xdr:rowOff>
    </xdr:to>
    <xdr:pic macro="[0]!llamar_addstock">
      <xdr:nvPicPr>
        <xdr:cNvPr id="4" name="Imagen 3">
          <a:extLst>
            <a:ext uri="{FF2B5EF4-FFF2-40B4-BE49-F238E27FC236}">
              <a16:creationId xmlns:a16="http://schemas.microsoft.com/office/drawing/2014/main" id="{78F24EAD-5179-674A-2385-E7C19CEB2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31611" y="55959"/>
          <a:ext cx="1221581" cy="838200"/>
        </a:xfrm>
        <a:prstGeom prst="rect">
          <a:avLst/>
        </a:prstGeo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spPr>
    </xdr:pic>
    <xdr:clientData/>
  </xdr:twoCellAnchor>
  <xdr:twoCellAnchor>
    <xdr:from>
      <xdr:col>2</xdr:col>
      <xdr:colOff>3105150</xdr:colOff>
      <xdr:row>0</xdr:row>
      <xdr:rowOff>123825</xdr:rowOff>
    </xdr:from>
    <xdr:to>
      <xdr:col>3</xdr:col>
      <xdr:colOff>704453</xdr:colOff>
      <xdr:row>0</xdr:row>
      <xdr:rowOff>923924</xdr:rowOff>
    </xdr:to>
    <xdr:grpSp>
      <xdr:nvGrpSpPr>
        <xdr:cNvPr id="2" name="Grup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D3801D-111F-4CC1-AF51-51B44E351E9F}"/>
            </a:ext>
          </a:extLst>
        </xdr:cNvPr>
        <xdr:cNvGrpSpPr/>
      </xdr:nvGrpSpPr>
      <xdr:grpSpPr>
        <a:xfrm>
          <a:off x="3660775" y="123825"/>
          <a:ext cx="1250553" cy="800099"/>
          <a:chOff x="390525" y="1219200"/>
          <a:chExt cx="781050" cy="542925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3E17C774-E884-811B-196E-673C2CB07E71}"/>
              </a:ext>
            </a:extLst>
          </xdr:cNvPr>
          <xdr:cNvSpPr/>
        </xdr:nvSpPr>
        <xdr:spPr>
          <a:xfrm>
            <a:off x="390525" y="1219200"/>
            <a:ext cx="781050" cy="542925"/>
          </a:xfrm>
          <a:prstGeom prst="roundRect">
            <a:avLst/>
          </a:prstGeom>
          <a:solidFill>
            <a:sysClr val="window" lastClr="FFFFFF"/>
          </a:solidFill>
          <a:ln w="381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>
        <xdr:nvPicPr>
          <xdr:cNvPr id="8" name="Imagen 7">
            <a:extLst>
              <a:ext uri="{FF2B5EF4-FFF2-40B4-BE49-F238E27FC236}">
                <a16:creationId xmlns:a16="http://schemas.microsoft.com/office/drawing/2014/main" id="{5101898B-8628-7443-88EB-4903EBDC9C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rcRect l="19478" t="16670" r="21160" b="16663"/>
          <a:stretch/>
        </xdr:blipFill>
        <xdr:spPr>
          <a:xfrm>
            <a:off x="476250" y="1285876"/>
            <a:ext cx="609600" cy="381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695325</xdr:colOff>
      <xdr:row>0</xdr:row>
      <xdr:rowOff>57150</xdr:rowOff>
    </xdr:from>
    <xdr:to>
      <xdr:col>4</xdr:col>
      <xdr:colOff>352425</xdr:colOff>
      <xdr:row>0</xdr:row>
      <xdr:rowOff>886132</xdr:rowOff>
    </xdr:to>
    <xdr:pic macro="[0]!llamar_descstock">
      <xdr:nvPicPr>
        <xdr:cNvPr id="3" name="Imagen 2">
          <a:extLst>
            <a:ext uri="{FF2B5EF4-FFF2-40B4-BE49-F238E27FC236}">
              <a16:creationId xmlns:a16="http://schemas.microsoft.com/office/drawing/2014/main" id="{51DA2B53-8492-19BC-A37C-889D12213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67775" y="57150"/>
          <a:ext cx="1238250" cy="828982"/>
        </a:xfrm>
        <a:prstGeom prst="rect">
          <a:avLst/>
        </a:prstGeo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spPr>
    </xdr:pic>
    <xdr:clientData/>
  </xdr:twoCellAnchor>
  <xdr:twoCellAnchor>
    <xdr:from>
      <xdr:col>2</xdr:col>
      <xdr:colOff>1600199</xdr:colOff>
      <xdr:row>0</xdr:row>
      <xdr:rowOff>95251</xdr:rowOff>
    </xdr:from>
    <xdr:to>
      <xdr:col>2</xdr:col>
      <xdr:colOff>2886074</xdr:colOff>
      <xdr:row>0</xdr:row>
      <xdr:rowOff>838201</xdr:rowOff>
    </xdr:to>
    <xdr:grpSp>
      <xdr:nvGrpSpPr>
        <xdr:cNvPr id="2" name="Grup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8A7C7E3-7CD4-4AEC-BEEC-27612EF64778}"/>
            </a:ext>
          </a:extLst>
        </xdr:cNvPr>
        <xdr:cNvGrpSpPr/>
      </xdr:nvGrpSpPr>
      <xdr:grpSpPr>
        <a:xfrm>
          <a:off x="2828924" y="95251"/>
          <a:ext cx="1285875" cy="742950"/>
          <a:chOff x="390525" y="1219200"/>
          <a:chExt cx="781050" cy="542925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3A68CD60-A3E3-BBFF-095D-3559F5E948B1}"/>
              </a:ext>
            </a:extLst>
          </xdr:cNvPr>
          <xdr:cNvSpPr/>
        </xdr:nvSpPr>
        <xdr:spPr>
          <a:xfrm>
            <a:off x="390525" y="1219200"/>
            <a:ext cx="781050" cy="542925"/>
          </a:xfrm>
          <a:prstGeom prst="roundRect">
            <a:avLst/>
          </a:prstGeom>
          <a:solidFill>
            <a:sysClr val="window" lastClr="FFFFFF"/>
          </a:solidFill>
          <a:ln w="381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s-AR" sz="1100"/>
          </a:p>
        </xdr:txBody>
      </xdr:sp>
      <xdr:pic>
        <xdr:nvPicPr>
          <xdr:cNvPr id="5" name="Imagen 4">
            <a:extLst>
              <a:ext uri="{FF2B5EF4-FFF2-40B4-BE49-F238E27FC236}">
                <a16:creationId xmlns:a16="http://schemas.microsoft.com/office/drawing/2014/main" id="{033B3130-4A83-62EF-3437-291DDD3FFA3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rcRect l="19478" t="16670" r="21160" b="16663"/>
          <a:stretch/>
        </xdr:blipFill>
        <xdr:spPr>
          <a:xfrm>
            <a:off x="476250" y="1285876"/>
            <a:ext cx="609600" cy="38100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66675</xdr:rowOff>
    </xdr:from>
    <xdr:to>
      <xdr:col>2</xdr:col>
      <xdr:colOff>1600200</xdr:colOff>
      <xdr:row>0</xdr:row>
      <xdr:rowOff>952500</xdr:rowOff>
    </xdr:to>
    <xdr:grpSp>
      <xdr:nvGrpSpPr>
        <xdr:cNvPr id="12" name="Grup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BE591F-C107-4DBC-89B2-6F9AF1A5A5E2}"/>
            </a:ext>
          </a:extLst>
        </xdr:cNvPr>
        <xdr:cNvGrpSpPr/>
      </xdr:nvGrpSpPr>
      <xdr:grpSpPr>
        <a:xfrm>
          <a:off x="1752600" y="66675"/>
          <a:ext cx="1600200" cy="885825"/>
          <a:chOff x="390525" y="1219200"/>
          <a:chExt cx="781050" cy="542925"/>
        </a:xfrm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</xdr:grpSpPr>
      <xdr:sp macro="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C126CF00-1005-AD97-A74E-C6D65FEED5DE}"/>
              </a:ext>
            </a:extLst>
          </xdr:cNvPr>
          <xdr:cNvSpPr/>
        </xdr:nvSpPr>
        <xdr:spPr>
          <a:xfrm>
            <a:off x="390525" y="1219200"/>
            <a:ext cx="781050" cy="542925"/>
          </a:xfrm>
          <a:prstGeom prst="roundRect">
            <a:avLst/>
          </a:prstGeom>
          <a:solidFill>
            <a:sysClr val="window" lastClr="FFFFFF"/>
          </a:solidFill>
          <a:ln w="381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43664415-E020-0D7E-8616-D1CC59D9A93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rcRect l="19478" t="16670" r="21160" b="16663"/>
          <a:stretch/>
        </xdr:blipFill>
        <xdr:spPr>
          <a:xfrm>
            <a:off x="476250" y="1285876"/>
            <a:ext cx="609600" cy="381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1835055</xdr:colOff>
      <xdr:row>0</xdr:row>
      <xdr:rowOff>1194920</xdr:rowOff>
    </xdr:to>
    <xdr:pic>
      <xdr:nvPicPr>
        <xdr:cNvPr id="13" name="Imagen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0B68CD-9BAD-D164-D584-4F1BE108B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95600" y="0"/>
          <a:ext cx="1835055" cy="119492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5</xdr:col>
      <xdr:colOff>454304</xdr:colOff>
      <xdr:row>0</xdr:row>
      <xdr:rowOff>1237595</xdr:rowOff>
    </xdr:to>
    <xdr:pic macro="[0]!llamar_compracultivate">
      <xdr:nvPicPr>
        <xdr:cNvPr id="15" name="Imagen 14">
          <a:extLst>
            <a:ext uri="{FF2B5EF4-FFF2-40B4-BE49-F238E27FC236}">
              <a16:creationId xmlns:a16="http://schemas.microsoft.com/office/drawing/2014/main" id="{07BFD6DC-1386-8188-ECE7-4A6401D58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43725" y="0"/>
          <a:ext cx="1749704" cy="123759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600-000000000000}" autoFormatId="16" applyNumberFormats="0" applyBorderFormats="0" applyFontFormats="0" applyPatternFormats="0" applyAlignmentFormats="0" applyWidthHeightFormats="0">
  <queryTableRefresh nextId="19" unboundColumnsRight="6">
    <queryTableFields count="14">
      <queryTableField id="1" name="Codigo" tableColumnId="1"/>
      <queryTableField id="2" name="Producto" tableColumnId="2"/>
      <queryTableField id="3" name="Precio de Compra" tableColumnId="3"/>
      <queryTableField id="4" name="Precio de Venta" tableColumnId="4"/>
      <queryTableField id="5" name="Stock" tableColumnId="5"/>
      <queryTableField id="6" name="Entradas" tableColumnId="6"/>
      <queryTableField id="7" name="Salidas" tableColumnId="7"/>
      <queryTableField id="8" name="Inversion" tableColumnId="8"/>
      <queryTableField id="9" dataBound="0" tableColumnId="9"/>
      <queryTableField id="14" dataBound="0" tableColumnId="12"/>
      <queryTableField id="12" dataBound="0" tableColumnId="10"/>
      <queryTableField id="15" dataBound="0" tableColumnId="13"/>
      <queryTableField id="17" dataBound="0" tableColumnId="11"/>
      <queryTableField id="18" dataBound="0" tableColumnId="1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ntas" displayName="Ventas" ref="B3:M1412" totalsRowShown="0" dataDxfId="81">
  <autoFilter ref="B3:M141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2">
    <tableColumn id="1" xr3:uid="{00000000-0010-0000-0000-000001000000}" name="Fecha" dataDxfId="80"/>
    <tableColumn id="2" xr3:uid="{00000000-0010-0000-0000-000002000000}" name="Producto" dataDxfId="79">
      <calculatedColumnFormula>VLOOKUP(Ventas[[#This Row],[Codigo]],Stock[#Data],2,FALSE)</calculatedColumnFormula>
    </tableColumn>
    <tableColumn id="3" xr3:uid="{00000000-0010-0000-0000-000003000000}" name="Precio Venta" dataDxfId="78" dataCellStyle="Moneda">
      <calculatedColumnFormula>VLOOKUP(Ventas[[#This Row],[Codigo]],Stock[#Data],4,FALSE)</calculatedColumnFormula>
    </tableColumn>
    <tableColumn id="8" xr3:uid="{00000000-0010-0000-0000-000008000000}" name="Precio compra" dataDxfId="77">
      <calculatedColumnFormula>VLOOKUP(Ventas[[#This Row],[Codigo]],Stock[#Data],3,FALSE)</calculatedColumnFormula>
    </tableColumn>
    <tableColumn id="4" xr3:uid="{00000000-0010-0000-0000-000004000000}" name="Cantidad" dataDxfId="76"/>
    <tableColumn id="5" xr3:uid="{00000000-0010-0000-0000-000005000000}" name="Codigo" dataDxfId="75"/>
    <tableColumn id="6" xr3:uid="{00000000-0010-0000-0000-000006000000}" name="Total" dataDxfId="74">
      <calculatedColumnFormula>Ventas[[#This Row],[Precio Venta]]*Ventas[[#This Row],[Cantidad]]-Ventas[[#This Row],[Descuento]]</calculatedColumnFormula>
    </tableColumn>
    <tableColumn id="9" xr3:uid="{00000000-0010-0000-0000-000009000000}" name="Total 2" dataDxfId="73">
      <calculatedColumnFormula>Ventas[[#This Row],[Total]]-Ventas[[#This Row],[Precio compra]]*Ventas[[#This Row],[Cantidad]]</calculatedColumnFormula>
    </tableColumn>
    <tableColumn id="10" xr3:uid="{00000000-0010-0000-0000-00000A000000}" name="Total 3" dataDxfId="72"/>
    <tableColumn id="11" xr3:uid="{00000000-0010-0000-0000-00000B000000}" name="Total 4" dataDxfId="71">
      <calculatedColumnFormula>Ventas[[#This Row],[Total]]*Ventas[[#This Row],[Total 3]]</calculatedColumnFormula>
    </tableColumn>
    <tableColumn id="12" xr3:uid="{00000000-0010-0000-0000-00000C000000}" name="Tipo de Venta" dataDxfId="70"/>
    <tableColumn id="7" xr3:uid="{C0500C31-9135-4688-A031-DF8C6BB5F147}" name="Descuento" dataDxfId="69"/>
  </tableColumns>
  <tableStyleInfo name="TableStyleLight2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ompras" displayName="Compras" ref="B3:G1026" headerRowDxfId="68">
  <autoFilter ref="B3:G102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Fecha" totalsRowLabel="Total" dataDxfId="67" totalsRowDxfId="66"/>
    <tableColumn id="2" xr3:uid="{00000000-0010-0000-0100-000002000000}" name="Producto" dataDxfId="65">
      <calculatedColumnFormula>VLOOKUP(Compras[[#This Row],[Codigo]],Stock[#Data],2,FALSE)</calculatedColumnFormula>
    </tableColumn>
    <tableColumn id="4" xr3:uid="{00000000-0010-0000-0100-000004000000}" name="Cantidad" dataDxfId="64"/>
    <tableColumn id="5" xr3:uid="{00000000-0010-0000-0100-000005000000}" name="Codigo" dataDxfId="63"/>
    <tableColumn id="7" xr3:uid="{00000000-0010-0000-0100-000007000000}" name="Unidad" dataDxfId="62" totalsRowDxfId="61">
      <calculatedColumnFormula>VLOOKUP(Compras[[#This Row],[Codigo]],Stock[#Data],3,FALSE)</calculatedColumnFormula>
    </tableColumn>
    <tableColumn id="8" xr3:uid="{00000000-0010-0000-0100-000008000000}" name="Monto" totalsRowFunction="sum" dataDxfId="60" totalsRowDxfId="59">
      <calculatedColumnFormula>Compras[[#This Row],[Unidad]]*Compras[[#This Row],[Cantidad]]</calculatedColumnFormula>
    </tableColumn>
  </tableColumns>
  <tableStyleInfo name="TableStyleMedium5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Gastos" displayName="TGastos" ref="B3:D51" totalsRowShown="0" headerRowDxfId="58">
  <autoFilter ref="B3:D51" xr:uid="{00000000-0009-0000-0100-000003000000}">
    <filterColumn colId="0" hiddenButton="1"/>
    <filterColumn colId="1" hiddenButton="1"/>
    <filterColumn colId="2" hiddenButton="1"/>
  </autoFilter>
  <tableColumns count="3">
    <tableColumn id="1" xr3:uid="{00000000-0010-0000-0200-000001000000}" name="Fecha" dataDxfId="57"/>
    <tableColumn id="2" xr3:uid="{00000000-0010-0000-0200-000002000000}" name="Descripción"/>
    <tableColumn id="3" xr3:uid="{00000000-0010-0000-0200-000003000000}" name="Monto" dataDxfId="5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Rdiario" displayName="Rdiario" ref="B3:M368">
  <autoFilter ref="B3:M36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300-000001000000}" name="Fecha" totalsRowLabel="Total" dataDxfId="55" totalsRowDxfId="54"/>
    <tableColumn id="2" xr3:uid="{00000000-0010-0000-0300-000002000000}" name="Mes" dataDxfId="53">
      <calculatedColumnFormula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calculatedColumnFormula>
    </tableColumn>
    <tableColumn id="3" xr3:uid="{00000000-0010-0000-0300-000003000000}" name="Dia" dataDxfId="52" totalsRowDxfId="51">
      <calculatedColumnFormula>SUMIF(Ventas[[#This Row],[Fecha]],Rdiario[[#This Row],[Fecha]],Ventas[[#This Row],[Precio Venta]])</calculatedColumnFormula>
    </tableColumn>
    <tableColumn id="4" xr3:uid="{00000000-0010-0000-0300-000004000000}" name="Ingresos Brutos" dataDxfId="50">
      <calculatedColumnFormula>SUMIF(Ventas[Fecha],Rdiario[[#This Row],[Fecha]],Ventas[Total])</calculatedColumnFormula>
    </tableColumn>
    <tableColumn id="11" xr3:uid="{00000000-0010-0000-0300-00000B000000}" name="Transferencia" dataDxfId="49">
      <calculatedColumnFormula>SUMIF(Ventas[Fecha],Rdiario[[#This Row],[Fecha]],Ventas[Total 4])</calculatedColumnFormula>
    </tableColumn>
    <tableColumn id="12" xr3:uid="{00000000-0010-0000-0300-00000C000000}" name="Efectivo" dataDxfId="48">
      <calculatedColumnFormula>Rdiario[[#This Row],[Ingresos Brutos]]-Rdiario[[#This Row],[Transferencia]]</calculatedColumnFormula>
    </tableColumn>
    <tableColumn id="8" xr3:uid="{296F7E68-BE6D-4F7F-865D-E2BE696375C8}" name="Costo" dataDxfId="47">
      <calculatedColumnFormula>Rdiario[[#This Row],[Ingresos Brutos]]-Rdiario[[#This Row],[Ganancia]]</calculatedColumnFormula>
    </tableColumn>
    <tableColumn id="9" xr3:uid="{00000000-0010-0000-0300-000009000000}" name="Ganancia" dataDxfId="46">
      <calculatedColumnFormula>SUMIF(Ventas[Fecha],Rdiario[[#This Row],[Fecha]],Ventas[Total 2])</calculatedColumnFormula>
    </tableColumn>
    <tableColumn id="5" xr3:uid="{00000000-0010-0000-0300-000005000000}" name="Compras" dataDxfId="45">
      <calculatedColumnFormula>SUMIF(Compras[Fecha],Rdiario[[#This Row],[Fecha]],Compras[Monto])</calculatedColumnFormula>
    </tableColumn>
    <tableColumn id="6" xr3:uid="{00000000-0010-0000-0300-000006000000}" name="Gastos" dataDxfId="44">
      <calculatedColumnFormula>SUMIF(TGastos[Fecha],Rdiario[[#This Row],[Fecha]],TGastos[Monto])</calculatedColumnFormula>
    </tableColumn>
    <tableColumn id="7" xr3:uid="{00000000-0010-0000-0300-000007000000}" name="Ganancias Brutas" dataDxfId="43">
      <calculatedColumnFormula>Rdiario[[#This Row],[Ingresos Brutos]]-Rdiario[[#This Row],[Compras]]-Rdiario[[#This Row],[Gastos]]</calculatedColumnFormula>
    </tableColumn>
    <tableColumn id="10" xr3:uid="{00000000-0010-0000-0300-00000A000000}" name="Ganancias Finales" totalsRowFunction="sum" dataDxfId="42" totalsRowDxfId="41">
      <calculatedColumnFormula>Rdiario[[#This Row],[Ganancia]]-Rdiario[[#This Row],[Compras]]-Rdiario[[#This Row],[Gastos]]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Rmensual" displayName="Rmensual" ref="B3:M15" totalsRowShown="0">
  <autoFilter ref="B3:M15" xr:uid="{00000000-0009-0000-0100-000005000000}">
    <filterColumn colId="0" hiddenButton="1"/>
    <filterColumn colId="1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12">
    <tableColumn id="1" xr3:uid="{00000000-0010-0000-0400-000001000000}" name="Mes"/>
    <tableColumn id="2" xr3:uid="{00000000-0010-0000-0400-000002000000}" name="Ingresos Brutos" dataDxfId="40">
      <calculatedColumnFormula>SUMIF(Rdiario[Mes],Rmensual[[#This Row],[Mes]],Rdiario[Ingresos Brutos])</calculatedColumnFormula>
    </tableColumn>
    <tableColumn id="11" xr3:uid="{00000000-0010-0000-0400-00000B000000}" name="Transferencia" dataDxfId="39">
      <calculatedColumnFormula>SUMIF(Rdiario[Mes],Rmensual[[#This Row],[Mes]],Rdiario[Transferencia])</calculatedColumnFormula>
    </tableColumn>
    <tableColumn id="12" xr3:uid="{00000000-0010-0000-0400-00000C000000}" name="Efectivo" dataDxfId="38">
      <calculatedColumnFormula>SUMIF(Rdiario[Mes],Rmensual[[#This Row],[Mes]],Rdiario[Efectivo])</calculatedColumnFormula>
    </tableColumn>
    <tableColumn id="6" xr3:uid="{00000000-0010-0000-0400-000006000000}" name="Ingresos Finales" dataDxfId="37">
      <calculatedColumnFormula>SUMIF(Rdiario[Mes],Rmensual[[#This Row],[Mes]],Rdiario[Ganancia])</calculatedColumnFormula>
    </tableColumn>
    <tableColumn id="3" xr3:uid="{00000000-0010-0000-0400-000003000000}" name="Compras" dataDxfId="36">
      <calculatedColumnFormula>SUMIF(Rdiario[Mes],Rmensual[[#This Row],[Mes]],Rdiario[Compras])</calculatedColumnFormula>
    </tableColumn>
    <tableColumn id="4" xr3:uid="{00000000-0010-0000-0400-000004000000}" name="Gastos" dataDxfId="35">
      <calculatedColumnFormula>SUMIF(Rdiario[Mes],Rmensual[[#This Row],[Mes]],Rdiario[Gastos])</calculatedColumnFormula>
    </tableColumn>
    <tableColumn id="5" xr3:uid="{00000000-0010-0000-0400-000005000000}" name="Ganancias Brutas" dataDxfId="34">
      <calculatedColumnFormula>Rmensual[[#This Row],[Ingresos Brutos]]-Rmensual[[#This Row],[Compras]]-Rmensual[[#This Row],[Gastos]]</calculatedColumnFormula>
    </tableColumn>
    <tableColumn id="7" xr3:uid="{00000000-0010-0000-0400-000007000000}" name="Ganancias Finales" dataDxfId="33">
      <calculatedColumnFormula>Rmensual[[#This Row],[Ingresos Finales]]-Rmensual[[#This Row],[Gastos]]</calculatedColumnFormula>
    </tableColumn>
    <tableColumn id="8" xr3:uid="{00000000-0010-0000-0400-000008000000}" name="Dinero para Reinversión" dataDxfId="32">
      <calculatedColumnFormula>Rmensual[[#This Row],[Ingresos Brutos]]-Rmensual[[#This Row],[Ingresos Finales]]</calculatedColumnFormula>
    </tableColumn>
    <tableColumn id="9" xr3:uid="{00000000-0010-0000-0400-000009000000}" name="Porcentaje de Ganancias" dataDxfId="31">
      <calculatedColumnFormula>Rmensual[[#This Row],[Ganancias Finales]]*10/100</calculatedColumnFormula>
    </tableColumn>
    <tableColumn id="10" xr3:uid="{00000000-0010-0000-0400-00000A000000}" name="Dinero Libre" dataDxfId="30">
      <calculatedColumnFormula>Rmensual[[#This Row],[Ganancias Finales]]-Rmensual[[#This Row],[Porcentaje de Ganancias]]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Stock" displayName="Stock" ref="B3:O894" tableType="queryTable" totalsRowShown="0">
  <autoFilter ref="B3:O89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B4:J860">
    <sortCondition descending="1" ref="B3:B860"/>
  </sortState>
  <tableColumns count="14">
    <tableColumn id="1" xr3:uid="{00000000-0010-0000-0500-000001000000}" uniqueName="1" name="Codigo" queryTableFieldId="1" dataDxfId="25"/>
    <tableColumn id="2" xr3:uid="{00000000-0010-0000-0500-000002000000}" uniqueName="2" name="Producto" queryTableFieldId="2" dataDxfId="24"/>
    <tableColumn id="3" xr3:uid="{00000000-0010-0000-0500-000003000000}" uniqueName="3" name="Precio de Compra" queryTableFieldId="3" dataDxfId="23"/>
    <tableColumn id="4" xr3:uid="{00000000-0010-0000-0500-000004000000}" uniqueName="4" name="Precio de Venta" queryTableFieldId="4" dataDxfId="22"/>
    <tableColumn id="5" xr3:uid="{00000000-0010-0000-0500-000005000000}" uniqueName="5" name="Stock Deposito" queryTableFieldId="5" dataDxfId="21"/>
    <tableColumn id="6" xr3:uid="{00000000-0010-0000-0500-000006000000}" uniqueName="6" name="Entradas" queryTableFieldId="6" dataDxfId="20"/>
    <tableColumn id="7" xr3:uid="{00000000-0010-0000-0500-000007000000}" uniqueName="7" name="Salidas" queryTableFieldId="7" dataDxfId="19"/>
    <tableColumn id="8" xr3:uid="{00000000-0010-0000-0500-000008000000}" uniqueName="8" name="Inversion" queryTableFieldId="8" dataDxfId="18"/>
    <tableColumn id="9" xr3:uid="{00000000-0010-0000-0500-000009000000}" uniqueName="9" name="Usados" queryTableFieldId="9" dataDxfId="17">
      <calculatedColumnFormula>SUMIFS(ProdDesc[Cantidad],ProdDesc[Codigo],Stock[Codigo])</calculatedColumnFormula>
    </tableColumn>
    <tableColumn id="12" xr3:uid="{6E1F86A5-CBD7-43BC-8125-252CDE895226}" uniqueName="12" name="Stock Cultivate" queryTableFieldId="14" dataDxfId="16">
      <calculatedColumnFormula>Stock[[#This Row],[Compra Cultivate]]-Stock[[#This Row],[Salidas]]-Stock[[#This Row],[Usados]]</calculatedColumnFormula>
    </tableColumn>
    <tableColumn id="10" xr3:uid="{00000000-0010-0000-0500-00000A000000}" uniqueName="10" name="Inversion Venta" queryTableFieldId="12" dataDxfId="15">
      <calculatedColumnFormula>Stock[[#This Row],[Stock Deposito]]*Stock[[#This Row],[Precio de Venta]]</calculatedColumnFormula>
    </tableColumn>
    <tableColumn id="13" xr3:uid="{11613AE4-224B-451C-9015-C9E2BD17CE56}" uniqueName="13" name="Compra Cultivate" queryTableFieldId="15" dataDxfId="14">
      <calculatedColumnFormula>SUMIFS(Tabla9[Cantidad],Tabla9[Codigo],Stock[Codigo])</calculatedColumnFormula>
    </tableColumn>
    <tableColumn id="11" xr3:uid="{721B684D-441A-478B-BFEF-A5469619BB5A}" uniqueName="11" name="Inversion Cultivate" queryTableFieldId="17" dataDxfId="13">
      <calculatedColumnFormula>Stock[[#This Row],[Precio de Compra]]*Stock[[#This Row],[Stock Cultivate]]</calculatedColumnFormula>
    </tableColumn>
    <tableColumn id="14" xr3:uid="{C1199A2D-B0CA-4E40-B260-3565AC6F7448}" uniqueName="14" name="Ganancia Cultivate" queryTableFieldId="18" dataDxfId="12">
      <calculatedColumnFormula>Stock[[#This Row],[Stock Cultivate]]*Stock[[#This Row],[Precio de Venta]]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ProdDesc" displayName="ProdDesc" ref="B3:G192" totalsRowShown="0" headerRowDxfId="11" dataDxfId="10">
  <autoFilter ref="B3:G192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2" xr3:uid="{00000000-0010-0000-0600-000002000000}" name="Codigo" dataDxfId="9"/>
    <tableColumn id="3" xr3:uid="{00000000-0010-0000-0600-000003000000}" name="Producto" dataDxfId="8">
      <calculatedColumnFormula>VLOOKUP(ProdDesc[[#This Row],[Codigo]],Stock[],2,FALSE)</calculatedColumnFormula>
    </tableColumn>
    <tableColumn id="4" xr3:uid="{00000000-0010-0000-0600-000004000000}" name="Precio" dataDxfId="7">
      <calculatedColumnFormula>VLOOKUP(ProdDesc[[#This Row],[Codigo]],Stock[],3,FALSE)</calculatedColumnFormula>
    </tableColumn>
    <tableColumn id="5" xr3:uid="{00000000-0010-0000-0600-000005000000}" name="Cantidad" dataDxfId="6"/>
    <tableColumn id="1" xr3:uid="{00000000-0010-0000-0600-000001000000}" name="Fecha" dataDxfId="5"/>
    <tableColumn id="6" xr3:uid="{00000000-0010-0000-0600-000006000000}" name="Motivo" dataDxfId="4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8" displayName="Tabla8" ref="B3:H4" totalsRowShown="0">
  <autoFilter ref="B3:H4" xr:uid="{00000000-0009-0000-0100-000008000000}"/>
  <tableColumns count="7">
    <tableColumn id="1" xr3:uid="{00000000-0010-0000-0700-000001000000}" name="Invertido en Deposito" dataDxfId="3">
      <calculatedColumnFormula>SUM(Stock[Inversion])</calculatedColumnFormula>
    </tableColumn>
    <tableColumn id="2" xr3:uid="{00000000-0010-0000-0700-000002000000}" name="Mercadería en Deposito">
      <calculatedColumnFormula>SUM(Stock[Inversion Venta])</calculatedColumnFormula>
    </tableColumn>
    <tableColumn id="3" xr3:uid="{00000000-0010-0000-0700-000003000000}" name="Productos diferentes del Stock" dataDxfId="2">
      <calculatedColumnFormula>Stock[[#This Row],[Codigo]]</calculatedColumnFormula>
    </tableColumn>
    <tableColumn id="5" xr3:uid="{00000000-0010-0000-0700-000005000000}" name="Total de Productos  en Deposito">
      <calculatedColumnFormula>SUM(Stock[Stock Deposito])</calculatedColumnFormula>
    </tableColumn>
    <tableColumn id="4" xr3:uid="{58037C9B-5370-497A-8273-E7ED8DF83F2D}" name="Invertido en Cultivate">
      <calculatedColumnFormula>SUM(Stock[Inversion Cultivate])</calculatedColumnFormula>
    </tableColumn>
    <tableColumn id="6" xr3:uid="{571D3A33-0DC0-4D9C-A5A8-939BF207D208}" name="Ganancia Cultivate">
      <calculatedColumnFormula>SUM(Stock[Ganancia Cultivate])</calculatedColumnFormula>
    </tableColumn>
    <tableColumn id="7" xr3:uid="{BD2B04DE-8AAD-40BC-94E7-8950794391CD}" name="Total Productos en Cultivate">
      <calculatedColumnFormula>SUM(Stock[Stock Cultivate])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712846-95A7-48B2-87D6-94FE531A101C}" name="Tabla9" displayName="Tabla9" ref="B3:G582" totalsRowShown="0">
  <autoFilter ref="B3:G582" xr:uid="{A4712846-95A7-48B2-87D6-94FE531A101C}"/>
  <tableColumns count="6">
    <tableColumn id="1" xr3:uid="{F7AC8EED-5E9F-4A82-B046-CBA401CBFB95}" name="Fecha"/>
    <tableColumn id="2" xr3:uid="{47C73FF5-01B5-4380-B3C6-D3A6A1A98A98}" name="Producto">
      <calculatedColumnFormula>VLOOKUP(Tabla9[[#This Row],[Codigo]],Stock[#Data],2,FALSE)</calculatedColumnFormula>
    </tableColumn>
    <tableColumn id="3" xr3:uid="{79AA590C-25F9-484F-AE0B-08D5DACFFCC3}" name="Precio Compra" dataDxfId="1" dataCellStyle="Moneda">
      <calculatedColumnFormula>VLOOKUP(Tabla9[[#This Row],[Codigo]],Stock[#Data],3,FALSE)</calculatedColumnFormula>
    </tableColumn>
    <tableColumn id="4" xr3:uid="{186927FE-7B22-4553-AABC-DCD120F2D462}" name="Codigo"/>
    <tableColumn id="5" xr3:uid="{1458DA8F-10CE-4013-9C8C-D649B9E1499D}" name="Cantidad"/>
    <tableColumn id="6" xr3:uid="{28791678-8563-4FC4-93CC-2FFCA64B963E}" name="Total" dataDxfId="0" dataCellStyle="Moneda">
      <calculatedColumnFormula>Tabla9[[#This Row],[Precio Compra]]*Tabla9[[#This Row],[Cantidad]]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A1"/>
  <sheetViews>
    <sheetView showGridLines="0" showRowColHeaders="0" tabSelected="1" workbookViewId="0"/>
  </sheetViews>
  <sheetFormatPr baseColWidth="10" defaultRowHeight="15"/>
  <cols>
    <col min="2" max="2" width="0.5703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P1484"/>
  <sheetViews>
    <sheetView showGridLines="0" showRowColHeaders="0" topLeftCell="B1" workbookViewId="0">
      <pane ySplit="3" topLeftCell="A4" activePane="bottomLeft" state="frozen"/>
      <selection pane="bottomLeft" activeCell="G4" sqref="G4"/>
    </sheetView>
  </sheetViews>
  <sheetFormatPr baseColWidth="10" defaultRowHeight="15"/>
  <cols>
    <col min="1" max="1" width="4.140625" hidden="1" customWidth="1"/>
    <col min="2" max="2" width="13.28515625" customWidth="1"/>
    <col min="3" max="3" width="74.42578125" customWidth="1"/>
    <col min="4" max="4" width="18.42578125" customWidth="1"/>
    <col min="5" max="5" width="15.140625" customWidth="1"/>
    <col min="6" max="6" width="12" customWidth="1"/>
    <col min="7" max="7" width="14.28515625" customWidth="1"/>
    <col min="8" max="8" width="12" bestFit="1" customWidth="1"/>
    <col min="9" max="9" width="12" hidden="1" customWidth="1"/>
    <col min="10" max="10" width="7.42578125" hidden="1" customWidth="1"/>
    <col min="11" max="11" width="11" hidden="1" customWidth="1"/>
    <col min="12" max="12" width="15.42578125" customWidth="1"/>
    <col min="13" max="16" width="11.42578125" style="16"/>
  </cols>
  <sheetData>
    <row r="1" spans="1:13" ht="69.7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3" ht="68.25" customHeight="1">
      <c r="A2" s="16"/>
      <c r="B2" s="67" t="s">
        <v>2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</row>
    <row r="3" spans="1:13" ht="21.75" customHeight="1">
      <c r="A3" s="16"/>
      <c r="B3" s="23" t="s">
        <v>0</v>
      </c>
      <c r="C3" s="23" t="s">
        <v>1</v>
      </c>
      <c r="D3" s="23" t="s">
        <v>98</v>
      </c>
      <c r="E3" s="23" t="s">
        <v>99</v>
      </c>
      <c r="F3" s="23" t="s">
        <v>89</v>
      </c>
      <c r="G3" s="23" t="s">
        <v>90</v>
      </c>
      <c r="H3" s="23" t="s">
        <v>97</v>
      </c>
      <c r="I3" t="s">
        <v>103</v>
      </c>
      <c r="J3" t="s">
        <v>756</v>
      </c>
      <c r="K3" t="s">
        <v>758</v>
      </c>
      <c r="L3" s="23" t="s">
        <v>766</v>
      </c>
      <c r="M3" s="23" t="s">
        <v>813</v>
      </c>
    </row>
    <row r="4" spans="1:13" ht="21.75" customHeight="1">
      <c r="A4" s="16"/>
      <c r="B4" s="64" t="s">
        <v>1178</v>
      </c>
      <c r="C4" s="57" t="str">
        <f>VLOOKUP(Ventas[[#This Row],[Codigo]],Stock[#Data],2,FALSE)</f>
        <v>Filtros Gizeh x100 6mm</v>
      </c>
      <c r="D4" s="37">
        <f>VLOOKUP(Ventas[[#This Row],[Codigo]],Stock[#Data],4,FALSE)</f>
        <v>400</v>
      </c>
      <c r="E4" s="33">
        <f>VLOOKUP(Ventas[[#This Row],[Codigo]],Stock[#Data],3,FALSE)</f>
        <v>190</v>
      </c>
      <c r="F4" s="38">
        <v>1</v>
      </c>
      <c r="G4">
        <v>586</v>
      </c>
      <c r="H4" s="36">
        <f>Ventas[[#This Row],[Precio Venta]]*Ventas[[#This Row],[Cantidad]]-Ventas[[#This Row],[Descuento]]</f>
        <v>400</v>
      </c>
      <c r="I4" s="34">
        <f>Ventas[[#This Row],[Total]]-Ventas[[#This Row],[Precio compra]]*Ventas[[#This Row],[Cantidad]]</f>
        <v>210</v>
      </c>
      <c r="J4" s="34">
        <v>0</v>
      </c>
      <c r="K4" s="34">
        <f>Ventas[[#This Row],[Total]]*Ventas[[#This Row],[Total 3]]</f>
        <v>0</v>
      </c>
      <c r="L4" s="34" t="s">
        <v>760</v>
      </c>
      <c r="M4" s="34">
        <v>0</v>
      </c>
    </row>
    <row r="5" spans="1:13" ht="21.75" customHeight="1">
      <c r="A5" s="16"/>
      <c r="B5" s="64">
        <v>45058</v>
      </c>
      <c r="C5" s="57" t="str">
        <f>VLOOKUP(Ventas[[#This Row],[Codigo]],Stock[#Data],2,FALSE)</f>
        <v>Sustrato Perlita</v>
      </c>
      <c r="D5" s="37">
        <f>VLOOKUP(Ventas[[#This Row],[Codigo]],Stock[#Data],4,FALSE)</f>
        <v>800</v>
      </c>
      <c r="E5" s="33">
        <f>VLOOKUP(Ventas[[#This Row],[Codigo]],Stock[#Data],3,FALSE)</f>
        <v>400</v>
      </c>
      <c r="F5" s="38">
        <v>4</v>
      </c>
      <c r="G5">
        <v>52</v>
      </c>
      <c r="H5" s="36">
        <f>Ventas[[#This Row],[Precio Venta]]*Ventas[[#This Row],[Cantidad]]-Ventas[[#This Row],[Descuento]]</f>
        <v>3200</v>
      </c>
      <c r="I5" s="34">
        <f>Ventas[[#This Row],[Total]]-Ventas[[#This Row],[Precio compra]]*Ventas[[#This Row],[Cantidad]]</f>
        <v>1600</v>
      </c>
      <c r="J5" s="34">
        <v>0</v>
      </c>
      <c r="K5" s="34">
        <f>Ventas[[#This Row],[Total]]*Ventas[[#This Row],[Total 3]]</f>
        <v>0</v>
      </c>
      <c r="L5" s="34" t="s">
        <v>760</v>
      </c>
      <c r="M5" s="34">
        <v>0</v>
      </c>
    </row>
    <row r="6" spans="1:13" ht="21.75" customHeight="1">
      <c r="A6" s="16"/>
      <c r="B6" s="64">
        <v>45058</v>
      </c>
      <c r="C6" s="57" t="str">
        <f>VLOOKUP(Ventas[[#This Row],[Codigo]],Stock[#Data],2,FALSE)</f>
        <v>Lupa x60 Sin Broche</v>
      </c>
      <c r="D6" s="37">
        <f>VLOOKUP(Ventas[[#This Row],[Codigo]],Stock[#Data],4,FALSE)</f>
        <v>2800</v>
      </c>
      <c r="E6" s="33">
        <f>VLOOKUP(Ventas[[#This Row],[Codigo]],Stock[#Data],3,FALSE)</f>
        <v>1904</v>
      </c>
      <c r="F6" s="38">
        <v>1</v>
      </c>
      <c r="G6">
        <v>921</v>
      </c>
      <c r="H6" s="36">
        <f>Ventas[[#This Row],[Precio Venta]]*Ventas[[#This Row],[Cantidad]]-Ventas[[#This Row],[Descuento]]</f>
        <v>2500</v>
      </c>
      <c r="I6" s="34">
        <f>Ventas[[#This Row],[Total]]-Ventas[[#This Row],[Precio compra]]*Ventas[[#This Row],[Cantidad]]</f>
        <v>596</v>
      </c>
      <c r="J6" s="34">
        <v>0</v>
      </c>
      <c r="K6" s="34">
        <f>Ventas[[#This Row],[Total]]*Ventas[[#This Row],[Total 3]]</f>
        <v>0</v>
      </c>
      <c r="L6" s="34" t="s">
        <v>760</v>
      </c>
      <c r="M6" s="34">
        <v>300</v>
      </c>
    </row>
    <row r="7" spans="1:13" ht="21.75" customHeight="1">
      <c r="A7" s="16"/>
      <c r="B7" s="64">
        <v>45058</v>
      </c>
      <c r="C7" s="57" t="str">
        <f>VLOOKUP(Ventas[[#This Row],[Codigo]],Stock[#Data],2,FALSE)</f>
        <v>VAMP Guano de murcielago Vegetativo</v>
      </c>
      <c r="D7" s="37">
        <f>VLOOKUP(Ventas[[#This Row],[Codigo]],Stock[#Data],4,FALSE)</f>
        <v>1000</v>
      </c>
      <c r="E7" s="33">
        <f>VLOOKUP(Ventas[[#This Row],[Codigo]],Stock[#Data],3,FALSE)</f>
        <v>510</v>
      </c>
      <c r="F7" s="38">
        <v>1</v>
      </c>
      <c r="G7">
        <v>37</v>
      </c>
      <c r="H7" s="36">
        <f>Ventas[[#This Row],[Precio Venta]]*Ventas[[#This Row],[Cantidad]]-Ventas[[#This Row],[Descuento]]</f>
        <v>1000</v>
      </c>
      <c r="I7" s="34">
        <f>Ventas[[#This Row],[Total]]-Ventas[[#This Row],[Precio compra]]*Ventas[[#This Row],[Cantidad]]</f>
        <v>490</v>
      </c>
      <c r="J7" s="34">
        <v>1</v>
      </c>
      <c r="K7" s="34">
        <f>Ventas[[#This Row],[Total]]*Ventas[[#This Row],[Total 3]]</f>
        <v>1000</v>
      </c>
      <c r="L7" s="34" t="s">
        <v>759</v>
      </c>
      <c r="M7" s="34">
        <v>0</v>
      </c>
    </row>
    <row r="8" spans="1:13" ht="21.75" customHeight="1">
      <c r="A8" s="16"/>
      <c r="B8" s="64">
        <v>45058</v>
      </c>
      <c r="C8" s="57" t="str">
        <f>VLOOKUP(Ventas[[#This Row],[Codigo]],Stock[#Data],2,FALSE)</f>
        <v>Recipiente Rosin SQUADAFUM Redondo Grande</v>
      </c>
      <c r="D8" s="37">
        <f>VLOOKUP(Ventas[[#This Row],[Codigo]],Stock[#Data],4,FALSE)</f>
        <v>900</v>
      </c>
      <c r="E8" s="33">
        <f>VLOOKUP(Ventas[[#This Row],[Codigo]],Stock[#Data],3,FALSE)</f>
        <v>600</v>
      </c>
      <c r="F8" s="38">
        <v>1</v>
      </c>
      <c r="G8">
        <v>179</v>
      </c>
      <c r="H8" s="36">
        <f>Ventas[[#This Row],[Precio Venta]]*Ventas[[#This Row],[Cantidad]]-Ventas[[#This Row],[Descuento]]</f>
        <v>900</v>
      </c>
      <c r="I8" s="34">
        <f>Ventas[[#This Row],[Total]]-Ventas[[#This Row],[Precio compra]]*Ventas[[#This Row],[Cantidad]]</f>
        <v>300</v>
      </c>
      <c r="J8" s="34">
        <v>1</v>
      </c>
      <c r="K8" s="34">
        <f>Ventas[[#This Row],[Total]]*Ventas[[#This Row],[Total 3]]</f>
        <v>900</v>
      </c>
      <c r="L8" s="34" t="s">
        <v>759</v>
      </c>
      <c r="M8" s="34">
        <v>0</v>
      </c>
    </row>
    <row r="9" spans="1:13" ht="21.75" customHeight="1">
      <c r="A9" s="16"/>
      <c r="B9" s="64" t="s">
        <v>1140</v>
      </c>
      <c r="C9" s="57" t="str">
        <f>VLOOKUP(Ventas[[#This Row],[Codigo]],Stock[#Data],2,FALSE)</f>
        <v xml:space="preserve">Tabaco Las Hojas Natural </v>
      </c>
      <c r="D9" s="37">
        <f>VLOOKUP(Ventas[[#This Row],[Codigo]],Stock[#Data],4,FALSE)</f>
        <v>700</v>
      </c>
      <c r="E9" s="33">
        <f>VLOOKUP(Ventas[[#This Row],[Codigo]],Stock[#Data],3,FALSE)</f>
        <v>350</v>
      </c>
      <c r="F9" s="38">
        <v>1</v>
      </c>
      <c r="G9">
        <v>748</v>
      </c>
      <c r="H9" s="36">
        <f>Ventas[[#This Row],[Precio Venta]]*Ventas[[#This Row],[Cantidad]]-Ventas[[#This Row],[Descuento]]</f>
        <v>700</v>
      </c>
      <c r="I9" s="34">
        <f>Ventas[[#This Row],[Total]]-Ventas[[#This Row],[Precio compra]]*Ventas[[#This Row],[Cantidad]]</f>
        <v>350</v>
      </c>
      <c r="J9" s="34">
        <v>0</v>
      </c>
      <c r="K9" s="34">
        <f>Ventas[[#This Row],[Total]]*Ventas[[#This Row],[Total 3]]</f>
        <v>0</v>
      </c>
      <c r="L9" s="34" t="s">
        <v>760</v>
      </c>
      <c r="M9" s="34">
        <v>0</v>
      </c>
    </row>
    <row r="10" spans="1:13" ht="21.75" customHeight="1">
      <c r="A10" s="16"/>
      <c r="B10" s="64" t="s">
        <v>1140</v>
      </c>
      <c r="C10" s="57" t="str">
        <f>VLOOKUP(Ventas[[#This Row],[Codigo]],Stock[#Data],2,FALSE)</f>
        <v>Sedas Lion Rolling Circus 420</v>
      </c>
      <c r="D10" s="37">
        <f>VLOOKUP(Ventas[[#This Row],[Codigo]],Stock[#Data],4,FALSE)</f>
        <v>2000</v>
      </c>
      <c r="E10" s="33">
        <f>VLOOKUP(Ventas[[#This Row],[Codigo]],Stock[#Data],3,FALSE)</f>
        <v>910</v>
      </c>
      <c r="F10" s="38">
        <v>1</v>
      </c>
      <c r="G10">
        <v>883</v>
      </c>
      <c r="H10" s="36">
        <f>Ventas[[#This Row],[Precio Venta]]*Ventas[[#This Row],[Cantidad]]-Ventas[[#This Row],[Descuento]]</f>
        <v>2000</v>
      </c>
      <c r="I10" s="34">
        <f>Ventas[[#This Row],[Total]]-Ventas[[#This Row],[Precio compra]]*Ventas[[#This Row],[Cantidad]]</f>
        <v>1090</v>
      </c>
      <c r="J10" s="34">
        <v>0</v>
      </c>
      <c r="K10" s="34">
        <f>Ventas[[#This Row],[Total]]*Ventas[[#This Row],[Total 3]]</f>
        <v>0</v>
      </c>
      <c r="L10" s="34" t="s">
        <v>760</v>
      </c>
      <c r="M10" s="34">
        <v>0</v>
      </c>
    </row>
    <row r="11" spans="1:13" ht="21.75" customHeight="1">
      <c r="A11" s="16"/>
      <c r="B11" s="64" t="s">
        <v>1140</v>
      </c>
      <c r="C11" s="57" t="str">
        <f>VLOOKUP(Ventas[[#This Row],[Codigo]],Stock[#Data],2,FALSE)</f>
        <v>Armador RAW Six Shooter</v>
      </c>
      <c r="D11" s="37">
        <f>VLOOKUP(Ventas[[#This Row],[Codigo]],Stock[#Data],4,FALSE)</f>
        <v>17000</v>
      </c>
      <c r="E11" s="33">
        <f>VLOOKUP(Ventas[[#This Row],[Codigo]],Stock[#Data],3,FALSE)</f>
        <v>3500</v>
      </c>
      <c r="F11" s="38">
        <v>1</v>
      </c>
      <c r="G11">
        <v>848</v>
      </c>
      <c r="H11" s="36">
        <f>Ventas[[#This Row],[Precio Venta]]*Ventas[[#This Row],[Cantidad]]-Ventas[[#This Row],[Descuento]]</f>
        <v>17000</v>
      </c>
      <c r="I11" s="34">
        <f>Ventas[[#This Row],[Total]]-Ventas[[#This Row],[Precio compra]]*Ventas[[#This Row],[Cantidad]]</f>
        <v>13500</v>
      </c>
      <c r="J11" s="34">
        <v>1</v>
      </c>
      <c r="K11" s="34">
        <f>Ventas[[#This Row],[Total]]*Ventas[[#This Row],[Total 3]]</f>
        <v>17000</v>
      </c>
      <c r="L11" s="34" t="s">
        <v>759</v>
      </c>
      <c r="M11" s="34">
        <v>0</v>
      </c>
    </row>
    <row r="12" spans="1:13" ht="21.75" customHeight="1">
      <c r="A12" s="16"/>
      <c r="B12" s="64" t="s">
        <v>1140</v>
      </c>
      <c r="C12" s="57" t="str">
        <f>VLOOKUP(Ventas[[#This Row],[Codigo]],Stock[#Data],2,FALSE)</f>
        <v>Blunt Lion Rolling Circus TERPENES GELATO</v>
      </c>
      <c r="D12" s="37">
        <f>VLOOKUP(Ventas[[#This Row],[Codigo]],Stock[#Data],4,FALSE)</f>
        <v>850</v>
      </c>
      <c r="E12" s="33">
        <f>VLOOKUP(Ventas[[#This Row],[Codigo]],Stock[#Data],3,FALSE)</f>
        <v>422</v>
      </c>
      <c r="F12" s="38">
        <v>3</v>
      </c>
      <c r="G12">
        <v>99</v>
      </c>
      <c r="H12" s="36">
        <f>Ventas[[#This Row],[Precio Venta]]*Ventas[[#This Row],[Cantidad]]-Ventas[[#This Row],[Descuento]]</f>
        <v>2550</v>
      </c>
      <c r="I12" s="34">
        <f>Ventas[[#This Row],[Total]]-Ventas[[#This Row],[Precio compra]]*Ventas[[#This Row],[Cantidad]]</f>
        <v>1284</v>
      </c>
      <c r="J12" s="34">
        <v>1</v>
      </c>
      <c r="K12" s="34">
        <f>Ventas[[#This Row],[Total]]*Ventas[[#This Row],[Total 3]]</f>
        <v>2550</v>
      </c>
      <c r="L12" s="34" t="s">
        <v>759</v>
      </c>
      <c r="M12" s="34">
        <v>0</v>
      </c>
    </row>
    <row r="13" spans="1:13" ht="21.75" customHeight="1">
      <c r="A13" s="16"/>
      <c r="B13" s="64" t="s">
        <v>1140</v>
      </c>
      <c r="C13" s="57" t="str">
        <f>VLOOKUP(Ventas[[#This Row],[Codigo]],Stock[#Data],2,FALSE)</f>
        <v>Sedas RAW Connoisseur 1/4</v>
      </c>
      <c r="D13" s="37">
        <f>VLOOKUP(Ventas[[#This Row],[Codigo]],Stock[#Data],4,FALSE)</f>
        <v>1300</v>
      </c>
      <c r="E13" s="33">
        <f>VLOOKUP(Ventas[[#This Row],[Codigo]],Stock[#Data],3,FALSE)</f>
        <v>677</v>
      </c>
      <c r="F13" s="38">
        <v>2</v>
      </c>
      <c r="G13">
        <v>927</v>
      </c>
      <c r="H13" s="36">
        <f>Ventas[[#This Row],[Precio Venta]]*Ventas[[#This Row],[Cantidad]]-Ventas[[#This Row],[Descuento]]</f>
        <v>2600</v>
      </c>
      <c r="I13" s="34">
        <f>Ventas[[#This Row],[Total]]-Ventas[[#This Row],[Precio compra]]*Ventas[[#This Row],[Cantidad]]</f>
        <v>1246</v>
      </c>
      <c r="J13" s="34">
        <v>1</v>
      </c>
      <c r="K13" s="34">
        <f>Ventas[[#This Row],[Total]]*Ventas[[#This Row],[Total 3]]</f>
        <v>2600</v>
      </c>
      <c r="L13" s="34" t="s">
        <v>759</v>
      </c>
      <c r="M13" s="34">
        <v>0</v>
      </c>
    </row>
    <row r="14" spans="1:13" ht="21.75" customHeight="1">
      <c r="A14" s="16"/>
      <c r="B14" s="64" t="s">
        <v>1140</v>
      </c>
      <c r="C14" s="57" t="str">
        <f>VLOOKUP(Ventas[[#This Row],[Codigo]],Stock[#Data],2,FALSE)</f>
        <v>Sedas Dolar Honey Puff</v>
      </c>
      <c r="D14" s="37">
        <f>VLOOKUP(Ventas[[#This Row],[Codigo]],Stock[#Data],4,FALSE)</f>
        <v>650</v>
      </c>
      <c r="E14" s="33">
        <f>VLOOKUP(Ventas[[#This Row],[Codigo]],Stock[#Data],3,FALSE)</f>
        <v>316</v>
      </c>
      <c r="F14" s="38">
        <v>1</v>
      </c>
      <c r="G14">
        <v>425</v>
      </c>
      <c r="H14" s="36">
        <f>Ventas[[#This Row],[Precio Venta]]*Ventas[[#This Row],[Cantidad]]-Ventas[[#This Row],[Descuento]]</f>
        <v>650</v>
      </c>
      <c r="I14" s="34">
        <f>Ventas[[#This Row],[Total]]-Ventas[[#This Row],[Precio compra]]*Ventas[[#This Row],[Cantidad]]</f>
        <v>334</v>
      </c>
      <c r="J14" s="34">
        <v>0</v>
      </c>
      <c r="K14" s="34">
        <f>Ventas[[#This Row],[Total]]*Ventas[[#This Row],[Total 3]]</f>
        <v>0</v>
      </c>
      <c r="L14" s="34" t="s">
        <v>760</v>
      </c>
      <c r="M14" s="34">
        <v>0</v>
      </c>
    </row>
    <row r="15" spans="1:13" ht="21.75" customHeight="1">
      <c r="A15" s="16"/>
      <c r="B15" s="64" t="s">
        <v>1131</v>
      </c>
      <c r="C15" s="57" t="str">
        <f>VLOOKUP(Ventas[[#This Row],[Codigo]],Stock[#Data],2,FALSE)</f>
        <v>Sedas RAW Connoisseur 1/4</v>
      </c>
      <c r="D15" s="37">
        <f>VLOOKUP(Ventas[[#This Row],[Codigo]],Stock[#Data],4,FALSE)</f>
        <v>1300</v>
      </c>
      <c r="E15" s="33">
        <f>VLOOKUP(Ventas[[#This Row],[Codigo]],Stock[#Data],3,FALSE)</f>
        <v>677</v>
      </c>
      <c r="F15" s="38">
        <v>1</v>
      </c>
      <c r="G15">
        <v>927</v>
      </c>
      <c r="H15" s="36">
        <f>Ventas[[#This Row],[Precio Venta]]*Ventas[[#This Row],[Cantidad]]-Ventas[[#This Row],[Descuento]]</f>
        <v>1300</v>
      </c>
      <c r="I15" s="34">
        <f>Ventas[[#This Row],[Total]]-Ventas[[#This Row],[Precio compra]]*Ventas[[#This Row],[Cantidad]]</f>
        <v>623</v>
      </c>
      <c r="J15" s="34">
        <v>0</v>
      </c>
      <c r="K15" s="34">
        <f>Ventas[[#This Row],[Total]]*Ventas[[#This Row],[Total 3]]</f>
        <v>0</v>
      </c>
      <c r="L15" s="34" t="s">
        <v>760</v>
      </c>
      <c r="M15" s="34">
        <v>0</v>
      </c>
    </row>
    <row r="16" spans="1:13" ht="21.75" customHeight="1">
      <c r="A16" s="16"/>
      <c r="B16" s="64">
        <v>45047</v>
      </c>
      <c r="C16" s="57" t="str">
        <f>VLOOKUP(Ventas[[#This Row],[Codigo]],Stock[#Data],2,FALSE)</f>
        <v>CropSecret 250ml Candy Maker</v>
      </c>
      <c r="D16" s="37">
        <f>VLOOKUP(Ventas[[#This Row],[Codigo]],Stock[#Data],4,FALSE)</f>
        <v>2000</v>
      </c>
      <c r="E16" s="33">
        <f>VLOOKUP(Ventas[[#This Row],[Codigo]],Stock[#Data],3,FALSE)</f>
        <v>707</v>
      </c>
      <c r="F16" s="38">
        <v>1</v>
      </c>
      <c r="G16">
        <v>5</v>
      </c>
      <c r="H16" s="36">
        <f>Ventas[[#This Row],[Precio Venta]]*Ventas[[#This Row],[Cantidad]]-Ventas[[#This Row],[Descuento]]</f>
        <v>2000</v>
      </c>
      <c r="I16" s="34">
        <f>Ventas[[#This Row],[Total]]-Ventas[[#This Row],[Precio compra]]*Ventas[[#This Row],[Cantidad]]</f>
        <v>1293</v>
      </c>
      <c r="J16" s="34">
        <v>0</v>
      </c>
      <c r="K16" s="34">
        <f>Ventas[[#This Row],[Total]]*Ventas[[#This Row],[Total 3]]</f>
        <v>0</v>
      </c>
      <c r="L16" s="34" t="s">
        <v>760</v>
      </c>
      <c r="M16" s="34">
        <v>0</v>
      </c>
    </row>
    <row r="17" spans="1:13" ht="21.75" customHeight="1">
      <c r="A17" s="16"/>
      <c r="B17" s="64">
        <v>45047</v>
      </c>
      <c r="C17" s="57" t="str">
        <f>VLOOKUP(Ventas[[#This Row],[Codigo]],Stock[#Data],2,FALSE)</f>
        <v>TreeMIX A 45ml</v>
      </c>
      <c r="D17" s="37">
        <f>VLOOKUP(Ventas[[#This Row],[Codigo]],Stock[#Data],4,FALSE)</f>
        <v>500</v>
      </c>
      <c r="E17" s="33">
        <f>VLOOKUP(Ventas[[#This Row],[Codigo]],Stock[#Data],3,FALSE)</f>
        <v>260</v>
      </c>
      <c r="F17" s="38">
        <v>1</v>
      </c>
      <c r="G17">
        <v>21</v>
      </c>
      <c r="H17" s="36">
        <f>Ventas[[#This Row],[Precio Venta]]*Ventas[[#This Row],[Cantidad]]-Ventas[[#This Row],[Descuento]]</f>
        <v>500</v>
      </c>
      <c r="I17" s="34">
        <f>Ventas[[#This Row],[Total]]-Ventas[[#This Row],[Precio compra]]*Ventas[[#This Row],[Cantidad]]</f>
        <v>240</v>
      </c>
      <c r="J17" s="34">
        <v>0</v>
      </c>
      <c r="K17" s="34">
        <f>Ventas[[#This Row],[Total]]*Ventas[[#This Row],[Total 3]]</f>
        <v>0</v>
      </c>
      <c r="L17" s="34" t="s">
        <v>760</v>
      </c>
      <c r="M17" s="34">
        <v>0</v>
      </c>
    </row>
    <row r="18" spans="1:13" ht="21.75" customHeight="1">
      <c r="A18" s="16"/>
      <c r="B18" s="64">
        <v>45047</v>
      </c>
      <c r="C18" s="57" t="str">
        <f>VLOOKUP(Ventas[[#This Row],[Codigo]],Stock[#Data],2,FALSE)</f>
        <v>TreeMIX PRO 45ml</v>
      </c>
      <c r="D18" s="37">
        <f>VLOOKUP(Ventas[[#This Row],[Codigo]],Stock[#Data],4,FALSE)</f>
        <v>700</v>
      </c>
      <c r="E18" s="33">
        <f>VLOOKUP(Ventas[[#This Row],[Codigo]],Stock[#Data],3,FALSE)</f>
        <v>345</v>
      </c>
      <c r="F18" s="38">
        <v>1</v>
      </c>
      <c r="G18">
        <v>25</v>
      </c>
      <c r="H18" s="36">
        <f>Ventas[[#This Row],[Precio Venta]]*Ventas[[#This Row],[Cantidad]]-Ventas[[#This Row],[Descuento]]</f>
        <v>700</v>
      </c>
      <c r="I18" s="34">
        <f>Ventas[[#This Row],[Total]]-Ventas[[#This Row],[Precio compra]]*Ventas[[#This Row],[Cantidad]]</f>
        <v>355</v>
      </c>
      <c r="J18" s="34">
        <v>0</v>
      </c>
      <c r="K18" s="34">
        <f>Ventas[[#This Row],[Total]]*Ventas[[#This Row],[Total 3]]</f>
        <v>0</v>
      </c>
      <c r="L18" s="34" t="s">
        <v>760</v>
      </c>
      <c r="M18" s="34">
        <v>0</v>
      </c>
    </row>
    <row r="19" spans="1:13" ht="21.75" customHeight="1">
      <c r="A19" s="16"/>
      <c r="B19" s="64">
        <v>45047</v>
      </c>
      <c r="C19" s="57" t="str">
        <f>VLOOKUP(Ventas[[#This Row],[Codigo]],Stock[#Data],2,FALSE)</f>
        <v>Power PH-</v>
      </c>
      <c r="D19" s="37">
        <f>VLOOKUP(Ventas[[#This Row],[Codigo]],Stock[#Data],4,FALSE)</f>
        <v>800</v>
      </c>
      <c r="E19" s="33">
        <f>VLOOKUP(Ventas[[#This Row],[Codigo]],Stock[#Data],3,FALSE)</f>
        <v>400</v>
      </c>
      <c r="F19" s="38">
        <v>1</v>
      </c>
      <c r="G19">
        <v>55</v>
      </c>
      <c r="H19" s="36">
        <f>Ventas[[#This Row],[Precio Venta]]*Ventas[[#This Row],[Cantidad]]-Ventas[[#This Row],[Descuento]]</f>
        <v>800</v>
      </c>
      <c r="I19" s="34">
        <f>Ventas[[#This Row],[Total]]-Ventas[[#This Row],[Precio compra]]*Ventas[[#This Row],[Cantidad]]</f>
        <v>400</v>
      </c>
      <c r="J19" s="34">
        <v>0</v>
      </c>
      <c r="K19" s="34">
        <f>Ventas[[#This Row],[Total]]*Ventas[[#This Row],[Total 3]]</f>
        <v>0</v>
      </c>
      <c r="L19" s="34" t="s">
        <v>760</v>
      </c>
      <c r="M19" s="34">
        <v>0</v>
      </c>
    </row>
    <row r="20" spans="1:13" ht="21.75" customHeight="1">
      <c r="A20" s="16"/>
      <c r="B20" s="64">
        <v>45047</v>
      </c>
      <c r="C20" s="57" t="str">
        <f>VLOOKUP(Ventas[[#This Row],[Codigo]],Stock[#Data],2,FALSE)</f>
        <v xml:space="preserve">Encendedor Clipper </v>
      </c>
      <c r="D20" s="37">
        <f>VLOOKUP(Ventas[[#This Row],[Codigo]],Stock[#Data],4,FALSE)</f>
        <v>600</v>
      </c>
      <c r="E20" s="33">
        <f>VLOOKUP(Ventas[[#This Row],[Codigo]],Stock[#Data],3,FALSE)</f>
        <v>378</v>
      </c>
      <c r="F20" s="38">
        <v>6</v>
      </c>
      <c r="G20">
        <v>58</v>
      </c>
      <c r="H20" s="36">
        <f>Ventas[[#This Row],[Precio Venta]]*Ventas[[#This Row],[Cantidad]]-Ventas[[#This Row],[Descuento]]</f>
        <v>3600</v>
      </c>
      <c r="I20" s="34">
        <f>Ventas[[#This Row],[Total]]-Ventas[[#This Row],[Precio compra]]*Ventas[[#This Row],[Cantidad]]</f>
        <v>1332</v>
      </c>
      <c r="J20" s="34">
        <v>0</v>
      </c>
      <c r="K20" s="34">
        <f>Ventas[[#This Row],[Total]]*Ventas[[#This Row],[Total 3]]</f>
        <v>0</v>
      </c>
      <c r="L20" s="34" t="s">
        <v>760</v>
      </c>
      <c r="M20" s="34">
        <v>0</v>
      </c>
    </row>
    <row r="21" spans="1:13" ht="21.75" customHeight="1">
      <c r="A21" s="16"/>
      <c r="B21" s="64">
        <v>45047</v>
      </c>
      <c r="C21" s="57" t="str">
        <f>VLOOKUP(Ventas[[#This Row],[Codigo]],Stock[#Data],2,FALSE)</f>
        <v>Sedas Lion Rolling Circus 1/4 alfalfa</v>
      </c>
      <c r="D21" s="37">
        <f>VLOOKUP(Ventas[[#This Row],[Codigo]],Stock[#Data],4,FALSE)</f>
        <v>300</v>
      </c>
      <c r="E21" s="33">
        <f>VLOOKUP(Ventas[[#This Row],[Codigo]],Stock[#Data],3,FALSE)</f>
        <v>150</v>
      </c>
      <c r="F21" s="38">
        <v>6</v>
      </c>
      <c r="G21">
        <v>63</v>
      </c>
      <c r="H21" s="36">
        <f>Ventas[[#This Row],[Precio Venta]]*Ventas[[#This Row],[Cantidad]]-Ventas[[#This Row],[Descuento]]</f>
        <v>1800</v>
      </c>
      <c r="I21" s="34">
        <f>Ventas[[#This Row],[Total]]-Ventas[[#This Row],[Precio compra]]*Ventas[[#This Row],[Cantidad]]</f>
        <v>900</v>
      </c>
      <c r="J21" s="34">
        <v>0</v>
      </c>
      <c r="K21" s="34">
        <f>Ventas[[#This Row],[Total]]*Ventas[[#This Row],[Total 3]]</f>
        <v>0</v>
      </c>
      <c r="L21" s="34" t="s">
        <v>760</v>
      </c>
      <c r="M21" s="34">
        <v>0</v>
      </c>
    </row>
    <row r="22" spans="1:13" ht="21.75" customHeight="1">
      <c r="A22" s="16"/>
      <c r="B22" s="64">
        <v>45047</v>
      </c>
      <c r="C22" s="57" t="str">
        <f>VLOOKUP(Ventas[[#This Row],[Codigo]],Stock[#Data],2,FALSE)</f>
        <v>Sedas Lion Rolling Circus 1/4 celulosa</v>
      </c>
      <c r="D22" s="37">
        <f>VLOOKUP(Ventas[[#This Row],[Codigo]],Stock[#Data],4,FALSE)</f>
        <v>700</v>
      </c>
      <c r="E22" s="33">
        <f>VLOOKUP(Ventas[[#This Row],[Codigo]],Stock[#Data],3,FALSE)</f>
        <v>348</v>
      </c>
      <c r="F22" s="38">
        <v>1</v>
      </c>
      <c r="G22">
        <v>65</v>
      </c>
      <c r="H22" s="36">
        <f>Ventas[[#This Row],[Precio Venta]]*Ventas[[#This Row],[Cantidad]]-Ventas[[#This Row],[Descuento]]</f>
        <v>700</v>
      </c>
      <c r="I22" s="34">
        <f>Ventas[[#This Row],[Total]]-Ventas[[#This Row],[Precio compra]]*Ventas[[#This Row],[Cantidad]]</f>
        <v>352</v>
      </c>
      <c r="J22" s="34">
        <v>0</v>
      </c>
      <c r="K22" s="34">
        <f>Ventas[[#This Row],[Total]]*Ventas[[#This Row],[Total 3]]</f>
        <v>0</v>
      </c>
      <c r="L22" s="34" t="s">
        <v>760</v>
      </c>
      <c r="M22" s="34">
        <v>0</v>
      </c>
    </row>
    <row r="23" spans="1:13" ht="21.75" customHeight="1">
      <c r="A23" s="16"/>
      <c r="B23" s="64">
        <v>45047</v>
      </c>
      <c r="C23" s="57" t="str">
        <f>VLOOKUP(Ventas[[#This Row],[Codigo]],Stock[#Data],2,FALSE)</f>
        <v>Sedas Blunt Rey 1/4 organic</v>
      </c>
      <c r="D23" s="37">
        <f>VLOOKUP(Ventas[[#This Row],[Codigo]],Stock[#Data],4,FALSE)</f>
        <v>250</v>
      </c>
      <c r="E23" s="33">
        <f>VLOOKUP(Ventas[[#This Row],[Codigo]],Stock[#Data],3,FALSE)</f>
        <v>109</v>
      </c>
      <c r="F23" s="38">
        <v>9</v>
      </c>
      <c r="G23">
        <v>67</v>
      </c>
      <c r="H23" s="36">
        <f>Ventas[[#This Row],[Precio Venta]]*Ventas[[#This Row],[Cantidad]]-Ventas[[#This Row],[Descuento]]</f>
        <v>2250</v>
      </c>
      <c r="I23" s="34">
        <f>Ventas[[#This Row],[Total]]-Ventas[[#This Row],[Precio compra]]*Ventas[[#This Row],[Cantidad]]</f>
        <v>1269</v>
      </c>
      <c r="J23" s="34">
        <v>0</v>
      </c>
      <c r="K23" s="34">
        <f>Ventas[[#This Row],[Total]]*Ventas[[#This Row],[Total 3]]</f>
        <v>0</v>
      </c>
      <c r="L23" s="34" t="s">
        <v>760</v>
      </c>
      <c r="M23" s="34">
        <v>0</v>
      </c>
    </row>
    <row r="24" spans="1:13" ht="21.75" customHeight="1">
      <c r="A24" s="16"/>
      <c r="B24" s="64">
        <v>45047</v>
      </c>
      <c r="C24" s="57" t="str">
        <f>VLOOKUP(Ventas[[#This Row],[Codigo]],Stock[#Data],2,FALSE)</f>
        <v>Sedas Blunt Rey Kz celulosa Orange</v>
      </c>
      <c r="D24" s="37">
        <f>VLOOKUP(Ventas[[#This Row],[Codigo]],Stock[#Data],4,FALSE)</f>
        <v>400</v>
      </c>
      <c r="E24" s="33">
        <f>VLOOKUP(Ventas[[#This Row],[Codigo]],Stock[#Data],3,FALSE)</f>
        <v>167</v>
      </c>
      <c r="F24" s="38">
        <v>1</v>
      </c>
      <c r="G24">
        <v>68</v>
      </c>
      <c r="H24" s="36">
        <f>Ventas[[#This Row],[Precio Venta]]*Ventas[[#This Row],[Cantidad]]-Ventas[[#This Row],[Descuento]]</f>
        <v>400</v>
      </c>
      <c r="I24" s="34">
        <f>Ventas[[#This Row],[Total]]-Ventas[[#This Row],[Precio compra]]*Ventas[[#This Row],[Cantidad]]</f>
        <v>233</v>
      </c>
      <c r="J24" s="34">
        <v>0</v>
      </c>
      <c r="K24" s="34">
        <f>Ventas[[#This Row],[Total]]*Ventas[[#This Row],[Total 3]]</f>
        <v>0</v>
      </c>
      <c r="L24" s="34" t="s">
        <v>760</v>
      </c>
      <c r="M24" s="34">
        <v>0</v>
      </c>
    </row>
    <row r="25" spans="1:13" ht="21.75" customHeight="1">
      <c r="A25" s="16"/>
      <c r="B25" s="64">
        <v>45047</v>
      </c>
      <c r="C25" s="57" t="str">
        <f>VLOOKUP(Ventas[[#This Row],[Codigo]],Stock[#Data],2,FALSE)</f>
        <v>Sedas Blunt Rey Kz celulosa Verde</v>
      </c>
      <c r="D25" s="37">
        <f>VLOOKUP(Ventas[[#This Row],[Codigo]],Stock[#Data],4,FALSE)</f>
        <v>400</v>
      </c>
      <c r="E25" s="33">
        <f>VLOOKUP(Ventas[[#This Row],[Codigo]],Stock[#Data],3,FALSE)</f>
        <v>163</v>
      </c>
      <c r="F25" s="38">
        <v>3</v>
      </c>
      <c r="G25">
        <v>70</v>
      </c>
      <c r="H25" s="36">
        <f>Ventas[[#This Row],[Precio Venta]]*Ventas[[#This Row],[Cantidad]]-Ventas[[#This Row],[Descuento]]</f>
        <v>1200</v>
      </c>
      <c r="I25" s="34">
        <f>Ventas[[#This Row],[Total]]-Ventas[[#This Row],[Precio compra]]*Ventas[[#This Row],[Cantidad]]</f>
        <v>711</v>
      </c>
      <c r="J25" s="34">
        <v>0</v>
      </c>
      <c r="K25" s="34">
        <f>Ventas[[#This Row],[Total]]*Ventas[[#This Row],[Total 3]]</f>
        <v>0</v>
      </c>
      <c r="L25" s="34" t="s">
        <v>760</v>
      </c>
      <c r="M25" s="34">
        <v>0</v>
      </c>
    </row>
    <row r="26" spans="1:13" ht="21.75" customHeight="1">
      <c r="A26" s="16"/>
      <c r="B26" s="64">
        <v>45047</v>
      </c>
      <c r="C26" s="57" t="str">
        <f>VLOOKUP(Ventas[[#This Row],[Codigo]],Stock[#Data],2,FALSE)</f>
        <v>Sedas OCB 1/4 Organic  Bamboo</v>
      </c>
      <c r="D26" s="37">
        <f>VLOOKUP(Ventas[[#This Row],[Codigo]],Stock[#Data],4,FALSE)</f>
        <v>300</v>
      </c>
      <c r="E26" s="33">
        <f>VLOOKUP(Ventas[[#This Row],[Codigo]],Stock[#Data],3,FALSE)</f>
        <v>165</v>
      </c>
      <c r="F26" s="38">
        <v>3</v>
      </c>
      <c r="G26">
        <v>77</v>
      </c>
      <c r="H26" s="36">
        <f>Ventas[[#This Row],[Precio Venta]]*Ventas[[#This Row],[Cantidad]]-Ventas[[#This Row],[Descuento]]</f>
        <v>900</v>
      </c>
      <c r="I26" s="34">
        <f>Ventas[[#This Row],[Total]]-Ventas[[#This Row],[Precio compra]]*Ventas[[#This Row],[Cantidad]]</f>
        <v>405</v>
      </c>
      <c r="J26" s="34">
        <v>0</v>
      </c>
      <c r="K26" s="34">
        <f>Ventas[[#This Row],[Total]]*Ventas[[#This Row],[Total 3]]</f>
        <v>0</v>
      </c>
      <c r="L26" s="34" t="s">
        <v>760</v>
      </c>
      <c r="M26" s="34">
        <v>0</v>
      </c>
    </row>
    <row r="27" spans="1:13" ht="21.75" customHeight="1">
      <c r="A27" s="16"/>
      <c r="B27" s="64">
        <v>45047</v>
      </c>
      <c r="C27" s="57" t="str">
        <f>VLOOKUP(Ventas[[#This Row],[Codigo]],Stock[#Data],2,FALSE)</f>
        <v>Sedas RAW 1/4 +tips BROWN</v>
      </c>
      <c r="D27" s="37">
        <f>VLOOKUP(Ventas[[#This Row],[Codigo]],Stock[#Data],4,FALSE)</f>
        <v>1150</v>
      </c>
      <c r="E27" s="33">
        <f>VLOOKUP(Ventas[[#This Row],[Codigo]],Stock[#Data],3,FALSE)</f>
        <v>568</v>
      </c>
      <c r="F27" s="38">
        <v>1</v>
      </c>
      <c r="G27">
        <v>80</v>
      </c>
      <c r="H27" s="36">
        <f>Ventas[[#This Row],[Precio Venta]]*Ventas[[#This Row],[Cantidad]]-Ventas[[#This Row],[Descuento]]</f>
        <v>1150</v>
      </c>
      <c r="I27" s="34">
        <f>Ventas[[#This Row],[Total]]-Ventas[[#This Row],[Precio compra]]*Ventas[[#This Row],[Cantidad]]</f>
        <v>582</v>
      </c>
      <c r="J27" s="34">
        <v>0</v>
      </c>
      <c r="K27" s="34">
        <f>Ventas[[#This Row],[Total]]*Ventas[[#This Row],[Total 3]]</f>
        <v>0</v>
      </c>
      <c r="L27" s="34" t="s">
        <v>760</v>
      </c>
      <c r="M27" s="34">
        <v>0</v>
      </c>
    </row>
    <row r="28" spans="1:13" ht="21.75" customHeight="1">
      <c r="A28" s="16"/>
      <c r="B28" s="64">
        <v>45047</v>
      </c>
      <c r="C28" s="57" t="str">
        <f>VLOOKUP(Ventas[[#This Row],[Codigo]],Stock[#Data],2,FALSE)</f>
        <v xml:space="preserve">Sedas GIZEH Kz +tips </v>
      </c>
      <c r="D28" s="37">
        <f>VLOOKUP(Ventas[[#This Row],[Codigo]],Stock[#Data],4,FALSE)</f>
        <v>700</v>
      </c>
      <c r="E28" s="33">
        <f>VLOOKUP(Ventas[[#This Row],[Codigo]],Stock[#Data],3,FALSE)</f>
        <v>350</v>
      </c>
      <c r="F28" s="38">
        <v>1</v>
      </c>
      <c r="G28">
        <v>88</v>
      </c>
      <c r="H28" s="36">
        <f>Ventas[[#This Row],[Precio Venta]]*Ventas[[#This Row],[Cantidad]]-Ventas[[#This Row],[Descuento]]</f>
        <v>700</v>
      </c>
      <c r="I28" s="34">
        <f>Ventas[[#This Row],[Total]]-Ventas[[#This Row],[Precio compra]]*Ventas[[#This Row],[Cantidad]]</f>
        <v>350</v>
      </c>
      <c r="J28" s="34">
        <v>0</v>
      </c>
      <c r="K28" s="34">
        <f>Ventas[[#This Row],[Total]]*Ventas[[#This Row],[Total 3]]</f>
        <v>0</v>
      </c>
      <c r="L28" s="34" t="s">
        <v>760</v>
      </c>
      <c r="M28" s="34">
        <v>0</v>
      </c>
    </row>
    <row r="29" spans="1:13" ht="21.75" customHeight="1">
      <c r="A29" s="16"/>
      <c r="B29" s="64">
        <v>45047</v>
      </c>
      <c r="C29" s="57" t="str">
        <f>VLOOKUP(Ventas[[#This Row],[Codigo]],Stock[#Data],2,FALSE)</f>
        <v>Tips OCB Organic</v>
      </c>
      <c r="D29" s="37">
        <f>VLOOKUP(Ventas[[#This Row],[Codigo]],Stock[#Data],4,FALSE)</f>
        <v>300</v>
      </c>
      <c r="E29" s="33">
        <f>VLOOKUP(Ventas[[#This Row],[Codigo]],Stock[#Data],3,FALSE)</f>
        <v>156</v>
      </c>
      <c r="F29" s="38">
        <v>1</v>
      </c>
      <c r="G29">
        <v>95</v>
      </c>
      <c r="H29" s="36">
        <f>Ventas[[#This Row],[Precio Venta]]*Ventas[[#This Row],[Cantidad]]-Ventas[[#This Row],[Descuento]]</f>
        <v>300</v>
      </c>
      <c r="I29" s="34">
        <f>Ventas[[#This Row],[Total]]-Ventas[[#This Row],[Precio compra]]*Ventas[[#This Row],[Cantidad]]</f>
        <v>144</v>
      </c>
      <c r="J29" s="34">
        <v>0</v>
      </c>
      <c r="K29" s="34">
        <f>Ventas[[#This Row],[Total]]*Ventas[[#This Row],[Total 3]]</f>
        <v>0</v>
      </c>
      <c r="L29" s="34" t="s">
        <v>760</v>
      </c>
      <c r="M29" s="34">
        <v>0</v>
      </c>
    </row>
    <row r="30" spans="1:13" ht="21.75" customHeight="1">
      <c r="A30" s="16"/>
      <c r="B30" s="64">
        <v>45047</v>
      </c>
      <c r="C30" s="57" t="str">
        <f>VLOOKUP(Ventas[[#This Row],[Codigo]],Stock[#Data],2,FALSE)</f>
        <v>Filtros GIZEH biodegradable</v>
      </c>
      <c r="D30" s="37">
        <f>VLOOKUP(Ventas[[#This Row],[Codigo]],Stock[#Data],4,FALSE)</f>
        <v>450</v>
      </c>
      <c r="E30" s="33">
        <f>VLOOKUP(Ventas[[#This Row],[Codigo]],Stock[#Data],3,FALSE)</f>
        <v>280</v>
      </c>
      <c r="F30" s="38">
        <v>1</v>
      </c>
      <c r="G30">
        <v>107</v>
      </c>
      <c r="H30" s="36">
        <f>Ventas[[#This Row],[Precio Venta]]*Ventas[[#This Row],[Cantidad]]-Ventas[[#This Row],[Descuento]]</f>
        <v>450</v>
      </c>
      <c r="I30" s="34">
        <f>Ventas[[#This Row],[Total]]-Ventas[[#This Row],[Precio compra]]*Ventas[[#This Row],[Cantidad]]</f>
        <v>170</v>
      </c>
      <c r="J30" s="34">
        <v>0</v>
      </c>
      <c r="K30" s="34">
        <f>Ventas[[#This Row],[Total]]*Ventas[[#This Row],[Total 3]]</f>
        <v>0</v>
      </c>
      <c r="L30" s="34" t="s">
        <v>760</v>
      </c>
      <c r="M30" s="34">
        <v>0</v>
      </c>
    </row>
    <row r="31" spans="1:13" ht="21.75" customHeight="1">
      <c r="A31" s="16"/>
      <c r="B31" s="64">
        <v>45047</v>
      </c>
      <c r="C31" s="57" t="str">
        <f>VLOOKUP(Ventas[[#This Row],[Codigo]],Stock[#Data],2,FALSE)</f>
        <v>Tabaco Van Kiff Chocolate</v>
      </c>
      <c r="D31" s="37">
        <f>VLOOKUP(Ventas[[#This Row],[Codigo]],Stock[#Data],4,FALSE)</f>
        <v>850</v>
      </c>
      <c r="E31" s="33">
        <f>VLOOKUP(Ventas[[#This Row],[Codigo]],Stock[#Data],3,FALSE)</f>
        <v>580</v>
      </c>
      <c r="F31" s="38">
        <v>1</v>
      </c>
      <c r="G31">
        <v>119</v>
      </c>
      <c r="H31" s="36">
        <f>Ventas[[#This Row],[Precio Venta]]*Ventas[[#This Row],[Cantidad]]-Ventas[[#This Row],[Descuento]]</f>
        <v>850</v>
      </c>
      <c r="I31" s="34">
        <f>Ventas[[#This Row],[Total]]-Ventas[[#This Row],[Precio compra]]*Ventas[[#This Row],[Cantidad]]</f>
        <v>270</v>
      </c>
      <c r="J31" s="34">
        <v>0</v>
      </c>
      <c r="K31" s="34">
        <f>Ventas[[#This Row],[Total]]*Ventas[[#This Row],[Total 3]]</f>
        <v>0</v>
      </c>
      <c r="L31" s="34" t="s">
        <v>760</v>
      </c>
      <c r="M31" s="34">
        <v>0</v>
      </c>
    </row>
    <row r="32" spans="1:13" ht="21.75" customHeight="1">
      <c r="A32" s="16"/>
      <c r="B32" s="64">
        <v>45047</v>
      </c>
      <c r="C32" s="57" t="str">
        <f>VLOOKUP(Ventas[[#This Row],[Codigo]],Stock[#Data],2,FALSE)</f>
        <v>Tabaco Van Kiff Vainilla</v>
      </c>
      <c r="D32" s="37">
        <f>VLOOKUP(Ventas[[#This Row],[Codigo]],Stock[#Data],4,FALSE)</f>
        <v>850</v>
      </c>
      <c r="E32" s="33">
        <f>VLOOKUP(Ventas[[#This Row],[Codigo]],Stock[#Data],3,FALSE)</f>
        <v>580</v>
      </c>
      <c r="F32" s="38">
        <v>1</v>
      </c>
      <c r="G32">
        <v>120</v>
      </c>
      <c r="H32" s="36">
        <f>Ventas[[#This Row],[Precio Venta]]*Ventas[[#This Row],[Cantidad]]-Ventas[[#This Row],[Descuento]]</f>
        <v>850</v>
      </c>
      <c r="I32" s="34">
        <f>Ventas[[#This Row],[Total]]-Ventas[[#This Row],[Precio compra]]*Ventas[[#This Row],[Cantidad]]</f>
        <v>270</v>
      </c>
      <c r="J32" s="34">
        <v>0</v>
      </c>
      <c r="K32" s="34">
        <f>Ventas[[#This Row],[Total]]*Ventas[[#This Row],[Total 3]]</f>
        <v>0</v>
      </c>
      <c r="L32" s="34" t="s">
        <v>760</v>
      </c>
      <c r="M32" s="34">
        <v>0</v>
      </c>
    </row>
    <row r="33" spans="1:13" ht="21.75" customHeight="1">
      <c r="A33" s="16"/>
      <c r="B33" s="64">
        <v>45047</v>
      </c>
      <c r="C33" s="57" t="str">
        <f>VLOOKUP(Ventas[[#This Row],[Codigo]],Stock[#Data],2,FALSE)</f>
        <v>Bandeja RAW chica</v>
      </c>
      <c r="D33" s="37">
        <f>VLOOKUP(Ventas[[#This Row],[Codigo]],Stock[#Data],4,FALSE)</f>
        <v>3700</v>
      </c>
      <c r="E33" s="33">
        <f>VLOOKUP(Ventas[[#This Row],[Codigo]],Stock[#Data],3,FALSE)</f>
        <v>1847</v>
      </c>
      <c r="F33" s="38">
        <v>1</v>
      </c>
      <c r="G33">
        <v>129</v>
      </c>
      <c r="H33" s="36">
        <f>Ventas[[#This Row],[Precio Venta]]*Ventas[[#This Row],[Cantidad]]-Ventas[[#This Row],[Descuento]]</f>
        <v>3700</v>
      </c>
      <c r="I33" s="34">
        <f>Ventas[[#This Row],[Total]]-Ventas[[#This Row],[Precio compra]]*Ventas[[#This Row],[Cantidad]]</f>
        <v>1853</v>
      </c>
      <c r="J33" s="34">
        <v>0</v>
      </c>
      <c r="K33" s="34">
        <f>Ventas[[#This Row],[Total]]*Ventas[[#This Row],[Total 3]]</f>
        <v>0</v>
      </c>
      <c r="L33" s="34" t="s">
        <v>760</v>
      </c>
      <c r="M33" s="34">
        <v>0</v>
      </c>
    </row>
    <row r="34" spans="1:13" ht="21.75" customHeight="1">
      <c r="A34" s="16"/>
      <c r="B34" s="64">
        <v>45047</v>
      </c>
      <c r="C34" s="57" t="str">
        <f>VLOOKUP(Ventas[[#This Row],[Codigo]],Stock[#Data],2,FALSE)</f>
        <v>Pipa Silicona</v>
      </c>
      <c r="D34" s="37">
        <f>VLOOKUP(Ventas[[#This Row],[Codigo]],Stock[#Data],4,FALSE)</f>
        <v>3800</v>
      </c>
      <c r="E34" s="33">
        <f>VLOOKUP(Ventas[[#This Row],[Codigo]],Stock[#Data],3,FALSE)</f>
        <v>1895</v>
      </c>
      <c r="F34" s="38">
        <v>1</v>
      </c>
      <c r="G34">
        <v>157</v>
      </c>
      <c r="H34" s="36">
        <f>Ventas[[#This Row],[Precio Venta]]*Ventas[[#This Row],[Cantidad]]-Ventas[[#This Row],[Descuento]]</f>
        <v>3800</v>
      </c>
      <c r="I34" s="34">
        <f>Ventas[[#This Row],[Total]]-Ventas[[#This Row],[Precio compra]]*Ventas[[#This Row],[Cantidad]]</f>
        <v>1905</v>
      </c>
      <c r="J34" s="34">
        <v>0</v>
      </c>
      <c r="K34" s="34">
        <f>Ventas[[#This Row],[Total]]*Ventas[[#This Row],[Total 3]]</f>
        <v>0</v>
      </c>
      <c r="L34" s="34" t="s">
        <v>760</v>
      </c>
      <c r="M34" s="34">
        <v>0</v>
      </c>
    </row>
    <row r="35" spans="1:13" ht="21.75" customHeight="1">
      <c r="A35" s="16"/>
      <c r="B35" s="64">
        <v>45047</v>
      </c>
      <c r="C35" s="57" t="str">
        <f>VLOOKUP(Ventas[[#This Row],[Codigo]],Stock[#Data],2,FALSE)</f>
        <v>Turbina Pico de Silicona</v>
      </c>
      <c r="D35" s="37">
        <f>VLOOKUP(Ventas[[#This Row],[Codigo]],Stock[#Data],4,FALSE)</f>
        <v>2200</v>
      </c>
      <c r="E35" s="33">
        <f>VLOOKUP(Ventas[[#This Row],[Codigo]],Stock[#Data],3,FALSE)</f>
        <v>1076</v>
      </c>
      <c r="F35" s="38">
        <v>1</v>
      </c>
      <c r="G35">
        <v>164</v>
      </c>
      <c r="H35" s="36">
        <f>Ventas[[#This Row],[Precio Venta]]*Ventas[[#This Row],[Cantidad]]-Ventas[[#This Row],[Descuento]]</f>
        <v>2200</v>
      </c>
      <c r="I35" s="34">
        <f>Ventas[[#This Row],[Total]]-Ventas[[#This Row],[Precio compra]]*Ventas[[#This Row],[Cantidad]]</f>
        <v>1124</v>
      </c>
      <c r="J35" s="34">
        <v>0</v>
      </c>
      <c r="K35" s="34">
        <f>Ventas[[#This Row],[Total]]*Ventas[[#This Row],[Total 3]]</f>
        <v>0</v>
      </c>
      <c r="L35" s="34" t="s">
        <v>760</v>
      </c>
      <c r="M35" s="34">
        <v>0</v>
      </c>
    </row>
    <row r="36" spans="1:13" ht="21.75" customHeight="1">
      <c r="A36" s="16"/>
      <c r="B36" s="64">
        <v>45047</v>
      </c>
      <c r="C36" s="57" t="str">
        <f>VLOOKUP(Ventas[[#This Row],[Codigo]],Stock[#Data],2,FALSE)</f>
        <v>Turbina Bate</v>
      </c>
      <c r="D36" s="37">
        <f>VLOOKUP(Ventas[[#This Row],[Codigo]],Stock[#Data],4,FALSE)</f>
        <v>2500</v>
      </c>
      <c r="E36" s="33">
        <f>VLOOKUP(Ventas[[#This Row],[Codigo]],Stock[#Data],3,FALSE)</f>
        <v>1237</v>
      </c>
      <c r="F36" s="38">
        <v>1</v>
      </c>
      <c r="G36">
        <v>165</v>
      </c>
      <c r="H36" s="36">
        <f>Ventas[[#This Row],[Precio Venta]]*Ventas[[#This Row],[Cantidad]]-Ventas[[#This Row],[Descuento]]</f>
        <v>2500</v>
      </c>
      <c r="I36" s="34">
        <f>Ventas[[#This Row],[Total]]-Ventas[[#This Row],[Precio compra]]*Ventas[[#This Row],[Cantidad]]</f>
        <v>1263</v>
      </c>
      <c r="J36" s="34">
        <v>0</v>
      </c>
      <c r="K36" s="34">
        <f>Ventas[[#This Row],[Total]]*Ventas[[#This Row],[Total 3]]</f>
        <v>0</v>
      </c>
      <c r="L36" s="34" t="s">
        <v>760</v>
      </c>
      <c r="M36" s="34">
        <v>0</v>
      </c>
    </row>
    <row r="37" spans="1:13" ht="21.75" customHeight="1">
      <c r="A37" s="16"/>
      <c r="B37" s="64">
        <v>45047</v>
      </c>
      <c r="C37" s="57" t="str">
        <f>VLOOKUP(Ventas[[#This Row],[Codigo]],Stock[#Data],2,FALSE)</f>
        <v xml:space="preserve">Pastilla para pipa ZEUS </v>
      </c>
      <c r="D37" s="37">
        <f>VLOOKUP(Ventas[[#This Row],[Codigo]],Stock[#Data],4,FALSE)</f>
        <v>550</v>
      </c>
      <c r="E37" s="33">
        <f>VLOOKUP(Ventas[[#This Row],[Codigo]],Stock[#Data],3,FALSE)</f>
        <v>261</v>
      </c>
      <c r="F37" s="38">
        <v>1</v>
      </c>
      <c r="G37">
        <v>192</v>
      </c>
      <c r="H37" s="36">
        <f>Ventas[[#This Row],[Precio Venta]]*Ventas[[#This Row],[Cantidad]]-Ventas[[#This Row],[Descuento]]</f>
        <v>550</v>
      </c>
      <c r="I37" s="34">
        <f>Ventas[[#This Row],[Total]]-Ventas[[#This Row],[Precio compra]]*Ventas[[#This Row],[Cantidad]]</f>
        <v>289</v>
      </c>
      <c r="J37" s="34">
        <v>0</v>
      </c>
      <c r="K37" s="34">
        <f>Ventas[[#This Row],[Total]]*Ventas[[#This Row],[Total 3]]</f>
        <v>0</v>
      </c>
      <c r="L37" s="34" t="s">
        <v>760</v>
      </c>
      <c r="M37" s="34">
        <v>0</v>
      </c>
    </row>
    <row r="38" spans="1:13" ht="21.75" customHeight="1">
      <c r="A38" s="16"/>
      <c r="B38" s="64">
        <v>45047</v>
      </c>
      <c r="C38" s="57" t="str">
        <f>VLOOKUP(Ventas[[#This Row],[Codigo]],Stock[#Data],2,FALSE)</f>
        <v>Piedra para encendedor</v>
      </c>
      <c r="D38" s="37">
        <f>VLOOKUP(Ventas[[#This Row],[Codigo]],Stock[#Data],4,FALSE)</f>
        <v>450</v>
      </c>
      <c r="E38" s="33">
        <f>VLOOKUP(Ventas[[#This Row],[Codigo]],Stock[#Data],3,FALSE)</f>
        <v>223</v>
      </c>
      <c r="F38" s="38">
        <v>1</v>
      </c>
      <c r="G38">
        <v>201</v>
      </c>
      <c r="H38" s="36">
        <f>Ventas[[#This Row],[Precio Venta]]*Ventas[[#This Row],[Cantidad]]-Ventas[[#This Row],[Descuento]]</f>
        <v>450</v>
      </c>
      <c r="I38" s="34">
        <f>Ventas[[#This Row],[Total]]-Ventas[[#This Row],[Precio compra]]*Ventas[[#This Row],[Cantidad]]</f>
        <v>227</v>
      </c>
      <c r="J38" s="34">
        <v>0</v>
      </c>
      <c r="K38" s="34">
        <f>Ventas[[#This Row],[Total]]*Ventas[[#This Row],[Total 3]]</f>
        <v>0</v>
      </c>
      <c r="L38" s="34" t="s">
        <v>760</v>
      </c>
      <c r="M38" s="34">
        <v>0</v>
      </c>
    </row>
    <row r="39" spans="1:13" ht="21.75" customHeight="1">
      <c r="A39" s="16"/>
      <c r="B39" s="64">
        <v>45047</v>
      </c>
      <c r="C39" s="57" t="str">
        <f>VLOOKUP(Ventas[[#This Row],[Codigo]],Stock[#Data],2,FALSE)</f>
        <v>Picador D&amp;K Calavera Mexicana</v>
      </c>
      <c r="D39" s="37">
        <f>VLOOKUP(Ventas[[#This Row],[Codigo]],Stock[#Data],4,FALSE)</f>
        <v>2500</v>
      </c>
      <c r="E39" s="33">
        <f>VLOOKUP(Ventas[[#This Row],[Codigo]],Stock[#Data],3,FALSE)</f>
        <v>1250</v>
      </c>
      <c r="F39" s="38">
        <v>1</v>
      </c>
      <c r="G39">
        <v>215</v>
      </c>
      <c r="H39" s="36">
        <f>Ventas[[#This Row],[Precio Venta]]*Ventas[[#This Row],[Cantidad]]-Ventas[[#This Row],[Descuento]]</f>
        <v>2500</v>
      </c>
      <c r="I39" s="34">
        <f>Ventas[[#This Row],[Total]]-Ventas[[#This Row],[Precio compra]]*Ventas[[#This Row],[Cantidad]]</f>
        <v>1250</v>
      </c>
      <c r="J39" s="34">
        <v>0</v>
      </c>
      <c r="K39" s="34">
        <f>Ventas[[#This Row],[Total]]*Ventas[[#This Row],[Total 3]]</f>
        <v>0</v>
      </c>
      <c r="L39" s="34" t="s">
        <v>760</v>
      </c>
      <c r="M39" s="34">
        <v>0</v>
      </c>
    </row>
    <row r="40" spans="1:13" ht="21.75" customHeight="1">
      <c r="A40" s="16"/>
      <c r="B40" s="64">
        <v>45047</v>
      </c>
      <c r="C40" s="57" t="str">
        <f>VLOOKUP(Ventas[[#This Row],[Codigo]],Stock[#Data],2,FALSE)</f>
        <v>Bandeja de Almacidos 25</v>
      </c>
      <c r="D40" s="37">
        <f>VLOOKUP(Ventas[[#This Row],[Codigo]],Stock[#Data],4,FALSE)</f>
        <v>400</v>
      </c>
      <c r="E40" s="33">
        <f>VLOOKUP(Ventas[[#This Row],[Codigo]],Stock[#Data],3,FALSE)</f>
        <v>198</v>
      </c>
      <c r="F40" s="38">
        <v>2</v>
      </c>
      <c r="G40">
        <v>245</v>
      </c>
      <c r="H40" s="36">
        <f>Ventas[[#This Row],[Precio Venta]]*Ventas[[#This Row],[Cantidad]]-Ventas[[#This Row],[Descuento]]</f>
        <v>800</v>
      </c>
      <c r="I40" s="34">
        <f>Ventas[[#This Row],[Total]]-Ventas[[#This Row],[Precio compra]]*Ventas[[#This Row],[Cantidad]]</f>
        <v>404</v>
      </c>
      <c r="J40" s="34">
        <v>0</v>
      </c>
      <c r="K40" s="34">
        <f>Ventas[[#This Row],[Total]]*Ventas[[#This Row],[Total 3]]</f>
        <v>0</v>
      </c>
      <c r="L40" s="34" t="s">
        <v>760</v>
      </c>
      <c r="M40" s="34">
        <v>0</v>
      </c>
    </row>
    <row r="41" spans="1:13" ht="21.75" customHeight="1">
      <c r="A41" s="16"/>
      <c r="B41" s="64">
        <v>45047</v>
      </c>
      <c r="C41" s="57" t="str">
        <f>VLOOKUP(Ventas[[#This Row],[Codigo]],Stock[#Data],2,FALSE)</f>
        <v xml:space="preserve">pilas </v>
      </c>
      <c r="D41" s="37">
        <f>VLOOKUP(Ventas[[#This Row],[Codigo]],Stock[#Data],4,FALSE)</f>
        <v>100</v>
      </c>
      <c r="E41" s="33">
        <f>VLOOKUP(Ventas[[#This Row],[Codigo]],Stock[#Data],3,FALSE)</f>
        <v>29</v>
      </c>
      <c r="F41" s="38">
        <v>4</v>
      </c>
      <c r="G41">
        <v>261</v>
      </c>
      <c r="H41" s="36">
        <f>Ventas[[#This Row],[Precio Venta]]*Ventas[[#This Row],[Cantidad]]-Ventas[[#This Row],[Descuento]]</f>
        <v>400</v>
      </c>
      <c r="I41" s="34">
        <f>Ventas[[#This Row],[Total]]-Ventas[[#This Row],[Precio compra]]*Ventas[[#This Row],[Cantidad]]</f>
        <v>284</v>
      </c>
      <c r="J41" s="34">
        <v>0</v>
      </c>
      <c r="K41" s="34">
        <f>Ventas[[#This Row],[Total]]*Ventas[[#This Row],[Total 3]]</f>
        <v>0</v>
      </c>
      <c r="L41" s="34" t="s">
        <v>760</v>
      </c>
      <c r="M41" s="34">
        <v>0</v>
      </c>
    </row>
    <row r="42" spans="1:13" ht="21.75" customHeight="1">
      <c r="A42" s="16"/>
      <c r="B42" s="64">
        <v>45047</v>
      </c>
      <c r="C42" s="57" t="str">
        <f>VLOOKUP(Ventas[[#This Row],[Codigo]],Stock[#Data],2,FALSE)</f>
        <v>Sedas Blunt Rey 1/4  Hemp</v>
      </c>
      <c r="D42" s="37">
        <f>VLOOKUP(Ventas[[#This Row],[Codigo]],Stock[#Data],4,FALSE)</f>
        <v>250</v>
      </c>
      <c r="E42" s="33">
        <f>VLOOKUP(Ventas[[#This Row],[Codigo]],Stock[#Data],3,FALSE)</f>
        <v>120</v>
      </c>
      <c r="F42" s="38">
        <v>1</v>
      </c>
      <c r="G42">
        <v>287</v>
      </c>
      <c r="H42" s="36">
        <f>Ventas[[#This Row],[Precio Venta]]*Ventas[[#This Row],[Cantidad]]-Ventas[[#This Row],[Descuento]]</f>
        <v>250</v>
      </c>
      <c r="I42" s="34">
        <f>Ventas[[#This Row],[Total]]-Ventas[[#This Row],[Precio compra]]*Ventas[[#This Row],[Cantidad]]</f>
        <v>130</v>
      </c>
      <c r="J42" s="34">
        <v>0</v>
      </c>
      <c r="K42" s="34">
        <f>Ventas[[#This Row],[Total]]*Ventas[[#This Row],[Total 3]]</f>
        <v>0</v>
      </c>
      <c r="L42" s="34" t="s">
        <v>760</v>
      </c>
      <c r="M42" s="34">
        <v>0</v>
      </c>
    </row>
    <row r="43" spans="1:13" ht="21.75" customHeight="1">
      <c r="A43" s="16"/>
      <c r="B43" s="64">
        <v>45047</v>
      </c>
      <c r="C43" s="57" t="str">
        <f>VLOOKUP(Ventas[[#This Row],[Codigo]],Stock[#Data],2,FALSE)</f>
        <v>Hisopos de madera 20 u</v>
      </c>
      <c r="D43" s="37">
        <f>VLOOKUP(Ventas[[#This Row],[Codigo]],Stock[#Data],4,FALSE)</f>
        <v>300</v>
      </c>
      <c r="E43" s="33">
        <f>VLOOKUP(Ventas[[#This Row],[Codigo]],Stock[#Data],3,FALSE)</f>
        <v>175</v>
      </c>
      <c r="F43" s="38">
        <v>5</v>
      </c>
      <c r="G43">
        <v>301</v>
      </c>
      <c r="H43" s="36">
        <f>Ventas[[#This Row],[Precio Venta]]*Ventas[[#This Row],[Cantidad]]-Ventas[[#This Row],[Descuento]]</f>
        <v>1500</v>
      </c>
      <c r="I43" s="34">
        <f>Ventas[[#This Row],[Total]]-Ventas[[#This Row],[Precio compra]]*Ventas[[#This Row],[Cantidad]]</f>
        <v>625</v>
      </c>
      <c r="J43" s="34">
        <v>0</v>
      </c>
      <c r="K43" s="34">
        <f>Ventas[[#This Row],[Total]]*Ventas[[#This Row],[Total 3]]</f>
        <v>0</v>
      </c>
      <c r="L43" s="34" t="s">
        <v>760</v>
      </c>
      <c r="M43" s="34">
        <v>0</v>
      </c>
    </row>
    <row r="44" spans="1:13" ht="21.75" customHeight="1">
      <c r="A44" s="16"/>
      <c r="B44" s="64">
        <v>45047</v>
      </c>
      <c r="C44" s="57" t="str">
        <f>VLOOKUP(Ventas[[#This Row],[Codigo]],Stock[#Data],2,FALSE)</f>
        <v>Tuqueros</v>
      </c>
      <c r="D44" s="37">
        <f>VLOOKUP(Ventas[[#This Row],[Codigo]],Stock[#Data],4,FALSE)</f>
        <v>50</v>
      </c>
      <c r="E44" s="33">
        <f>VLOOKUP(Ventas[[#This Row],[Codigo]],Stock[#Data],3,FALSE)</f>
        <v>12</v>
      </c>
      <c r="F44" s="38">
        <v>1</v>
      </c>
      <c r="G44">
        <v>307</v>
      </c>
      <c r="H44" s="36">
        <f>Ventas[[#This Row],[Precio Venta]]*Ventas[[#This Row],[Cantidad]]-Ventas[[#This Row],[Descuento]]</f>
        <v>50</v>
      </c>
      <c r="I44" s="34">
        <f>Ventas[[#This Row],[Total]]-Ventas[[#This Row],[Precio compra]]*Ventas[[#This Row],[Cantidad]]</f>
        <v>38</v>
      </c>
      <c r="J44" s="34">
        <v>0</v>
      </c>
      <c r="K44" s="34">
        <f>Ventas[[#This Row],[Total]]*Ventas[[#This Row],[Total 3]]</f>
        <v>0</v>
      </c>
      <c r="L44" s="34" t="s">
        <v>760</v>
      </c>
      <c r="M44" s="34">
        <v>0</v>
      </c>
    </row>
    <row r="45" spans="1:13" ht="21.75" customHeight="1">
      <c r="A45" s="16"/>
      <c r="B45" s="64">
        <v>45047</v>
      </c>
      <c r="C45" s="57" t="str">
        <f>VLOOKUP(Ventas[[#This Row],[Codigo]],Stock[#Data],2,FALSE)</f>
        <v>Tips STAMPS ECO</v>
      </c>
      <c r="D45" s="37">
        <f>VLOOKUP(Ventas[[#This Row],[Codigo]],Stock[#Data],4,FALSE)</f>
        <v>150</v>
      </c>
      <c r="E45" s="33">
        <f>VLOOKUP(Ventas[[#This Row],[Codigo]],Stock[#Data],3,FALSE)</f>
        <v>73</v>
      </c>
      <c r="F45" s="38">
        <v>7</v>
      </c>
      <c r="G45">
        <v>308</v>
      </c>
      <c r="H45" s="36">
        <f>Ventas[[#This Row],[Precio Venta]]*Ventas[[#This Row],[Cantidad]]-Ventas[[#This Row],[Descuento]]</f>
        <v>1050</v>
      </c>
      <c r="I45" s="34">
        <f>Ventas[[#This Row],[Total]]-Ventas[[#This Row],[Precio compra]]*Ventas[[#This Row],[Cantidad]]</f>
        <v>539</v>
      </c>
      <c r="J45" s="34">
        <v>0</v>
      </c>
      <c r="K45" s="34">
        <f>Ventas[[#This Row],[Total]]*Ventas[[#This Row],[Total 3]]</f>
        <v>0</v>
      </c>
      <c r="L45" s="34" t="s">
        <v>760</v>
      </c>
      <c r="M45" s="34">
        <v>0</v>
      </c>
    </row>
    <row r="46" spans="1:13" ht="21.75" customHeight="1">
      <c r="A46" s="16"/>
      <c r="B46" s="64">
        <v>45047</v>
      </c>
      <c r="C46" s="57" t="str">
        <f>VLOOKUP(Ventas[[#This Row],[Codigo]],Stock[#Data],2,FALSE)</f>
        <v>Sedas Lion Rolling Circus Ultra Thin</v>
      </c>
      <c r="D46" s="37">
        <f>VLOOKUP(Ventas[[#This Row],[Codigo]],Stock[#Data],4,FALSE)</f>
        <v>250</v>
      </c>
      <c r="E46" s="33">
        <f>VLOOKUP(Ventas[[#This Row],[Codigo]],Stock[#Data],3,FALSE)</f>
        <v>123</v>
      </c>
      <c r="F46" s="38">
        <v>1</v>
      </c>
      <c r="G46">
        <v>309</v>
      </c>
      <c r="H46" s="36">
        <f>Ventas[[#This Row],[Precio Venta]]*Ventas[[#This Row],[Cantidad]]-Ventas[[#This Row],[Descuento]]</f>
        <v>250</v>
      </c>
      <c r="I46" s="34">
        <f>Ventas[[#This Row],[Total]]-Ventas[[#This Row],[Precio compra]]*Ventas[[#This Row],[Cantidad]]</f>
        <v>127</v>
      </c>
      <c r="J46" s="34">
        <v>0</v>
      </c>
      <c r="K46" s="34">
        <f>Ventas[[#This Row],[Total]]*Ventas[[#This Row],[Total 3]]</f>
        <v>0</v>
      </c>
      <c r="L46" s="34" t="s">
        <v>760</v>
      </c>
      <c r="M46" s="34">
        <v>0</v>
      </c>
    </row>
    <row r="47" spans="1:13" ht="21.75" customHeight="1">
      <c r="A47" s="16"/>
      <c r="B47" s="64">
        <v>45047</v>
      </c>
      <c r="C47" s="57" t="str">
        <f>VLOOKUP(Ventas[[#This Row],[Codigo]],Stock[#Data],2,FALSE)</f>
        <v xml:space="preserve">Malla para Rosin Keep is Fresh 120 micras x10 </v>
      </c>
      <c r="D47" s="37">
        <f>VLOOKUP(Ventas[[#This Row],[Codigo]],Stock[#Data],4,FALSE)</f>
        <v>5000</v>
      </c>
      <c r="E47" s="33">
        <f>VLOOKUP(Ventas[[#This Row],[Codigo]],Stock[#Data],3,FALSE)</f>
        <v>2556</v>
      </c>
      <c r="F47" s="38">
        <v>1</v>
      </c>
      <c r="G47">
        <v>321</v>
      </c>
      <c r="H47" s="36">
        <f>Ventas[[#This Row],[Precio Venta]]*Ventas[[#This Row],[Cantidad]]-Ventas[[#This Row],[Descuento]]</f>
        <v>5000</v>
      </c>
      <c r="I47" s="34">
        <f>Ventas[[#This Row],[Total]]-Ventas[[#This Row],[Precio compra]]*Ventas[[#This Row],[Cantidad]]</f>
        <v>2444</v>
      </c>
      <c r="J47" s="34">
        <v>0</v>
      </c>
      <c r="K47" s="34">
        <f>Ventas[[#This Row],[Total]]*Ventas[[#This Row],[Total 3]]</f>
        <v>0</v>
      </c>
      <c r="L47" s="34" t="s">
        <v>760</v>
      </c>
      <c r="M47" s="34">
        <v>0</v>
      </c>
    </row>
    <row r="48" spans="1:13" ht="21.75" customHeight="1">
      <c r="A48" s="16"/>
      <c r="B48" s="64">
        <v>45047</v>
      </c>
      <c r="C48" s="57" t="str">
        <f>VLOOKUP(Ventas[[#This Row],[Codigo]],Stock[#Data],2,FALSE)</f>
        <v xml:space="preserve">ocb ultimate </v>
      </c>
      <c r="D48" s="37">
        <f>VLOOKUP(Ventas[[#This Row],[Codigo]],Stock[#Data],4,FALSE)</f>
        <v>300</v>
      </c>
      <c r="E48" s="33">
        <f>VLOOKUP(Ventas[[#This Row],[Codigo]],Stock[#Data],3,FALSE)</f>
        <v>165</v>
      </c>
      <c r="F48" s="38">
        <v>3</v>
      </c>
      <c r="G48">
        <v>354</v>
      </c>
      <c r="H48" s="36">
        <f>Ventas[[#This Row],[Precio Venta]]*Ventas[[#This Row],[Cantidad]]-Ventas[[#This Row],[Descuento]]</f>
        <v>900</v>
      </c>
      <c r="I48" s="34">
        <f>Ventas[[#This Row],[Total]]-Ventas[[#This Row],[Precio compra]]*Ventas[[#This Row],[Cantidad]]</f>
        <v>405</v>
      </c>
      <c r="J48" s="34">
        <v>0</v>
      </c>
      <c r="K48" s="34">
        <f>Ventas[[#This Row],[Total]]*Ventas[[#This Row],[Total 3]]</f>
        <v>0</v>
      </c>
      <c r="L48" s="34" t="s">
        <v>760</v>
      </c>
      <c r="M48" s="34">
        <v>0</v>
      </c>
    </row>
    <row r="49" spans="1:13" ht="21.75" customHeight="1">
      <c r="A49" s="16"/>
      <c r="B49" s="64">
        <v>45047</v>
      </c>
      <c r="C49" s="57" t="str">
        <f>VLOOKUP(Ventas[[#This Row],[Codigo]],Stock[#Data],2,FALSE)</f>
        <v xml:space="preserve">ocb white </v>
      </c>
      <c r="D49" s="37">
        <f>VLOOKUP(Ventas[[#This Row],[Codigo]],Stock[#Data],4,FALSE)</f>
        <v>250</v>
      </c>
      <c r="E49" s="33">
        <f>VLOOKUP(Ventas[[#This Row],[Codigo]],Stock[#Data],3,FALSE)</f>
        <v>115</v>
      </c>
      <c r="F49" s="38">
        <v>1</v>
      </c>
      <c r="G49">
        <v>355</v>
      </c>
      <c r="H49" s="36">
        <f>Ventas[[#This Row],[Precio Venta]]*Ventas[[#This Row],[Cantidad]]-Ventas[[#This Row],[Descuento]]</f>
        <v>250</v>
      </c>
      <c r="I49" s="34">
        <f>Ventas[[#This Row],[Total]]-Ventas[[#This Row],[Precio compra]]*Ventas[[#This Row],[Cantidad]]</f>
        <v>135</v>
      </c>
      <c r="J49" s="34">
        <v>0</v>
      </c>
      <c r="K49" s="34">
        <f>Ventas[[#This Row],[Total]]*Ventas[[#This Row],[Total 3]]</f>
        <v>0</v>
      </c>
      <c r="L49" s="34" t="s">
        <v>760</v>
      </c>
      <c r="M49" s="34">
        <v>0</v>
      </c>
    </row>
    <row r="50" spans="1:13" ht="21.75" customHeight="1">
      <c r="A50" s="16"/>
      <c r="B50" s="64">
        <v>45047</v>
      </c>
      <c r="C50" s="57" t="str">
        <f>VLOOKUP(Ventas[[#This Row],[Codigo]],Stock[#Data],2,FALSE)</f>
        <v xml:space="preserve">tips moon </v>
      </c>
      <c r="D50" s="37">
        <f>VLOOKUP(Ventas[[#This Row],[Codigo]],Stock[#Data],4,FALSE)</f>
        <v>100</v>
      </c>
      <c r="E50" s="33">
        <f>VLOOKUP(Ventas[[#This Row],[Codigo]],Stock[#Data],3,FALSE)</f>
        <v>50</v>
      </c>
      <c r="F50" s="38">
        <v>1</v>
      </c>
      <c r="G50">
        <v>356</v>
      </c>
      <c r="H50" s="36">
        <f>Ventas[[#This Row],[Precio Venta]]*Ventas[[#This Row],[Cantidad]]-Ventas[[#This Row],[Descuento]]</f>
        <v>100</v>
      </c>
      <c r="I50" s="34">
        <f>Ventas[[#This Row],[Total]]-Ventas[[#This Row],[Precio compra]]*Ventas[[#This Row],[Cantidad]]</f>
        <v>50</v>
      </c>
      <c r="J50" s="34">
        <v>0</v>
      </c>
      <c r="K50" s="34">
        <f>Ventas[[#This Row],[Total]]*Ventas[[#This Row],[Total 3]]</f>
        <v>0</v>
      </c>
      <c r="L50" s="34" t="s">
        <v>760</v>
      </c>
      <c r="M50" s="34">
        <v>0</v>
      </c>
    </row>
    <row r="51" spans="1:13" ht="21.75" customHeight="1">
      <c r="A51" s="16"/>
      <c r="B51" s="64">
        <v>45047</v>
      </c>
      <c r="C51" s="57" t="str">
        <f>VLOOKUP(Ventas[[#This Row],[Codigo]],Stock[#Data],2,FALSE)</f>
        <v>Macetas Soplada 15L</v>
      </c>
      <c r="D51" s="37">
        <f>VLOOKUP(Ventas[[#This Row],[Codigo]],Stock[#Data],4,FALSE)</f>
        <v>450</v>
      </c>
      <c r="E51" s="33">
        <f>VLOOKUP(Ventas[[#This Row],[Codigo]],Stock[#Data],3,FALSE)</f>
        <v>222</v>
      </c>
      <c r="F51" s="38">
        <v>10</v>
      </c>
      <c r="G51">
        <v>380</v>
      </c>
      <c r="H51" s="36">
        <f>Ventas[[#This Row],[Precio Venta]]*Ventas[[#This Row],[Cantidad]]-Ventas[[#This Row],[Descuento]]</f>
        <v>4500</v>
      </c>
      <c r="I51" s="34">
        <f>Ventas[[#This Row],[Total]]-Ventas[[#This Row],[Precio compra]]*Ventas[[#This Row],[Cantidad]]</f>
        <v>2280</v>
      </c>
      <c r="J51" s="34">
        <v>0</v>
      </c>
      <c r="K51" s="34">
        <f>Ventas[[#This Row],[Total]]*Ventas[[#This Row],[Total 3]]</f>
        <v>0</v>
      </c>
      <c r="L51" s="34" t="s">
        <v>760</v>
      </c>
      <c r="M51" s="34">
        <v>0</v>
      </c>
    </row>
    <row r="52" spans="1:13" ht="21.75" customHeight="1">
      <c r="A52" s="16"/>
      <c r="B52" s="64">
        <v>45047</v>
      </c>
      <c r="C52" s="57" t="str">
        <f>VLOOKUP(Ventas[[#This Row],[Codigo]],Stock[#Data],2,FALSE)</f>
        <v xml:space="preserve">Blunt Wrap Cosmopolitan </v>
      </c>
      <c r="D52" s="37">
        <f>VLOOKUP(Ventas[[#This Row],[Codigo]],Stock[#Data],4,FALSE)</f>
        <v>500</v>
      </c>
      <c r="E52" s="33">
        <f>VLOOKUP(Ventas[[#This Row],[Codigo]],Stock[#Data],3,FALSE)</f>
        <v>225</v>
      </c>
      <c r="F52" s="38">
        <v>1</v>
      </c>
      <c r="G52">
        <v>387</v>
      </c>
      <c r="H52" s="36">
        <f>Ventas[[#This Row],[Precio Venta]]*Ventas[[#This Row],[Cantidad]]-Ventas[[#This Row],[Descuento]]</f>
        <v>500</v>
      </c>
      <c r="I52" s="34">
        <f>Ventas[[#This Row],[Total]]-Ventas[[#This Row],[Precio compra]]*Ventas[[#This Row],[Cantidad]]</f>
        <v>275</v>
      </c>
      <c r="J52" s="34">
        <v>0</v>
      </c>
      <c r="K52" s="34">
        <f>Ventas[[#This Row],[Total]]*Ventas[[#This Row],[Total 3]]</f>
        <v>0</v>
      </c>
      <c r="L52" s="34" t="s">
        <v>760</v>
      </c>
      <c r="M52" s="34">
        <v>0</v>
      </c>
    </row>
    <row r="53" spans="1:13" ht="21.75" customHeight="1">
      <c r="A53" s="16"/>
      <c r="B53" s="64">
        <v>45047</v>
      </c>
      <c r="C53" s="57" t="str">
        <f>VLOOKUP(Ventas[[#This Row],[Codigo]],Stock[#Data],2,FALSE)</f>
        <v>Sedas RAW Connoisseur 1/4</v>
      </c>
      <c r="D53" s="37">
        <f>VLOOKUP(Ventas[[#This Row],[Codigo]],Stock[#Data],4,FALSE)</f>
        <v>1300</v>
      </c>
      <c r="E53" s="33">
        <f>VLOOKUP(Ventas[[#This Row],[Codigo]],Stock[#Data],3,FALSE)</f>
        <v>677</v>
      </c>
      <c r="F53" s="38">
        <v>1</v>
      </c>
      <c r="G53">
        <v>927</v>
      </c>
      <c r="H53" s="36">
        <f>Ventas[[#This Row],[Precio Venta]]*Ventas[[#This Row],[Cantidad]]-Ventas[[#This Row],[Descuento]]</f>
        <v>1300</v>
      </c>
      <c r="I53" s="34">
        <f>Ventas[[#This Row],[Total]]-Ventas[[#This Row],[Precio compra]]*Ventas[[#This Row],[Cantidad]]</f>
        <v>623</v>
      </c>
      <c r="J53" s="34">
        <v>0</v>
      </c>
      <c r="K53" s="34">
        <f>Ventas[[#This Row],[Total]]*Ventas[[#This Row],[Total 3]]</f>
        <v>0</v>
      </c>
      <c r="L53" s="34" t="s">
        <v>760</v>
      </c>
      <c r="M53" s="34">
        <v>0</v>
      </c>
    </row>
    <row r="54" spans="1:13" ht="21.75" customHeight="1">
      <c r="A54" s="16"/>
      <c r="B54" s="64">
        <v>45047</v>
      </c>
      <c r="C54" s="57" t="str">
        <f>VLOOKUP(Ventas[[#This Row],[Codigo]],Stock[#Data],2,FALSE)</f>
        <v xml:space="preserve">Filtros Gizhe + Sedas </v>
      </c>
      <c r="D54" s="37">
        <f>VLOOKUP(Ventas[[#This Row],[Codigo]],Stock[#Data],4,FALSE)</f>
        <v>350</v>
      </c>
      <c r="E54" s="33">
        <f>VLOOKUP(Ventas[[#This Row],[Codigo]],Stock[#Data],3,FALSE)</f>
        <v>150</v>
      </c>
      <c r="F54" s="38">
        <v>2</v>
      </c>
      <c r="G54">
        <v>476</v>
      </c>
      <c r="H54" s="36">
        <f>Ventas[[#This Row],[Precio Venta]]*Ventas[[#This Row],[Cantidad]]-Ventas[[#This Row],[Descuento]]</f>
        <v>700</v>
      </c>
      <c r="I54" s="34">
        <f>Ventas[[#This Row],[Total]]-Ventas[[#This Row],[Precio compra]]*Ventas[[#This Row],[Cantidad]]</f>
        <v>400</v>
      </c>
      <c r="J54" s="34">
        <v>0</v>
      </c>
      <c r="K54" s="34">
        <f>Ventas[[#This Row],[Total]]*Ventas[[#This Row],[Total 3]]</f>
        <v>0</v>
      </c>
      <c r="L54" s="34" t="s">
        <v>760</v>
      </c>
      <c r="M54" s="34">
        <v>0</v>
      </c>
    </row>
    <row r="55" spans="1:13" ht="21.75" customHeight="1">
      <c r="A55" s="16"/>
      <c r="B55" s="64">
        <v>45047</v>
      </c>
      <c r="C55" s="57" t="str">
        <f>VLOOKUP(Ventas[[#This Row],[Codigo]],Stock[#Data],2,FALSE)</f>
        <v>Namaste Flora Booster 100ml</v>
      </c>
      <c r="D55" s="37">
        <f>VLOOKUP(Ventas[[#This Row],[Codigo]],Stock[#Data],4,FALSE)</f>
        <v>1000</v>
      </c>
      <c r="E55" s="33">
        <f>VLOOKUP(Ventas[[#This Row],[Codigo]],Stock[#Data],3,FALSE)</f>
        <v>517</v>
      </c>
      <c r="F55" s="38">
        <v>1</v>
      </c>
      <c r="G55">
        <v>480</v>
      </c>
      <c r="H55" s="36">
        <f>Ventas[[#This Row],[Precio Venta]]*Ventas[[#This Row],[Cantidad]]-Ventas[[#This Row],[Descuento]]</f>
        <v>1000</v>
      </c>
      <c r="I55" s="34">
        <f>Ventas[[#This Row],[Total]]-Ventas[[#This Row],[Precio compra]]*Ventas[[#This Row],[Cantidad]]</f>
        <v>483</v>
      </c>
      <c r="J55" s="34">
        <v>0</v>
      </c>
      <c r="K55" s="34">
        <f>Ventas[[#This Row],[Total]]*Ventas[[#This Row],[Total 3]]</f>
        <v>0</v>
      </c>
      <c r="L55" s="34" t="s">
        <v>760</v>
      </c>
      <c r="M55" s="34">
        <v>0</v>
      </c>
    </row>
    <row r="56" spans="1:13" ht="21.75" customHeight="1">
      <c r="A56" s="16"/>
      <c r="B56" s="64">
        <v>45047</v>
      </c>
      <c r="C56" s="57" t="str">
        <f>VLOOKUP(Ventas[[#This Row],[Codigo]],Stock[#Data],2,FALSE)</f>
        <v>Namaste Oro Negro 500ml</v>
      </c>
      <c r="D56" s="37">
        <f>VLOOKUP(Ventas[[#This Row],[Codigo]],Stock[#Data],4,FALSE)</f>
        <v>2500</v>
      </c>
      <c r="E56" s="33">
        <f>VLOOKUP(Ventas[[#This Row],[Codigo]],Stock[#Data],3,FALSE)</f>
        <v>1390</v>
      </c>
      <c r="F56" s="38">
        <v>1</v>
      </c>
      <c r="G56">
        <v>497</v>
      </c>
      <c r="H56" s="36">
        <f>Ventas[[#This Row],[Precio Venta]]*Ventas[[#This Row],[Cantidad]]-Ventas[[#This Row],[Descuento]]</f>
        <v>2500</v>
      </c>
      <c r="I56" s="34">
        <f>Ventas[[#This Row],[Total]]-Ventas[[#This Row],[Precio compra]]*Ventas[[#This Row],[Cantidad]]</f>
        <v>1110</v>
      </c>
      <c r="J56" s="34">
        <v>0</v>
      </c>
      <c r="K56" s="34">
        <f>Ventas[[#This Row],[Total]]*Ventas[[#This Row],[Total 3]]</f>
        <v>0</v>
      </c>
      <c r="L56" s="34" t="s">
        <v>760</v>
      </c>
      <c r="M56" s="34">
        <v>0</v>
      </c>
    </row>
    <row r="57" spans="1:13" ht="21.75" customHeight="1">
      <c r="A57" s="16"/>
      <c r="B57" s="64">
        <v>45047</v>
      </c>
      <c r="C57" s="57" t="str">
        <f>VLOOKUP(Ventas[[#This Row],[Codigo]],Stock[#Data],2,FALSE)</f>
        <v>Anillos de Silicona</v>
      </c>
      <c r="D57" s="37">
        <f>VLOOKUP(Ventas[[#This Row],[Codigo]],Stock[#Data],4,FALSE)</f>
        <v>700</v>
      </c>
      <c r="E57" s="33">
        <f>VLOOKUP(Ventas[[#This Row],[Codigo]],Stock[#Data],3,FALSE)</f>
        <v>345</v>
      </c>
      <c r="F57" s="38">
        <v>1</v>
      </c>
      <c r="G57">
        <v>548</v>
      </c>
      <c r="H57" s="36">
        <f>Ventas[[#This Row],[Precio Venta]]*Ventas[[#This Row],[Cantidad]]-Ventas[[#This Row],[Descuento]]</f>
        <v>700</v>
      </c>
      <c r="I57" s="34">
        <f>Ventas[[#This Row],[Total]]-Ventas[[#This Row],[Precio compra]]*Ventas[[#This Row],[Cantidad]]</f>
        <v>355</v>
      </c>
      <c r="J57" s="34">
        <v>0</v>
      </c>
      <c r="K57" s="34">
        <f>Ventas[[#This Row],[Total]]*Ventas[[#This Row],[Total 3]]</f>
        <v>0</v>
      </c>
      <c r="L57" s="34" t="s">
        <v>760</v>
      </c>
      <c r="M57" s="34">
        <v>0</v>
      </c>
    </row>
    <row r="58" spans="1:13" ht="21.75" customHeight="1">
      <c r="A58" s="16"/>
      <c r="B58" s="64">
        <v>45047</v>
      </c>
      <c r="C58" s="57" t="str">
        <f>VLOOKUP(Ventas[[#This Row],[Codigo]],Stock[#Data],2,FALSE)</f>
        <v>Lata+Picador 420</v>
      </c>
      <c r="D58" s="37">
        <f>VLOOKUP(Ventas[[#This Row],[Codigo]],Stock[#Data],4,FALSE)</f>
        <v>1500</v>
      </c>
      <c r="E58" s="33">
        <f>VLOOKUP(Ventas[[#This Row],[Codigo]],Stock[#Data],3,FALSE)</f>
        <v>600</v>
      </c>
      <c r="F58" s="38">
        <v>1</v>
      </c>
      <c r="G58">
        <v>559</v>
      </c>
      <c r="H58" s="36">
        <f>Ventas[[#This Row],[Precio Venta]]*Ventas[[#This Row],[Cantidad]]-Ventas[[#This Row],[Descuento]]</f>
        <v>1500</v>
      </c>
      <c r="I58" s="34">
        <f>Ventas[[#This Row],[Total]]-Ventas[[#This Row],[Precio compra]]*Ventas[[#This Row],[Cantidad]]</f>
        <v>900</v>
      </c>
      <c r="J58" s="34">
        <v>0</v>
      </c>
      <c r="K58" s="34">
        <f>Ventas[[#This Row],[Total]]*Ventas[[#This Row],[Total 3]]</f>
        <v>0</v>
      </c>
      <c r="L58" s="34" t="s">
        <v>760</v>
      </c>
      <c r="M58" s="34">
        <v>0</v>
      </c>
    </row>
    <row r="59" spans="1:13" ht="21.75" customHeight="1">
      <c r="A59" s="16"/>
      <c r="B59" s="64">
        <v>45047</v>
      </c>
      <c r="C59" s="57" t="str">
        <f>VLOOKUP(Ventas[[#This Row],[Codigo]],Stock[#Data],2,FALSE)</f>
        <v>Picador Zeus 3p Plastico</v>
      </c>
      <c r="D59" s="37">
        <f>VLOOKUP(Ventas[[#This Row],[Codigo]],Stock[#Data],4,FALSE)</f>
        <v>1000</v>
      </c>
      <c r="E59" s="33">
        <f>VLOOKUP(Ventas[[#This Row],[Codigo]],Stock[#Data],3,FALSE)</f>
        <v>460</v>
      </c>
      <c r="F59" s="38">
        <v>1</v>
      </c>
      <c r="G59">
        <v>564</v>
      </c>
      <c r="H59" s="36">
        <f>Ventas[[#This Row],[Precio Venta]]*Ventas[[#This Row],[Cantidad]]-Ventas[[#This Row],[Descuento]]</f>
        <v>1000</v>
      </c>
      <c r="I59" s="34">
        <f>Ventas[[#This Row],[Total]]-Ventas[[#This Row],[Precio compra]]*Ventas[[#This Row],[Cantidad]]</f>
        <v>540</v>
      </c>
      <c r="J59" s="34">
        <v>0</v>
      </c>
      <c r="K59" s="34">
        <f>Ventas[[#This Row],[Total]]*Ventas[[#This Row],[Total 3]]</f>
        <v>0</v>
      </c>
      <c r="L59" s="34" t="s">
        <v>760</v>
      </c>
      <c r="M59" s="34">
        <v>0</v>
      </c>
    </row>
    <row r="60" spans="1:13" ht="21.75" customHeight="1">
      <c r="A60" s="16"/>
      <c r="B60" s="64">
        <v>45047</v>
      </c>
      <c r="C60" s="57" t="str">
        <f>VLOOKUP(Ventas[[#This Row],[Codigo]],Stock[#Data],2,FALSE)</f>
        <v>Namaste Shanti 100ml</v>
      </c>
      <c r="D60" s="37">
        <f>VLOOKUP(Ventas[[#This Row],[Codigo]],Stock[#Data],4,FALSE)</f>
        <v>2000</v>
      </c>
      <c r="E60" s="33">
        <f>VLOOKUP(Ventas[[#This Row],[Codigo]],Stock[#Data],3,FALSE)</f>
        <v>932</v>
      </c>
      <c r="F60" s="38">
        <v>1</v>
      </c>
      <c r="G60">
        <v>569</v>
      </c>
      <c r="H60" s="36">
        <f>Ventas[[#This Row],[Precio Venta]]*Ventas[[#This Row],[Cantidad]]-Ventas[[#This Row],[Descuento]]</f>
        <v>2000</v>
      </c>
      <c r="I60" s="34">
        <f>Ventas[[#This Row],[Total]]-Ventas[[#This Row],[Precio compra]]*Ventas[[#This Row],[Cantidad]]</f>
        <v>1068</v>
      </c>
      <c r="J60" s="34">
        <v>0</v>
      </c>
      <c r="K60" s="34">
        <f>Ventas[[#This Row],[Total]]*Ventas[[#This Row],[Total 3]]</f>
        <v>0</v>
      </c>
      <c r="L60" s="34" t="s">
        <v>760</v>
      </c>
      <c r="M60" s="34">
        <v>0</v>
      </c>
    </row>
    <row r="61" spans="1:13" ht="21.75" customHeight="1">
      <c r="A61" s="16"/>
      <c r="B61" s="64">
        <v>45047</v>
      </c>
      <c r="C61" s="57" t="str">
        <f>VLOOKUP(Ventas[[#This Row],[Codigo]],Stock[#Data],2,FALSE)</f>
        <v xml:space="preserve">Timer SICA </v>
      </c>
      <c r="D61" s="37">
        <f>VLOOKUP(Ventas[[#This Row],[Codigo]],Stock[#Data],4,FALSE)</f>
        <v>3000</v>
      </c>
      <c r="E61" s="33">
        <f>VLOOKUP(Ventas[[#This Row],[Codigo]],Stock[#Data],3,FALSE)</f>
        <v>1786</v>
      </c>
      <c r="F61" s="38">
        <v>1</v>
      </c>
      <c r="G61">
        <v>574</v>
      </c>
      <c r="H61" s="36">
        <f>Ventas[[#This Row],[Precio Venta]]*Ventas[[#This Row],[Cantidad]]-Ventas[[#This Row],[Descuento]]</f>
        <v>3000</v>
      </c>
      <c r="I61" s="34">
        <f>Ventas[[#This Row],[Total]]-Ventas[[#This Row],[Precio compra]]*Ventas[[#This Row],[Cantidad]]</f>
        <v>1214</v>
      </c>
      <c r="J61" s="34">
        <v>0</v>
      </c>
      <c r="K61" s="34">
        <f>Ventas[[#This Row],[Total]]*Ventas[[#This Row],[Total 3]]</f>
        <v>0</v>
      </c>
      <c r="L61" s="34" t="s">
        <v>760</v>
      </c>
      <c r="M61" s="34">
        <v>0</v>
      </c>
    </row>
    <row r="62" spans="1:13" ht="21.75" customHeight="1">
      <c r="A62" s="16"/>
      <c r="B62" s="64">
        <v>45047</v>
      </c>
      <c r="C62" s="57" t="str">
        <f>VLOOKUP(Ventas[[#This Row],[Codigo]],Stock[#Data],2,FALSE)</f>
        <v>Filtros Gizeh x100 6mm</v>
      </c>
      <c r="D62" s="37">
        <f>VLOOKUP(Ventas[[#This Row],[Codigo]],Stock[#Data],4,FALSE)</f>
        <v>400</v>
      </c>
      <c r="E62" s="33">
        <f>VLOOKUP(Ventas[[#This Row],[Codigo]],Stock[#Data],3,FALSE)</f>
        <v>190</v>
      </c>
      <c r="F62" s="38">
        <v>3</v>
      </c>
      <c r="G62">
        <v>586</v>
      </c>
      <c r="H62" s="36">
        <f>Ventas[[#This Row],[Precio Venta]]*Ventas[[#This Row],[Cantidad]]-Ventas[[#This Row],[Descuento]]</f>
        <v>1200</v>
      </c>
      <c r="I62" s="34">
        <f>Ventas[[#This Row],[Total]]-Ventas[[#This Row],[Precio compra]]*Ventas[[#This Row],[Cantidad]]</f>
        <v>630</v>
      </c>
      <c r="J62" s="34">
        <v>0</v>
      </c>
      <c r="K62" s="34">
        <f>Ventas[[#This Row],[Total]]*Ventas[[#This Row],[Total 3]]</f>
        <v>0</v>
      </c>
      <c r="L62" s="34" t="s">
        <v>760</v>
      </c>
      <c r="M62" s="34">
        <v>0</v>
      </c>
    </row>
    <row r="63" spans="1:13" ht="21.75" customHeight="1">
      <c r="A63" s="16"/>
      <c r="B63" s="64">
        <v>45047</v>
      </c>
      <c r="C63" s="57" t="str">
        <f>VLOOKUP(Ventas[[#This Row],[Codigo]],Stock[#Data],2,FALSE)</f>
        <v>Sedas Zeus Celulosa</v>
      </c>
      <c r="D63" s="37">
        <f>VLOOKUP(Ventas[[#This Row],[Codigo]],Stock[#Data],4,FALSE)</f>
        <v>350</v>
      </c>
      <c r="E63" s="33">
        <f>VLOOKUP(Ventas[[#This Row],[Codigo]],Stock[#Data],3,FALSE)</f>
        <v>175</v>
      </c>
      <c r="F63" s="38">
        <v>1</v>
      </c>
      <c r="G63">
        <v>589</v>
      </c>
      <c r="H63" s="36">
        <f>Ventas[[#This Row],[Precio Venta]]*Ventas[[#This Row],[Cantidad]]-Ventas[[#This Row],[Descuento]]</f>
        <v>350</v>
      </c>
      <c r="I63" s="34">
        <f>Ventas[[#This Row],[Total]]-Ventas[[#This Row],[Precio compra]]*Ventas[[#This Row],[Cantidad]]</f>
        <v>175</v>
      </c>
      <c r="J63" s="34">
        <v>0</v>
      </c>
      <c r="K63" s="34">
        <f>Ventas[[#This Row],[Total]]*Ventas[[#This Row],[Total 3]]</f>
        <v>0</v>
      </c>
      <c r="L63" s="34" t="s">
        <v>760</v>
      </c>
      <c r="M63" s="34">
        <v>0</v>
      </c>
    </row>
    <row r="64" spans="1:13" ht="21.75" customHeight="1">
      <c r="A64" s="16"/>
      <c r="B64" s="64">
        <v>45047</v>
      </c>
      <c r="C64" s="57" t="str">
        <f>VLOOKUP(Ventas[[#This Row],[Codigo]],Stock[#Data],2,FALSE)</f>
        <v>OCB Cañamo Organico</v>
      </c>
      <c r="D64" s="37">
        <f>VLOOKUP(Ventas[[#This Row],[Codigo]],Stock[#Data],4,FALSE)</f>
        <v>300</v>
      </c>
      <c r="E64" s="33">
        <f>VLOOKUP(Ventas[[#This Row],[Codigo]],Stock[#Data],3,FALSE)</f>
        <v>165</v>
      </c>
      <c r="F64" s="38">
        <v>1</v>
      </c>
      <c r="G64">
        <v>593</v>
      </c>
      <c r="H64" s="36">
        <f>Ventas[[#This Row],[Precio Venta]]*Ventas[[#This Row],[Cantidad]]-Ventas[[#This Row],[Descuento]]</f>
        <v>300</v>
      </c>
      <c r="I64" s="34">
        <f>Ventas[[#This Row],[Total]]-Ventas[[#This Row],[Precio compra]]*Ventas[[#This Row],[Cantidad]]</f>
        <v>135</v>
      </c>
      <c r="J64" s="34">
        <v>0</v>
      </c>
      <c r="K64" s="34">
        <f>Ventas[[#This Row],[Total]]*Ventas[[#This Row],[Total 3]]</f>
        <v>0</v>
      </c>
      <c r="L64" s="34" t="s">
        <v>760</v>
      </c>
      <c r="M64" s="34">
        <v>0</v>
      </c>
    </row>
    <row r="65" spans="1:13" ht="21.75" customHeight="1">
      <c r="A65" s="16"/>
      <c r="B65" s="64">
        <v>45047</v>
      </c>
      <c r="C65" s="57" t="str">
        <f>VLOOKUP(Ventas[[#This Row],[Codigo]],Stock[#Data],2,FALSE)</f>
        <v>OCB premium</v>
      </c>
      <c r="D65" s="37">
        <f>VLOOKUP(Ventas[[#This Row],[Codigo]],Stock[#Data],4,FALSE)</f>
        <v>300</v>
      </c>
      <c r="E65" s="33">
        <f>VLOOKUP(Ventas[[#This Row],[Codigo]],Stock[#Data],3,FALSE)</f>
        <v>165</v>
      </c>
      <c r="F65" s="38">
        <v>1</v>
      </c>
      <c r="G65">
        <v>594</v>
      </c>
      <c r="H65" s="36">
        <f>Ventas[[#This Row],[Precio Venta]]*Ventas[[#This Row],[Cantidad]]-Ventas[[#This Row],[Descuento]]</f>
        <v>300</v>
      </c>
      <c r="I65" s="34">
        <f>Ventas[[#This Row],[Total]]-Ventas[[#This Row],[Precio compra]]*Ventas[[#This Row],[Cantidad]]</f>
        <v>135</v>
      </c>
      <c r="J65" s="34">
        <v>0</v>
      </c>
      <c r="K65" s="34">
        <f>Ventas[[#This Row],[Total]]*Ventas[[#This Row],[Total 3]]</f>
        <v>0</v>
      </c>
      <c r="L65" s="34" t="s">
        <v>760</v>
      </c>
      <c r="M65" s="34">
        <v>0</v>
      </c>
    </row>
    <row r="66" spans="1:13" ht="21.75" customHeight="1">
      <c r="A66" s="16"/>
      <c r="B66" s="64">
        <v>45047</v>
      </c>
      <c r="C66" s="57" t="str">
        <f>VLOOKUP(Ventas[[#This Row],[Codigo]],Stock[#Data],2,FALSE)</f>
        <v>Perlita 10L</v>
      </c>
      <c r="D66" s="37">
        <f>VLOOKUP(Ventas[[#This Row],[Codigo]],Stock[#Data],4,FALSE)</f>
        <v>900</v>
      </c>
      <c r="E66" s="33">
        <f>VLOOKUP(Ventas[[#This Row],[Codigo]],Stock[#Data],3,FALSE)</f>
        <v>430</v>
      </c>
      <c r="F66" s="38">
        <v>1</v>
      </c>
      <c r="G66">
        <v>608</v>
      </c>
      <c r="H66" s="36">
        <f>Ventas[[#This Row],[Precio Venta]]*Ventas[[#This Row],[Cantidad]]-Ventas[[#This Row],[Descuento]]</f>
        <v>900</v>
      </c>
      <c r="I66" s="34">
        <f>Ventas[[#This Row],[Total]]-Ventas[[#This Row],[Precio compra]]*Ventas[[#This Row],[Cantidad]]</f>
        <v>470</v>
      </c>
      <c r="J66" s="34">
        <v>0</v>
      </c>
      <c r="K66" s="34">
        <f>Ventas[[#This Row],[Total]]*Ventas[[#This Row],[Total 3]]</f>
        <v>0</v>
      </c>
      <c r="L66" s="34" t="s">
        <v>760</v>
      </c>
      <c r="M66" s="34">
        <v>0</v>
      </c>
    </row>
    <row r="67" spans="1:13" ht="21.75" customHeight="1">
      <c r="A67" s="16"/>
      <c r="B67" s="64">
        <v>45047</v>
      </c>
      <c r="C67" s="57" t="str">
        <f>VLOOKUP(Ventas[[#This Row],[Codigo]],Stock[#Data],2,FALSE)</f>
        <v xml:space="preserve">Sedas Stamps Celulosa </v>
      </c>
      <c r="D67" s="37">
        <f>VLOOKUP(Ventas[[#This Row],[Codigo]],Stock[#Data],4,FALSE)</f>
        <v>500</v>
      </c>
      <c r="E67" s="33">
        <f>VLOOKUP(Ventas[[#This Row],[Codigo]],Stock[#Data],3,FALSE)</f>
        <v>260</v>
      </c>
      <c r="F67" s="38">
        <v>2</v>
      </c>
      <c r="G67">
        <v>622</v>
      </c>
      <c r="H67" s="36">
        <f>Ventas[[#This Row],[Precio Venta]]*Ventas[[#This Row],[Cantidad]]-Ventas[[#This Row],[Descuento]]</f>
        <v>1000</v>
      </c>
      <c r="I67" s="34">
        <f>Ventas[[#This Row],[Total]]-Ventas[[#This Row],[Precio compra]]*Ventas[[#This Row],[Cantidad]]</f>
        <v>480</v>
      </c>
      <c r="J67" s="34">
        <v>0</v>
      </c>
      <c r="K67" s="34">
        <f>Ventas[[#This Row],[Total]]*Ventas[[#This Row],[Total 3]]</f>
        <v>0</v>
      </c>
      <c r="L67" s="34" t="s">
        <v>760</v>
      </c>
      <c r="M67" s="34">
        <v>0</v>
      </c>
    </row>
    <row r="68" spans="1:13" ht="21.75" customHeight="1">
      <c r="A68" s="16"/>
      <c r="B68" s="64" t="s">
        <v>1131</v>
      </c>
      <c r="C68" s="57" t="str">
        <f>VLOOKUP(Ventas[[#This Row],[Codigo]],Stock[#Data],2,FALSE)</f>
        <v>Sedas Blunt Rey 1/4 celulosa Orange</v>
      </c>
      <c r="D68" s="37">
        <f>VLOOKUP(Ventas[[#This Row],[Codigo]],Stock[#Data],4,FALSE)</f>
        <v>300</v>
      </c>
      <c r="E68" s="33">
        <f>VLOOKUP(Ventas[[#This Row],[Codigo]],Stock[#Data],3,FALSE)</f>
        <v>143</v>
      </c>
      <c r="F68" s="38">
        <v>1</v>
      </c>
      <c r="G68">
        <v>71</v>
      </c>
      <c r="H68" s="36">
        <f>Ventas[[#This Row],[Precio Venta]]*Ventas[[#This Row],[Cantidad]]-Ventas[[#This Row],[Descuento]]</f>
        <v>300</v>
      </c>
      <c r="I68" s="34">
        <f>Ventas[[#This Row],[Total]]-Ventas[[#This Row],[Precio compra]]*Ventas[[#This Row],[Cantidad]]</f>
        <v>157</v>
      </c>
      <c r="J68" s="34">
        <v>0</v>
      </c>
      <c r="K68" s="34">
        <f>Ventas[[#This Row],[Total]]*Ventas[[#This Row],[Total 3]]</f>
        <v>0</v>
      </c>
      <c r="L68" s="34" t="s">
        <v>760</v>
      </c>
      <c r="M68" s="34">
        <v>0</v>
      </c>
    </row>
    <row r="69" spans="1:13" ht="21.75" customHeight="1">
      <c r="A69" s="16"/>
      <c r="B69" s="64" t="s">
        <v>1131</v>
      </c>
      <c r="C69" s="57" t="str">
        <f>VLOOKUP(Ventas[[#This Row],[Codigo]],Stock[#Data],2,FALSE)</f>
        <v>POWER TREBOL</v>
      </c>
      <c r="D69" s="37">
        <f>VLOOKUP(Ventas[[#This Row],[Codigo]],Stock[#Data],4,FALSE)</f>
        <v>300</v>
      </c>
      <c r="E69" s="33">
        <f>VLOOKUP(Ventas[[#This Row],[Codigo]],Stock[#Data],3,FALSE)</f>
        <v>140</v>
      </c>
      <c r="F69" s="38">
        <v>1</v>
      </c>
      <c r="G69">
        <v>199</v>
      </c>
      <c r="H69" s="36">
        <f>Ventas[[#This Row],[Precio Venta]]*Ventas[[#This Row],[Cantidad]]-Ventas[[#This Row],[Descuento]]</f>
        <v>300</v>
      </c>
      <c r="I69" s="34">
        <f>Ventas[[#This Row],[Total]]-Ventas[[#This Row],[Precio compra]]*Ventas[[#This Row],[Cantidad]]</f>
        <v>160</v>
      </c>
      <c r="J69" s="34">
        <v>0</v>
      </c>
      <c r="K69" s="34">
        <f>Ventas[[#This Row],[Total]]*Ventas[[#This Row],[Total 3]]</f>
        <v>0</v>
      </c>
      <c r="L69" s="34" t="s">
        <v>760</v>
      </c>
      <c r="M69" s="34">
        <v>0</v>
      </c>
    </row>
    <row r="70" spans="1:13" ht="21.75" customHeight="1">
      <c r="A70" s="16"/>
      <c r="B70" s="64" t="s">
        <v>1131</v>
      </c>
      <c r="C70" s="57" t="str">
        <f>VLOOKUP(Ventas[[#This Row],[Codigo]],Stock[#Data],2,FALSE)</f>
        <v>Sedas OCB 1/4 Organic  Bamboo</v>
      </c>
      <c r="D70" s="37">
        <f>VLOOKUP(Ventas[[#This Row],[Codigo]],Stock[#Data],4,FALSE)</f>
        <v>300</v>
      </c>
      <c r="E70" s="33">
        <f>VLOOKUP(Ventas[[#This Row],[Codigo]],Stock[#Data],3,FALSE)</f>
        <v>165</v>
      </c>
      <c r="F70" s="38">
        <v>1</v>
      </c>
      <c r="G70">
        <v>77</v>
      </c>
      <c r="H70" s="36">
        <f>Ventas[[#This Row],[Precio Venta]]*Ventas[[#This Row],[Cantidad]]-Ventas[[#This Row],[Descuento]]</f>
        <v>300</v>
      </c>
      <c r="I70" s="34">
        <f>Ventas[[#This Row],[Total]]-Ventas[[#This Row],[Precio compra]]*Ventas[[#This Row],[Cantidad]]</f>
        <v>135</v>
      </c>
      <c r="J70" s="34">
        <v>0</v>
      </c>
      <c r="K70" s="34">
        <f>Ventas[[#This Row],[Total]]*Ventas[[#This Row],[Total 3]]</f>
        <v>0</v>
      </c>
      <c r="L70" s="34" t="s">
        <v>760</v>
      </c>
      <c r="M70" s="34">
        <v>0</v>
      </c>
    </row>
    <row r="71" spans="1:13" ht="21.75" customHeight="1">
      <c r="A71" s="16"/>
      <c r="B71" s="64" t="s">
        <v>1131</v>
      </c>
      <c r="C71" s="57" t="str">
        <f>VLOOKUP(Ventas[[#This Row],[Codigo]],Stock[#Data],2,FALSE)</f>
        <v xml:space="preserve">Tips Raw Cone </v>
      </c>
      <c r="D71" s="37">
        <f>VLOOKUP(Ventas[[#This Row],[Codigo]],Stock[#Data],4,FALSE)</f>
        <v>450</v>
      </c>
      <c r="E71" s="33">
        <f>VLOOKUP(Ventas[[#This Row],[Codigo]],Stock[#Data],3,FALSE)</f>
        <v>230</v>
      </c>
      <c r="F71" s="38">
        <v>1</v>
      </c>
      <c r="G71">
        <v>453</v>
      </c>
      <c r="H71" s="36">
        <f>Ventas[[#This Row],[Precio Venta]]*Ventas[[#This Row],[Cantidad]]-Ventas[[#This Row],[Descuento]]</f>
        <v>450</v>
      </c>
      <c r="I71" s="34">
        <f>Ventas[[#This Row],[Total]]-Ventas[[#This Row],[Precio compra]]*Ventas[[#This Row],[Cantidad]]</f>
        <v>220</v>
      </c>
      <c r="J71" s="34">
        <v>0</v>
      </c>
      <c r="K71" s="34">
        <f>Ventas[[#This Row],[Total]]*Ventas[[#This Row],[Total 3]]</f>
        <v>0</v>
      </c>
      <c r="L71" s="34" t="s">
        <v>760</v>
      </c>
      <c r="M71" s="34">
        <v>0</v>
      </c>
    </row>
    <row r="72" spans="1:13" ht="21.75" customHeight="1">
      <c r="A72" s="16"/>
      <c r="B72" s="64" t="s">
        <v>1131</v>
      </c>
      <c r="C72" s="57" t="str">
        <f>VLOOKUP(Ventas[[#This Row],[Codigo]],Stock[#Data],2,FALSE)</f>
        <v>Bandeja de Almacidos 72</v>
      </c>
      <c r="D72" s="37">
        <f>VLOOKUP(Ventas[[#This Row],[Codigo]],Stock[#Data],4,FALSE)</f>
        <v>400</v>
      </c>
      <c r="E72" s="33">
        <f>VLOOKUP(Ventas[[#This Row],[Codigo]],Stock[#Data],3,FALSE)</f>
        <v>198</v>
      </c>
      <c r="F72" s="38">
        <v>3</v>
      </c>
      <c r="G72">
        <v>243</v>
      </c>
      <c r="H72" s="36">
        <f>Ventas[[#This Row],[Precio Venta]]*Ventas[[#This Row],[Cantidad]]-Ventas[[#This Row],[Descuento]]</f>
        <v>1200</v>
      </c>
      <c r="I72" s="34">
        <f>Ventas[[#This Row],[Total]]-Ventas[[#This Row],[Precio compra]]*Ventas[[#This Row],[Cantidad]]</f>
        <v>606</v>
      </c>
      <c r="J72" s="34">
        <v>0</v>
      </c>
      <c r="K72" s="34">
        <f>Ventas[[#This Row],[Total]]*Ventas[[#This Row],[Total 3]]</f>
        <v>0</v>
      </c>
      <c r="L72" s="34" t="s">
        <v>760</v>
      </c>
      <c r="M72" s="34">
        <v>0</v>
      </c>
    </row>
    <row r="73" spans="1:13" ht="21.75" customHeight="1">
      <c r="A73" s="16"/>
      <c r="B73" s="64" t="s">
        <v>1131</v>
      </c>
      <c r="C73" s="57" t="str">
        <f>VLOOKUP(Ventas[[#This Row],[Codigo]],Stock[#Data],2,FALSE)</f>
        <v xml:space="preserve">Conos RAW 1/4 </v>
      </c>
      <c r="D73" s="37">
        <f>VLOOKUP(Ventas[[#This Row],[Codigo]],Stock[#Data],4,FALSE)</f>
        <v>1300</v>
      </c>
      <c r="E73" s="33">
        <f>VLOOKUP(Ventas[[#This Row],[Codigo]],Stock[#Data],3,FALSE)</f>
        <v>667</v>
      </c>
      <c r="F73" s="38">
        <v>1</v>
      </c>
      <c r="G73">
        <v>905</v>
      </c>
      <c r="H73" s="36">
        <f>Ventas[[#This Row],[Precio Venta]]*Ventas[[#This Row],[Cantidad]]-Ventas[[#This Row],[Descuento]]</f>
        <v>1300</v>
      </c>
      <c r="I73" s="34">
        <f>Ventas[[#This Row],[Total]]-Ventas[[#This Row],[Precio compra]]*Ventas[[#This Row],[Cantidad]]</f>
        <v>633</v>
      </c>
      <c r="J73" s="34">
        <v>0</v>
      </c>
      <c r="K73" s="34">
        <f>Ventas[[#This Row],[Total]]*Ventas[[#This Row],[Total 3]]</f>
        <v>0</v>
      </c>
      <c r="L73" s="34" t="s">
        <v>760</v>
      </c>
      <c r="M73" s="34">
        <v>0</v>
      </c>
    </row>
    <row r="74" spans="1:13" ht="21.75" customHeight="1">
      <c r="A74" s="16"/>
      <c r="B74" s="64" t="s">
        <v>1131</v>
      </c>
      <c r="C74" s="57" t="str">
        <f>VLOOKUP(Ventas[[#This Row],[Codigo]],Stock[#Data],2,FALSE)</f>
        <v>Sedas OCB 1/4 Organic  Bamboo</v>
      </c>
      <c r="D74" s="37">
        <f>VLOOKUP(Ventas[[#This Row],[Codigo]],Stock[#Data],4,FALSE)</f>
        <v>300</v>
      </c>
      <c r="E74" s="33">
        <f>VLOOKUP(Ventas[[#This Row],[Codigo]],Stock[#Data],3,FALSE)</f>
        <v>165</v>
      </c>
      <c r="F74" s="38">
        <v>1</v>
      </c>
      <c r="G74">
        <v>77</v>
      </c>
      <c r="H74" s="36">
        <f>Ventas[[#This Row],[Precio Venta]]*Ventas[[#This Row],[Cantidad]]-Ventas[[#This Row],[Descuento]]</f>
        <v>300</v>
      </c>
      <c r="I74" s="34">
        <f>Ventas[[#This Row],[Total]]-Ventas[[#This Row],[Precio compra]]*Ventas[[#This Row],[Cantidad]]</f>
        <v>135</v>
      </c>
      <c r="J74" s="34">
        <v>0</v>
      </c>
      <c r="K74" s="34">
        <f>Ventas[[#This Row],[Total]]*Ventas[[#This Row],[Total 3]]</f>
        <v>0</v>
      </c>
      <c r="L74" s="34" t="s">
        <v>760</v>
      </c>
      <c r="M74" s="34">
        <v>0</v>
      </c>
    </row>
    <row r="75" spans="1:13" ht="21.75" customHeight="1">
      <c r="A75" s="16"/>
      <c r="B75" s="64" t="s">
        <v>1131</v>
      </c>
      <c r="C75" s="57" t="str">
        <f>VLOOKUP(Ventas[[#This Row],[Codigo]],Stock[#Data],2,FALSE)</f>
        <v>Sedas Gizeh 1/4 Pure</v>
      </c>
      <c r="D75" s="37">
        <f>VLOOKUP(Ventas[[#This Row],[Codigo]],Stock[#Data],4,FALSE)</f>
        <v>200</v>
      </c>
      <c r="E75" s="33">
        <f>VLOOKUP(Ventas[[#This Row],[Codigo]],Stock[#Data],3,FALSE)</f>
        <v>99</v>
      </c>
      <c r="F75" s="38">
        <v>1</v>
      </c>
      <c r="G75">
        <v>888</v>
      </c>
      <c r="H75" s="36">
        <f>Ventas[[#This Row],[Precio Venta]]*Ventas[[#This Row],[Cantidad]]-Ventas[[#This Row],[Descuento]]</f>
        <v>200</v>
      </c>
      <c r="I75" s="34">
        <f>Ventas[[#This Row],[Total]]-Ventas[[#This Row],[Precio compra]]*Ventas[[#This Row],[Cantidad]]</f>
        <v>101</v>
      </c>
      <c r="J75" s="34">
        <v>0</v>
      </c>
      <c r="K75" s="34">
        <f>Ventas[[#This Row],[Total]]*Ventas[[#This Row],[Total 3]]</f>
        <v>0</v>
      </c>
      <c r="L75" s="34" t="s">
        <v>760</v>
      </c>
      <c r="M75" s="34">
        <v>0</v>
      </c>
    </row>
    <row r="76" spans="1:13" ht="21.75" customHeight="1">
      <c r="A76" s="16"/>
      <c r="B76" s="64">
        <v>45055</v>
      </c>
      <c r="C76" s="57" t="str">
        <f>VLOOKUP(Ventas[[#This Row],[Codigo]],Stock[#Data],2,FALSE)</f>
        <v>Bandeja de Almacidos 25</v>
      </c>
      <c r="D76" s="37">
        <f>VLOOKUP(Ventas[[#This Row],[Codigo]],Stock[#Data],4,FALSE)</f>
        <v>400</v>
      </c>
      <c r="E76" s="33">
        <f>VLOOKUP(Ventas[[#This Row],[Codigo]],Stock[#Data],3,FALSE)</f>
        <v>198</v>
      </c>
      <c r="F76" s="38">
        <v>1</v>
      </c>
      <c r="G76">
        <v>245</v>
      </c>
      <c r="H76" s="36">
        <f>Ventas[[#This Row],[Precio Venta]]*Ventas[[#This Row],[Cantidad]]-Ventas[[#This Row],[Descuento]]</f>
        <v>400</v>
      </c>
      <c r="I76" s="34">
        <f>Ventas[[#This Row],[Total]]-Ventas[[#This Row],[Precio compra]]*Ventas[[#This Row],[Cantidad]]</f>
        <v>202</v>
      </c>
      <c r="J76" s="34">
        <v>0</v>
      </c>
      <c r="K76" s="34">
        <f>Ventas[[#This Row],[Total]]*Ventas[[#This Row],[Total 3]]</f>
        <v>0</v>
      </c>
      <c r="L76" s="34" t="s">
        <v>760</v>
      </c>
      <c r="M76" s="34">
        <v>0</v>
      </c>
    </row>
    <row r="77" spans="1:13" ht="21.75" customHeight="1">
      <c r="A77" s="16"/>
      <c r="B77" s="64">
        <v>45054</v>
      </c>
      <c r="C77" s="57" t="str">
        <f>VLOOKUP(Ventas[[#This Row],[Codigo]],Stock[#Data],2,FALSE)</f>
        <v xml:space="preserve">Sedas GIZEH Kz +tips </v>
      </c>
      <c r="D77" s="37">
        <f>VLOOKUP(Ventas[[#This Row],[Codigo]],Stock[#Data],4,FALSE)</f>
        <v>700</v>
      </c>
      <c r="E77" s="33">
        <f>VLOOKUP(Ventas[[#This Row],[Codigo]],Stock[#Data],3,FALSE)</f>
        <v>350</v>
      </c>
      <c r="F77" s="38">
        <v>1</v>
      </c>
      <c r="G77">
        <v>88</v>
      </c>
      <c r="H77" s="36">
        <f>Ventas[[#This Row],[Precio Venta]]*Ventas[[#This Row],[Cantidad]]-Ventas[[#This Row],[Descuento]]</f>
        <v>700</v>
      </c>
      <c r="I77" s="34">
        <f>Ventas[[#This Row],[Total]]-Ventas[[#This Row],[Precio compra]]*Ventas[[#This Row],[Cantidad]]</f>
        <v>350</v>
      </c>
      <c r="J77" s="34">
        <v>0</v>
      </c>
      <c r="K77" s="34">
        <f>Ventas[[#This Row],[Total]]*Ventas[[#This Row],[Total 3]]</f>
        <v>0</v>
      </c>
      <c r="L77" s="34" t="s">
        <v>760</v>
      </c>
      <c r="M77" s="34">
        <v>0</v>
      </c>
    </row>
    <row r="78" spans="1:13" ht="21.75" customHeight="1">
      <c r="A78" s="16"/>
      <c r="B78" s="64">
        <v>45054</v>
      </c>
      <c r="C78" s="57" t="str">
        <f>VLOOKUP(Ventas[[#This Row],[Codigo]],Stock[#Data],2,FALSE)</f>
        <v>Sauver XL</v>
      </c>
      <c r="D78" s="37">
        <f>VLOOKUP(Ventas[[#This Row],[Codigo]],Stock[#Data],4,FALSE)</f>
        <v>200</v>
      </c>
      <c r="E78" s="33">
        <f>VLOOKUP(Ventas[[#This Row],[Codigo]],Stock[#Data],3,FALSE)</f>
        <v>65</v>
      </c>
      <c r="F78" s="38">
        <v>2</v>
      </c>
      <c r="G78">
        <v>529</v>
      </c>
      <c r="H78" s="36">
        <f>Ventas[[#This Row],[Precio Venta]]*Ventas[[#This Row],[Cantidad]]-Ventas[[#This Row],[Descuento]]</f>
        <v>400</v>
      </c>
      <c r="I78" s="34">
        <f>Ventas[[#This Row],[Total]]-Ventas[[#This Row],[Precio compra]]*Ventas[[#This Row],[Cantidad]]</f>
        <v>270</v>
      </c>
      <c r="J78" s="34">
        <v>0</v>
      </c>
      <c r="K78" s="34">
        <f>Ventas[[#This Row],[Total]]*Ventas[[#This Row],[Total 3]]</f>
        <v>0</v>
      </c>
      <c r="L78" s="34" t="s">
        <v>760</v>
      </c>
      <c r="M78" s="34">
        <v>0</v>
      </c>
    </row>
    <row r="79" spans="1:13" ht="21.75" customHeight="1">
      <c r="A79" s="16"/>
      <c r="B79" s="64">
        <v>45054</v>
      </c>
      <c r="C79" s="57" t="str">
        <f>VLOOKUP(Ventas[[#This Row],[Codigo]],Stock[#Data],2,FALSE)</f>
        <v>Sedas Elements Artesano Ks</v>
      </c>
      <c r="D79" s="37">
        <f>VLOOKUP(Ventas[[#This Row],[Codigo]],Stock[#Data],4,FALSE)</f>
        <v>2000</v>
      </c>
      <c r="E79" s="33">
        <f>VLOOKUP(Ventas[[#This Row],[Codigo]],Stock[#Data],3,FALSE)</f>
        <v>1028</v>
      </c>
      <c r="F79" s="38">
        <v>1</v>
      </c>
      <c r="G79">
        <v>894</v>
      </c>
      <c r="H79" s="36">
        <f>Ventas[[#This Row],[Precio Venta]]*Ventas[[#This Row],[Cantidad]]-Ventas[[#This Row],[Descuento]]</f>
        <v>2000</v>
      </c>
      <c r="I79" s="34">
        <f>Ventas[[#This Row],[Total]]-Ventas[[#This Row],[Precio compra]]*Ventas[[#This Row],[Cantidad]]</f>
        <v>972</v>
      </c>
      <c r="J79" s="34">
        <v>0</v>
      </c>
      <c r="K79" s="34">
        <f>Ventas[[#This Row],[Total]]*Ventas[[#This Row],[Total 3]]</f>
        <v>0</v>
      </c>
      <c r="L79" s="34" t="s">
        <v>760</v>
      </c>
      <c r="M79" s="34">
        <v>0</v>
      </c>
    </row>
    <row r="80" spans="1:13" ht="21.75" customHeight="1">
      <c r="A80" s="16"/>
      <c r="B80" s="64">
        <v>45054</v>
      </c>
      <c r="C80" s="57" t="str">
        <f>VLOOKUP(Ventas[[#This Row],[Codigo]],Stock[#Data],2,FALSE)</f>
        <v>Sedas RAW Connoisseur 1/4</v>
      </c>
      <c r="D80" s="37">
        <f>VLOOKUP(Ventas[[#This Row],[Codigo]],Stock[#Data],4,FALSE)</f>
        <v>1300</v>
      </c>
      <c r="E80" s="33">
        <f>VLOOKUP(Ventas[[#This Row],[Codigo]],Stock[#Data],3,FALSE)</f>
        <v>677</v>
      </c>
      <c r="F80" s="38">
        <v>1</v>
      </c>
      <c r="G80">
        <v>927</v>
      </c>
      <c r="H80" s="36">
        <f>Ventas[[#This Row],[Precio Venta]]*Ventas[[#This Row],[Cantidad]]-Ventas[[#This Row],[Descuento]]</f>
        <v>1300</v>
      </c>
      <c r="I80" s="34">
        <f>Ventas[[#This Row],[Total]]-Ventas[[#This Row],[Precio compra]]*Ventas[[#This Row],[Cantidad]]</f>
        <v>623</v>
      </c>
      <c r="J80" s="34">
        <v>0</v>
      </c>
      <c r="K80" s="34">
        <f>Ventas[[#This Row],[Total]]*Ventas[[#This Row],[Total 3]]</f>
        <v>0</v>
      </c>
      <c r="L80" s="34" t="s">
        <v>760</v>
      </c>
      <c r="M80" s="34">
        <v>0</v>
      </c>
    </row>
    <row r="81" spans="1:13" ht="21.75" customHeight="1">
      <c r="A81" s="16"/>
      <c r="B81" s="64">
        <v>45054</v>
      </c>
      <c r="C81" s="57" t="str">
        <f>VLOOKUP(Ventas[[#This Row],[Codigo]],Stock[#Data],2,FALSE)</f>
        <v>Medidor de PH</v>
      </c>
      <c r="D81" s="37">
        <f>VLOOKUP(Ventas[[#This Row],[Codigo]],Stock[#Data],4,FALSE)</f>
        <v>4000</v>
      </c>
      <c r="E81" s="33">
        <f>VLOOKUP(Ventas[[#This Row],[Codigo]],Stock[#Data],3,FALSE)</f>
        <v>2000</v>
      </c>
      <c r="F81" s="38">
        <v>1</v>
      </c>
      <c r="G81">
        <v>185</v>
      </c>
      <c r="H81" s="36">
        <f>Ventas[[#This Row],[Precio Venta]]*Ventas[[#This Row],[Cantidad]]-Ventas[[#This Row],[Descuento]]</f>
        <v>4000</v>
      </c>
      <c r="I81" s="34">
        <f>Ventas[[#This Row],[Total]]-Ventas[[#This Row],[Precio compra]]*Ventas[[#This Row],[Cantidad]]</f>
        <v>2000</v>
      </c>
      <c r="J81" s="34">
        <v>1</v>
      </c>
      <c r="K81" s="34">
        <f>Ventas[[#This Row],[Total]]*Ventas[[#This Row],[Total 3]]</f>
        <v>4000</v>
      </c>
      <c r="L81" s="34" t="s">
        <v>759</v>
      </c>
      <c r="M81" s="34">
        <v>0</v>
      </c>
    </row>
    <row r="82" spans="1:13" ht="21.75" customHeight="1">
      <c r="A82" s="16"/>
      <c r="B82" s="64">
        <v>45054</v>
      </c>
      <c r="C82" s="57" t="str">
        <f>VLOOKUP(Ventas[[#This Row],[Codigo]],Stock[#Data],2,FALSE)</f>
        <v>Power PH-</v>
      </c>
      <c r="D82" s="37">
        <f>VLOOKUP(Ventas[[#This Row],[Codigo]],Stock[#Data],4,FALSE)</f>
        <v>800</v>
      </c>
      <c r="E82" s="33">
        <f>VLOOKUP(Ventas[[#This Row],[Codigo]],Stock[#Data],3,FALSE)</f>
        <v>400</v>
      </c>
      <c r="F82" s="38">
        <v>1</v>
      </c>
      <c r="G82">
        <v>55</v>
      </c>
      <c r="H82" s="36">
        <f>Ventas[[#This Row],[Precio Venta]]*Ventas[[#This Row],[Cantidad]]-Ventas[[#This Row],[Descuento]]</f>
        <v>800</v>
      </c>
      <c r="I82" s="34">
        <f>Ventas[[#This Row],[Total]]-Ventas[[#This Row],[Precio compra]]*Ventas[[#This Row],[Cantidad]]</f>
        <v>400</v>
      </c>
      <c r="J82" s="34">
        <v>1</v>
      </c>
      <c r="K82" s="34">
        <f>Ventas[[#This Row],[Total]]*Ventas[[#This Row],[Total 3]]</f>
        <v>800</v>
      </c>
      <c r="L82" s="34" t="s">
        <v>759</v>
      </c>
      <c r="M82" s="34">
        <v>0</v>
      </c>
    </row>
    <row r="83" spans="1:13" ht="21.75" customHeight="1">
      <c r="A83" s="16"/>
      <c r="B83" s="64">
        <v>45054</v>
      </c>
      <c r="C83" s="57" t="str">
        <f>VLOOKUP(Ventas[[#This Row],[Codigo]],Stock[#Data],2,FALSE)</f>
        <v>Namaste Ph- 100ml</v>
      </c>
      <c r="D83" s="37">
        <f>VLOOKUP(Ventas[[#This Row],[Codigo]],Stock[#Data],4,FALSE)</f>
        <v>800</v>
      </c>
      <c r="E83" s="33">
        <f>VLOOKUP(Ventas[[#This Row],[Codigo]],Stock[#Data],3,FALSE)</f>
        <v>412</v>
      </c>
      <c r="F83" s="38">
        <v>1</v>
      </c>
      <c r="G83">
        <v>605</v>
      </c>
      <c r="H83" s="36">
        <f>Ventas[[#This Row],[Precio Venta]]*Ventas[[#This Row],[Cantidad]]-Ventas[[#This Row],[Descuento]]</f>
        <v>800</v>
      </c>
      <c r="I83" s="34">
        <f>Ventas[[#This Row],[Total]]-Ventas[[#This Row],[Precio compra]]*Ventas[[#This Row],[Cantidad]]</f>
        <v>388</v>
      </c>
      <c r="J83" s="34">
        <v>1</v>
      </c>
      <c r="K83" s="34">
        <f>Ventas[[#This Row],[Total]]*Ventas[[#This Row],[Total 3]]</f>
        <v>800</v>
      </c>
      <c r="L83" s="34" t="s">
        <v>759</v>
      </c>
      <c r="M83" s="34">
        <v>0</v>
      </c>
    </row>
    <row r="84" spans="1:13" ht="21.75" customHeight="1">
      <c r="A84" s="16"/>
      <c r="B84" s="64">
        <v>45054</v>
      </c>
      <c r="C84" s="57" t="str">
        <f>VLOOKUP(Ventas[[#This Row],[Codigo]],Stock[#Data],2,FALSE)</f>
        <v xml:space="preserve">Bio Proyect Ph + 125ml </v>
      </c>
      <c r="D84" s="37">
        <f>VLOOKUP(Ventas[[#This Row],[Codigo]],Stock[#Data],4,FALSE)</f>
        <v>1300</v>
      </c>
      <c r="E84" s="33">
        <f>VLOOKUP(Ventas[[#This Row],[Codigo]],Stock[#Data],3,FALSE)</f>
        <v>631</v>
      </c>
      <c r="F84" s="38">
        <v>1</v>
      </c>
      <c r="G84">
        <v>441</v>
      </c>
      <c r="H84" s="36">
        <f>Ventas[[#This Row],[Precio Venta]]*Ventas[[#This Row],[Cantidad]]-Ventas[[#This Row],[Descuento]]</f>
        <v>1300</v>
      </c>
      <c r="I84" s="34">
        <f>Ventas[[#This Row],[Total]]-Ventas[[#This Row],[Precio compra]]*Ventas[[#This Row],[Cantidad]]</f>
        <v>669</v>
      </c>
      <c r="J84" s="34">
        <v>1</v>
      </c>
      <c r="K84" s="34">
        <f>Ventas[[#This Row],[Total]]*Ventas[[#This Row],[Total 3]]</f>
        <v>1300</v>
      </c>
      <c r="L84" s="34" t="s">
        <v>759</v>
      </c>
      <c r="M84" s="34">
        <v>0</v>
      </c>
    </row>
    <row r="85" spans="1:13" ht="21.75" customHeight="1">
      <c r="A85" s="16"/>
      <c r="B85" s="64">
        <v>45054</v>
      </c>
      <c r="C85" s="57" t="str">
        <f>VLOOKUP(Ventas[[#This Row],[Codigo]],Stock[#Data],2,FALSE)</f>
        <v>Namaste Nutripack</v>
      </c>
      <c r="D85" s="37">
        <f>VLOOKUP(Ventas[[#This Row],[Codigo]],Stock[#Data],4,FALSE)</f>
        <v>6000</v>
      </c>
      <c r="E85" s="33">
        <f>VLOOKUP(Ventas[[#This Row],[Codigo]],Stock[#Data],3,FALSE)</f>
        <v>3376</v>
      </c>
      <c r="F85" s="38">
        <v>1</v>
      </c>
      <c r="G85">
        <v>346</v>
      </c>
      <c r="H85" s="36">
        <f>Ventas[[#This Row],[Precio Venta]]*Ventas[[#This Row],[Cantidad]]-Ventas[[#This Row],[Descuento]]</f>
        <v>6000</v>
      </c>
      <c r="I85" s="34">
        <f>Ventas[[#This Row],[Total]]-Ventas[[#This Row],[Precio compra]]*Ventas[[#This Row],[Cantidad]]</f>
        <v>2624</v>
      </c>
      <c r="J85" s="34">
        <v>0</v>
      </c>
      <c r="K85" s="34">
        <f>Ventas[[#This Row],[Total]]*Ventas[[#This Row],[Total 3]]</f>
        <v>0</v>
      </c>
      <c r="L85" s="34" t="s">
        <v>760</v>
      </c>
      <c r="M85" s="34">
        <v>0</v>
      </c>
    </row>
    <row r="86" spans="1:13" ht="21.75" customHeight="1">
      <c r="A86" s="16"/>
      <c r="B86" s="64">
        <v>45054</v>
      </c>
      <c r="C86" s="57" t="str">
        <f>VLOOKUP(Ventas[[#This Row],[Codigo]],Stock[#Data],2,FALSE)</f>
        <v>Sustrato Perlita</v>
      </c>
      <c r="D86" s="37">
        <f>VLOOKUP(Ventas[[#This Row],[Codigo]],Stock[#Data],4,FALSE)</f>
        <v>800</v>
      </c>
      <c r="E86" s="33">
        <f>VLOOKUP(Ventas[[#This Row],[Codigo]],Stock[#Data],3,FALSE)</f>
        <v>400</v>
      </c>
      <c r="F86" s="38">
        <v>6</v>
      </c>
      <c r="G86">
        <v>52</v>
      </c>
      <c r="H86" s="36">
        <f>Ventas[[#This Row],[Precio Venta]]*Ventas[[#This Row],[Cantidad]]-Ventas[[#This Row],[Descuento]]</f>
        <v>4700</v>
      </c>
      <c r="I86" s="34">
        <f>Ventas[[#This Row],[Total]]-Ventas[[#This Row],[Precio compra]]*Ventas[[#This Row],[Cantidad]]</f>
        <v>2300</v>
      </c>
      <c r="J86" s="34">
        <v>0</v>
      </c>
      <c r="K86" s="34">
        <f>Ventas[[#This Row],[Total]]*Ventas[[#This Row],[Total 3]]</f>
        <v>0</v>
      </c>
      <c r="L86" s="34" t="s">
        <v>760</v>
      </c>
      <c r="M86" s="34">
        <v>100</v>
      </c>
    </row>
    <row r="87" spans="1:13" ht="21.75" customHeight="1">
      <c r="A87" s="16"/>
      <c r="B87" s="64">
        <v>45054</v>
      </c>
      <c r="C87" s="57" t="str">
        <f>VLOOKUP(Ventas[[#This Row],[Codigo]],Stock[#Data],2,FALSE)</f>
        <v>Macetas Soplada 15L</v>
      </c>
      <c r="D87" s="37">
        <f>VLOOKUP(Ventas[[#This Row],[Codigo]],Stock[#Data],4,FALSE)</f>
        <v>450</v>
      </c>
      <c r="E87" s="33">
        <f>VLOOKUP(Ventas[[#This Row],[Codigo]],Stock[#Data],3,FALSE)</f>
        <v>222</v>
      </c>
      <c r="F87" s="38">
        <v>2</v>
      </c>
      <c r="G87">
        <v>380</v>
      </c>
      <c r="H87" s="36">
        <f>Ventas[[#This Row],[Precio Venta]]*Ventas[[#This Row],[Cantidad]]-Ventas[[#This Row],[Descuento]]</f>
        <v>900</v>
      </c>
      <c r="I87" s="34">
        <f>Ventas[[#This Row],[Total]]-Ventas[[#This Row],[Precio compra]]*Ventas[[#This Row],[Cantidad]]</f>
        <v>456</v>
      </c>
      <c r="J87" s="34">
        <v>0</v>
      </c>
      <c r="K87" s="34">
        <f>Ventas[[#This Row],[Total]]*Ventas[[#This Row],[Total 3]]</f>
        <v>0</v>
      </c>
      <c r="L87" s="34" t="s">
        <v>760</v>
      </c>
      <c r="M87" s="34">
        <v>0</v>
      </c>
    </row>
    <row r="88" spans="1:13" ht="21.75" customHeight="1">
      <c r="A88" s="16"/>
      <c r="B88" s="64">
        <v>45054</v>
      </c>
      <c r="C88" s="57" t="str">
        <f>VLOOKUP(Ventas[[#This Row],[Codigo]],Stock[#Data],2,FALSE)</f>
        <v>Sedas OCB 1/4 Organic  Bamboo</v>
      </c>
      <c r="D88" s="37">
        <f>VLOOKUP(Ventas[[#This Row],[Codigo]],Stock[#Data],4,FALSE)</f>
        <v>300</v>
      </c>
      <c r="E88" s="33">
        <f>VLOOKUP(Ventas[[#This Row],[Codigo]],Stock[#Data],3,FALSE)</f>
        <v>165</v>
      </c>
      <c r="F88" s="38">
        <v>1</v>
      </c>
      <c r="G88">
        <v>77</v>
      </c>
      <c r="H88" s="36">
        <f>Ventas[[#This Row],[Precio Venta]]*Ventas[[#This Row],[Cantidad]]-Ventas[[#This Row],[Descuento]]</f>
        <v>300</v>
      </c>
      <c r="I88" s="34">
        <f>Ventas[[#This Row],[Total]]-Ventas[[#This Row],[Precio compra]]*Ventas[[#This Row],[Cantidad]]</f>
        <v>135</v>
      </c>
      <c r="J88" s="34">
        <v>1</v>
      </c>
      <c r="K88" s="34">
        <f>Ventas[[#This Row],[Total]]*Ventas[[#This Row],[Total 3]]</f>
        <v>300</v>
      </c>
      <c r="L88" s="34" t="s">
        <v>759</v>
      </c>
      <c r="M88" s="34">
        <v>0</v>
      </c>
    </row>
    <row r="89" spans="1:13" ht="21.75" customHeight="1">
      <c r="A89" s="16"/>
      <c r="B89" s="64">
        <v>45054</v>
      </c>
      <c r="C89" s="57" t="str">
        <f>VLOOKUP(Ventas[[#This Row],[Codigo]],Stock[#Data],2,FALSE)</f>
        <v>Sustrato Perlita</v>
      </c>
      <c r="D89" s="37">
        <f>VLOOKUP(Ventas[[#This Row],[Codigo]],Stock[#Data],4,FALSE)</f>
        <v>800</v>
      </c>
      <c r="E89" s="33">
        <f>VLOOKUP(Ventas[[#This Row],[Codigo]],Stock[#Data],3,FALSE)</f>
        <v>400</v>
      </c>
      <c r="F89" s="38">
        <v>1</v>
      </c>
      <c r="G89">
        <v>52</v>
      </c>
      <c r="H89" s="36">
        <f>Ventas[[#This Row],[Precio Venta]]*Ventas[[#This Row],[Cantidad]]-Ventas[[#This Row],[Descuento]]</f>
        <v>800</v>
      </c>
      <c r="I89" s="34">
        <f>Ventas[[#This Row],[Total]]-Ventas[[#This Row],[Precio compra]]*Ventas[[#This Row],[Cantidad]]</f>
        <v>400</v>
      </c>
      <c r="J89" s="34">
        <v>1</v>
      </c>
      <c r="K89" s="34">
        <f>Ventas[[#This Row],[Total]]*Ventas[[#This Row],[Total 3]]</f>
        <v>800</v>
      </c>
      <c r="L89" s="34" t="s">
        <v>759</v>
      </c>
      <c r="M89" s="34">
        <v>0</v>
      </c>
    </row>
    <row r="90" spans="1:13" ht="21.75" customHeight="1">
      <c r="A90" s="16"/>
      <c r="B90" s="64">
        <v>45054</v>
      </c>
      <c r="C90" s="57" t="str">
        <f>VLOOKUP(Ventas[[#This Row],[Codigo]],Stock[#Data],2,FALSE)</f>
        <v>Bong D&amp;K Mediano Bicolor DK6470</v>
      </c>
      <c r="D90" s="37">
        <f>VLOOKUP(Ventas[[#This Row],[Codigo]],Stock[#Data],4,FALSE)</f>
        <v>12000</v>
      </c>
      <c r="E90" s="33">
        <f>VLOOKUP(Ventas[[#This Row],[Codigo]],Stock[#Data],3,FALSE)</f>
        <v>6116</v>
      </c>
      <c r="F90" s="38">
        <v>1</v>
      </c>
      <c r="G90">
        <v>532</v>
      </c>
      <c r="H90" s="36">
        <f>Ventas[[#This Row],[Precio Venta]]*Ventas[[#This Row],[Cantidad]]-Ventas[[#This Row],[Descuento]]</f>
        <v>12000</v>
      </c>
      <c r="I90" s="34">
        <f>Ventas[[#This Row],[Total]]-Ventas[[#This Row],[Precio compra]]*Ventas[[#This Row],[Cantidad]]</f>
        <v>5884</v>
      </c>
      <c r="J90" s="34">
        <v>1</v>
      </c>
      <c r="K90" s="34">
        <f>Ventas[[#This Row],[Total]]*Ventas[[#This Row],[Total 3]]</f>
        <v>12000</v>
      </c>
      <c r="L90" s="34" t="s">
        <v>759</v>
      </c>
      <c r="M90" s="34">
        <v>0</v>
      </c>
    </row>
    <row r="91" spans="1:13" ht="21.75" customHeight="1">
      <c r="A91" s="16"/>
      <c r="B91" s="64">
        <v>45054</v>
      </c>
      <c r="C91" s="57" t="str">
        <f>VLOOKUP(Ventas[[#This Row],[Codigo]],Stock[#Data],2,FALSE)</f>
        <v>OCB Cañamo Organico</v>
      </c>
      <c r="D91" s="37">
        <f>VLOOKUP(Ventas[[#This Row],[Codigo]],Stock[#Data],4,FALSE)</f>
        <v>300</v>
      </c>
      <c r="E91" s="33">
        <f>VLOOKUP(Ventas[[#This Row],[Codigo]],Stock[#Data],3,FALSE)</f>
        <v>165</v>
      </c>
      <c r="F91" s="38">
        <v>1</v>
      </c>
      <c r="G91">
        <v>593</v>
      </c>
      <c r="H91" s="36">
        <f>Ventas[[#This Row],[Precio Venta]]*Ventas[[#This Row],[Cantidad]]-Ventas[[#This Row],[Descuento]]</f>
        <v>300</v>
      </c>
      <c r="I91" s="34">
        <f>Ventas[[#This Row],[Total]]-Ventas[[#This Row],[Precio compra]]*Ventas[[#This Row],[Cantidad]]</f>
        <v>135</v>
      </c>
      <c r="J91" s="34">
        <v>0</v>
      </c>
      <c r="K91" s="34">
        <f>Ventas[[#This Row],[Total]]*Ventas[[#This Row],[Total 3]]</f>
        <v>0</v>
      </c>
      <c r="L91" s="34" t="s">
        <v>760</v>
      </c>
      <c r="M91" s="34">
        <v>0</v>
      </c>
    </row>
    <row r="92" spans="1:13" ht="21.75" customHeight="1">
      <c r="A92" s="16"/>
      <c r="B92" s="64">
        <v>45054</v>
      </c>
      <c r="C92" s="57" t="str">
        <f>VLOOKUP(Ventas[[#This Row],[Codigo]],Stock[#Data],2,FALSE)</f>
        <v>Tabaco Van Kiff Natural</v>
      </c>
      <c r="D92" s="37">
        <f>VLOOKUP(Ventas[[#This Row],[Codigo]],Stock[#Data],4,FALSE)</f>
        <v>850</v>
      </c>
      <c r="E92" s="33">
        <f>VLOOKUP(Ventas[[#This Row],[Codigo]],Stock[#Data],3,FALSE)</f>
        <v>580</v>
      </c>
      <c r="F92" s="38">
        <v>1</v>
      </c>
      <c r="G92">
        <v>117</v>
      </c>
      <c r="H92" s="36">
        <f>Ventas[[#This Row],[Precio Venta]]*Ventas[[#This Row],[Cantidad]]-Ventas[[#This Row],[Descuento]]</f>
        <v>850</v>
      </c>
      <c r="I92" s="34">
        <f>Ventas[[#This Row],[Total]]-Ventas[[#This Row],[Precio compra]]*Ventas[[#This Row],[Cantidad]]</f>
        <v>270</v>
      </c>
      <c r="J92" s="34">
        <v>0</v>
      </c>
      <c r="K92" s="34">
        <f>Ventas[[#This Row],[Total]]*Ventas[[#This Row],[Total 3]]</f>
        <v>0</v>
      </c>
      <c r="L92" s="34" t="s">
        <v>760</v>
      </c>
      <c r="M92" s="34">
        <v>0</v>
      </c>
    </row>
    <row r="93" spans="1:13" ht="21.75" customHeight="1">
      <c r="A93" s="16"/>
      <c r="B93" s="64">
        <v>45054</v>
      </c>
      <c r="C93" s="57" t="str">
        <f>VLOOKUP(Ventas[[#This Row],[Codigo]],Stock[#Data],2,FALSE)</f>
        <v>Blunt Lion Rolling Circus TERPENES GELATO</v>
      </c>
      <c r="D93" s="37">
        <f>VLOOKUP(Ventas[[#This Row],[Codigo]],Stock[#Data],4,FALSE)</f>
        <v>850</v>
      </c>
      <c r="E93" s="33">
        <f>VLOOKUP(Ventas[[#This Row],[Codigo]],Stock[#Data],3,FALSE)</f>
        <v>422</v>
      </c>
      <c r="F93" s="38">
        <v>1</v>
      </c>
      <c r="G93">
        <v>99</v>
      </c>
      <c r="H93" s="36">
        <f>Ventas[[#This Row],[Precio Venta]]*Ventas[[#This Row],[Cantidad]]-Ventas[[#This Row],[Descuento]]</f>
        <v>850</v>
      </c>
      <c r="I93" s="34">
        <f>Ventas[[#This Row],[Total]]-Ventas[[#This Row],[Precio compra]]*Ventas[[#This Row],[Cantidad]]</f>
        <v>428</v>
      </c>
      <c r="J93" s="34">
        <v>0</v>
      </c>
      <c r="K93" s="34">
        <f>Ventas[[#This Row],[Total]]*Ventas[[#This Row],[Total 3]]</f>
        <v>0</v>
      </c>
      <c r="L93" s="34" t="s">
        <v>760</v>
      </c>
      <c r="M93" s="34">
        <v>0</v>
      </c>
    </row>
    <row r="94" spans="1:13" ht="21.75" customHeight="1">
      <c r="A94" s="16"/>
      <c r="B94" s="64">
        <v>45052</v>
      </c>
      <c r="C94" s="57" t="str">
        <f>VLOOKUP(Ventas[[#This Row],[Codigo]],Stock[#Data],2,FALSE)</f>
        <v>Blunt Lion Rolling Circus TERPENES GELATO</v>
      </c>
      <c r="D94" s="37">
        <f>VLOOKUP(Ventas[[#This Row],[Codigo]],Stock[#Data],4,FALSE)</f>
        <v>850</v>
      </c>
      <c r="E94" s="33">
        <f>VLOOKUP(Ventas[[#This Row],[Codigo]],Stock[#Data],3,FALSE)</f>
        <v>422</v>
      </c>
      <c r="F94" s="38">
        <v>1</v>
      </c>
      <c r="G94">
        <v>99</v>
      </c>
      <c r="H94" s="36">
        <f>Ventas[[#This Row],[Precio Venta]]*Ventas[[#This Row],[Cantidad]]-Ventas[[#This Row],[Descuento]]</f>
        <v>850</v>
      </c>
      <c r="I94" s="34">
        <f>Ventas[[#This Row],[Total]]-Ventas[[#This Row],[Precio compra]]*Ventas[[#This Row],[Cantidad]]</f>
        <v>428</v>
      </c>
      <c r="J94" s="34">
        <v>0</v>
      </c>
      <c r="K94" s="34">
        <f>Ventas[[#This Row],[Total]]*Ventas[[#This Row],[Total 3]]</f>
        <v>0</v>
      </c>
      <c r="L94" s="34" t="s">
        <v>760</v>
      </c>
      <c r="M94" s="34">
        <v>0</v>
      </c>
    </row>
    <row r="95" spans="1:13" ht="21.75" customHeight="1">
      <c r="A95" s="16"/>
      <c r="B95" s="64">
        <v>45052</v>
      </c>
      <c r="C95" s="57" t="str">
        <f>VLOOKUP(Ventas[[#This Row],[Codigo]],Stock[#Data],2,FALSE)</f>
        <v>Blunt Lion Rolling Circus Buble gumm</v>
      </c>
      <c r="D95" s="37">
        <f>VLOOKUP(Ventas[[#This Row],[Codigo]],Stock[#Data],4,FALSE)</f>
        <v>750</v>
      </c>
      <c r="E95" s="33">
        <f>VLOOKUP(Ventas[[#This Row],[Codigo]],Stock[#Data],3,FALSE)</f>
        <v>383</v>
      </c>
      <c r="F95" s="38">
        <v>1</v>
      </c>
      <c r="G95">
        <v>404</v>
      </c>
      <c r="H95" s="36">
        <f>Ventas[[#This Row],[Precio Venta]]*Ventas[[#This Row],[Cantidad]]-Ventas[[#This Row],[Descuento]]</f>
        <v>750</v>
      </c>
      <c r="I95" s="34">
        <f>Ventas[[#This Row],[Total]]-Ventas[[#This Row],[Precio compra]]*Ventas[[#This Row],[Cantidad]]</f>
        <v>367</v>
      </c>
      <c r="J95" s="34">
        <v>0</v>
      </c>
      <c r="K95" s="34">
        <f>Ventas[[#This Row],[Total]]*Ventas[[#This Row],[Total 3]]</f>
        <v>0</v>
      </c>
      <c r="L95" s="34" t="s">
        <v>760</v>
      </c>
      <c r="M95" s="34">
        <v>0</v>
      </c>
    </row>
    <row r="96" spans="1:13" ht="21.75" customHeight="1">
      <c r="A96" s="16"/>
      <c r="B96" s="64">
        <v>45052</v>
      </c>
      <c r="C96" s="57" t="str">
        <f>VLOOKUP(Ventas[[#This Row],[Codigo]],Stock[#Data],2,FALSE)</f>
        <v>Celulosa Lion Rolling Circus Kz</v>
      </c>
      <c r="D96" s="37">
        <f>VLOOKUP(Ventas[[#This Row],[Codigo]],Stock[#Data],4,FALSE)</f>
        <v>850</v>
      </c>
      <c r="E96" s="33">
        <f>VLOOKUP(Ventas[[#This Row],[Codigo]],Stock[#Data],3,FALSE)</f>
        <v>422</v>
      </c>
      <c r="F96" s="38">
        <v>1</v>
      </c>
      <c r="G96">
        <v>359</v>
      </c>
      <c r="H96" s="36">
        <f>Ventas[[#This Row],[Precio Venta]]*Ventas[[#This Row],[Cantidad]]-Ventas[[#This Row],[Descuento]]</f>
        <v>850</v>
      </c>
      <c r="I96" s="34">
        <f>Ventas[[#This Row],[Total]]-Ventas[[#This Row],[Precio compra]]*Ventas[[#This Row],[Cantidad]]</f>
        <v>428</v>
      </c>
      <c r="J96" s="34">
        <v>0</v>
      </c>
      <c r="K96" s="34">
        <f>Ventas[[#This Row],[Total]]*Ventas[[#This Row],[Total 3]]</f>
        <v>0</v>
      </c>
      <c r="L96" s="34" t="s">
        <v>760</v>
      </c>
      <c r="M96" s="34">
        <v>0</v>
      </c>
    </row>
    <row r="97" spans="1:13" ht="21.75" customHeight="1">
      <c r="A97" s="16"/>
      <c r="B97" s="64">
        <v>45052</v>
      </c>
      <c r="C97" s="57" t="str">
        <f>VLOOKUP(Ventas[[#This Row],[Codigo]],Stock[#Data],2,FALSE)</f>
        <v>Lata Lion Rolling Circus</v>
      </c>
      <c r="D97" s="37">
        <f>VLOOKUP(Ventas[[#This Row],[Codigo]],Stock[#Data],4,FALSE)</f>
        <v>1200</v>
      </c>
      <c r="E97" s="33">
        <f>VLOOKUP(Ventas[[#This Row],[Codigo]],Stock[#Data],3,FALSE)</f>
        <v>580</v>
      </c>
      <c r="F97" s="38">
        <v>1</v>
      </c>
      <c r="G97">
        <v>145</v>
      </c>
      <c r="H97" s="36">
        <f>Ventas[[#This Row],[Precio Venta]]*Ventas[[#This Row],[Cantidad]]-Ventas[[#This Row],[Descuento]]</f>
        <v>1200</v>
      </c>
      <c r="I97" s="34">
        <f>Ventas[[#This Row],[Total]]-Ventas[[#This Row],[Precio compra]]*Ventas[[#This Row],[Cantidad]]</f>
        <v>620</v>
      </c>
      <c r="J97" s="34">
        <v>0</v>
      </c>
      <c r="K97" s="34">
        <f>Ventas[[#This Row],[Total]]*Ventas[[#This Row],[Total 3]]</f>
        <v>0</v>
      </c>
      <c r="L97" s="34" t="s">
        <v>760</v>
      </c>
      <c r="M97" s="34">
        <v>0</v>
      </c>
    </row>
    <row r="98" spans="1:13" ht="21.75" customHeight="1">
      <c r="A98" s="16"/>
      <c r="B98" s="64">
        <v>45052</v>
      </c>
      <c r="C98" s="57" t="str">
        <f>VLOOKUP(Ventas[[#This Row],[Codigo]],Stock[#Data],2,FALSE)</f>
        <v>Tips Lion Rolling Circus pre-armados</v>
      </c>
      <c r="D98" s="37">
        <f>VLOOKUP(Ventas[[#This Row],[Codigo]],Stock[#Data],4,FALSE)</f>
        <v>1600</v>
      </c>
      <c r="E98" s="33">
        <f>VLOOKUP(Ventas[[#This Row],[Codigo]],Stock[#Data],3,FALSE)</f>
        <v>803</v>
      </c>
      <c r="F98" s="38">
        <v>1</v>
      </c>
      <c r="G98">
        <v>97</v>
      </c>
      <c r="H98" s="36">
        <f>Ventas[[#This Row],[Precio Venta]]*Ventas[[#This Row],[Cantidad]]-Ventas[[#This Row],[Descuento]]</f>
        <v>1600</v>
      </c>
      <c r="I98" s="34">
        <f>Ventas[[#This Row],[Total]]-Ventas[[#This Row],[Precio compra]]*Ventas[[#This Row],[Cantidad]]</f>
        <v>797</v>
      </c>
      <c r="J98" s="34">
        <v>0</v>
      </c>
      <c r="K98" s="34">
        <f>Ventas[[#This Row],[Total]]*Ventas[[#This Row],[Total 3]]</f>
        <v>0</v>
      </c>
      <c r="L98" s="34" t="s">
        <v>760</v>
      </c>
      <c r="M98" s="34">
        <v>0</v>
      </c>
    </row>
    <row r="99" spans="1:13" ht="21.75" customHeight="1">
      <c r="A99" s="16"/>
      <c r="B99" s="64">
        <v>45052</v>
      </c>
      <c r="C99" s="57" t="str">
        <f>VLOOKUP(Ventas[[#This Row],[Codigo]],Stock[#Data],2,FALSE)</f>
        <v xml:space="preserve">Sedas Stamps Celulosa </v>
      </c>
      <c r="D99" s="37">
        <f>VLOOKUP(Ventas[[#This Row],[Codigo]],Stock[#Data],4,FALSE)</f>
        <v>500</v>
      </c>
      <c r="E99" s="33">
        <f>VLOOKUP(Ventas[[#This Row],[Codigo]],Stock[#Data],3,FALSE)</f>
        <v>260</v>
      </c>
      <c r="F99" s="38">
        <v>1</v>
      </c>
      <c r="G99">
        <v>622</v>
      </c>
      <c r="H99" s="36">
        <f>Ventas[[#This Row],[Precio Venta]]*Ventas[[#This Row],[Cantidad]]-Ventas[[#This Row],[Descuento]]</f>
        <v>500</v>
      </c>
      <c r="I99" s="34">
        <f>Ventas[[#This Row],[Total]]-Ventas[[#This Row],[Precio compra]]*Ventas[[#This Row],[Cantidad]]</f>
        <v>240</v>
      </c>
      <c r="J99" s="34">
        <v>0</v>
      </c>
      <c r="K99" s="34">
        <f>Ventas[[#This Row],[Total]]*Ventas[[#This Row],[Total 3]]</f>
        <v>0</v>
      </c>
      <c r="L99" s="34" t="s">
        <v>760</v>
      </c>
      <c r="M99" s="34">
        <v>0</v>
      </c>
    </row>
    <row r="100" spans="1:13" ht="21.75" customHeight="1">
      <c r="A100" s="16"/>
      <c r="B100" s="64">
        <v>45052</v>
      </c>
      <c r="C100" s="57" t="str">
        <f>VLOOKUP(Ventas[[#This Row],[Codigo]],Stock[#Data],2,FALSE)</f>
        <v xml:space="preserve">Encendedor Clipper </v>
      </c>
      <c r="D100" s="37">
        <f>VLOOKUP(Ventas[[#This Row],[Codigo]],Stock[#Data],4,FALSE)</f>
        <v>600</v>
      </c>
      <c r="E100" s="33">
        <f>VLOOKUP(Ventas[[#This Row],[Codigo]],Stock[#Data],3,FALSE)</f>
        <v>378</v>
      </c>
      <c r="F100" s="38">
        <v>5</v>
      </c>
      <c r="G100">
        <v>58</v>
      </c>
      <c r="H100" s="36">
        <f>Ventas[[#This Row],[Precio Venta]]*Ventas[[#This Row],[Cantidad]]-Ventas[[#This Row],[Descuento]]</f>
        <v>3000</v>
      </c>
      <c r="I100" s="34">
        <f>Ventas[[#This Row],[Total]]-Ventas[[#This Row],[Precio compra]]*Ventas[[#This Row],[Cantidad]]</f>
        <v>1110</v>
      </c>
      <c r="J100" s="34">
        <v>0</v>
      </c>
      <c r="K100" s="34">
        <f>Ventas[[#This Row],[Total]]*Ventas[[#This Row],[Total 3]]</f>
        <v>0</v>
      </c>
      <c r="L100" s="34" t="s">
        <v>760</v>
      </c>
      <c r="M100" s="34">
        <v>0</v>
      </c>
    </row>
    <row r="101" spans="1:13" ht="21.75" customHeight="1">
      <c r="A101" s="16"/>
      <c r="B101" s="64">
        <v>45052</v>
      </c>
      <c r="C101" s="57" t="str">
        <f>VLOOKUP(Ventas[[#This Row],[Codigo]],Stock[#Data],2,FALSE)</f>
        <v>Turbina Bate</v>
      </c>
      <c r="D101" s="37">
        <f>VLOOKUP(Ventas[[#This Row],[Codigo]],Stock[#Data],4,FALSE)</f>
        <v>2500</v>
      </c>
      <c r="E101" s="33">
        <f>VLOOKUP(Ventas[[#This Row],[Codigo]],Stock[#Data],3,FALSE)</f>
        <v>1237</v>
      </c>
      <c r="F101" s="38">
        <v>1</v>
      </c>
      <c r="G101">
        <v>165</v>
      </c>
      <c r="H101" s="36">
        <f>Ventas[[#This Row],[Precio Venta]]*Ventas[[#This Row],[Cantidad]]-Ventas[[#This Row],[Descuento]]</f>
        <v>2500</v>
      </c>
      <c r="I101" s="34">
        <f>Ventas[[#This Row],[Total]]-Ventas[[#This Row],[Precio compra]]*Ventas[[#This Row],[Cantidad]]</f>
        <v>1263</v>
      </c>
      <c r="J101" s="34">
        <v>0</v>
      </c>
      <c r="K101" s="34">
        <f>Ventas[[#This Row],[Total]]*Ventas[[#This Row],[Total 3]]</f>
        <v>0</v>
      </c>
      <c r="L101" s="34" t="s">
        <v>760</v>
      </c>
      <c r="M101" s="34">
        <v>0</v>
      </c>
    </row>
    <row r="102" spans="1:13" ht="21.75" customHeight="1">
      <c r="A102" s="16"/>
      <c r="B102" s="64">
        <v>45052</v>
      </c>
      <c r="C102" s="57" t="str">
        <f>VLOOKUP(Ventas[[#This Row],[Codigo]],Stock[#Data],2,FALSE)</f>
        <v>Sedas OCB 1/4 Organic  Bamboo</v>
      </c>
      <c r="D102" s="37">
        <f>VLOOKUP(Ventas[[#This Row],[Codigo]],Stock[#Data],4,FALSE)</f>
        <v>300</v>
      </c>
      <c r="E102" s="33">
        <f>VLOOKUP(Ventas[[#This Row],[Codigo]],Stock[#Data],3,FALSE)</f>
        <v>165</v>
      </c>
      <c r="F102" s="38">
        <v>1</v>
      </c>
      <c r="G102">
        <v>77</v>
      </c>
      <c r="H102" s="36">
        <f>Ventas[[#This Row],[Precio Venta]]*Ventas[[#This Row],[Cantidad]]-Ventas[[#This Row],[Descuento]]</f>
        <v>300</v>
      </c>
      <c r="I102" s="34">
        <f>Ventas[[#This Row],[Total]]-Ventas[[#This Row],[Precio compra]]*Ventas[[#This Row],[Cantidad]]</f>
        <v>135</v>
      </c>
      <c r="J102" s="34">
        <v>0</v>
      </c>
      <c r="K102" s="34">
        <f>Ventas[[#This Row],[Total]]*Ventas[[#This Row],[Total 3]]</f>
        <v>0</v>
      </c>
      <c r="L102" s="34" t="s">
        <v>760</v>
      </c>
      <c r="M102" s="34">
        <v>0</v>
      </c>
    </row>
    <row r="103" spans="1:13" ht="21.75" customHeight="1">
      <c r="A103" s="16"/>
      <c r="B103" s="64">
        <v>45052</v>
      </c>
      <c r="C103" s="57" t="str">
        <f>VLOOKUP(Ventas[[#This Row],[Codigo]],Stock[#Data],2,FALSE)</f>
        <v>Pipa D&amp;K Metal Con Tapa</v>
      </c>
      <c r="D103" s="37">
        <f>VLOOKUP(Ventas[[#This Row],[Codigo]],Stock[#Data],4,FALSE)</f>
        <v>2800</v>
      </c>
      <c r="E103" s="33">
        <f>VLOOKUP(Ventas[[#This Row],[Codigo]],Stock[#Data],3,FALSE)</f>
        <v>1379</v>
      </c>
      <c r="F103" s="38">
        <v>1</v>
      </c>
      <c r="G103">
        <v>920</v>
      </c>
      <c r="H103" s="36">
        <f>Ventas[[#This Row],[Precio Venta]]*Ventas[[#This Row],[Cantidad]]-Ventas[[#This Row],[Descuento]]</f>
        <v>2800</v>
      </c>
      <c r="I103" s="34">
        <f>Ventas[[#This Row],[Total]]-Ventas[[#This Row],[Precio compra]]*Ventas[[#This Row],[Cantidad]]</f>
        <v>1421</v>
      </c>
      <c r="J103" s="34">
        <v>0</v>
      </c>
      <c r="K103" s="34">
        <f>Ventas[[#This Row],[Total]]*Ventas[[#This Row],[Total 3]]</f>
        <v>0</v>
      </c>
      <c r="L103" s="34" t="s">
        <v>760</v>
      </c>
      <c r="M103" s="34">
        <v>0</v>
      </c>
    </row>
    <row r="104" spans="1:13" ht="21.75" customHeight="1">
      <c r="A104" s="16"/>
      <c r="B104" s="64">
        <v>45052</v>
      </c>
      <c r="C104" s="57" t="str">
        <f>VLOOKUP(Ventas[[#This Row],[Codigo]],Stock[#Data],2,FALSE)</f>
        <v>gas butano clear 250cc</v>
      </c>
      <c r="D104" s="37">
        <f>VLOOKUP(Ventas[[#This Row],[Codigo]],Stock[#Data],4,FALSE)</f>
        <v>1000</v>
      </c>
      <c r="E104" s="33">
        <f>VLOOKUP(Ventas[[#This Row],[Codigo]],Stock[#Data],3,FALSE)</f>
        <v>425</v>
      </c>
      <c r="F104" s="38">
        <v>1</v>
      </c>
      <c r="G104">
        <v>358</v>
      </c>
      <c r="H104" s="36">
        <f>Ventas[[#This Row],[Precio Venta]]*Ventas[[#This Row],[Cantidad]]-Ventas[[#This Row],[Descuento]]</f>
        <v>1000</v>
      </c>
      <c r="I104" s="34">
        <f>Ventas[[#This Row],[Total]]-Ventas[[#This Row],[Precio compra]]*Ventas[[#This Row],[Cantidad]]</f>
        <v>575</v>
      </c>
      <c r="J104" s="34">
        <v>0</v>
      </c>
      <c r="K104" s="34">
        <f>Ventas[[#This Row],[Total]]*Ventas[[#This Row],[Total 3]]</f>
        <v>0</v>
      </c>
      <c r="L104" s="34" t="s">
        <v>760</v>
      </c>
      <c r="M104" s="34">
        <v>0</v>
      </c>
    </row>
    <row r="105" spans="1:13" ht="21.75" customHeight="1">
      <c r="A105" s="16"/>
      <c r="B105" s="64">
        <v>45052</v>
      </c>
      <c r="C105" s="57" t="str">
        <f>VLOOKUP(Ventas[[#This Row],[Codigo]],Stock[#Data],2,FALSE)</f>
        <v>TreeMIX KILL MIX 45ml</v>
      </c>
      <c r="D105" s="37">
        <f>VLOOKUP(Ventas[[#This Row],[Codigo]],Stock[#Data],4,FALSE)</f>
        <v>650</v>
      </c>
      <c r="E105" s="33">
        <f>VLOOKUP(Ventas[[#This Row],[Codigo]],Stock[#Data],3,FALSE)</f>
        <v>320</v>
      </c>
      <c r="F105" s="38">
        <v>1</v>
      </c>
      <c r="G105">
        <v>27</v>
      </c>
      <c r="H105" s="36">
        <f>Ventas[[#This Row],[Precio Venta]]*Ventas[[#This Row],[Cantidad]]-Ventas[[#This Row],[Descuento]]</f>
        <v>650</v>
      </c>
      <c r="I105" s="34">
        <f>Ventas[[#This Row],[Total]]-Ventas[[#This Row],[Precio compra]]*Ventas[[#This Row],[Cantidad]]</f>
        <v>330</v>
      </c>
      <c r="J105" s="34">
        <v>0</v>
      </c>
      <c r="K105" s="34">
        <f>Ventas[[#This Row],[Total]]*Ventas[[#This Row],[Total 3]]</f>
        <v>0</v>
      </c>
      <c r="L105" s="34" t="s">
        <v>760</v>
      </c>
      <c r="M105" s="34">
        <v>0</v>
      </c>
    </row>
    <row r="106" spans="1:13" ht="21.75" customHeight="1">
      <c r="A106" s="16"/>
      <c r="B106" s="64">
        <v>45052</v>
      </c>
      <c r="C106" s="57" t="str">
        <f>VLOOKUP(Ventas[[#This Row],[Codigo]],Stock[#Data],2,FALSE)</f>
        <v>Araña Roja Green Leaf 100ml</v>
      </c>
      <c r="D106" s="37">
        <f>VLOOKUP(Ventas[[#This Row],[Codigo]],Stock[#Data],4,FALSE)</f>
        <v>1800</v>
      </c>
      <c r="E106" s="33">
        <f>VLOOKUP(Ventas[[#This Row],[Codigo]],Stock[#Data],3,FALSE)</f>
        <v>904</v>
      </c>
      <c r="F106" s="38">
        <v>1</v>
      </c>
      <c r="G106">
        <v>470</v>
      </c>
      <c r="H106" s="36">
        <f>Ventas[[#This Row],[Precio Venta]]*Ventas[[#This Row],[Cantidad]]-Ventas[[#This Row],[Descuento]]</f>
        <v>1800</v>
      </c>
      <c r="I106" s="34">
        <f>Ventas[[#This Row],[Total]]-Ventas[[#This Row],[Precio compra]]*Ventas[[#This Row],[Cantidad]]</f>
        <v>896</v>
      </c>
      <c r="J106" s="34">
        <v>0</v>
      </c>
      <c r="K106" s="34">
        <f>Ventas[[#This Row],[Total]]*Ventas[[#This Row],[Total 3]]</f>
        <v>0</v>
      </c>
      <c r="L106" s="34" t="s">
        <v>760</v>
      </c>
      <c r="M106" s="34">
        <v>0</v>
      </c>
    </row>
    <row r="107" spans="1:13" ht="21.75" customHeight="1">
      <c r="A107" s="16"/>
      <c r="B107" s="64">
        <v>45050</v>
      </c>
      <c r="C107" s="57" t="str">
        <f>VLOOKUP(Ventas[[#This Row],[Codigo]],Stock[#Data],2,FALSE)</f>
        <v>Tree Mix  Candy 200ml</v>
      </c>
      <c r="D107" s="37">
        <f>VLOOKUP(Ventas[[#This Row],[Codigo]],Stock[#Data],4,FALSE)</f>
        <v>1000</v>
      </c>
      <c r="E107" s="33">
        <f>VLOOKUP(Ventas[[#This Row],[Codigo]],Stock[#Data],3,FALSE)</f>
        <v>520</v>
      </c>
      <c r="F107" s="38">
        <v>1</v>
      </c>
      <c r="G107">
        <v>450</v>
      </c>
      <c r="H107" s="36">
        <f>Ventas[[#This Row],[Precio Venta]]*Ventas[[#This Row],[Cantidad]]-Ventas[[#This Row],[Descuento]]</f>
        <v>1000</v>
      </c>
      <c r="I107" s="34">
        <f>Ventas[[#This Row],[Total]]-Ventas[[#This Row],[Precio compra]]*Ventas[[#This Row],[Cantidad]]</f>
        <v>480</v>
      </c>
      <c r="J107" s="34">
        <v>1</v>
      </c>
      <c r="K107" s="34">
        <f>Ventas[[#This Row],[Total]]*Ventas[[#This Row],[Total 3]]</f>
        <v>1000</v>
      </c>
      <c r="L107" s="34" t="s">
        <v>759</v>
      </c>
      <c r="M107" s="34">
        <v>0</v>
      </c>
    </row>
    <row r="108" spans="1:13" ht="21.75" customHeight="1">
      <c r="A108" s="16"/>
      <c r="B108" s="64">
        <v>45050</v>
      </c>
      <c r="C108" s="57" t="str">
        <f>VLOOKUP(Ventas[[#This Row],[Codigo]],Stock[#Data],2,FALSE)</f>
        <v>TreeMIX PRO 45ml</v>
      </c>
      <c r="D108" s="37">
        <f>VLOOKUP(Ventas[[#This Row],[Codigo]],Stock[#Data],4,FALSE)</f>
        <v>700</v>
      </c>
      <c r="E108" s="33">
        <f>VLOOKUP(Ventas[[#This Row],[Codigo]],Stock[#Data],3,FALSE)</f>
        <v>345</v>
      </c>
      <c r="F108" s="38">
        <v>1</v>
      </c>
      <c r="G108">
        <v>25</v>
      </c>
      <c r="H108" s="36">
        <f>Ventas[[#This Row],[Precio Venta]]*Ventas[[#This Row],[Cantidad]]-Ventas[[#This Row],[Descuento]]</f>
        <v>700</v>
      </c>
      <c r="I108" s="34">
        <f>Ventas[[#This Row],[Total]]-Ventas[[#This Row],[Precio compra]]*Ventas[[#This Row],[Cantidad]]</f>
        <v>355</v>
      </c>
      <c r="J108" s="34">
        <v>1</v>
      </c>
      <c r="K108" s="34">
        <f>Ventas[[#This Row],[Total]]*Ventas[[#This Row],[Total 3]]</f>
        <v>700</v>
      </c>
      <c r="L108" s="34" t="s">
        <v>759</v>
      </c>
      <c r="M108" s="34">
        <v>0</v>
      </c>
    </row>
    <row r="109" spans="1:13" ht="21.75" customHeight="1">
      <c r="A109" s="16"/>
      <c r="B109" s="64">
        <v>45050</v>
      </c>
      <c r="C109" s="57" t="str">
        <f>VLOOKUP(Ventas[[#This Row],[Codigo]],Stock[#Data],2,FALSE)</f>
        <v>Nostress Dolomita</v>
      </c>
      <c r="D109" s="37">
        <f>VLOOKUP(Ventas[[#This Row],[Codigo]],Stock[#Data],4,FALSE)</f>
        <v>500</v>
      </c>
      <c r="E109" s="33">
        <f>VLOOKUP(Ventas[[#This Row],[Codigo]],Stock[#Data],3,FALSE)</f>
        <v>230</v>
      </c>
      <c r="F109" s="38">
        <v>1</v>
      </c>
      <c r="G109">
        <v>452</v>
      </c>
      <c r="H109" s="36">
        <f>Ventas[[#This Row],[Precio Venta]]*Ventas[[#This Row],[Cantidad]]-Ventas[[#This Row],[Descuento]]</f>
        <v>500</v>
      </c>
      <c r="I109" s="34">
        <f>Ventas[[#This Row],[Total]]-Ventas[[#This Row],[Precio compra]]*Ventas[[#This Row],[Cantidad]]</f>
        <v>270</v>
      </c>
      <c r="J109" s="34">
        <v>1</v>
      </c>
      <c r="K109" s="34">
        <f>Ventas[[#This Row],[Total]]*Ventas[[#This Row],[Total 3]]</f>
        <v>500</v>
      </c>
      <c r="L109" s="34" t="s">
        <v>759</v>
      </c>
      <c r="M109" s="34">
        <v>0</v>
      </c>
    </row>
    <row r="110" spans="1:13" ht="21.75" customHeight="1">
      <c r="A110" s="16"/>
      <c r="B110" s="64">
        <v>45050</v>
      </c>
      <c r="C110" s="57" t="str">
        <f>VLOOKUP(Ventas[[#This Row],[Codigo]],Stock[#Data],2,FALSE)</f>
        <v>VAMP Guano de murcielago Flora</v>
      </c>
      <c r="D110" s="37">
        <f>VLOOKUP(Ventas[[#This Row],[Codigo]],Stock[#Data],4,FALSE)</f>
        <v>1000</v>
      </c>
      <c r="E110" s="33">
        <f>VLOOKUP(Ventas[[#This Row],[Codigo]],Stock[#Data],3,FALSE)</f>
        <v>510</v>
      </c>
      <c r="F110" s="38">
        <v>1</v>
      </c>
      <c r="G110">
        <v>38</v>
      </c>
      <c r="H110" s="36">
        <f>Ventas[[#This Row],[Precio Venta]]*Ventas[[#This Row],[Cantidad]]-Ventas[[#This Row],[Descuento]]</f>
        <v>1000</v>
      </c>
      <c r="I110" s="34">
        <f>Ventas[[#This Row],[Total]]-Ventas[[#This Row],[Precio compra]]*Ventas[[#This Row],[Cantidad]]</f>
        <v>490</v>
      </c>
      <c r="J110" s="34">
        <v>1</v>
      </c>
      <c r="K110" s="34">
        <f>Ventas[[#This Row],[Total]]*Ventas[[#This Row],[Total 3]]</f>
        <v>1000</v>
      </c>
      <c r="L110" s="34" t="s">
        <v>759</v>
      </c>
      <c r="M110" s="34">
        <v>0</v>
      </c>
    </row>
    <row r="111" spans="1:13" ht="21.75" customHeight="1">
      <c r="A111" s="16"/>
      <c r="B111" s="64">
        <v>45050</v>
      </c>
      <c r="C111" s="57" t="str">
        <f>VLOOKUP(Ventas[[#This Row],[Codigo]],Stock[#Data],2,FALSE)</f>
        <v>Picador Zeus Plastico Flor</v>
      </c>
      <c r="D111" s="37">
        <f>VLOOKUP(Ventas[[#This Row],[Codigo]],Stock[#Data],4,FALSE)</f>
        <v>1900</v>
      </c>
      <c r="E111" s="33">
        <f>VLOOKUP(Ventas[[#This Row],[Codigo]],Stock[#Data],3,FALSE)</f>
        <v>948</v>
      </c>
      <c r="F111" s="38">
        <v>1</v>
      </c>
      <c r="G111">
        <v>592</v>
      </c>
      <c r="H111" s="36">
        <f>Ventas[[#This Row],[Precio Venta]]*Ventas[[#This Row],[Cantidad]]-Ventas[[#This Row],[Descuento]]</f>
        <v>1900</v>
      </c>
      <c r="I111" s="34">
        <f>Ventas[[#This Row],[Total]]-Ventas[[#This Row],[Precio compra]]*Ventas[[#This Row],[Cantidad]]</f>
        <v>952</v>
      </c>
      <c r="J111" s="34">
        <v>1</v>
      </c>
      <c r="K111" s="34">
        <f>Ventas[[#This Row],[Total]]*Ventas[[#This Row],[Total 3]]</f>
        <v>1900</v>
      </c>
      <c r="L111" s="34" t="s">
        <v>759</v>
      </c>
      <c r="M111" s="34">
        <v>0</v>
      </c>
    </row>
    <row r="112" spans="1:13" ht="21.75" customHeight="1">
      <c r="A112" s="16"/>
      <c r="B112" s="64">
        <v>45050</v>
      </c>
      <c r="C112" s="57" t="str">
        <f>VLOOKUP(Ventas[[#This Row],[Codigo]],Stock[#Data],2,FALSE)</f>
        <v>Cortahilo</v>
      </c>
      <c r="D112" s="37">
        <f>VLOOKUP(Ventas[[#This Row],[Codigo]],Stock[#Data],4,FALSE)</f>
        <v>500</v>
      </c>
      <c r="E112" s="33">
        <f>VLOOKUP(Ventas[[#This Row],[Codigo]],Stock[#Data],3,FALSE)</f>
        <v>214</v>
      </c>
      <c r="F112" s="38">
        <v>1</v>
      </c>
      <c r="G112">
        <v>311</v>
      </c>
      <c r="H112" s="36">
        <f>Ventas[[#This Row],[Precio Venta]]*Ventas[[#This Row],[Cantidad]]-Ventas[[#This Row],[Descuento]]</f>
        <v>500</v>
      </c>
      <c r="I112" s="34">
        <f>Ventas[[#This Row],[Total]]-Ventas[[#This Row],[Precio compra]]*Ventas[[#This Row],[Cantidad]]</f>
        <v>286</v>
      </c>
      <c r="J112" s="34">
        <v>1</v>
      </c>
      <c r="K112" s="34">
        <f>Ventas[[#This Row],[Total]]*Ventas[[#This Row],[Total 3]]</f>
        <v>500</v>
      </c>
      <c r="L112" s="34" t="s">
        <v>759</v>
      </c>
      <c r="M112" s="34">
        <v>0</v>
      </c>
    </row>
    <row r="113" spans="1:13" ht="21.75" customHeight="1">
      <c r="A113" s="16"/>
      <c r="B113" s="64">
        <v>45048</v>
      </c>
      <c r="C113" s="57" t="str">
        <f>VLOOKUP(Ventas[[#This Row],[Codigo]],Stock[#Data],2,FALSE)</f>
        <v>Clonaste Namaste 30gr</v>
      </c>
      <c r="D113" s="37">
        <f>VLOOKUP(Ventas[[#This Row],[Codigo]],Stock[#Data],4,FALSE)</f>
        <v>2000</v>
      </c>
      <c r="E113" s="33">
        <f>VLOOKUP(Ventas[[#This Row],[Codigo]],Stock[#Data],3,FALSE)</f>
        <v>1054</v>
      </c>
      <c r="F113" s="38">
        <v>1</v>
      </c>
      <c r="G113">
        <v>486</v>
      </c>
      <c r="H113" s="36">
        <f>Ventas[[#This Row],[Precio Venta]]*Ventas[[#This Row],[Cantidad]]-Ventas[[#This Row],[Descuento]]</f>
        <v>2000</v>
      </c>
      <c r="I113" s="34">
        <f>Ventas[[#This Row],[Total]]-Ventas[[#This Row],[Precio compra]]*Ventas[[#This Row],[Cantidad]]</f>
        <v>946</v>
      </c>
      <c r="J113" s="34">
        <v>0</v>
      </c>
      <c r="K113" s="34">
        <f>Ventas[[#This Row],[Total]]*Ventas[[#This Row],[Total 3]]</f>
        <v>0</v>
      </c>
      <c r="L113" s="34" t="s">
        <v>760</v>
      </c>
      <c r="M113" s="34">
        <v>0</v>
      </c>
    </row>
    <row r="114" spans="1:13" ht="21.75" customHeight="1">
      <c r="A114" s="16"/>
      <c r="B114" s="64">
        <v>45048</v>
      </c>
      <c r="C114" s="57" t="str">
        <f>VLOOKUP(Ventas[[#This Row],[Codigo]],Stock[#Data],2,FALSE)</f>
        <v>OCB Cañamo Organico</v>
      </c>
      <c r="D114" s="37">
        <f>VLOOKUP(Ventas[[#This Row],[Codigo]],Stock[#Data],4,FALSE)</f>
        <v>300</v>
      </c>
      <c r="E114" s="33">
        <f>VLOOKUP(Ventas[[#This Row],[Codigo]],Stock[#Data],3,FALSE)</f>
        <v>165</v>
      </c>
      <c r="F114" s="38">
        <v>1</v>
      </c>
      <c r="G114">
        <v>593</v>
      </c>
      <c r="H114" s="36">
        <f>Ventas[[#This Row],[Precio Venta]]*Ventas[[#This Row],[Cantidad]]-Ventas[[#This Row],[Descuento]]</f>
        <v>300</v>
      </c>
      <c r="I114" s="34">
        <f>Ventas[[#This Row],[Total]]-Ventas[[#This Row],[Precio compra]]*Ventas[[#This Row],[Cantidad]]</f>
        <v>135</v>
      </c>
      <c r="J114" s="34">
        <v>0</v>
      </c>
      <c r="K114" s="34">
        <f>Ventas[[#This Row],[Total]]*Ventas[[#This Row],[Total 3]]</f>
        <v>0</v>
      </c>
      <c r="L114" s="34" t="s">
        <v>760</v>
      </c>
      <c r="M114" s="34">
        <v>0</v>
      </c>
    </row>
    <row r="115" spans="1:13" ht="21.75" customHeight="1">
      <c r="A115" s="16"/>
      <c r="B115" s="64">
        <v>45048</v>
      </c>
      <c r="C115" s="57" t="str">
        <f>VLOOKUP(Ventas[[#This Row],[Codigo]],Stock[#Data],2,FALSE)</f>
        <v>Sustrato Perlita</v>
      </c>
      <c r="D115" s="37">
        <f>VLOOKUP(Ventas[[#This Row],[Codigo]],Stock[#Data],4,FALSE)</f>
        <v>800</v>
      </c>
      <c r="E115" s="33">
        <f>VLOOKUP(Ventas[[#This Row],[Codigo]],Stock[#Data],3,FALSE)</f>
        <v>400</v>
      </c>
      <c r="F115" s="38">
        <v>1</v>
      </c>
      <c r="G115">
        <v>52</v>
      </c>
      <c r="H115" s="36">
        <f>Ventas[[#This Row],[Precio Venta]]*Ventas[[#This Row],[Cantidad]]-Ventas[[#This Row],[Descuento]]</f>
        <v>800</v>
      </c>
      <c r="I115" s="34">
        <f>Ventas[[#This Row],[Total]]-Ventas[[#This Row],[Precio compra]]*Ventas[[#This Row],[Cantidad]]</f>
        <v>400</v>
      </c>
      <c r="J115" s="34">
        <v>0</v>
      </c>
      <c r="K115" s="34">
        <f>Ventas[[#This Row],[Total]]*Ventas[[#This Row],[Total 3]]</f>
        <v>0</v>
      </c>
      <c r="L115" s="34" t="s">
        <v>760</v>
      </c>
      <c r="M115" s="34">
        <v>0</v>
      </c>
    </row>
    <row r="116" spans="1:13" ht="21.75" customHeight="1">
      <c r="A116" s="16"/>
      <c r="B116" s="64">
        <v>45048</v>
      </c>
      <c r="C116" s="57" t="str">
        <f>VLOOKUP(Ventas[[#This Row],[Codigo]],Stock[#Data],2,FALSE)</f>
        <v xml:space="preserve">Limpia Pipa Organic Life </v>
      </c>
      <c r="D116" s="37">
        <f>VLOOKUP(Ventas[[#This Row],[Codigo]],Stock[#Data],4,FALSE)</f>
        <v>500</v>
      </c>
      <c r="E116" s="33">
        <f>VLOOKUP(Ventas[[#This Row],[Codigo]],Stock[#Data],3,FALSE)</f>
        <v>250</v>
      </c>
      <c r="F116" s="38">
        <v>1</v>
      </c>
      <c r="G116">
        <v>492</v>
      </c>
      <c r="H116" s="36">
        <f>Ventas[[#This Row],[Precio Venta]]*Ventas[[#This Row],[Cantidad]]-Ventas[[#This Row],[Descuento]]</f>
        <v>500</v>
      </c>
      <c r="I116" s="34">
        <f>Ventas[[#This Row],[Total]]-Ventas[[#This Row],[Precio compra]]*Ventas[[#This Row],[Cantidad]]</f>
        <v>250</v>
      </c>
      <c r="J116" s="34">
        <v>0</v>
      </c>
      <c r="K116" s="34">
        <f>Ventas[[#This Row],[Total]]*Ventas[[#This Row],[Total 3]]</f>
        <v>0</v>
      </c>
      <c r="L116" s="34" t="s">
        <v>760</v>
      </c>
      <c r="M116" s="34">
        <v>0</v>
      </c>
    </row>
    <row r="117" spans="1:13" ht="21.75" customHeight="1">
      <c r="A117" s="16"/>
      <c r="B117" s="64">
        <v>45048</v>
      </c>
      <c r="C117" s="57" t="str">
        <f>VLOOKUP(Ventas[[#This Row],[Codigo]],Stock[#Data],2,FALSE)</f>
        <v>Tuquero Acrílico</v>
      </c>
      <c r="D117" s="37">
        <f>VLOOKUP(Ventas[[#This Row],[Codigo]],Stock[#Data],4,FALSE)</f>
        <v>600</v>
      </c>
      <c r="E117" s="33">
        <f>VLOOKUP(Ventas[[#This Row],[Codigo]],Stock[#Data],3,FALSE)</f>
        <v>300</v>
      </c>
      <c r="F117" s="38">
        <v>1</v>
      </c>
      <c r="G117">
        <v>508</v>
      </c>
      <c r="H117" s="36">
        <f>Ventas[[#This Row],[Precio Venta]]*Ventas[[#This Row],[Cantidad]]-Ventas[[#This Row],[Descuento]]</f>
        <v>600</v>
      </c>
      <c r="I117" s="34">
        <f>Ventas[[#This Row],[Total]]-Ventas[[#This Row],[Precio compra]]*Ventas[[#This Row],[Cantidad]]</f>
        <v>300</v>
      </c>
      <c r="J117" s="34">
        <v>0</v>
      </c>
      <c r="K117" s="34">
        <f>Ventas[[#This Row],[Total]]*Ventas[[#This Row],[Total 3]]</f>
        <v>0</v>
      </c>
      <c r="L117" s="34" t="s">
        <v>760</v>
      </c>
      <c r="M117" s="34">
        <v>0</v>
      </c>
    </row>
    <row r="118" spans="1:13" ht="21.75" customHeight="1">
      <c r="A118" s="16"/>
      <c r="B118" s="64">
        <v>45048</v>
      </c>
      <c r="C118" s="57" t="str">
        <f>VLOOKUP(Ventas[[#This Row],[Codigo]],Stock[#Data],2,FALSE)</f>
        <v>Sedas Dolar Honey Puff</v>
      </c>
      <c r="D118" s="37">
        <f>VLOOKUP(Ventas[[#This Row],[Codigo]],Stock[#Data],4,FALSE)</f>
        <v>650</v>
      </c>
      <c r="E118" s="33">
        <f>VLOOKUP(Ventas[[#This Row],[Codigo]],Stock[#Data],3,FALSE)</f>
        <v>316</v>
      </c>
      <c r="F118" s="38">
        <v>1</v>
      </c>
      <c r="G118">
        <v>425</v>
      </c>
      <c r="H118" s="36">
        <f>Ventas[[#This Row],[Precio Venta]]*Ventas[[#This Row],[Cantidad]]-Ventas[[#This Row],[Descuento]]</f>
        <v>650</v>
      </c>
      <c r="I118" s="34">
        <f>Ventas[[#This Row],[Total]]-Ventas[[#This Row],[Precio compra]]*Ventas[[#This Row],[Cantidad]]</f>
        <v>334</v>
      </c>
      <c r="J118" s="34">
        <v>0</v>
      </c>
      <c r="K118" s="34">
        <f>Ventas[[#This Row],[Total]]*Ventas[[#This Row],[Total 3]]</f>
        <v>0</v>
      </c>
      <c r="L118" s="34" t="s">
        <v>760</v>
      </c>
      <c r="M118" s="34">
        <v>0</v>
      </c>
    </row>
    <row r="119" spans="1:13" ht="21.75" customHeight="1">
      <c r="A119" s="16"/>
      <c r="B119" s="64">
        <v>45048</v>
      </c>
      <c r="C119" s="57" t="str">
        <f>VLOOKUP(Ventas[[#This Row],[Codigo]],Stock[#Data],2,FALSE)</f>
        <v>OCB Cañamo Organico</v>
      </c>
      <c r="D119" s="37">
        <f>VLOOKUP(Ventas[[#This Row],[Codigo]],Stock[#Data],4,FALSE)</f>
        <v>300</v>
      </c>
      <c r="E119" s="33">
        <f>VLOOKUP(Ventas[[#This Row],[Codigo]],Stock[#Data],3,FALSE)</f>
        <v>165</v>
      </c>
      <c r="F119" s="38">
        <v>1</v>
      </c>
      <c r="G119">
        <v>593</v>
      </c>
      <c r="H119" s="36">
        <f>Ventas[[#This Row],[Precio Venta]]*Ventas[[#This Row],[Cantidad]]-Ventas[[#This Row],[Descuento]]</f>
        <v>300</v>
      </c>
      <c r="I119" s="34">
        <f>Ventas[[#This Row],[Total]]-Ventas[[#This Row],[Precio compra]]*Ventas[[#This Row],[Cantidad]]</f>
        <v>135</v>
      </c>
      <c r="J119" s="34">
        <v>0</v>
      </c>
      <c r="K119" s="34">
        <f>Ventas[[#This Row],[Total]]*Ventas[[#This Row],[Total 3]]</f>
        <v>0</v>
      </c>
      <c r="L119" s="34" t="s">
        <v>760</v>
      </c>
      <c r="M119" s="34">
        <v>0</v>
      </c>
    </row>
    <row r="120" spans="1:13" ht="21.75" customHeight="1">
      <c r="A120" s="16"/>
      <c r="B120" s="64">
        <v>45048</v>
      </c>
      <c r="C120" s="57" t="str">
        <f>VLOOKUP(Ventas[[#This Row],[Codigo]],Stock[#Data],2,FALSE)</f>
        <v>Sedas PRISMA 1/4 Pink</v>
      </c>
      <c r="D120" s="37">
        <f>VLOOKUP(Ventas[[#This Row],[Codigo]],Stock[#Data],4,FALSE)</f>
        <v>200</v>
      </c>
      <c r="E120" s="33">
        <f>VLOOKUP(Ventas[[#This Row],[Codigo]],Stock[#Data],3,FALSE)</f>
        <v>100</v>
      </c>
      <c r="F120" s="38">
        <v>1</v>
      </c>
      <c r="G120">
        <v>92</v>
      </c>
      <c r="H120" s="36">
        <f>Ventas[[#This Row],[Precio Venta]]*Ventas[[#This Row],[Cantidad]]-Ventas[[#This Row],[Descuento]]</f>
        <v>200</v>
      </c>
      <c r="I120" s="34">
        <f>Ventas[[#This Row],[Total]]-Ventas[[#This Row],[Precio compra]]*Ventas[[#This Row],[Cantidad]]</f>
        <v>100</v>
      </c>
      <c r="J120" s="34">
        <v>0</v>
      </c>
      <c r="K120" s="34">
        <f>Ventas[[#This Row],[Total]]*Ventas[[#This Row],[Total 3]]</f>
        <v>0</v>
      </c>
      <c r="L120" s="34" t="s">
        <v>760</v>
      </c>
      <c r="M120" s="34">
        <v>0</v>
      </c>
    </row>
    <row r="121" spans="1:13" ht="21.75" customHeight="1">
      <c r="A121" s="16"/>
      <c r="B121" s="64">
        <v>45048</v>
      </c>
      <c r="C121" s="57" t="str">
        <f>VLOOKUP(Ventas[[#This Row],[Codigo]],Stock[#Data],2,FALSE)</f>
        <v>Tabaco Van Kiff Cherry</v>
      </c>
      <c r="D121" s="37">
        <f>VLOOKUP(Ventas[[#This Row],[Codigo]],Stock[#Data],4,FALSE)</f>
        <v>850</v>
      </c>
      <c r="E121" s="33">
        <f>VLOOKUP(Ventas[[#This Row],[Codigo]],Stock[#Data],3,FALSE)</f>
        <v>580</v>
      </c>
      <c r="F121" s="38">
        <v>1</v>
      </c>
      <c r="G121">
        <v>118</v>
      </c>
      <c r="H121" s="36">
        <f>Ventas[[#This Row],[Precio Venta]]*Ventas[[#This Row],[Cantidad]]-Ventas[[#This Row],[Descuento]]</f>
        <v>850</v>
      </c>
      <c r="I121" s="34">
        <f>Ventas[[#This Row],[Total]]-Ventas[[#This Row],[Precio compra]]*Ventas[[#This Row],[Cantidad]]</f>
        <v>270</v>
      </c>
      <c r="J121" s="34">
        <v>0</v>
      </c>
      <c r="K121" s="34">
        <f>Ventas[[#This Row],[Total]]*Ventas[[#This Row],[Total 3]]</f>
        <v>0</v>
      </c>
      <c r="L121" s="34" t="s">
        <v>760</v>
      </c>
      <c r="M121" s="34">
        <v>0</v>
      </c>
    </row>
    <row r="122" spans="1:13" ht="21.75" customHeight="1">
      <c r="A122" s="16"/>
      <c r="B122" s="64">
        <v>45045</v>
      </c>
      <c r="C122" s="57" t="str">
        <f>VLOOKUP(Ventas[[#This Row],[Codigo]],Stock[#Data],2,FALSE)</f>
        <v>Macetas Sopladas N12</v>
      </c>
      <c r="D122" s="37">
        <f>VLOOKUP(Ventas[[#This Row],[Codigo]],Stock[#Data],4,FALSE)</f>
        <v>50</v>
      </c>
      <c r="E122" s="33">
        <f>VLOOKUP(Ventas[[#This Row],[Codigo]],Stock[#Data],3,FALSE)</f>
        <v>21</v>
      </c>
      <c r="F122" s="38">
        <v>1</v>
      </c>
      <c r="G122">
        <v>281</v>
      </c>
      <c r="H122" s="36">
        <f>Ventas[[#This Row],[Precio Venta]]*Ventas[[#This Row],[Cantidad]]-Ventas[[#This Row],[Descuento]]</f>
        <v>50</v>
      </c>
      <c r="I122" s="34">
        <f>Ventas[[#This Row],[Total]]-Ventas[[#This Row],[Precio compra]]*Ventas[[#This Row],[Cantidad]]</f>
        <v>29</v>
      </c>
      <c r="J122" s="34">
        <v>1</v>
      </c>
      <c r="K122" s="34">
        <f>Ventas[[#This Row],[Total]]*Ventas[[#This Row],[Total 3]]</f>
        <v>50</v>
      </c>
      <c r="L122" s="34" t="s">
        <v>759</v>
      </c>
      <c r="M122" s="34">
        <v>0</v>
      </c>
    </row>
    <row r="123" spans="1:13" ht="21.75" customHeight="1">
      <c r="A123" s="16"/>
      <c r="B123" s="64">
        <v>45045</v>
      </c>
      <c r="C123" s="57" t="str">
        <f>VLOOKUP(Ventas[[#This Row],[Codigo]],Stock[#Data],2,FALSE)</f>
        <v>Macetas Sopladas 3L</v>
      </c>
      <c r="D123" s="37">
        <f>VLOOKUP(Ventas[[#This Row],[Codigo]],Stock[#Data],4,FALSE)</f>
        <v>120</v>
      </c>
      <c r="E123" s="33">
        <f>VLOOKUP(Ventas[[#This Row],[Codigo]],Stock[#Data],3,FALSE)</f>
        <v>58</v>
      </c>
      <c r="F123" s="38">
        <v>1</v>
      </c>
      <c r="G123">
        <v>456</v>
      </c>
      <c r="H123" s="36">
        <f>Ventas[[#This Row],[Precio Venta]]*Ventas[[#This Row],[Cantidad]]-Ventas[[#This Row],[Descuento]]</f>
        <v>120</v>
      </c>
      <c r="I123" s="34">
        <f>Ventas[[#This Row],[Total]]-Ventas[[#This Row],[Precio compra]]*Ventas[[#This Row],[Cantidad]]</f>
        <v>62</v>
      </c>
      <c r="J123" s="34">
        <v>1</v>
      </c>
      <c r="K123" s="34">
        <f>Ventas[[#This Row],[Total]]*Ventas[[#This Row],[Total 3]]</f>
        <v>120</v>
      </c>
      <c r="L123" s="34" t="s">
        <v>759</v>
      </c>
      <c r="M123" s="34">
        <v>0</v>
      </c>
    </row>
    <row r="124" spans="1:13" ht="21.75" customHeight="1">
      <c r="A124" s="16"/>
      <c r="B124" s="64">
        <v>45045</v>
      </c>
      <c r="C124" s="57" t="str">
        <f>VLOOKUP(Ventas[[#This Row],[Codigo]],Stock[#Data],2,FALSE)</f>
        <v>Sustrato Perlita</v>
      </c>
      <c r="D124" s="37">
        <f>VLOOKUP(Ventas[[#This Row],[Codigo]],Stock[#Data],4,FALSE)</f>
        <v>800</v>
      </c>
      <c r="E124" s="33">
        <f>VLOOKUP(Ventas[[#This Row],[Codigo]],Stock[#Data],3,FALSE)</f>
        <v>400</v>
      </c>
      <c r="F124" s="38">
        <v>1</v>
      </c>
      <c r="G124">
        <v>52</v>
      </c>
      <c r="H124" s="36">
        <f>Ventas[[#This Row],[Precio Venta]]*Ventas[[#This Row],[Cantidad]]-Ventas[[#This Row],[Descuento]]</f>
        <v>800</v>
      </c>
      <c r="I124" s="34">
        <f>Ventas[[#This Row],[Total]]-Ventas[[#This Row],[Precio compra]]*Ventas[[#This Row],[Cantidad]]</f>
        <v>400</v>
      </c>
      <c r="J124" s="34">
        <v>0</v>
      </c>
      <c r="K124" s="34">
        <f>Ventas[[#This Row],[Total]]*Ventas[[#This Row],[Total 3]]</f>
        <v>0</v>
      </c>
      <c r="L124" s="34" t="s">
        <v>760</v>
      </c>
      <c r="M124" s="34">
        <v>0</v>
      </c>
    </row>
    <row r="125" spans="1:13" ht="21.75" customHeight="1">
      <c r="A125" s="16"/>
      <c r="B125" s="64">
        <v>45045</v>
      </c>
      <c r="C125" s="57" t="str">
        <f>VLOOKUP(Ventas[[#This Row],[Codigo]],Stock[#Data],2,FALSE)</f>
        <v>Alga Delta 100ml</v>
      </c>
      <c r="D125" s="37">
        <f>VLOOKUP(Ventas[[#This Row],[Codigo]],Stock[#Data],4,FALSE)</f>
        <v>1600</v>
      </c>
      <c r="E125" s="33">
        <f>VLOOKUP(Ventas[[#This Row],[Codigo]],Stock[#Data],3,FALSE)</f>
        <v>808</v>
      </c>
      <c r="F125" s="38">
        <v>1</v>
      </c>
      <c r="G125">
        <v>471</v>
      </c>
      <c r="H125" s="36">
        <f>Ventas[[#This Row],[Precio Venta]]*Ventas[[#This Row],[Cantidad]]-Ventas[[#This Row],[Descuento]]</f>
        <v>1600</v>
      </c>
      <c r="I125" s="34">
        <f>Ventas[[#This Row],[Total]]-Ventas[[#This Row],[Precio compra]]*Ventas[[#This Row],[Cantidad]]</f>
        <v>792</v>
      </c>
      <c r="J125" s="34">
        <v>0</v>
      </c>
      <c r="K125" s="34">
        <f>Ventas[[#This Row],[Total]]*Ventas[[#This Row],[Total 3]]</f>
        <v>0</v>
      </c>
      <c r="L125" s="34" t="s">
        <v>760</v>
      </c>
      <c r="M125" s="34">
        <v>0</v>
      </c>
    </row>
    <row r="126" spans="1:13" ht="21.75" customHeight="1">
      <c r="A126" s="16"/>
      <c r="B126" s="64">
        <v>45045</v>
      </c>
      <c r="C126" s="57" t="str">
        <f>VLOOKUP(Ventas[[#This Row],[Codigo]],Stock[#Data],2,FALSE)</f>
        <v>Namaste Oro Negro 100ml</v>
      </c>
      <c r="D126" s="37">
        <f>VLOOKUP(Ventas[[#This Row],[Codigo]],Stock[#Data],4,FALSE)</f>
        <v>1000</v>
      </c>
      <c r="E126" s="33">
        <f>VLOOKUP(Ventas[[#This Row],[Codigo]],Stock[#Data],3,FALSE)</f>
        <v>515</v>
      </c>
      <c r="F126" s="38">
        <v>1</v>
      </c>
      <c r="G126">
        <v>478</v>
      </c>
      <c r="H126" s="36">
        <f>Ventas[[#This Row],[Precio Venta]]*Ventas[[#This Row],[Cantidad]]-Ventas[[#This Row],[Descuento]]</f>
        <v>1000</v>
      </c>
      <c r="I126" s="34">
        <f>Ventas[[#This Row],[Total]]-Ventas[[#This Row],[Precio compra]]*Ventas[[#This Row],[Cantidad]]</f>
        <v>485</v>
      </c>
      <c r="J126" s="34">
        <v>0</v>
      </c>
      <c r="K126" s="34">
        <f>Ventas[[#This Row],[Total]]*Ventas[[#This Row],[Total 3]]</f>
        <v>0</v>
      </c>
      <c r="L126" s="34" t="s">
        <v>760</v>
      </c>
      <c r="M126" s="34">
        <v>0</v>
      </c>
    </row>
    <row r="127" spans="1:13" ht="21.75" customHeight="1">
      <c r="A127" s="16"/>
      <c r="B127" s="64">
        <v>45045</v>
      </c>
      <c r="C127" s="57" t="str">
        <f>VLOOKUP(Ventas[[#This Row],[Codigo]],Stock[#Data],2,FALSE)</f>
        <v xml:space="preserve">Polea Santa Planta 5kg </v>
      </c>
      <c r="D127" s="37">
        <f>VLOOKUP(Ventas[[#This Row],[Codigo]],Stock[#Data],4,FALSE)</f>
        <v>2500</v>
      </c>
      <c r="E127" s="33">
        <f>VLOOKUP(Ventas[[#This Row],[Codigo]],Stock[#Data],3,FALSE)</f>
        <v>1375</v>
      </c>
      <c r="F127" s="38">
        <v>1</v>
      </c>
      <c r="G127">
        <v>510</v>
      </c>
      <c r="H127" s="36">
        <f>Ventas[[#This Row],[Precio Venta]]*Ventas[[#This Row],[Cantidad]]-Ventas[[#This Row],[Descuento]]</f>
        <v>2500</v>
      </c>
      <c r="I127" s="34">
        <f>Ventas[[#This Row],[Total]]-Ventas[[#This Row],[Precio compra]]*Ventas[[#This Row],[Cantidad]]</f>
        <v>1125</v>
      </c>
      <c r="J127" s="34">
        <v>1</v>
      </c>
      <c r="K127" s="34">
        <f>Ventas[[#This Row],[Total]]*Ventas[[#This Row],[Total 3]]</f>
        <v>2500</v>
      </c>
      <c r="L127" s="34" t="s">
        <v>759</v>
      </c>
      <c r="M127" s="34">
        <v>0</v>
      </c>
    </row>
    <row r="128" spans="1:13" ht="21.75" customHeight="1">
      <c r="A128" s="16"/>
      <c r="B128" s="64">
        <v>45045</v>
      </c>
      <c r="C128" s="57" t="str">
        <f>VLOOKUP(Ventas[[#This Row],[Codigo]],Stock[#Data],2,FALSE)</f>
        <v>Piedra para encendedor</v>
      </c>
      <c r="D128" s="37">
        <f>VLOOKUP(Ventas[[#This Row],[Codigo]],Stock[#Data],4,FALSE)</f>
        <v>450</v>
      </c>
      <c r="E128" s="33">
        <f>VLOOKUP(Ventas[[#This Row],[Codigo]],Stock[#Data],3,FALSE)</f>
        <v>223</v>
      </c>
      <c r="F128" s="38">
        <v>1</v>
      </c>
      <c r="G128">
        <v>201</v>
      </c>
      <c r="H128" s="36">
        <f>Ventas[[#This Row],[Precio Venta]]*Ventas[[#This Row],[Cantidad]]-Ventas[[#This Row],[Descuento]]</f>
        <v>450</v>
      </c>
      <c r="I128" s="34">
        <f>Ventas[[#This Row],[Total]]-Ventas[[#This Row],[Precio compra]]*Ventas[[#This Row],[Cantidad]]</f>
        <v>227</v>
      </c>
      <c r="J128" s="34">
        <v>0</v>
      </c>
      <c r="K128" s="34">
        <f>Ventas[[#This Row],[Total]]*Ventas[[#This Row],[Total 3]]</f>
        <v>0</v>
      </c>
      <c r="L128" s="34" t="s">
        <v>760</v>
      </c>
      <c r="M128" s="34">
        <v>0</v>
      </c>
    </row>
    <row r="129" spans="1:13" ht="21.75" customHeight="1">
      <c r="A129" s="16"/>
      <c r="B129" s="64">
        <v>45045</v>
      </c>
      <c r="C129" s="57" t="str">
        <f>VLOOKUP(Ventas[[#This Row],[Codigo]],Stock[#Data],2,FALSE)</f>
        <v>Sedas Blunt Rey Kz celulosa Verde</v>
      </c>
      <c r="D129" s="37">
        <f>VLOOKUP(Ventas[[#This Row],[Codigo]],Stock[#Data],4,FALSE)</f>
        <v>400</v>
      </c>
      <c r="E129" s="33">
        <f>VLOOKUP(Ventas[[#This Row],[Codigo]],Stock[#Data],3,FALSE)</f>
        <v>163</v>
      </c>
      <c r="F129" s="38">
        <v>4</v>
      </c>
      <c r="G129">
        <v>70</v>
      </c>
      <c r="H129" s="36">
        <f>Ventas[[#This Row],[Precio Venta]]*Ventas[[#This Row],[Cantidad]]-Ventas[[#This Row],[Descuento]]</f>
        <v>1600</v>
      </c>
      <c r="I129" s="34">
        <f>Ventas[[#This Row],[Total]]-Ventas[[#This Row],[Precio compra]]*Ventas[[#This Row],[Cantidad]]</f>
        <v>948</v>
      </c>
      <c r="J129" s="34">
        <v>0</v>
      </c>
      <c r="K129" s="34">
        <f>Ventas[[#This Row],[Total]]*Ventas[[#This Row],[Total 3]]</f>
        <v>0</v>
      </c>
      <c r="L129" s="34" t="s">
        <v>760</v>
      </c>
      <c r="M129" s="34">
        <v>0</v>
      </c>
    </row>
    <row r="130" spans="1:13" ht="21.75" customHeight="1">
      <c r="A130" s="16"/>
      <c r="B130" s="64">
        <v>45044</v>
      </c>
      <c r="C130" s="57" t="str">
        <f>VLOOKUP(Ventas[[#This Row],[Codigo]],Stock[#Data],2,FALSE)</f>
        <v>Power Cleaning H2O</v>
      </c>
      <c r="D130" s="37">
        <f>VLOOKUP(Ventas[[#This Row],[Codigo]],Stock[#Data],4,FALSE)</f>
        <v>800</v>
      </c>
      <c r="E130" s="33">
        <f>VLOOKUP(Ventas[[#This Row],[Codigo]],Stock[#Data],3,FALSE)</f>
        <v>380</v>
      </c>
      <c r="F130" s="38">
        <v>1</v>
      </c>
      <c r="G130">
        <v>54</v>
      </c>
      <c r="H130" s="36">
        <f>Ventas[[#This Row],[Precio Venta]]*Ventas[[#This Row],[Cantidad]]-Ventas[[#This Row],[Descuento]]</f>
        <v>800</v>
      </c>
      <c r="I130" s="34">
        <f>Ventas[[#This Row],[Total]]-Ventas[[#This Row],[Precio compra]]*Ventas[[#This Row],[Cantidad]]</f>
        <v>420</v>
      </c>
      <c r="J130" s="34">
        <v>0</v>
      </c>
      <c r="K130" s="34">
        <f>Ventas[[#This Row],[Total]]*Ventas[[#This Row],[Total 3]]</f>
        <v>0</v>
      </c>
      <c r="L130" s="34" t="s">
        <v>760</v>
      </c>
      <c r="M130" s="34">
        <v>0</v>
      </c>
    </row>
    <row r="131" spans="1:13" ht="21.75" customHeight="1">
      <c r="A131" s="16"/>
      <c r="B131" s="64">
        <v>45044</v>
      </c>
      <c r="C131" s="57" t="str">
        <f>VLOOKUP(Ventas[[#This Row],[Codigo]],Stock[#Data],2,FALSE)</f>
        <v>Power Buffer PH7</v>
      </c>
      <c r="D131" s="37">
        <f>VLOOKUP(Ventas[[#This Row],[Codigo]],Stock[#Data],4,FALSE)</f>
        <v>600</v>
      </c>
      <c r="E131" s="33">
        <f>VLOOKUP(Ventas[[#This Row],[Codigo]],Stock[#Data],3,FALSE)</f>
        <v>310</v>
      </c>
      <c r="F131" s="38">
        <v>1</v>
      </c>
      <c r="G131">
        <v>56</v>
      </c>
      <c r="H131" s="36">
        <f>Ventas[[#This Row],[Precio Venta]]*Ventas[[#This Row],[Cantidad]]-Ventas[[#This Row],[Descuento]]</f>
        <v>600</v>
      </c>
      <c r="I131" s="34">
        <f>Ventas[[#This Row],[Total]]-Ventas[[#This Row],[Precio compra]]*Ventas[[#This Row],[Cantidad]]</f>
        <v>290</v>
      </c>
      <c r="J131" s="34">
        <v>0</v>
      </c>
      <c r="K131" s="34">
        <f>Ventas[[#This Row],[Total]]*Ventas[[#This Row],[Total 3]]</f>
        <v>0</v>
      </c>
      <c r="L131" s="34" t="s">
        <v>760</v>
      </c>
      <c r="M131" s="34">
        <v>0</v>
      </c>
    </row>
    <row r="132" spans="1:13" ht="21.75" customHeight="1">
      <c r="A132" s="16"/>
      <c r="B132" s="64">
        <v>45044</v>
      </c>
      <c r="C132" s="57" t="str">
        <f>VLOOKUP(Ventas[[#This Row],[Codigo]],Stock[#Data],2,FALSE)</f>
        <v>Power Buffer PH4</v>
      </c>
      <c r="D132" s="37">
        <f>VLOOKUP(Ventas[[#This Row],[Codigo]],Stock[#Data],4,FALSE)</f>
        <v>600</v>
      </c>
      <c r="E132" s="33">
        <f>VLOOKUP(Ventas[[#This Row],[Codigo]],Stock[#Data],3,FALSE)</f>
        <v>310</v>
      </c>
      <c r="F132" s="38">
        <v>1</v>
      </c>
      <c r="G132">
        <v>57</v>
      </c>
      <c r="H132" s="36">
        <f>Ventas[[#This Row],[Precio Venta]]*Ventas[[#This Row],[Cantidad]]-Ventas[[#This Row],[Descuento]]</f>
        <v>600</v>
      </c>
      <c r="I132" s="34">
        <f>Ventas[[#This Row],[Total]]-Ventas[[#This Row],[Precio compra]]*Ventas[[#This Row],[Cantidad]]</f>
        <v>290</v>
      </c>
      <c r="J132" s="34">
        <v>0</v>
      </c>
      <c r="K132" s="34">
        <f>Ventas[[#This Row],[Total]]*Ventas[[#This Row],[Total 3]]</f>
        <v>0</v>
      </c>
      <c r="L132" s="34" t="s">
        <v>760</v>
      </c>
      <c r="M132" s="34">
        <v>0</v>
      </c>
    </row>
    <row r="133" spans="1:13" ht="21.75" customHeight="1">
      <c r="A133" s="16"/>
      <c r="B133" s="64">
        <v>45044</v>
      </c>
      <c r="C133" s="57" t="str">
        <f>VLOOKUP(Ventas[[#This Row],[Codigo]],Stock[#Data],2,FALSE)</f>
        <v>Tree Mix F 500ml</v>
      </c>
      <c r="D133" s="37">
        <f>VLOOKUP(Ventas[[#This Row],[Codigo]],Stock[#Data],4,FALSE)</f>
        <v>2600</v>
      </c>
      <c r="E133" s="33">
        <f>VLOOKUP(Ventas[[#This Row],[Codigo]],Stock[#Data],3,FALSE)</f>
        <v>1320</v>
      </c>
      <c r="F133" s="38">
        <v>1</v>
      </c>
      <c r="G133">
        <v>448</v>
      </c>
      <c r="H133" s="36">
        <f>Ventas[[#This Row],[Precio Venta]]*Ventas[[#This Row],[Cantidad]]-Ventas[[#This Row],[Descuento]]</f>
        <v>2600</v>
      </c>
      <c r="I133" s="34">
        <f>Ventas[[#This Row],[Total]]-Ventas[[#This Row],[Precio compra]]*Ventas[[#This Row],[Cantidad]]</f>
        <v>1280</v>
      </c>
      <c r="J133" s="34">
        <v>1</v>
      </c>
      <c r="K133" s="34">
        <f>Ventas[[#This Row],[Total]]*Ventas[[#This Row],[Total 3]]</f>
        <v>2600</v>
      </c>
      <c r="L133" s="34" t="s">
        <v>759</v>
      </c>
      <c r="M133" s="34">
        <v>0</v>
      </c>
    </row>
    <row r="134" spans="1:13" ht="21.75" customHeight="1">
      <c r="A134" s="16"/>
      <c r="B134" s="64">
        <v>45044</v>
      </c>
      <c r="C134" s="57" t="str">
        <f>VLOOKUP(Ventas[[#This Row],[Codigo]],Stock[#Data],2,FALSE)</f>
        <v>Sustrato Perlita</v>
      </c>
      <c r="D134" s="37">
        <f>VLOOKUP(Ventas[[#This Row],[Codigo]],Stock[#Data],4,FALSE)</f>
        <v>800</v>
      </c>
      <c r="E134" s="33">
        <f>VLOOKUP(Ventas[[#This Row],[Codigo]],Stock[#Data],3,FALSE)</f>
        <v>400</v>
      </c>
      <c r="F134" s="38">
        <v>1</v>
      </c>
      <c r="G134">
        <v>52</v>
      </c>
      <c r="H134" s="36">
        <f>Ventas[[#This Row],[Precio Venta]]*Ventas[[#This Row],[Cantidad]]-Ventas[[#This Row],[Descuento]]</f>
        <v>800</v>
      </c>
      <c r="I134" s="34">
        <f>Ventas[[#This Row],[Total]]-Ventas[[#This Row],[Precio compra]]*Ventas[[#This Row],[Cantidad]]</f>
        <v>400</v>
      </c>
      <c r="J134" s="34">
        <v>1</v>
      </c>
      <c r="K134" s="34">
        <f>Ventas[[#This Row],[Total]]*Ventas[[#This Row],[Total 3]]</f>
        <v>800</v>
      </c>
      <c r="L134" s="34" t="s">
        <v>759</v>
      </c>
      <c r="M134" s="34">
        <v>0</v>
      </c>
    </row>
    <row r="135" spans="1:13" ht="21.75" customHeight="1">
      <c r="A135" s="16"/>
      <c r="B135" s="64">
        <v>45044</v>
      </c>
      <c r="C135" s="57" t="str">
        <f>VLOOKUP(Ventas[[#This Row],[Codigo]],Stock[#Data],2,FALSE)</f>
        <v>Namaste Amazonia 150gr</v>
      </c>
      <c r="D135" s="37">
        <f>VLOOKUP(Ventas[[#This Row],[Codigo]],Stock[#Data],4,FALSE)</f>
        <v>2200</v>
      </c>
      <c r="E135" s="33">
        <f>VLOOKUP(Ventas[[#This Row],[Codigo]],Stock[#Data],3,FALSE)</f>
        <v>1218</v>
      </c>
      <c r="F135" s="38">
        <v>1</v>
      </c>
      <c r="G135">
        <v>477</v>
      </c>
      <c r="H135" s="36">
        <f>Ventas[[#This Row],[Precio Venta]]*Ventas[[#This Row],[Cantidad]]-Ventas[[#This Row],[Descuento]]</f>
        <v>2200</v>
      </c>
      <c r="I135" s="34">
        <f>Ventas[[#This Row],[Total]]-Ventas[[#This Row],[Precio compra]]*Ventas[[#This Row],[Cantidad]]</f>
        <v>982</v>
      </c>
      <c r="J135" s="34">
        <v>1</v>
      </c>
      <c r="K135" s="34">
        <f>Ventas[[#This Row],[Total]]*Ventas[[#This Row],[Total 3]]</f>
        <v>2200</v>
      </c>
      <c r="L135" s="34" t="s">
        <v>759</v>
      </c>
      <c r="M135" s="34">
        <v>0</v>
      </c>
    </row>
    <row r="136" spans="1:13" ht="21.75" customHeight="1">
      <c r="A136" s="16"/>
      <c r="B136" s="64">
        <v>45044</v>
      </c>
      <c r="C136" s="57" t="str">
        <f>VLOOKUP(Ventas[[#This Row],[Codigo]],Stock[#Data],2,FALSE)</f>
        <v>Masetas Sopladas 3 litros</v>
      </c>
      <c r="D136" s="37">
        <f>VLOOKUP(Ventas[[#This Row],[Codigo]],Stock[#Data],4,FALSE)</f>
        <v>100</v>
      </c>
      <c r="E136" s="33">
        <f>VLOOKUP(Ventas[[#This Row],[Codigo]],Stock[#Data],3,FALSE)</f>
        <v>38</v>
      </c>
      <c r="F136" s="38">
        <v>3</v>
      </c>
      <c r="G136">
        <v>246</v>
      </c>
      <c r="H136" s="36">
        <f>Ventas[[#This Row],[Precio Venta]]*Ventas[[#This Row],[Cantidad]]-Ventas[[#This Row],[Descuento]]</f>
        <v>300</v>
      </c>
      <c r="I136" s="34">
        <f>Ventas[[#This Row],[Total]]-Ventas[[#This Row],[Precio compra]]*Ventas[[#This Row],[Cantidad]]</f>
        <v>186</v>
      </c>
      <c r="J136" s="34">
        <v>1</v>
      </c>
      <c r="K136" s="34">
        <f>Ventas[[#This Row],[Total]]*Ventas[[#This Row],[Total 3]]</f>
        <v>300</v>
      </c>
      <c r="L136" s="34" t="s">
        <v>759</v>
      </c>
      <c r="M136" s="34">
        <v>0</v>
      </c>
    </row>
    <row r="137" spans="1:13" ht="21.75" customHeight="1">
      <c r="A137" s="16"/>
      <c r="B137" s="64">
        <v>45044</v>
      </c>
      <c r="C137" s="57" t="str">
        <f>VLOOKUP(Ventas[[#This Row],[Codigo]],Stock[#Data],2,FALSE)</f>
        <v>Macetas Sopladas N12</v>
      </c>
      <c r="D137" s="37">
        <f>VLOOKUP(Ventas[[#This Row],[Codigo]],Stock[#Data],4,FALSE)</f>
        <v>50</v>
      </c>
      <c r="E137" s="33">
        <f>VLOOKUP(Ventas[[#This Row],[Codigo]],Stock[#Data],3,FALSE)</f>
        <v>21</v>
      </c>
      <c r="F137" s="38">
        <v>3</v>
      </c>
      <c r="G137">
        <v>281</v>
      </c>
      <c r="H137" s="36">
        <f>Ventas[[#This Row],[Precio Venta]]*Ventas[[#This Row],[Cantidad]]-Ventas[[#This Row],[Descuento]]</f>
        <v>150</v>
      </c>
      <c r="I137" s="34">
        <f>Ventas[[#This Row],[Total]]-Ventas[[#This Row],[Precio compra]]*Ventas[[#This Row],[Cantidad]]</f>
        <v>87</v>
      </c>
      <c r="J137" s="34">
        <v>1</v>
      </c>
      <c r="K137" s="34">
        <f>Ventas[[#This Row],[Total]]*Ventas[[#This Row],[Total 3]]</f>
        <v>150</v>
      </c>
      <c r="L137" s="34" t="s">
        <v>759</v>
      </c>
      <c r="M137" s="34">
        <v>0</v>
      </c>
    </row>
    <row r="138" spans="1:13" ht="21.75" customHeight="1">
      <c r="A138" s="16"/>
      <c r="B138" s="64">
        <v>45044</v>
      </c>
      <c r="C138" s="57" t="str">
        <f>VLOOKUP(Ventas[[#This Row],[Codigo]],Stock[#Data],2,FALSE)</f>
        <v xml:space="preserve">El gran tabacal Rubio </v>
      </c>
      <c r="D138" s="37">
        <f>VLOOKUP(Ventas[[#This Row],[Codigo]],Stock[#Data],4,FALSE)</f>
        <v>800</v>
      </c>
      <c r="E138" s="33">
        <f>VLOOKUP(Ventas[[#This Row],[Codigo]],Stock[#Data],3,FALSE)</f>
        <v>500</v>
      </c>
      <c r="F138" s="38">
        <v>1</v>
      </c>
      <c r="G138">
        <v>393</v>
      </c>
      <c r="H138" s="36">
        <f>Ventas[[#This Row],[Precio Venta]]*Ventas[[#This Row],[Cantidad]]-Ventas[[#This Row],[Descuento]]</f>
        <v>800</v>
      </c>
      <c r="I138" s="34">
        <f>Ventas[[#This Row],[Total]]-Ventas[[#This Row],[Precio compra]]*Ventas[[#This Row],[Cantidad]]</f>
        <v>300</v>
      </c>
      <c r="J138" s="34">
        <v>0</v>
      </c>
      <c r="K138" s="34">
        <f>Ventas[[#This Row],[Total]]*Ventas[[#This Row],[Total 3]]</f>
        <v>0</v>
      </c>
      <c r="L138" s="34" t="s">
        <v>760</v>
      </c>
      <c r="M138" s="34">
        <v>0</v>
      </c>
    </row>
    <row r="139" spans="1:13" ht="21.75" customHeight="1">
      <c r="A139" s="16"/>
      <c r="B139" s="64">
        <v>45044</v>
      </c>
      <c r="C139" s="57" t="str">
        <f>VLOOKUP(Ventas[[#This Row],[Codigo]],Stock[#Data],2,FALSE)</f>
        <v>Tips STAMPS ECO</v>
      </c>
      <c r="D139" s="37">
        <f>VLOOKUP(Ventas[[#This Row],[Codigo]],Stock[#Data],4,FALSE)</f>
        <v>150</v>
      </c>
      <c r="E139" s="33">
        <f>VLOOKUP(Ventas[[#This Row],[Codigo]],Stock[#Data],3,FALSE)</f>
        <v>73</v>
      </c>
      <c r="F139" s="38">
        <v>1</v>
      </c>
      <c r="G139">
        <v>308</v>
      </c>
      <c r="H139" s="36">
        <f>Ventas[[#This Row],[Precio Venta]]*Ventas[[#This Row],[Cantidad]]-Ventas[[#This Row],[Descuento]]</f>
        <v>150</v>
      </c>
      <c r="I139" s="34">
        <f>Ventas[[#This Row],[Total]]-Ventas[[#This Row],[Precio compra]]*Ventas[[#This Row],[Cantidad]]</f>
        <v>77</v>
      </c>
      <c r="J139" s="34">
        <v>0</v>
      </c>
      <c r="K139" s="34">
        <f>Ventas[[#This Row],[Total]]*Ventas[[#This Row],[Total 3]]</f>
        <v>0</v>
      </c>
      <c r="L139" s="34" t="s">
        <v>760</v>
      </c>
      <c r="M139" s="34">
        <v>0</v>
      </c>
    </row>
    <row r="140" spans="1:13" ht="21.75" customHeight="1">
      <c r="A140" s="16"/>
      <c r="B140" s="64">
        <v>45044</v>
      </c>
      <c r="C140" s="57" t="str">
        <f>VLOOKUP(Ventas[[#This Row],[Codigo]],Stock[#Data],2,FALSE)</f>
        <v xml:space="preserve">Pipa de Ceramica chica </v>
      </c>
      <c r="D140" s="37">
        <f>VLOOKUP(Ventas[[#This Row],[Codigo]],Stock[#Data],4,FALSE)</f>
        <v>2000</v>
      </c>
      <c r="E140" s="33">
        <f>VLOOKUP(Ventas[[#This Row],[Codigo]],Stock[#Data],3,FALSE)</f>
        <v>1000</v>
      </c>
      <c r="F140" s="38">
        <v>1</v>
      </c>
      <c r="G140">
        <v>583</v>
      </c>
      <c r="H140" s="36">
        <f>Ventas[[#This Row],[Precio Venta]]*Ventas[[#This Row],[Cantidad]]-Ventas[[#This Row],[Descuento]]</f>
        <v>2000</v>
      </c>
      <c r="I140" s="34">
        <f>Ventas[[#This Row],[Total]]-Ventas[[#This Row],[Precio compra]]*Ventas[[#This Row],[Cantidad]]</f>
        <v>1000</v>
      </c>
      <c r="J140" s="34">
        <v>1</v>
      </c>
      <c r="K140" s="34">
        <f>Ventas[[#This Row],[Total]]*Ventas[[#This Row],[Total 3]]</f>
        <v>2000</v>
      </c>
      <c r="L140" s="34" t="s">
        <v>759</v>
      </c>
      <c r="M140" s="34">
        <v>0</v>
      </c>
    </row>
    <row r="141" spans="1:13" ht="21.75" customHeight="1">
      <c r="A141" s="16"/>
      <c r="B141" s="64">
        <v>45044</v>
      </c>
      <c r="C141" s="57" t="str">
        <f>VLOOKUP(Ventas[[#This Row],[Codigo]],Stock[#Data],2,FALSE)</f>
        <v>Rejillas x5</v>
      </c>
      <c r="D141" s="37">
        <f>VLOOKUP(Ventas[[#This Row],[Codigo]],Stock[#Data],4,FALSE)</f>
        <v>100</v>
      </c>
      <c r="E141" s="33">
        <f>VLOOKUP(Ventas[[#This Row],[Codigo]],Stock[#Data],3,FALSE)</f>
        <v>20</v>
      </c>
      <c r="F141" s="38">
        <v>3</v>
      </c>
      <c r="G141">
        <v>239</v>
      </c>
      <c r="H141" s="36">
        <f>Ventas[[#This Row],[Precio Venta]]*Ventas[[#This Row],[Cantidad]]-Ventas[[#This Row],[Descuento]]</f>
        <v>300</v>
      </c>
      <c r="I141" s="34">
        <f>Ventas[[#This Row],[Total]]-Ventas[[#This Row],[Precio compra]]*Ventas[[#This Row],[Cantidad]]</f>
        <v>240</v>
      </c>
      <c r="J141" s="34">
        <v>1</v>
      </c>
      <c r="K141" s="34">
        <f>Ventas[[#This Row],[Total]]*Ventas[[#This Row],[Total 3]]</f>
        <v>300</v>
      </c>
      <c r="L141" s="34" t="s">
        <v>759</v>
      </c>
      <c r="M141" s="34">
        <v>0</v>
      </c>
    </row>
    <row r="142" spans="1:13" ht="21.75" customHeight="1">
      <c r="A142" s="16"/>
      <c r="B142" s="64">
        <v>45044</v>
      </c>
      <c r="C142" s="57" t="str">
        <f>VLOOKUP(Ventas[[#This Row],[Codigo]],Stock[#Data],2,FALSE)</f>
        <v>Encendedor Candela soplete</v>
      </c>
      <c r="D142" s="37">
        <f>VLOOKUP(Ventas[[#This Row],[Codigo]],Stock[#Data],4,FALSE)</f>
        <v>2000</v>
      </c>
      <c r="E142" s="33">
        <f>VLOOKUP(Ventas[[#This Row],[Codigo]],Stock[#Data],3,FALSE)</f>
        <v>1060</v>
      </c>
      <c r="F142" s="38">
        <v>1</v>
      </c>
      <c r="G142">
        <v>62</v>
      </c>
      <c r="H142" s="36">
        <f>Ventas[[#This Row],[Precio Venta]]*Ventas[[#This Row],[Cantidad]]-Ventas[[#This Row],[Descuento]]</f>
        <v>2000</v>
      </c>
      <c r="I142" s="34">
        <f>Ventas[[#This Row],[Total]]-Ventas[[#This Row],[Precio compra]]*Ventas[[#This Row],[Cantidad]]</f>
        <v>940</v>
      </c>
      <c r="J142" s="34">
        <v>1</v>
      </c>
      <c r="K142" s="34">
        <f>Ventas[[#This Row],[Total]]*Ventas[[#This Row],[Total 3]]</f>
        <v>2000</v>
      </c>
      <c r="L142" s="34" t="s">
        <v>759</v>
      </c>
      <c r="M142" s="34">
        <v>0</v>
      </c>
    </row>
    <row r="143" spans="1:13" ht="21.75" customHeight="1">
      <c r="A143" s="16"/>
      <c r="B143" s="64">
        <v>45044</v>
      </c>
      <c r="C143" s="57" t="str">
        <f>VLOOKUP(Ventas[[#This Row],[Codigo]],Stock[#Data],2,FALSE)</f>
        <v>Lata Lion Rolling Circus</v>
      </c>
      <c r="D143" s="37">
        <f>VLOOKUP(Ventas[[#This Row],[Codigo]],Stock[#Data],4,FALSE)</f>
        <v>1200</v>
      </c>
      <c r="E143" s="33">
        <f>VLOOKUP(Ventas[[#This Row],[Codigo]],Stock[#Data],3,FALSE)</f>
        <v>580</v>
      </c>
      <c r="F143" s="38">
        <v>1</v>
      </c>
      <c r="G143">
        <v>145</v>
      </c>
      <c r="H143" s="36">
        <f>Ventas[[#This Row],[Precio Venta]]*Ventas[[#This Row],[Cantidad]]-Ventas[[#This Row],[Descuento]]</f>
        <v>1200</v>
      </c>
      <c r="I143" s="34">
        <f>Ventas[[#This Row],[Total]]-Ventas[[#This Row],[Precio compra]]*Ventas[[#This Row],[Cantidad]]</f>
        <v>620</v>
      </c>
      <c r="J143" s="34">
        <v>1</v>
      </c>
      <c r="K143" s="34">
        <f>Ventas[[#This Row],[Total]]*Ventas[[#This Row],[Total 3]]</f>
        <v>1200</v>
      </c>
      <c r="L143" s="34" t="s">
        <v>759</v>
      </c>
      <c r="M143" s="34">
        <v>0</v>
      </c>
    </row>
    <row r="144" spans="1:13" ht="21.75" customHeight="1">
      <c r="A144" s="16"/>
      <c r="B144" s="64">
        <v>45044</v>
      </c>
      <c r="C144" s="57" t="str">
        <f>VLOOKUP(Ventas[[#This Row],[Codigo]],Stock[#Data],2,FALSE)</f>
        <v>Turbina Pico de Silicona</v>
      </c>
      <c r="D144" s="37">
        <f>VLOOKUP(Ventas[[#This Row],[Codigo]],Stock[#Data],4,FALSE)</f>
        <v>2200</v>
      </c>
      <c r="E144" s="33">
        <f>VLOOKUP(Ventas[[#This Row],[Codigo]],Stock[#Data],3,FALSE)</f>
        <v>1076</v>
      </c>
      <c r="F144" s="38">
        <v>1</v>
      </c>
      <c r="G144">
        <v>164</v>
      </c>
      <c r="H144" s="36">
        <f>Ventas[[#This Row],[Precio Venta]]*Ventas[[#This Row],[Cantidad]]-Ventas[[#This Row],[Descuento]]</f>
        <v>2200</v>
      </c>
      <c r="I144" s="34">
        <f>Ventas[[#This Row],[Total]]-Ventas[[#This Row],[Precio compra]]*Ventas[[#This Row],[Cantidad]]</f>
        <v>1124</v>
      </c>
      <c r="J144" s="34">
        <v>1</v>
      </c>
      <c r="K144" s="34">
        <f>Ventas[[#This Row],[Total]]*Ventas[[#This Row],[Total 3]]</f>
        <v>2200</v>
      </c>
      <c r="L144" s="34" t="s">
        <v>759</v>
      </c>
      <c r="M144" s="34">
        <v>0</v>
      </c>
    </row>
    <row r="145" spans="1:13" ht="21.75" customHeight="1">
      <c r="A145" s="16"/>
      <c r="B145" s="64">
        <v>45044</v>
      </c>
      <c r="C145" s="57" t="str">
        <f>VLOOKUP(Ventas[[#This Row],[Codigo]],Stock[#Data],2,FALSE)</f>
        <v>Sustrato Perlita</v>
      </c>
      <c r="D145" s="37">
        <f>VLOOKUP(Ventas[[#This Row],[Codigo]],Stock[#Data],4,FALSE)</f>
        <v>800</v>
      </c>
      <c r="E145" s="33">
        <f>VLOOKUP(Ventas[[#This Row],[Codigo]],Stock[#Data],3,FALSE)</f>
        <v>400</v>
      </c>
      <c r="F145" s="38">
        <v>1</v>
      </c>
      <c r="G145">
        <v>52</v>
      </c>
      <c r="H145" s="36">
        <f>Ventas[[#This Row],[Precio Venta]]*Ventas[[#This Row],[Cantidad]]-Ventas[[#This Row],[Descuento]]</f>
        <v>800</v>
      </c>
      <c r="I145" s="34">
        <f>Ventas[[#This Row],[Total]]-Ventas[[#This Row],[Precio compra]]*Ventas[[#This Row],[Cantidad]]</f>
        <v>400</v>
      </c>
      <c r="J145" s="34">
        <v>0</v>
      </c>
      <c r="K145" s="34">
        <f>Ventas[[#This Row],[Total]]*Ventas[[#This Row],[Total 3]]</f>
        <v>0</v>
      </c>
      <c r="L145" s="34" t="s">
        <v>760</v>
      </c>
      <c r="M145" s="34">
        <v>0</v>
      </c>
    </row>
    <row r="146" spans="1:13" ht="21.75" customHeight="1">
      <c r="A146" s="16"/>
      <c r="B146" s="64">
        <v>45044</v>
      </c>
      <c r="C146" s="57" t="str">
        <f>VLOOKUP(Ventas[[#This Row],[Codigo]],Stock[#Data],2,FALSE)</f>
        <v>VAMP Supermelaza</v>
      </c>
      <c r="D146" s="37">
        <f>VLOOKUP(Ventas[[#This Row],[Codigo]],Stock[#Data],4,FALSE)</f>
        <v>1800</v>
      </c>
      <c r="E146" s="33">
        <f>VLOOKUP(Ventas[[#This Row],[Codigo]],Stock[#Data],3,FALSE)</f>
        <v>908</v>
      </c>
      <c r="F146" s="38">
        <v>1</v>
      </c>
      <c r="G146">
        <v>36</v>
      </c>
      <c r="H146" s="36">
        <f>Ventas[[#This Row],[Precio Venta]]*Ventas[[#This Row],[Cantidad]]-Ventas[[#This Row],[Descuento]]</f>
        <v>1800</v>
      </c>
      <c r="I146" s="34">
        <f>Ventas[[#This Row],[Total]]-Ventas[[#This Row],[Precio compra]]*Ventas[[#This Row],[Cantidad]]</f>
        <v>892</v>
      </c>
      <c r="J146" s="34">
        <v>0</v>
      </c>
      <c r="K146" s="34">
        <f>Ventas[[#This Row],[Total]]*Ventas[[#This Row],[Total 3]]</f>
        <v>0</v>
      </c>
      <c r="L146" s="34" t="s">
        <v>760</v>
      </c>
      <c r="M146" s="34">
        <v>0</v>
      </c>
    </row>
    <row r="147" spans="1:13" ht="21.75" customHeight="1">
      <c r="A147" s="16"/>
      <c r="B147" s="64">
        <v>45043</v>
      </c>
      <c r="C147" s="57" t="str">
        <f>VLOOKUP(Ventas[[#This Row],[Codigo]],Stock[#Data],2,FALSE)</f>
        <v>Picador Ricky y Morty 4p</v>
      </c>
      <c r="D147" s="37">
        <f>VLOOKUP(Ventas[[#This Row],[Codigo]],Stock[#Data],4,FALSE)</f>
        <v>5000</v>
      </c>
      <c r="E147" s="33">
        <f>VLOOKUP(Ventas[[#This Row],[Codigo]],Stock[#Data],3,FALSE)</f>
        <v>2600</v>
      </c>
      <c r="F147" s="38">
        <v>1</v>
      </c>
      <c r="G147">
        <v>493</v>
      </c>
      <c r="H147" s="36">
        <f>Ventas[[#This Row],[Precio Venta]]*Ventas[[#This Row],[Cantidad]]-Ventas[[#This Row],[Descuento]]</f>
        <v>5000</v>
      </c>
      <c r="I147" s="34">
        <f>Ventas[[#This Row],[Total]]-Ventas[[#This Row],[Precio compra]]*Ventas[[#This Row],[Cantidad]]</f>
        <v>2400</v>
      </c>
      <c r="J147" s="34">
        <v>1</v>
      </c>
      <c r="K147" s="34">
        <f>Ventas[[#This Row],[Total]]*Ventas[[#This Row],[Total 3]]</f>
        <v>5000</v>
      </c>
      <c r="L147" s="34" t="s">
        <v>759</v>
      </c>
      <c r="M147" s="34">
        <v>0</v>
      </c>
    </row>
    <row r="148" spans="1:13" ht="21.75" customHeight="1">
      <c r="A148" s="16"/>
      <c r="B148" s="64">
        <v>45043</v>
      </c>
      <c r="C148" s="57" t="str">
        <f>VLOOKUP(Ventas[[#This Row],[Codigo]],Stock[#Data],2,FALSE)</f>
        <v>Fan of Hash #2</v>
      </c>
      <c r="D148" s="37">
        <f>VLOOKUP(Ventas[[#This Row],[Codigo]],Stock[#Data],4,FALSE)</f>
        <v>3500</v>
      </c>
      <c r="E148" s="33">
        <f>VLOOKUP(Ventas[[#This Row],[Codigo]],Stock[#Data],3,FALSE)</f>
        <v>1815</v>
      </c>
      <c r="F148" s="38">
        <v>1</v>
      </c>
      <c r="G148">
        <v>305</v>
      </c>
      <c r="H148" s="36">
        <f>Ventas[[#This Row],[Precio Venta]]*Ventas[[#This Row],[Cantidad]]-Ventas[[#This Row],[Descuento]]</f>
        <v>3500</v>
      </c>
      <c r="I148" s="34">
        <f>Ventas[[#This Row],[Total]]-Ventas[[#This Row],[Precio compra]]*Ventas[[#This Row],[Cantidad]]</f>
        <v>1685</v>
      </c>
      <c r="J148" s="34">
        <v>0</v>
      </c>
      <c r="K148" s="34">
        <f>Ventas[[#This Row],[Total]]*Ventas[[#This Row],[Total 3]]</f>
        <v>0</v>
      </c>
      <c r="L148" s="34" t="s">
        <v>760</v>
      </c>
      <c r="M148" s="34">
        <v>0</v>
      </c>
    </row>
    <row r="149" spans="1:13" ht="21.75" customHeight="1">
      <c r="A149" s="16"/>
      <c r="B149" s="64">
        <v>45043</v>
      </c>
      <c r="C149" s="57" t="str">
        <f>VLOOKUP(Ventas[[#This Row],[Codigo]],Stock[#Data],2,FALSE)</f>
        <v>VAMP Guano de murcielago Vegetativo</v>
      </c>
      <c r="D149" s="37">
        <f>VLOOKUP(Ventas[[#This Row],[Codigo]],Stock[#Data],4,FALSE)</f>
        <v>1000</v>
      </c>
      <c r="E149" s="33">
        <f>VLOOKUP(Ventas[[#This Row],[Codigo]],Stock[#Data],3,FALSE)</f>
        <v>510</v>
      </c>
      <c r="F149" s="38">
        <v>1</v>
      </c>
      <c r="G149">
        <v>37</v>
      </c>
      <c r="H149" s="36">
        <f>Ventas[[#This Row],[Precio Venta]]*Ventas[[#This Row],[Cantidad]]-Ventas[[#This Row],[Descuento]]</f>
        <v>1000</v>
      </c>
      <c r="I149" s="34">
        <f>Ventas[[#This Row],[Total]]-Ventas[[#This Row],[Precio compra]]*Ventas[[#This Row],[Cantidad]]</f>
        <v>490</v>
      </c>
      <c r="J149" s="34">
        <v>0</v>
      </c>
      <c r="K149" s="34">
        <f>Ventas[[#This Row],[Total]]*Ventas[[#This Row],[Total 3]]</f>
        <v>0</v>
      </c>
      <c r="L149" s="34" t="s">
        <v>760</v>
      </c>
      <c r="M149" s="34">
        <v>0</v>
      </c>
    </row>
    <row r="150" spans="1:13" ht="21.75" customHeight="1">
      <c r="A150" s="16"/>
      <c r="B150" s="64">
        <v>45043</v>
      </c>
      <c r="C150" s="57" t="str">
        <f>VLOOKUP(Ventas[[#This Row],[Codigo]],Stock[#Data],2,FALSE)</f>
        <v>Sustrato Perlita</v>
      </c>
      <c r="D150" s="37">
        <f>VLOOKUP(Ventas[[#This Row],[Codigo]],Stock[#Data],4,FALSE)</f>
        <v>800</v>
      </c>
      <c r="E150" s="33">
        <f>VLOOKUP(Ventas[[#This Row],[Codigo]],Stock[#Data],3,FALSE)</f>
        <v>400</v>
      </c>
      <c r="F150" s="38">
        <v>1</v>
      </c>
      <c r="G150">
        <v>52</v>
      </c>
      <c r="H150" s="36">
        <f>Ventas[[#This Row],[Precio Venta]]*Ventas[[#This Row],[Cantidad]]-Ventas[[#This Row],[Descuento]]</f>
        <v>700</v>
      </c>
      <c r="I150" s="34">
        <f>Ventas[[#This Row],[Total]]-Ventas[[#This Row],[Precio compra]]*Ventas[[#This Row],[Cantidad]]</f>
        <v>300</v>
      </c>
      <c r="J150" s="34">
        <v>1</v>
      </c>
      <c r="K150" s="34">
        <f>Ventas[[#This Row],[Total]]*Ventas[[#This Row],[Total 3]]</f>
        <v>700</v>
      </c>
      <c r="L150" s="34" t="s">
        <v>759</v>
      </c>
      <c r="M150" s="34">
        <v>100</v>
      </c>
    </row>
    <row r="151" spans="1:13" ht="21.75" customHeight="1">
      <c r="A151" s="16"/>
      <c r="B151" s="64">
        <v>45043</v>
      </c>
      <c r="C151" s="57" t="str">
        <f>VLOOKUP(Ventas[[#This Row],[Codigo]],Stock[#Data],2,FALSE)</f>
        <v>Macetas Soplada 15L</v>
      </c>
      <c r="D151" s="37">
        <f>VLOOKUP(Ventas[[#This Row],[Codigo]],Stock[#Data],4,FALSE)</f>
        <v>450</v>
      </c>
      <c r="E151" s="33">
        <f>VLOOKUP(Ventas[[#This Row],[Codigo]],Stock[#Data],3,FALSE)</f>
        <v>222</v>
      </c>
      <c r="F151" s="38">
        <v>2</v>
      </c>
      <c r="G151">
        <v>380</v>
      </c>
      <c r="H151" s="36">
        <f>Ventas[[#This Row],[Precio Venta]]*Ventas[[#This Row],[Cantidad]]-Ventas[[#This Row],[Descuento]]</f>
        <v>900</v>
      </c>
      <c r="I151" s="34">
        <f>Ventas[[#This Row],[Total]]-Ventas[[#This Row],[Precio compra]]*Ventas[[#This Row],[Cantidad]]</f>
        <v>456</v>
      </c>
      <c r="J151" s="34">
        <v>1</v>
      </c>
      <c r="K151" s="34">
        <f>Ventas[[#This Row],[Total]]*Ventas[[#This Row],[Total 3]]</f>
        <v>900</v>
      </c>
      <c r="L151" s="34" t="s">
        <v>759</v>
      </c>
      <c r="M151" s="34">
        <v>0</v>
      </c>
    </row>
    <row r="152" spans="1:13" ht="21.75" customHeight="1">
      <c r="A152" s="16"/>
      <c r="B152" s="64">
        <v>45043</v>
      </c>
      <c r="C152" s="57" t="str">
        <f>VLOOKUP(Ventas[[#This Row],[Codigo]],Stock[#Data],2,FALSE)</f>
        <v>Recipiente Rosin SQUADAFUM Triangular</v>
      </c>
      <c r="D152" s="37">
        <f>VLOOKUP(Ventas[[#This Row],[Codigo]],Stock[#Data],4,FALSE)</f>
        <v>1000</v>
      </c>
      <c r="E152" s="33">
        <f>VLOOKUP(Ventas[[#This Row],[Codigo]],Stock[#Data],3,FALSE)</f>
        <v>542</v>
      </c>
      <c r="F152" s="38">
        <v>1</v>
      </c>
      <c r="G152">
        <v>182</v>
      </c>
      <c r="H152" s="36">
        <f>Ventas[[#This Row],[Precio Venta]]*Ventas[[#This Row],[Cantidad]]-Ventas[[#This Row],[Descuento]]</f>
        <v>1000</v>
      </c>
      <c r="I152" s="34">
        <f>Ventas[[#This Row],[Total]]-Ventas[[#This Row],[Precio compra]]*Ventas[[#This Row],[Cantidad]]</f>
        <v>458</v>
      </c>
      <c r="J152" s="34">
        <v>0</v>
      </c>
      <c r="K152" s="34">
        <f>Ventas[[#This Row],[Total]]*Ventas[[#This Row],[Total 3]]</f>
        <v>0</v>
      </c>
      <c r="L152" s="34" t="s">
        <v>760</v>
      </c>
      <c r="M152" s="34">
        <v>0</v>
      </c>
    </row>
    <row r="153" spans="1:13" ht="21.75" customHeight="1">
      <c r="A153" s="16"/>
      <c r="B153" s="64">
        <v>45043</v>
      </c>
      <c r="C153" s="57" t="str">
        <f>VLOOKUP(Ventas[[#This Row],[Codigo]],Stock[#Data],2,FALSE)</f>
        <v>Tips Lion Unbleached</v>
      </c>
      <c r="D153" s="37">
        <f>VLOOKUP(Ventas[[#This Row],[Codigo]],Stock[#Data],4,FALSE)</f>
        <v>250</v>
      </c>
      <c r="E153" s="33">
        <f>VLOOKUP(Ventas[[#This Row],[Codigo]],Stock[#Data],3,FALSE)</f>
        <v>137</v>
      </c>
      <c r="F153" s="38">
        <v>1</v>
      </c>
      <c r="G153">
        <v>458</v>
      </c>
      <c r="H153" s="36">
        <f>Ventas[[#This Row],[Precio Venta]]*Ventas[[#This Row],[Cantidad]]-Ventas[[#This Row],[Descuento]]</f>
        <v>200</v>
      </c>
      <c r="I153" s="34">
        <f>Ventas[[#This Row],[Total]]-Ventas[[#This Row],[Precio compra]]*Ventas[[#This Row],[Cantidad]]</f>
        <v>63</v>
      </c>
      <c r="J153" s="34">
        <v>0</v>
      </c>
      <c r="K153" s="34">
        <f>Ventas[[#This Row],[Total]]*Ventas[[#This Row],[Total 3]]</f>
        <v>0</v>
      </c>
      <c r="L153" s="34" t="s">
        <v>760</v>
      </c>
      <c r="M153" s="34">
        <v>50</v>
      </c>
    </row>
    <row r="154" spans="1:13" ht="21.75" customHeight="1">
      <c r="A154" s="16"/>
      <c r="B154" s="64">
        <v>45043</v>
      </c>
      <c r="C154" s="57" t="str">
        <f>VLOOKUP(Ventas[[#This Row],[Codigo]],Stock[#Data],2,FALSE)</f>
        <v>Blunt Lion Rolling Circus TERPENES GELATO</v>
      </c>
      <c r="D154" s="37">
        <f>VLOOKUP(Ventas[[#This Row],[Codigo]],Stock[#Data],4,FALSE)</f>
        <v>850</v>
      </c>
      <c r="E154" s="33">
        <f>VLOOKUP(Ventas[[#This Row],[Codigo]],Stock[#Data],3,FALSE)</f>
        <v>422</v>
      </c>
      <c r="F154" s="38">
        <v>1</v>
      </c>
      <c r="G154">
        <v>99</v>
      </c>
      <c r="H154" s="36">
        <f>Ventas[[#This Row],[Precio Venta]]*Ventas[[#This Row],[Cantidad]]-Ventas[[#This Row],[Descuento]]</f>
        <v>800</v>
      </c>
      <c r="I154" s="34">
        <f>Ventas[[#This Row],[Total]]-Ventas[[#This Row],[Precio compra]]*Ventas[[#This Row],[Cantidad]]</f>
        <v>378</v>
      </c>
      <c r="J154" s="34">
        <v>0</v>
      </c>
      <c r="K154" s="34">
        <f>Ventas[[#This Row],[Total]]*Ventas[[#This Row],[Total 3]]</f>
        <v>0</v>
      </c>
      <c r="L154" s="34" t="s">
        <v>760</v>
      </c>
      <c r="M154" s="34">
        <v>50</v>
      </c>
    </row>
    <row r="155" spans="1:13" ht="21.75" customHeight="1">
      <c r="A155" s="16"/>
      <c r="B155" s="64">
        <v>45043</v>
      </c>
      <c r="C155" s="57" t="str">
        <f>VLOOKUP(Ventas[[#This Row],[Codigo]],Stock[#Data],2,FALSE)</f>
        <v>Hisopos de madera 20 u</v>
      </c>
      <c r="D155" s="37">
        <f>VLOOKUP(Ventas[[#This Row],[Codigo]],Stock[#Data],4,FALSE)</f>
        <v>300</v>
      </c>
      <c r="E155" s="33">
        <f>VLOOKUP(Ventas[[#This Row],[Codigo]],Stock[#Data],3,FALSE)</f>
        <v>175</v>
      </c>
      <c r="F155" s="38">
        <v>2</v>
      </c>
      <c r="G155">
        <v>301</v>
      </c>
      <c r="H155" s="36">
        <f>Ventas[[#This Row],[Precio Venta]]*Ventas[[#This Row],[Cantidad]]-Ventas[[#This Row],[Descuento]]</f>
        <v>600</v>
      </c>
      <c r="I155" s="34">
        <f>Ventas[[#This Row],[Total]]-Ventas[[#This Row],[Precio compra]]*Ventas[[#This Row],[Cantidad]]</f>
        <v>250</v>
      </c>
      <c r="J155" s="34">
        <v>0</v>
      </c>
      <c r="K155" s="34">
        <f>Ventas[[#This Row],[Total]]*Ventas[[#This Row],[Total 3]]</f>
        <v>0</v>
      </c>
      <c r="L155" s="34" t="s">
        <v>760</v>
      </c>
      <c r="M155" s="34">
        <v>0</v>
      </c>
    </row>
    <row r="156" spans="1:13" ht="21.75" customHeight="1">
      <c r="A156" s="16"/>
      <c r="B156" s="39" t="s">
        <v>807</v>
      </c>
      <c r="C156" s="57" t="str">
        <f>VLOOKUP(Ventas[[#This Row],[Codigo]],Stock[#Data],2,FALSE)</f>
        <v>Encendedor Candela soplete</v>
      </c>
      <c r="D156" s="37">
        <f>VLOOKUP(Ventas[[#This Row],[Codigo]],Stock[#Data],4,FALSE)</f>
        <v>2000</v>
      </c>
      <c r="E156" s="33">
        <f>VLOOKUP(Ventas[[#This Row],[Codigo]],Stock[#Data],3,FALSE)</f>
        <v>1060</v>
      </c>
      <c r="F156" s="38">
        <v>1</v>
      </c>
      <c r="G156">
        <v>62</v>
      </c>
      <c r="H156" s="36">
        <f>Ventas[[#This Row],[Precio Venta]]*Ventas[[#This Row],[Cantidad]]-Ventas[[#This Row],[Descuento]]</f>
        <v>2000</v>
      </c>
      <c r="I156" s="34">
        <f>Ventas[[#This Row],[Total]]-Ventas[[#This Row],[Precio compra]]*Ventas[[#This Row],[Cantidad]]</f>
        <v>940</v>
      </c>
      <c r="J156" s="34">
        <v>0</v>
      </c>
      <c r="K156" s="34">
        <f>Ventas[[#This Row],[Total]]*Ventas[[#This Row],[Total 3]]</f>
        <v>0</v>
      </c>
      <c r="L156" s="34" t="s">
        <v>760</v>
      </c>
      <c r="M156" s="34"/>
    </row>
    <row r="157" spans="1:13" ht="21.75" customHeight="1">
      <c r="A157" s="16"/>
      <c r="B157" s="39" t="s">
        <v>807</v>
      </c>
      <c r="C157" s="57" t="str">
        <f>VLOOKUP(Ventas[[#This Row],[Codigo]],Stock[#Data],2,FALSE)</f>
        <v>Filtros GIZEH biodegradable</v>
      </c>
      <c r="D157" s="37">
        <f>VLOOKUP(Ventas[[#This Row],[Codigo]],Stock[#Data],4,FALSE)</f>
        <v>450</v>
      </c>
      <c r="E157" s="33">
        <f>VLOOKUP(Ventas[[#This Row],[Codigo]],Stock[#Data],3,FALSE)</f>
        <v>280</v>
      </c>
      <c r="F157" s="38">
        <v>2</v>
      </c>
      <c r="G157">
        <v>107</v>
      </c>
      <c r="H157" s="36">
        <f>Ventas[[#This Row],[Precio Venta]]*Ventas[[#This Row],[Cantidad]]-Ventas[[#This Row],[Descuento]]</f>
        <v>900</v>
      </c>
      <c r="I157" s="34">
        <f>Ventas[[#This Row],[Total]]-Ventas[[#This Row],[Precio compra]]*Ventas[[#This Row],[Cantidad]]</f>
        <v>340</v>
      </c>
      <c r="J157" s="34">
        <v>0</v>
      </c>
      <c r="K157" s="34">
        <f>Ventas[[#This Row],[Total]]*Ventas[[#This Row],[Total 3]]</f>
        <v>0</v>
      </c>
      <c r="L157" s="34" t="s">
        <v>760</v>
      </c>
      <c r="M157" s="34"/>
    </row>
    <row r="158" spans="1:13" ht="21.75" customHeight="1">
      <c r="A158" s="16"/>
      <c r="B158" s="39" t="s">
        <v>807</v>
      </c>
      <c r="C158" s="57" t="str">
        <f>VLOOKUP(Ventas[[#This Row],[Codigo]],Stock[#Data],2,FALSE)</f>
        <v>Blunt Lion Rolling Circus TERPENES GELATO</v>
      </c>
      <c r="D158" s="37">
        <f>VLOOKUP(Ventas[[#This Row],[Codigo]],Stock[#Data],4,FALSE)</f>
        <v>850</v>
      </c>
      <c r="E158" s="33">
        <f>VLOOKUP(Ventas[[#This Row],[Codigo]],Stock[#Data],3,FALSE)</f>
        <v>422</v>
      </c>
      <c r="F158" s="38">
        <v>1</v>
      </c>
      <c r="G158">
        <v>99</v>
      </c>
      <c r="H158" s="36">
        <f>Ventas[[#This Row],[Precio Venta]]*Ventas[[#This Row],[Cantidad]]-Ventas[[#This Row],[Descuento]]</f>
        <v>850</v>
      </c>
      <c r="I158" s="34">
        <f>Ventas[[#This Row],[Total]]-Ventas[[#This Row],[Precio compra]]*Ventas[[#This Row],[Cantidad]]</f>
        <v>428</v>
      </c>
      <c r="J158" s="34">
        <v>0</v>
      </c>
      <c r="K158" s="34">
        <f>Ventas[[#This Row],[Total]]*Ventas[[#This Row],[Total 3]]</f>
        <v>0</v>
      </c>
      <c r="L158" s="34" t="s">
        <v>760</v>
      </c>
      <c r="M158" s="34"/>
    </row>
    <row r="159" spans="1:13" ht="21.75" customHeight="1">
      <c r="A159" s="16"/>
      <c r="B159" s="39" t="s">
        <v>807</v>
      </c>
      <c r="C159" s="57" t="str">
        <f>VLOOKUP(Ventas[[#This Row],[Codigo]],Stock[#Data],2,FALSE)</f>
        <v>Extractor Kudu 4"</v>
      </c>
      <c r="D159" s="37">
        <f>VLOOKUP(Ventas[[#This Row],[Codigo]],Stock[#Data],4,FALSE)</f>
        <v>8000</v>
      </c>
      <c r="E159" s="33">
        <f>VLOOKUP(Ventas[[#This Row],[Codigo]],Stock[#Data],3,FALSE)</f>
        <v>4933</v>
      </c>
      <c r="F159" s="38">
        <v>1</v>
      </c>
      <c r="G159">
        <v>332</v>
      </c>
      <c r="H159" s="36">
        <f>Ventas[[#This Row],[Precio Venta]]*Ventas[[#This Row],[Cantidad]]-Ventas[[#This Row],[Descuento]]</f>
        <v>8000</v>
      </c>
      <c r="I159" s="34">
        <f>Ventas[[#This Row],[Total]]-Ventas[[#This Row],[Precio compra]]*Ventas[[#This Row],[Cantidad]]</f>
        <v>3067</v>
      </c>
      <c r="J159" s="34">
        <v>0</v>
      </c>
      <c r="K159" s="34">
        <f>Ventas[[#This Row],[Total]]*Ventas[[#This Row],[Total 3]]</f>
        <v>0</v>
      </c>
      <c r="L159" s="34" t="s">
        <v>760</v>
      </c>
      <c r="M159" s="34"/>
    </row>
    <row r="160" spans="1:13" ht="21.75" customHeight="1">
      <c r="A160" s="16"/>
      <c r="B160" s="39" t="s">
        <v>807</v>
      </c>
      <c r="C160" s="57" t="str">
        <f>VLOOKUP(Ventas[[#This Row],[Codigo]],Stock[#Data],2,FALSE)</f>
        <v>Sustrato Perlita</v>
      </c>
      <c r="D160" s="37">
        <f>VLOOKUP(Ventas[[#This Row],[Codigo]],Stock[#Data],4,FALSE)</f>
        <v>800</v>
      </c>
      <c r="E160" s="33">
        <f>VLOOKUP(Ventas[[#This Row],[Codigo]],Stock[#Data],3,FALSE)</f>
        <v>400</v>
      </c>
      <c r="F160" s="38">
        <v>2</v>
      </c>
      <c r="G160">
        <v>52</v>
      </c>
      <c r="H160" s="36">
        <f>Ventas[[#This Row],[Precio Venta]]*Ventas[[#This Row],[Cantidad]]-Ventas[[#This Row],[Descuento]]</f>
        <v>1600</v>
      </c>
      <c r="I160" s="34">
        <f>Ventas[[#This Row],[Total]]-Ventas[[#This Row],[Precio compra]]*Ventas[[#This Row],[Cantidad]]</f>
        <v>800</v>
      </c>
      <c r="J160" s="34">
        <v>0</v>
      </c>
      <c r="K160" s="34">
        <f>Ventas[[#This Row],[Total]]*Ventas[[#This Row],[Total 3]]</f>
        <v>0</v>
      </c>
      <c r="L160" s="34" t="s">
        <v>760</v>
      </c>
      <c r="M160" s="34"/>
    </row>
    <row r="161" spans="1:13" ht="21.75" customHeight="1">
      <c r="A161" s="16"/>
      <c r="B161" s="39" t="s">
        <v>807</v>
      </c>
      <c r="C161" s="57" t="str">
        <f>VLOOKUP(Ventas[[#This Row],[Codigo]],Stock[#Data],2,FALSE)</f>
        <v>Macetas Soplada 15L</v>
      </c>
      <c r="D161" s="37">
        <f>VLOOKUP(Ventas[[#This Row],[Codigo]],Stock[#Data],4,FALSE)</f>
        <v>450</v>
      </c>
      <c r="E161" s="33">
        <f>VLOOKUP(Ventas[[#This Row],[Codigo]],Stock[#Data],3,FALSE)</f>
        <v>222</v>
      </c>
      <c r="F161" s="38">
        <v>3</v>
      </c>
      <c r="G161">
        <v>380</v>
      </c>
      <c r="H161" s="36">
        <f>Ventas[[#This Row],[Precio Venta]]*Ventas[[#This Row],[Cantidad]]-Ventas[[#This Row],[Descuento]]</f>
        <v>1350</v>
      </c>
      <c r="I161" s="34">
        <f>Ventas[[#This Row],[Total]]-Ventas[[#This Row],[Precio compra]]*Ventas[[#This Row],[Cantidad]]</f>
        <v>684</v>
      </c>
      <c r="J161" s="34">
        <v>0</v>
      </c>
      <c r="K161" s="34">
        <f>Ventas[[#This Row],[Total]]*Ventas[[#This Row],[Total 3]]</f>
        <v>0</v>
      </c>
      <c r="L161" s="34" t="s">
        <v>760</v>
      </c>
      <c r="M161" s="34"/>
    </row>
    <row r="162" spans="1:13" ht="21.75" customHeight="1">
      <c r="A162" s="16"/>
      <c r="B162" s="39" t="s">
        <v>807</v>
      </c>
      <c r="C162" s="57" t="str">
        <f>VLOOKUP(Ventas[[#This Row],[Codigo]],Stock[#Data],2,FALSE)</f>
        <v>Macetas Sopladas 10l</v>
      </c>
      <c r="D162" s="37">
        <f>VLOOKUP(Ventas[[#This Row],[Codigo]],Stock[#Data],4,FALSE)</f>
        <v>350</v>
      </c>
      <c r="E162" s="33">
        <f>VLOOKUP(Ventas[[#This Row],[Codigo]],Stock[#Data],3,FALSE)</f>
        <v>178</v>
      </c>
      <c r="F162" s="38">
        <v>10</v>
      </c>
      <c r="G162">
        <v>248</v>
      </c>
      <c r="H162" s="36">
        <f>Ventas[[#This Row],[Precio Venta]]*Ventas[[#This Row],[Cantidad]]-Ventas[[#This Row],[Descuento]]</f>
        <v>3500</v>
      </c>
      <c r="I162" s="34">
        <f>Ventas[[#This Row],[Total]]-Ventas[[#This Row],[Precio compra]]*Ventas[[#This Row],[Cantidad]]</f>
        <v>1720</v>
      </c>
      <c r="J162" s="34">
        <v>1</v>
      </c>
      <c r="K162" s="34">
        <f>Ventas[[#This Row],[Total]]*Ventas[[#This Row],[Total 3]]</f>
        <v>3500</v>
      </c>
      <c r="L162" s="34" t="s">
        <v>759</v>
      </c>
      <c r="M162" s="34"/>
    </row>
    <row r="163" spans="1:13" ht="21.75" customHeight="1">
      <c r="A163" s="16"/>
      <c r="B163" s="39">
        <v>45042</v>
      </c>
      <c r="C163" s="57" t="str">
        <f>VLOOKUP(Ventas[[#This Row],[Codigo]],Stock[#Data],2,FALSE)</f>
        <v>TreeMIX CANDY 45 ml</v>
      </c>
      <c r="D163" s="37">
        <f>VLOOKUP(Ventas[[#This Row],[Codigo]],Stock[#Data],4,FALSE)</f>
        <v>500</v>
      </c>
      <c r="E163" s="33">
        <f>VLOOKUP(Ventas[[#This Row],[Codigo]],Stock[#Data],3,FALSE)</f>
        <v>220</v>
      </c>
      <c r="F163" s="38">
        <v>1</v>
      </c>
      <c r="G163">
        <v>26</v>
      </c>
      <c r="H163" s="36">
        <f>Ventas[[#This Row],[Precio Venta]]*Ventas[[#This Row],[Cantidad]]-Ventas[[#This Row],[Descuento]]</f>
        <v>500</v>
      </c>
      <c r="I163" s="34">
        <f>Ventas[[#This Row],[Total]]-Ventas[[#This Row],[Precio compra]]*Ventas[[#This Row],[Cantidad]]</f>
        <v>280</v>
      </c>
      <c r="J163" s="34">
        <v>0</v>
      </c>
      <c r="K163" s="34">
        <f>Ventas[[#This Row],[Total]]*Ventas[[#This Row],[Total 3]]</f>
        <v>0</v>
      </c>
      <c r="L163" s="34" t="s">
        <v>760</v>
      </c>
      <c r="M163" s="34"/>
    </row>
    <row r="164" spans="1:13" ht="21.75" customHeight="1">
      <c r="A164" s="16"/>
      <c r="B164" s="39" t="s">
        <v>806</v>
      </c>
      <c r="C164" s="57" t="str">
        <f>VLOOKUP(Ventas[[#This Row],[Codigo]],Stock[#Data],2,FALSE)</f>
        <v>Sedas OCB 1/4 Organic  Bamboo</v>
      </c>
      <c r="D164" s="37">
        <f>VLOOKUP(Ventas[[#This Row],[Codigo]],Stock[#Data],4,FALSE)</f>
        <v>300</v>
      </c>
      <c r="E164" s="33">
        <f>VLOOKUP(Ventas[[#This Row],[Codigo]],Stock[#Data],3,FALSE)</f>
        <v>165</v>
      </c>
      <c r="F164" s="38">
        <v>2</v>
      </c>
      <c r="G164">
        <v>77</v>
      </c>
      <c r="H164" s="36">
        <f>Ventas[[#This Row],[Precio Venta]]*Ventas[[#This Row],[Cantidad]]-Ventas[[#This Row],[Descuento]]</f>
        <v>600</v>
      </c>
      <c r="I164" s="34">
        <f>Ventas[[#This Row],[Total]]-Ventas[[#This Row],[Precio compra]]*Ventas[[#This Row],[Cantidad]]</f>
        <v>270</v>
      </c>
      <c r="J164" s="34">
        <v>0</v>
      </c>
      <c r="K164" s="34">
        <f>Ventas[[#This Row],[Total]]*Ventas[[#This Row],[Total 3]]</f>
        <v>0</v>
      </c>
      <c r="L164" s="34" t="s">
        <v>760</v>
      </c>
      <c r="M164" s="34"/>
    </row>
    <row r="165" spans="1:13" ht="21.75" customHeight="1">
      <c r="A165" s="16"/>
      <c r="B165" s="39" t="s">
        <v>804</v>
      </c>
      <c r="C165" s="57" t="str">
        <f>VLOOKUP(Ventas[[#This Row],[Codigo]],Stock[#Data],2,FALSE)</f>
        <v>POWER TREBOL</v>
      </c>
      <c r="D165" s="37">
        <f>VLOOKUP(Ventas[[#This Row],[Codigo]],Stock[#Data],4,FALSE)</f>
        <v>300</v>
      </c>
      <c r="E165" s="33">
        <f>VLOOKUP(Ventas[[#This Row],[Codigo]],Stock[#Data],3,FALSE)</f>
        <v>140</v>
      </c>
      <c r="F165" s="38">
        <v>1</v>
      </c>
      <c r="G165">
        <v>199</v>
      </c>
      <c r="H165" s="36">
        <f>Ventas[[#This Row],[Precio Venta]]*Ventas[[#This Row],[Cantidad]]-Ventas[[#This Row],[Descuento]]</f>
        <v>300</v>
      </c>
      <c r="I165" s="34">
        <f>Ventas[[#This Row],[Total]]-Ventas[[#This Row],[Precio compra]]*Ventas[[#This Row],[Cantidad]]</f>
        <v>160</v>
      </c>
      <c r="J165" s="34">
        <v>0</v>
      </c>
      <c r="K165" s="34">
        <f>Ventas[[#This Row],[Total]]*Ventas[[#This Row],[Total 3]]</f>
        <v>0</v>
      </c>
      <c r="L165" s="34" t="s">
        <v>760</v>
      </c>
      <c r="M165" s="34"/>
    </row>
    <row r="166" spans="1:13" ht="21.75" customHeight="1">
      <c r="A166" s="16"/>
      <c r="B166" s="39" t="s">
        <v>804</v>
      </c>
      <c r="C166" s="57" t="str">
        <f>VLOOKUP(Ventas[[#This Row],[Codigo]],Stock[#Data],2,FALSE)</f>
        <v xml:space="preserve">Sedas Stamps Celulosa </v>
      </c>
      <c r="D166" s="37">
        <f>VLOOKUP(Ventas[[#This Row],[Codigo]],Stock[#Data],4,FALSE)</f>
        <v>500</v>
      </c>
      <c r="E166" s="33">
        <f>VLOOKUP(Ventas[[#This Row],[Codigo]],Stock[#Data],3,FALSE)</f>
        <v>260</v>
      </c>
      <c r="F166" s="38">
        <v>1</v>
      </c>
      <c r="G166">
        <v>622</v>
      </c>
      <c r="H166" s="36">
        <f>Ventas[[#This Row],[Precio Venta]]*Ventas[[#This Row],[Cantidad]]-Ventas[[#This Row],[Descuento]]</f>
        <v>500</v>
      </c>
      <c r="I166" s="34">
        <f>Ventas[[#This Row],[Total]]-Ventas[[#This Row],[Precio compra]]*Ventas[[#This Row],[Cantidad]]</f>
        <v>240</v>
      </c>
      <c r="J166" s="34">
        <v>0</v>
      </c>
      <c r="K166" s="34">
        <f>Ventas[[#This Row],[Total]]*Ventas[[#This Row],[Total 3]]</f>
        <v>0</v>
      </c>
      <c r="L166" s="34" t="s">
        <v>760</v>
      </c>
      <c r="M166" s="34"/>
    </row>
    <row r="167" spans="1:13" ht="21.75" customHeight="1">
      <c r="A167" s="16"/>
      <c r="B167" s="39">
        <v>45040</v>
      </c>
      <c r="C167" s="57" t="str">
        <f>VLOOKUP(Ventas[[#This Row],[Codigo]],Stock[#Data],2,FALSE)</f>
        <v>OCB premium</v>
      </c>
      <c r="D167" s="37">
        <f>VLOOKUP(Ventas[[#This Row],[Codigo]],Stock[#Data],4,FALSE)</f>
        <v>300</v>
      </c>
      <c r="E167" s="33">
        <f>VLOOKUP(Ventas[[#This Row],[Codigo]],Stock[#Data],3,FALSE)</f>
        <v>165</v>
      </c>
      <c r="F167" s="38">
        <v>1</v>
      </c>
      <c r="G167">
        <v>594</v>
      </c>
      <c r="H167" s="36">
        <f>Ventas[[#This Row],[Precio Venta]]*Ventas[[#This Row],[Cantidad]]-Ventas[[#This Row],[Descuento]]</f>
        <v>300</v>
      </c>
      <c r="I167" s="34">
        <f>Ventas[[#This Row],[Total]]-Ventas[[#This Row],[Precio compra]]*Ventas[[#This Row],[Cantidad]]</f>
        <v>135</v>
      </c>
      <c r="J167" s="34">
        <v>0</v>
      </c>
      <c r="K167" s="34">
        <f>Ventas[[#This Row],[Total]]*Ventas[[#This Row],[Total 3]]</f>
        <v>0</v>
      </c>
      <c r="L167" s="34" t="s">
        <v>760</v>
      </c>
      <c r="M167" s="34"/>
    </row>
    <row r="168" spans="1:13" ht="21.75" customHeight="1">
      <c r="A168" s="16"/>
      <c r="B168" s="39">
        <v>45040</v>
      </c>
      <c r="C168" s="57" t="str">
        <f>VLOOKUP(Ventas[[#This Row],[Codigo]],Stock[#Data],2,FALSE)</f>
        <v>Tips STAMPS ECO</v>
      </c>
      <c r="D168" s="37">
        <f>VLOOKUP(Ventas[[#This Row],[Codigo]],Stock[#Data],4,FALSE)</f>
        <v>150</v>
      </c>
      <c r="E168" s="33">
        <f>VLOOKUP(Ventas[[#This Row],[Codigo]],Stock[#Data],3,FALSE)</f>
        <v>73</v>
      </c>
      <c r="F168" s="38">
        <v>1</v>
      </c>
      <c r="G168">
        <v>308</v>
      </c>
      <c r="H168" s="36">
        <f>Ventas[[#This Row],[Precio Venta]]*Ventas[[#This Row],[Cantidad]]-Ventas[[#This Row],[Descuento]]</f>
        <v>150</v>
      </c>
      <c r="I168" s="34">
        <f>Ventas[[#This Row],[Total]]-Ventas[[#This Row],[Precio compra]]*Ventas[[#This Row],[Cantidad]]</f>
        <v>77</v>
      </c>
      <c r="J168" s="34">
        <v>0</v>
      </c>
      <c r="K168" s="34">
        <f>Ventas[[#This Row],[Total]]*Ventas[[#This Row],[Total 3]]</f>
        <v>0</v>
      </c>
      <c r="L168" s="34" t="s">
        <v>760</v>
      </c>
      <c r="M168" s="34"/>
    </row>
    <row r="169" spans="1:13" ht="21.75" customHeight="1">
      <c r="A169" s="16"/>
      <c r="B169" s="39">
        <v>45040</v>
      </c>
      <c r="C169" s="57" t="str">
        <f>VLOOKUP(Ventas[[#This Row],[Codigo]],Stock[#Data],2,FALSE)</f>
        <v xml:space="preserve">Picador 3p Acrilico </v>
      </c>
      <c r="D169" s="37">
        <f>VLOOKUP(Ventas[[#This Row],[Codigo]],Stock[#Data],4,FALSE)</f>
        <v>1000</v>
      </c>
      <c r="E169" s="33">
        <f>VLOOKUP(Ventas[[#This Row],[Codigo]],Stock[#Data],3,FALSE)</f>
        <v>420</v>
      </c>
      <c r="F169" s="38">
        <v>1</v>
      </c>
      <c r="G169">
        <v>619</v>
      </c>
      <c r="H169" s="36">
        <f>Ventas[[#This Row],[Precio Venta]]*Ventas[[#This Row],[Cantidad]]-Ventas[[#This Row],[Descuento]]</f>
        <v>1000</v>
      </c>
      <c r="I169" s="34">
        <f>Ventas[[#This Row],[Total]]-Ventas[[#This Row],[Precio compra]]*Ventas[[#This Row],[Cantidad]]</f>
        <v>580</v>
      </c>
      <c r="J169" s="34">
        <v>0</v>
      </c>
      <c r="K169" s="34">
        <f>Ventas[[#This Row],[Total]]*Ventas[[#This Row],[Total 3]]</f>
        <v>0</v>
      </c>
      <c r="L169" s="34" t="s">
        <v>760</v>
      </c>
      <c r="M169" s="34"/>
    </row>
    <row r="170" spans="1:13" ht="21.75" customHeight="1">
      <c r="A170" s="16"/>
      <c r="B170" s="39">
        <v>45040</v>
      </c>
      <c r="C170" s="57" t="str">
        <f>VLOOKUP(Ventas[[#This Row],[Codigo]],Stock[#Data],2,FALSE)</f>
        <v>Armador ZEUS Plástico</v>
      </c>
      <c r="D170" s="37">
        <f>VLOOKUP(Ventas[[#This Row],[Codigo]],Stock[#Data],4,FALSE)</f>
        <v>900</v>
      </c>
      <c r="E170" s="33">
        <f>VLOOKUP(Ventas[[#This Row],[Codigo]],Stock[#Data],3,FALSE)</f>
        <v>430</v>
      </c>
      <c r="F170" s="38">
        <v>1</v>
      </c>
      <c r="G170">
        <v>170</v>
      </c>
      <c r="H170" s="36">
        <f>Ventas[[#This Row],[Precio Venta]]*Ventas[[#This Row],[Cantidad]]-Ventas[[#This Row],[Descuento]]</f>
        <v>900</v>
      </c>
      <c r="I170" s="34">
        <f>Ventas[[#This Row],[Total]]-Ventas[[#This Row],[Precio compra]]*Ventas[[#This Row],[Cantidad]]</f>
        <v>470</v>
      </c>
      <c r="J170" s="34">
        <v>0</v>
      </c>
      <c r="K170" s="34">
        <f>Ventas[[#This Row],[Total]]*Ventas[[#This Row],[Total 3]]</f>
        <v>0</v>
      </c>
      <c r="L170" s="34" t="s">
        <v>760</v>
      </c>
      <c r="M170" s="34"/>
    </row>
    <row r="171" spans="1:13" ht="21.75" customHeight="1">
      <c r="A171" s="16"/>
      <c r="B171" s="39">
        <v>45040</v>
      </c>
      <c r="C171" s="57" t="str">
        <f>VLOOKUP(Ventas[[#This Row],[Codigo]],Stock[#Data],2,FALSE)</f>
        <v>Filtros GIZEH biodegradable</v>
      </c>
      <c r="D171" s="37">
        <f>VLOOKUP(Ventas[[#This Row],[Codigo]],Stock[#Data],4,FALSE)</f>
        <v>450</v>
      </c>
      <c r="E171" s="33">
        <f>VLOOKUP(Ventas[[#This Row],[Codigo]],Stock[#Data],3,FALSE)</f>
        <v>280</v>
      </c>
      <c r="F171" s="38">
        <v>1</v>
      </c>
      <c r="G171">
        <v>107</v>
      </c>
      <c r="H171" s="36">
        <f>Ventas[[#This Row],[Precio Venta]]*Ventas[[#This Row],[Cantidad]]-Ventas[[#This Row],[Descuento]]</f>
        <v>450</v>
      </c>
      <c r="I171" s="34">
        <f>Ventas[[#This Row],[Total]]-Ventas[[#This Row],[Precio compra]]*Ventas[[#This Row],[Cantidad]]</f>
        <v>170</v>
      </c>
      <c r="J171" s="34">
        <v>1</v>
      </c>
      <c r="K171" s="34">
        <f>Ventas[[#This Row],[Total]]*Ventas[[#This Row],[Total 3]]</f>
        <v>450</v>
      </c>
      <c r="L171" s="34" t="s">
        <v>759</v>
      </c>
      <c r="M171" s="34"/>
    </row>
    <row r="172" spans="1:13" ht="21.75" customHeight="1">
      <c r="A172" s="16"/>
      <c r="B172" s="39">
        <v>45040</v>
      </c>
      <c r="C172" s="57" t="str">
        <f>VLOOKUP(Ventas[[#This Row],[Codigo]],Stock[#Data],2,FALSE)</f>
        <v>Sedas Smoking x 300</v>
      </c>
      <c r="D172" s="37">
        <f>VLOOKUP(Ventas[[#This Row],[Codigo]],Stock[#Data],4,FALSE)</f>
        <v>450</v>
      </c>
      <c r="E172" s="33">
        <f>VLOOKUP(Ventas[[#This Row],[Codigo]],Stock[#Data],3,FALSE)</f>
        <v>223</v>
      </c>
      <c r="F172" s="38">
        <v>1</v>
      </c>
      <c r="G172">
        <v>83</v>
      </c>
      <c r="H172" s="36">
        <f>Ventas[[#This Row],[Precio Venta]]*Ventas[[#This Row],[Cantidad]]-Ventas[[#This Row],[Descuento]]</f>
        <v>450</v>
      </c>
      <c r="I172" s="34">
        <f>Ventas[[#This Row],[Total]]-Ventas[[#This Row],[Precio compra]]*Ventas[[#This Row],[Cantidad]]</f>
        <v>227</v>
      </c>
      <c r="J172" s="34">
        <v>1</v>
      </c>
      <c r="K172" s="34">
        <f>Ventas[[#This Row],[Total]]*Ventas[[#This Row],[Total 3]]</f>
        <v>450</v>
      </c>
      <c r="L172" s="34" t="s">
        <v>759</v>
      </c>
      <c r="M172" s="34"/>
    </row>
    <row r="173" spans="1:13" ht="21.75" customHeight="1">
      <c r="A173" s="16"/>
      <c r="B173" s="39">
        <v>45040</v>
      </c>
      <c r="C173" s="57" t="str">
        <f>VLOOKUP(Ventas[[#This Row],[Codigo]],Stock[#Data],2,FALSE)</f>
        <v>Tabaco Van Kiff Vainilla</v>
      </c>
      <c r="D173" s="37">
        <f>VLOOKUP(Ventas[[#This Row],[Codigo]],Stock[#Data],4,FALSE)</f>
        <v>850</v>
      </c>
      <c r="E173" s="33">
        <f>VLOOKUP(Ventas[[#This Row],[Codigo]],Stock[#Data],3,FALSE)</f>
        <v>580</v>
      </c>
      <c r="F173" s="38">
        <v>1</v>
      </c>
      <c r="G173">
        <v>120</v>
      </c>
      <c r="H173" s="36">
        <f>Ventas[[#This Row],[Precio Venta]]*Ventas[[#This Row],[Cantidad]]-Ventas[[#This Row],[Descuento]]</f>
        <v>850</v>
      </c>
      <c r="I173" s="34">
        <f>Ventas[[#This Row],[Total]]-Ventas[[#This Row],[Precio compra]]*Ventas[[#This Row],[Cantidad]]</f>
        <v>270</v>
      </c>
      <c r="J173" s="34">
        <v>1</v>
      </c>
      <c r="K173" s="34">
        <f>Ventas[[#This Row],[Total]]*Ventas[[#This Row],[Total 3]]</f>
        <v>850</v>
      </c>
      <c r="L173" s="34" t="s">
        <v>759</v>
      </c>
      <c r="M173" s="34"/>
    </row>
    <row r="174" spans="1:13" ht="21.75" customHeight="1">
      <c r="A174" s="16"/>
      <c r="B174" s="39" t="s">
        <v>803</v>
      </c>
      <c r="C174" s="57" t="str">
        <f>VLOOKUP(Ventas[[#This Row],[Codigo]],Stock[#Data],2,FALSE)</f>
        <v xml:space="preserve">pilas </v>
      </c>
      <c r="D174" s="37">
        <f>VLOOKUP(Ventas[[#This Row],[Codigo]],Stock[#Data],4,FALSE)</f>
        <v>100</v>
      </c>
      <c r="E174" s="33">
        <f>VLOOKUP(Ventas[[#This Row],[Codigo]],Stock[#Data],3,FALSE)</f>
        <v>29</v>
      </c>
      <c r="F174" s="38">
        <v>4</v>
      </c>
      <c r="G174">
        <v>261</v>
      </c>
      <c r="H174" s="36">
        <f>Ventas[[#This Row],[Precio Venta]]*Ventas[[#This Row],[Cantidad]]-Ventas[[#This Row],[Descuento]]</f>
        <v>400</v>
      </c>
      <c r="I174" s="34">
        <f>Ventas[[#This Row],[Total]]-Ventas[[#This Row],[Precio compra]]*Ventas[[#This Row],[Cantidad]]</f>
        <v>284</v>
      </c>
      <c r="J174" s="34">
        <v>0</v>
      </c>
      <c r="K174" s="34">
        <f>Ventas[[#This Row],[Total]]*Ventas[[#This Row],[Total 3]]</f>
        <v>0</v>
      </c>
      <c r="L174" s="34" t="s">
        <v>760</v>
      </c>
      <c r="M174" s="34"/>
    </row>
    <row r="175" spans="1:13" ht="21.75" customHeight="1">
      <c r="A175" s="16"/>
      <c r="B175" s="39">
        <v>45040</v>
      </c>
      <c r="C175" s="57" t="str">
        <f>VLOOKUP(Ventas[[#This Row],[Codigo]],Stock[#Data],2,FALSE)</f>
        <v xml:space="preserve">Pipa de Ceramica chica </v>
      </c>
      <c r="D175" s="37">
        <f>VLOOKUP(Ventas[[#This Row],[Codigo]],Stock[#Data],4,FALSE)</f>
        <v>2000</v>
      </c>
      <c r="E175" s="33">
        <f>VLOOKUP(Ventas[[#This Row],[Codigo]],Stock[#Data],3,FALSE)</f>
        <v>1000</v>
      </c>
      <c r="F175" s="38">
        <v>1</v>
      </c>
      <c r="G175">
        <v>583</v>
      </c>
      <c r="H175" s="36">
        <f>Ventas[[#This Row],[Precio Venta]]*Ventas[[#This Row],[Cantidad]]-Ventas[[#This Row],[Descuento]]</f>
        <v>2000</v>
      </c>
      <c r="I175" s="34">
        <f>Ventas[[#This Row],[Total]]-Ventas[[#This Row],[Precio compra]]*Ventas[[#This Row],[Cantidad]]</f>
        <v>1000</v>
      </c>
      <c r="J175" s="34">
        <v>0</v>
      </c>
      <c r="K175" s="34">
        <f>Ventas[[#This Row],[Total]]*Ventas[[#This Row],[Total 3]]</f>
        <v>0</v>
      </c>
      <c r="L175" s="34" t="s">
        <v>760</v>
      </c>
      <c r="M175" s="34"/>
    </row>
    <row r="176" spans="1:13" ht="21.75" customHeight="1">
      <c r="A176" s="16"/>
      <c r="B176" s="39" t="s">
        <v>803</v>
      </c>
      <c r="C176" s="57" t="str">
        <f>VLOOKUP(Ventas[[#This Row],[Codigo]],Stock[#Data],2,FALSE)</f>
        <v xml:space="preserve">Filtros Gizhe + Sedas </v>
      </c>
      <c r="D176" s="37">
        <f>VLOOKUP(Ventas[[#This Row],[Codigo]],Stock[#Data],4,FALSE)</f>
        <v>350</v>
      </c>
      <c r="E176" s="33">
        <f>VLOOKUP(Ventas[[#This Row],[Codigo]],Stock[#Data],3,FALSE)</f>
        <v>150</v>
      </c>
      <c r="F176" s="38">
        <v>1</v>
      </c>
      <c r="G176">
        <v>476</v>
      </c>
      <c r="H176" s="36">
        <f>Ventas[[#This Row],[Precio Venta]]*Ventas[[#This Row],[Cantidad]]-Ventas[[#This Row],[Descuento]]</f>
        <v>350</v>
      </c>
      <c r="I176" s="34">
        <f>Ventas[[#This Row],[Total]]-Ventas[[#This Row],[Precio compra]]*Ventas[[#This Row],[Cantidad]]</f>
        <v>200</v>
      </c>
      <c r="J176" s="34">
        <v>1</v>
      </c>
      <c r="K176" s="34">
        <f>Ventas[[#This Row],[Total]]*Ventas[[#This Row],[Total 3]]</f>
        <v>350</v>
      </c>
      <c r="L176" s="34" t="s">
        <v>759</v>
      </c>
      <c r="M176" s="34"/>
    </row>
    <row r="177" spans="1:13" ht="21.75" customHeight="1">
      <c r="A177" s="16"/>
      <c r="B177" s="39" t="s">
        <v>802</v>
      </c>
      <c r="C177" s="57" t="str">
        <f>VLOOKUP(Ventas[[#This Row],[Codigo]],Stock[#Data],2,FALSE)</f>
        <v>Filtros GIZEH biodegradable</v>
      </c>
      <c r="D177" s="37">
        <f>VLOOKUP(Ventas[[#This Row],[Codigo]],Stock[#Data],4,FALSE)</f>
        <v>450</v>
      </c>
      <c r="E177" s="33">
        <f>VLOOKUP(Ventas[[#This Row],[Codigo]],Stock[#Data],3,FALSE)</f>
        <v>280</v>
      </c>
      <c r="F177" s="38">
        <v>1</v>
      </c>
      <c r="G177">
        <v>107</v>
      </c>
      <c r="H177" s="36">
        <f>Ventas[[#This Row],[Precio Venta]]*Ventas[[#This Row],[Cantidad]]-Ventas[[#This Row],[Descuento]]</f>
        <v>450</v>
      </c>
      <c r="I177" s="34">
        <f>Ventas[[#This Row],[Total]]-Ventas[[#This Row],[Precio compra]]*Ventas[[#This Row],[Cantidad]]</f>
        <v>170</v>
      </c>
      <c r="J177" s="34">
        <v>1</v>
      </c>
      <c r="K177" s="34">
        <f>Ventas[[#This Row],[Total]]*Ventas[[#This Row],[Total 3]]</f>
        <v>450</v>
      </c>
      <c r="L177" s="34" t="s">
        <v>759</v>
      </c>
      <c r="M177" s="34"/>
    </row>
    <row r="178" spans="1:13" ht="21.75" customHeight="1">
      <c r="A178" s="16"/>
      <c r="B178" s="39" t="s">
        <v>802</v>
      </c>
      <c r="C178" s="57" t="str">
        <f>VLOOKUP(Ventas[[#This Row],[Codigo]],Stock[#Data],2,FALSE)</f>
        <v>Tabaco Van Haasen Nativo</v>
      </c>
      <c r="D178" s="37">
        <f>VLOOKUP(Ventas[[#This Row],[Codigo]],Stock[#Data],4,FALSE)</f>
        <v>1000</v>
      </c>
      <c r="E178" s="33">
        <f>VLOOKUP(Ventas[[#This Row],[Codigo]],Stock[#Data],3,FALSE)</f>
        <v>630</v>
      </c>
      <c r="F178" s="38">
        <v>1</v>
      </c>
      <c r="G178">
        <v>620</v>
      </c>
      <c r="H178" s="36">
        <f>Ventas[[#This Row],[Precio Venta]]*Ventas[[#This Row],[Cantidad]]-Ventas[[#This Row],[Descuento]]</f>
        <v>1000</v>
      </c>
      <c r="I178" s="34">
        <f>Ventas[[#This Row],[Total]]-Ventas[[#This Row],[Precio compra]]*Ventas[[#This Row],[Cantidad]]</f>
        <v>370</v>
      </c>
      <c r="J178" s="34">
        <v>1</v>
      </c>
      <c r="K178" s="34">
        <f>Ventas[[#This Row],[Total]]*Ventas[[#This Row],[Total 3]]</f>
        <v>1000</v>
      </c>
      <c r="L178" s="34" t="s">
        <v>759</v>
      </c>
      <c r="M178" s="34"/>
    </row>
    <row r="179" spans="1:13" ht="21.75" customHeight="1">
      <c r="A179" s="16"/>
      <c r="B179" s="39" t="s">
        <v>802</v>
      </c>
      <c r="C179" s="57" t="str">
        <f>VLOOKUP(Ventas[[#This Row],[Codigo]],Stock[#Data],2,FALSE)</f>
        <v>Picador Barril Inflamable</v>
      </c>
      <c r="D179" s="37">
        <f>VLOOKUP(Ventas[[#This Row],[Codigo]],Stock[#Data],4,FALSE)</f>
        <v>4500</v>
      </c>
      <c r="E179" s="33">
        <f>VLOOKUP(Ventas[[#This Row],[Codigo]],Stock[#Data],3,FALSE)</f>
        <v>2229</v>
      </c>
      <c r="F179" s="38">
        <v>1</v>
      </c>
      <c r="G179">
        <v>212</v>
      </c>
      <c r="H179" s="36">
        <f>Ventas[[#This Row],[Precio Venta]]*Ventas[[#This Row],[Cantidad]]-Ventas[[#This Row],[Descuento]]</f>
        <v>4500</v>
      </c>
      <c r="I179" s="34">
        <f>Ventas[[#This Row],[Total]]-Ventas[[#This Row],[Precio compra]]*Ventas[[#This Row],[Cantidad]]</f>
        <v>2271</v>
      </c>
      <c r="J179" s="34">
        <v>1</v>
      </c>
      <c r="K179" s="34">
        <f>Ventas[[#This Row],[Total]]*Ventas[[#This Row],[Total 3]]</f>
        <v>4500</v>
      </c>
      <c r="L179" s="34" t="s">
        <v>759</v>
      </c>
      <c r="M179" s="34"/>
    </row>
    <row r="180" spans="1:13" ht="21.75" customHeight="1">
      <c r="A180" s="16"/>
      <c r="B180" s="39" t="s">
        <v>802</v>
      </c>
      <c r="C180" s="57" t="str">
        <f>VLOOKUP(Ventas[[#This Row],[Codigo]],Stock[#Data],2,FALSE)</f>
        <v>Sedas Blunt Rey Blueberry</v>
      </c>
      <c r="D180" s="37">
        <f>VLOOKUP(Ventas[[#This Row],[Codigo]],Stock[#Data],4,FALSE)</f>
        <v>250</v>
      </c>
      <c r="E180" s="33">
        <f>VLOOKUP(Ventas[[#This Row],[Codigo]],Stock[#Data],3,FALSE)</f>
        <v>126</v>
      </c>
      <c r="F180" s="38">
        <v>1</v>
      </c>
      <c r="G180">
        <v>611</v>
      </c>
      <c r="H180" s="36">
        <f>Ventas[[#This Row],[Precio Venta]]*Ventas[[#This Row],[Cantidad]]-Ventas[[#This Row],[Descuento]]</f>
        <v>250</v>
      </c>
      <c r="I180" s="34">
        <f>Ventas[[#This Row],[Total]]-Ventas[[#This Row],[Precio compra]]*Ventas[[#This Row],[Cantidad]]</f>
        <v>124</v>
      </c>
      <c r="J180" s="34">
        <v>1</v>
      </c>
      <c r="K180" s="34">
        <f>Ventas[[#This Row],[Total]]*Ventas[[#This Row],[Total 3]]</f>
        <v>250</v>
      </c>
      <c r="L180" s="34" t="s">
        <v>759</v>
      </c>
      <c r="M180" s="34"/>
    </row>
    <row r="181" spans="1:13" ht="21.75" customHeight="1">
      <c r="A181" s="16"/>
      <c r="B181" s="39" t="s">
        <v>802</v>
      </c>
      <c r="C181" s="57" t="str">
        <f>VLOOKUP(Ventas[[#This Row],[Codigo]],Stock[#Data],2,FALSE)</f>
        <v>Sedas Blunt Rey Cherry</v>
      </c>
      <c r="D181" s="37">
        <f>VLOOKUP(Ventas[[#This Row],[Codigo]],Stock[#Data],4,FALSE)</f>
        <v>250</v>
      </c>
      <c r="E181" s="33">
        <f>VLOOKUP(Ventas[[#This Row],[Codigo]],Stock[#Data],3,FALSE)</f>
        <v>126</v>
      </c>
      <c r="F181" s="38">
        <v>1</v>
      </c>
      <c r="G181">
        <v>613</v>
      </c>
      <c r="H181" s="36">
        <f>Ventas[[#This Row],[Precio Venta]]*Ventas[[#This Row],[Cantidad]]-Ventas[[#This Row],[Descuento]]</f>
        <v>250</v>
      </c>
      <c r="I181" s="34">
        <f>Ventas[[#This Row],[Total]]-Ventas[[#This Row],[Precio compra]]*Ventas[[#This Row],[Cantidad]]</f>
        <v>124</v>
      </c>
      <c r="J181" s="34">
        <v>1</v>
      </c>
      <c r="K181" s="34">
        <f>Ventas[[#This Row],[Total]]*Ventas[[#This Row],[Total 3]]</f>
        <v>250</v>
      </c>
      <c r="L181" s="34" t="s">
        <v>759</v>
      </c>
      <c r="M181" s="34"/>
    </row>
    <row r="182" spans="1:13" ht="21.75" customHeight="1">
      <c r="A182" s="16"/>
      <c r="B182" s="39" t="s">
        <v>802</v>
      </c>
      <c r="C182" s="57" t="str">
        <f>VLOOKUP(Ventas[[#This Row],[Codigo]],Stock[#Data],2,FALSE)</f>
        <v>Namaste Flora Booster 500ml</v>
      </c>
      <c r="D182" s="37">
        <f>VLOOKUP(Ventas[[#This Row],[Codigo]],Stock[#Data],4,FALSE)</f>
        <v>2500</v>
      </c>
      <c r="E182" s="33">
        <f>VLOOKUP(Ventas[[#This Row],[Codigo]],Stock[#Data],3,FALSE)</f>
        <v>1377</v>
      </c>
      <c r="F182" s="38">
        <v>1</v>
      </c>
      <c r="G182">
        <v>496</v>
      </c>
      <c r="H182" s="36">
        <f>Ventas[[#This Row],[Precio Venta]]*Ventas[[#This Row],[Cantidad]]-Ventas[[#This Row],[Descuento]]</f>
        <v>2500</v>
      </c>
      <c r="I182" s="34">
        <f>Ventas[[#This Row],[Total]]-Ventas[[#This Row],[Precio compra]]*Ventas[[#This Row],[Cantidad]]</f>
        <v>1123</v>
      </c>
      <c r="J182" s="34">
        <v>1</v>
      </c>
      <c r="K182" s="34">
        <f>Ventas[[#This Row],[Total]]*Ventas[[#This Row],[Total 3]]</f>
        <v>2500</v>
      </c>
      <c r="L182" s="34" t="s">
        <v>759</v>
      </c>
      <c r="M182" s="34"/>
    </row>
    <row r="183" spans="1:13" ht="21.75" customHeight="1">
      <c r="A183" s="16"/>
      <c r="B183" s="39" t="s">
        <v>802</v>
      </c>
      <c r="C183" s="57" t="str">
        <f>VLOOKUP(Ventas[[#This Row],[Codigo]],Stock[#Data],2,FALSE)</f>
        <v xml:space="preserve">tips moon </v>
      </c>
      <c r="D183" s="37">
        <f>VLOOKUP(Ventas[[#This Row],[Codigo]],Stock[#Data],4,FALSE)</f>
        <v>100</v>
      </c>
      <c r="E183" s="33">
        <f>VLOOKUP(Ventas[[#This Row],[Codigo]],Stock[#Data],3,FALSE)</f>
        <v>50</v>
      </c>
      <c r="F183" s="38">
        <v>1</v>
      </c>
      <c r="G183">
        <v>356</v>
      </c>
      <c r="H183" s="36">
        <f>Ventas[[#This Row],[Precio Venta]]*Ventas[[#This Row],[Cantidad]]-Ventas[[#This Row],[Descuento]]</f>
        <v>100</v>
      </c>
      <c r="I183" s="34">
        <f>Ventas[[#This Row],[Total]]-Ventas[[#This Row],[Precio compra]]*Ventas[[#This Row],[Cantidad]]</f>
        <v>50</v>
      </c>
      <c r="J183" s="34">
        <v>0</v>
      </c>
      <c r="K183" s="34">
        <f>Ventas[[#This Row],[Total]]*Ventas[[#This Row],[Total 3]]</f>
        <v>0</v>
      </c>
      <c r="L183" s="34" t="s">
        <v>760</v>
      </c>
      <c r="M183" s="34"/>
    </row>
    <row r="184" spans="1:13" ht="21.75" customHeight="1">
      <c r="A184" s="16"/>
      <c r="B184" s="39" t="s">
        <v>802</v>
      </c>
      <c r="C184" s="57" t="str">
        <f>VLOOKUP(Ventas[[#This Row],[Codigo]],Stock[#Data],2,FALSE)</f>
        <v>Blunt Lion Rolling Circus TERPENES GELATO</v>
      </c>
      <c r="D184" s="37">
        <f>VLOOKUP(Ventas[[#This Row],[Codigo]],Stock[#Data],4,FALSE)</f>
        <v>850</v>
      </c>
      <c r="E184" s="33">
        <f>VLOOKUP(Ventas[[#This Row],[Codigo]],Stock[#Data],3,FALSE)</f>
        <v>422</v>
      </c>
      <c r="F184" s="38">
        <v>1</v>
      </c>
      <c r="G184">
        <v>99</v>
      </c>
      <c r="H184" s="36">
        <f>Ventas[[#This Row],[Precio Venta]]*Ventas[[#This Row],[Cantidad]]-Ventas[[#This Row],[Descuento]]</f>
        <v>850</v>
      </c>
      <c r="I184" s="34">
        <f>Ventas[[#This Row],[Total]]-Ventas[[#This Row],[Precio compra]]*Ventas[[#This Row],[Cantidad]]</f>
        <v>428</v>
      </c>
      <c r="J184" s="34">
        <v>0</v>
      </c>
      <c r="K184" s="34">
        <f>Ventas[[#This Row],[Total]]*Ventas[[#This Row],[Total 3]]</f>
        <v>0</v>
      </c>
      <c r="L184" s="34" t="s">
        <v>760</v>
      </c>
      <c r="M184" s="34"/>
    </row>
    <row r="185" spans="1:13" ht="21.75" customHeight="1">
      <c r="A185" s="16"/>
      <c r="B185" s="39" t="s">
        <v>802</v>
      </c>
      <c r="C185" s="57" t="str">
        <f>VLOOKUP(Ventas[[#This Row],[Codigo]],Stock[#Data],2,FALSE)</f>
        <v xml:space="preserve"> Blunt Wrap Chocolate</v>
      </c>
      <c r="D185" s="37">
        <f>VLOOKUP(Ventas[[#This Row],[Codigo]],Stock[#Data],4,FALSE)</f>
        <v>500</v>
      </c>
      <c r="E185" s="33">
        <f>VLOOKUP(Ventas[[#This Row],[Codigo]],Stock[#Data],3,FALSE)</f>
        <v>225</v>
      </c>
      <c r="F185" s="38">
        <v>1</v>
      </c>
      <c r="G185">
        <v>100</v>
      </c>
      <c r="H185" s="36">
        <f>Ventas[[#This Row],[Precio Venta]]*Ventas[[#This Row],[Cantidad]]-Ventas[[#This Row],[Descuento]]</f>
        <v>500</v>
      </c>
      <c r="I185" s="34">
        <f>Ventas[[#This Row],[Total]]-Ventas[[#This Row],[Precio compra]]*Ventas[[#This Row],[Cantidad]]</f>
        <v>275</v>
      </c>
      <c r="J185" s="34">
        <v>0</v>
      </c>
      <c r="K185" s="34">
        <f>Ventas[[#This Row],[Total]]*Ventas[[#This Row],[Total 3]]</f>
        <v>0</v>
      </c>
      <c r="L185" s="34" t="s">
        <v>760</v>
      </c>
      <c r="M185" s="34"/>
    </row>
    <row r="186" spans="1:13" ht="21.75" customHeight="1">
      <c r="A186" s="16"/>
      <c r="B186" s="39" t="s">
        <v>802</v>
      </c>
      <c r="C186" s="57" t="str">
        <f>VLOOKUP(Ventas[[#This Row],[Codigo]],Stock[#Data],2,FALSE)</f>
        <v xml:space="preserve"> Blunt Wrap Purple</v>
      </c>
      <c r="D186" s="37">
        <f>VLOOKUP(Ventas[[#This Row],[Codigo]],Stock[#Data],4,FALSE)</f>
        <v>500</v>
      </c>
      <c r="E186" s="33">
        <f>VLOOKUP(Ventas[[#This Row],[Codigo]],Stock[#Data],3,FALSE)</f>
        <v>225</v>
      </c>
      <c r="F186" s="38">
        <v>1</v>
      </c>
      <c r="G186">
        <v>101</v>
      </c>
      <c r="H186" s="36">
        <f>Ventas[[#This Row],[Precio Venta]]*Ventas[[#This Row],[Cantidad]]-Ventas[[#This Row],[Descuento]]</f>
        <v>500</v>
      </c>
      <c r="I186" s="34">
        <f>Ventas[[#This Row],[Total]]-Ventas[[#This Row],[Precio compra]]*Ventas[[#This Row],[Cantidad]]</f>
        <v>275</v>
      </c>
      <c r="J186" s="34">
        <v>0</v>
      </c>
      <c r="K186" s="34">
        <f>Ventas[[#This Row],[Total]]*Ventas[[#This Row],[Total 3]]</f>
        <v>0</v>
      </c>
      <c r="L186" s="34" t="s">
        <v>760</v>
      </c>
      <c r="M186" s="34"/>
    </row>
    <row r="187" spans="1:13" ht="21.75" customHeight="1">
      <c r="A187" s="16"/>
      <c r="B187" s="39" t="s">
        <v>802</v>
      </c>
      <c r="C187" s="57" t="str">
        <f>VLOOKUP(Ventas[[#This Row],[Codigo]],Stock[#Data],2,FALSE)</f>
        <v>Tips Lion Unbleached</v>
      </c>
      <c r="D187" s="37">
        <f>VLOOKUP(Ventas[[#This Row],[Codigo]],Stock[#Data],4,FALSE)</f>
        <v>250</v>
      </c>
      <c r="E187" s="33">
        <f>VLOOKUP(Ventas[[#This Row],[Codigo]],Stock[#Data],3,FALSE)</f>
        <v>137</v>
      </c>
      <c r="F187" s="38">
        <v>1</v>
      </c>
      <c r="G187">
        <v>458</v>
      </c>
      <c r="H187" s="36">
        <f>Ventas[[#This Row],[Precio Venta]]*Ventas[[#This Row],[Cantidad]]-Ventas[[#This Row],[Descuento]]</f>
        <v>250</v>
      </c>
      <c r="I187" s="34">
        <f>Ventas[[#This Row],[Total]]-Ventas[[#This Row],[Precio compra]]*Ventas[[#This Row],[Cantidad]]</f>
        <v>113</v>
      </c>
      <c r="J187" s="34">
        <v>0</v>
      </c>
      <c r="K187" s="34">
        <f>Ventas[[#This Row],[Total]]*Ventas[[#This Row],[Total 3]]</f>
        <v>0</v>
      </c>
      <c r="L187" s="34" t="s">
        <v>760</v>
      </c>
      <c r="M187" s="34"/>
    </row>
    <row r="188" spans="1:13" ht="21.75" customHeight="1">
      <c r="A188" s="16"/>
      <c r="B188" s="39" t="s">
        <v>802</v>
      </c>
      <c r="C188" s="57" t="str">
        <f>VLOOKUP(Ventas[[#This Row],[Codigo]],Stock[#Data],2,FALSE)</f>
        <v>OCB premium</v>
      </c>
      <c r="D188" s="37">
        <f>VLOOKUP(Ventas[[#This Row],[Codigo]],Stock[#Data],4,FALSE)</f>
        <v>300</v>
      </c>
      <c r="E188" s="33">
        <f>VLOOKUP(Ventas[[#This Row],[Codigo]],Stock[#Data],3,FALSE)</f>
        <v>165</v>
      </c>
      <c r="F188" s="38">
        <v>1</v>
      </c>
      <c r="G188">
        <v>594</v>
      </c>
      <c r="H188" s="36">
        <f>Ventas[[#This Row],[Precio Venta]]*Ventas[[#This Row],[Cantidad]]-Ventas[[#This Row],[Descuento]]</f>
        <v>300</v>
      </c>
      <c r="I188" s="34">
        <f>Ventas[[#This Row],[Total]]-Ventas[[#This Row],[Precio compra]]*Ventas[[#This Row],[Cantidad]]</f>
        <v>135</v>
      </c>
      <c r="J188" s="34">
        <v>0</v>
      </c>
      <c r="K188" s="34">
        <f>Ventas[[#This Row],[Total]]*Ventas[[#This Row],[Total 3]]</f>
        <v>0</v>
      </c>
      <c r="L188" s="34" t="s">
        <v>760</v>
      </c>
      <c r="M188" s="34"/>
    </row>
    <row r="189" spans="1:13" ht="21.75" customHeight="1">
      <c r="A189" s="16"/>
      <c r="B189" s="39" t="s">
        <v>802</v>
      </c>
      <c r="C189" s="57" t="str">
        <f>VLOOKUP(Ventas[[#This Row],[Codigo]],Stock[#Data],2,FALSE)</f>
        <v>Picador 4p Amsterdam Holland</v>
      </c>
      <c r="D189" s="37">
        <f>VLOOKUP(Ventas[[#This Row],[Codigo]],Stock[#Data],4,FALSE)</f>
        <v>3000</v>
      </c>
      <c r="E189" s="33">
        <f>VLOOKUP(Ventas[[#This Row],[Codigo]],Stock[#Data],3,FALSE)</f>
        <v>1452</v>
      </c>
      <c r="F189" s="38">
        <v>1</v>
      </c>
      <c r="G189">
        <v>618</v>
      </c>
      <c r="H189" s="36">
        <f>Ventas[[#This Row],[Precio Venta]]*Ventas[[#This Row],[Cantidad]]-Ventas[[#This Row],[Descuento]]</f>
        <v>3000</v>
      </c>
      <c r="I189" s="34">
        <f>Ventas[[#This Row],[Total]]-Ventas[[#This Row],[Precio compra]]*Ventas[[#This Row],[Cantidad]]</f>
        <v>1548</v>
      </c>
      <c r="J189" s="34">
        <v>0</v>
      </c>
      <c r="K189" s="34">
        <f>Ventas[[#This Row],[Total]]*Ventas[[#This Row],[Total 3]]</f>
        <v>0</v>
      </c>
      <c r="L189" s="34" t="s">
        <v>760</v>
      </c>
      <c r="M189" s="34"/>
    </row>
    <row r="190" spans="1:13" ht="21.75" customHeight="1">
      <c r="A190" s="16"/>
      <c r="B190" s="39" t="s">
        <v>802</v>
      </c>
      <c r="C190" s="57" t="str">
        <f>VLOOKUP(Ventas[[#This Row],[Codigo]],Stock[#Data],2,FALSE)</f>
        <v>Recipiente Rosin SQUADAFUM Redondo Mediano</v>
      </c>
      <c r="D190" s="37">
        <f>VLOOKUP(Ventas[[#This Row],[Codigo]],Stock[#Data],4,FALSE)</f>
        <v>700</v>
      </c>
      <c r="E190" s="33">
        <f>VLOOKUP(Ventas[[#This Row],[Codigo]],Stock[#Data],3,FALSE)</f>
        <v>270</v>
      </c>
      <c r="F190" s="38">
        <v>1</v>
      </c>
      <c r="G190">
        <v>180</v>
      </c>
      <c r="H190" s="36">
        <f>Ventas[[#This Row],[Precio Venta]]*Ventas[[#This Row],[Cantidad]]-Ventas[[#This Row],[Descuento]]</f>
        <v>700</v>
      </c>
      <c r="I190" s="34">
        <f>Ventas[[#This Row],[Total]]-Ventas[[#This Row],[Precio compra]]*Ventas[[#This Row],[Cantidad]]</f>
        <v>430</v>
      </c>
      <c r="J190" s="34">
        <v>0</v>
      </c>
      <c r="K190" s="34">
        <f>Ventas[[#This Row],[Total]]*Ventas[[#This Row],[Total 3]]</f>
        <v>0</v>
      </c>
      <c r="L190" s="34" t="s">
        <v>760</v>
      </c>
      <c r="M190" s="34"/>
    </row>
    <row r="191" spans="1:13" ht="21.75" customHeight="1">
      <c r="A191" s="16"/>
      <c r="B191" s="39" t="s">
        <v>801</v>
      </c>
      <c r="C191" s="57" t="str">
        <f>VLOOKUP(Ventas[[#This Row],[Codigo]],Stock[#Data],2,FALSE)</f>
        <v xml:space="preserve">Encendedor Clipper </v>
      </c>
      <c r="D191" s="37">
        <f>VLOOKUP(Ventas[[#This Row],[Codigo]],Stock[#Data],4,FALSE)</f>
        <v>600</v>
      </c>
      <c r="E191" s="33">
        <f>VLOOKUP(Ventas[[#This Row],[Codigo]],Stock[#Data],3,FALSE)</f>
        <v>378</v>
      </c>
      <c r="F191" s="38">
        <v>1</v>
      </c>
      <c r="G191">
        <v>58</v>
      </c>
      <c r="H191" s="36">
        <f>Ventas[[#This Row],[Precio Venta]]*Ventas[[#This Row],[Cantidad]]-Ventas[[#This Row],[Descuento]]</f>
        <v>600</v>
      </c>
      <c r="I191" s="34">
        <f>Ventas[[#This Row],[Total]]-Ventas[[#This Row],[Precio compra]]*Ventas[[#This Row],[Cantidad]]</f>
        <v>222</v>
      </c>
      <c r="J191" s="34">
        <v>1</v>
      </c>
      <c r="K191" s="34">
        <f>Ventas[[#This Row],[Total]]*Ventas[[#This Row],[Total 3]]</f>
        <v>600</v>
      </c>
      <c r="L191" s="34" t="s">
        <v>759</v>
      </c>
      <c r="M191" s="34"/>
    </row>
    <row r="192" spans="1:13" ht="21.75" customHeight="1">
      <c r="A192" s="16"/>
      <c r="B192" s="39" t="s">
        <v>801</v>
      </c>
      <c r="C192" s="57" t="str">
        <f>VLOOKUP(Ventas[[#This Row],[Codigo]],Stock[#Data],2,FALSE)</f>
        <v xml:space="preserve">Sedas Stamps Celulosa </v>
      </c>
      <c r="D192" s="37">
        <f>VLOOKUP(Ventas[[#This Row],[Codigo]],Stock[#Data],4,FALSE)</f>
        <v>500</v>
      </c>
      <c r="E192" s="33">
        <f>VLOOKUP(Ventas[[#This Row],[Codigo]],Stock[#Data],3,FALSE)</f>
        <v>260</v>
      </c>
      <c r="F192" s="38">
        <v>1</v>
      </c>
      <c r="G192">
        <v>622</v>
      </c>
      <c r="H192" s="36">
        <f>Ventas[[#This Row],[Precio Venta]]*Ventas[[#This Row],[Cantidad]]-Ventas[[#This Row],[Descuento]]</f>
        <v>500</v>
      </c>
      <c r="I192" s="34">
        <f>Ventas[[#This Row],[Total]]-Ventas[[#This Row],[Precio compra]]*Ventas[[#This Row],[Cantidad]]</f>
        <v>240</v>
      </c>
      <c r="J192" s="34">
        <v>1</v>
      </c>
      <c r="K192" s="34">
        <f>Ventas[[#This Row],[Total]]*Ventas[[#This Row],[Total 3]]</f>
        <v>500</v>
      </c>
      <c r="L192" s="34" t="s">
        <v>759</v>
      </c>
      <c r="M192" s="34"/>
    </row>
    <row r="193" spans="1:13" ht="21.75" customHeight="1">
      <c r="A193" s="16"/>
      <c r="B193" s="39" t="s">
        <v>801</v>
      </c>
      <c r="C193" s="57" t="str">
        <f>VLOOKUP(Ventas[[#This Row],[Codigo]],Stock[#Data],2,FALSE)</f>
        <v>SKOG Zeta</v>
      </c>
      <c r="D193" s="37">
        <f>VLOOKUP(Ventas[[#This Row],[Codigo]],Stock[#Data],4,FALSE)</f>
        <v>800</v>
      </c>
      <c r="E193" s="33">
        <f>VLOOKUP(Ventas[[#This Row],[Codigo]],Stock[#Data],3,FALSE)</f>
        <v>405</v>
      </c>
      <c r="F193" s="38">
        <v>1</v>
      </c>
      <c r="G193">
        <v>13</v>
      </c>
      <c r="H193" s="36">
        <f>Ventas[[#This Row],[Precio Venta]]*Ventas[[#This Row],[Cantidad]]-Ventas[[#This Row],[Descuento]]</f>
        <v>800</v>
      </c>
      <c r="I193" s="34">
        <f>Ventas[[#This Row],[Total]]-Ventas[[#This Row],[Precio compra]]*Ventas[[#This Row],[Cantidad]]</f>
        <v>395</v>
      </c>
      <c r="J193" s="34">
        <v>1</v>
      </c>
      <c r="K193" s="34">
        <f>Ventas[[#This Row],[Total]]*Ventas[[#This Row],[Total 3]]</f>
        <v>800</v>
      </c>
      <c r="L193" s="34" t="s">
        <v>759</v>
      </c>
      <c r="M193" s="34"/>
    </row>
    <row r="194" spans="1:13" ht="21.75" customHeight="1">
      <c r="A194" s="16"/>
      <c r="B194" s="39" t="s">
        <v>801</v>
      </c>
      <c r="C194" s="57" t="str">
        <f>VLOOKUP(Ventas[[#This Row],[Codigo]],Stock[#Data],2,FALSE)</f>
        <v>Portaseda RAW 1/4</v>
      </c>
      <c r="D194" s="37">
        <f>VLOOKUP(Ventas[[#This Row],[Codigo]],Stock[#Data],4,FALSE)</f>
        <v>1200</v>
      </c>
      <c r="E194" s="33">
        <f>VLOOKUP(Ventas[[#This Row],[Codigo]],Stock[#Data],3,FALSE)</f>
        <v>580</v>
      </c>
      <c r="F194" s="38">
        <v>1</v>
      </c>
      <c r="G194">
        <v>150</v>
      </c>
      <c r="H194" s="36">
        <f>Ventas[[#This Row],[Precio Venta]]*Ventas[[#This Row],[Cantidad]]-Ventas[[#This Row],[Descuento]]</f>
        <v>1200</v>
      </c>
      <c r="I194" s="34">
        <f>Ventas[[#This Row],[Total]]-Ventas[[#This Row],[Precio compra]]*Ventas[[#This Row],[Cantidad]]</f>
        <v>620</v>
      </c>
      <c r="J194" s="34">
        <v>1</v>
      </c>
      <c r="K194" s="34">
        <f>Ventas[[#This Row],[Total]]*Ventas[[#This Row],[Total 3]]</f>
        <v>1200</v>
      </c>
      <c r="L194" s="34" t="s">
        <v>759</v>
      </c>
      <c r="M194" s="34"/>
    </row>
    <row r="195" spans="1:13" ht="21.75" customHeight="1">
      <c r="A195" s="16"/>
      <c r="B195" s="39" t="s">
        <v>801</v>
      </c>
      <c r="C195" s="57" t="str">
        <f>VLOOKUP(Ventas[[#This Row],[Codigo]],Stock[#Data],2,FALSE)</f>
        <v>Geotextiles 40L cultivate</v>
      </c>
      <c r="D195" s="37">
        <f>VLOOKUP(Ventas[[#This Row],[Codigo]],Stock[#Data],4,FALSE)</f>
        <v>1300</v>
      </c>
      <c r="E195" s="33">
        <f>VLOOKUP(Ventas[[#This Row],[Codigo]],Stock[#Data],3,FALSE)</f>
        <v>638</v>
      </c>
      <c r="F195" s="38">
        <v>2</v>
      </c>
      <c r="G195">
        <v>597</v>
      </c>
      <c r="H195" s="36">
        <f>Ventas[[#This Row],[Precio Venta]]*Ventas[[#This Row],[Cantidad]]-Ventas[[#This Row],[Descuento]]</f>
        <v>2600</v>
      </c>
      <c r="I195" s="34">
        <f>Ventas[[#This Row],[Total]]-Ventas[[#This Row],[Precio compra]]*Ventas[[#This Row],[Cantidad]]</f>
        <v>1324</v>
      </c>
      <c r="J195" s="34">
        <v>1</v>
      </c>
      <c r="K195" s="34">
        <f>Ventas[[#This Row],[Total]]*Ventas[[#This Row],[Total 3]]</f>
        <v>2600</v>
      </c>
      <c r="L195" s="34" t="s">
        <v>759</v>
      </c>
      <c r="M195" s="34"/>
    </row>
    <row r="196" spans="1:13" ht="21.75" customHeight="1">
      <c r="A196" s="16"/>
      <c r="B196" s="39" t="s">
        <v>801</v>
      </c>
      <c r="C196" s="57" t="str">
        <f>VLOOKUP(Ventas[[#This Row],[Codigo]],Stock[#Data],2,FALSE)</f>
        <v>Perlita 10L</v>
      </c>
      <c r="D196" s="37">
        <f>VLOOKUP(Ventas[[#This Row],[Codigo]],Stock[#Data],4,FALSE)</f>
        <v>900</v>
      </c>
      <c r="E196" s="33">
        <f>VLOOKUP(Ventas[[#This Row],[Codigo]],Stock[#Data],3,FALSE)</f>
        <v>430</v>
      </c>
      <c r="F196" s="38">
        <v>1</v>
      </c>
      <c r="G196">
        <v>608</v>
      </c>
      <c r="H196" s="36">
        <f>Ventas[[#This Row],[Precio Venta]]*Ventas[[#This Row],[Cantidad]]-Ventas[[#This Row],[Descuento]]</f>
        <v>900</v>
      </c>
      <c r="I196" s="34">
        <f>Ventas[[#This Row],[Total]]-Ventas[[#This Row],[Precio compra]]*Ventas[[#This Row],[Cantidad]]</f>
        <v>470</v>
      </c>
      <c r="J196" s="34">
        <v>1</v>
      </c>
      <c r="K196" s="34">
        <f>Ventas[[#This Row],[Total]]*Ventas[[#This Row],[Total 3]]</f>
        <v>900</v>
      </c>
      <c r="L196" s="34" t="s">
        <v>759</v>
      </c>
      <c r="M196" s="34"/>
    </row>
    <row r="197" spans="1:13" ht="21.75" customHeight="1">
      <c r="A197" s="16"/>
      <c r="B197" s="39">
        <v>45036</v>
      </c>
      <c r="C197" s="57" t="str">
        <f>VLOOKUP(Ventas[[#This Row],[Codigo]],Stock[#Data],2,FALSE)</f>
        <v>VAMP Supermelaza</v>
      </c>
      <c r="D197" s="37">
        <f>VLOOKUP(Ventas[[#This Row],[Codigo]],Stock[#Data],4,FALSE)</f>
        <v>1800</v>
      </c>
      <c r="E197" s="33">
        <f>VLOOKUP(Ventas[[#This Row],[Codigo]],Stock[#Data],3,FALSE)</f>
        <v>908</v>
      </c>
      <c r="F197" s="38">
        <v>1</v>
      </c>
      <c r="G197">
        <v>36</v>
      </c>
      <c r="H197" s="36">
        <f>Ventas[[#This Row],[Precio Venta]]*Ventas[[#This Row],[Cantidad]]-Ventas[[#This Row],[Descuento]]</f>
        <v>1800</v>
      </c>
      <c r="I197" s="34">
        <f>Ventas[[#This Row],[Total]]-Ventas[[#This Row],[Precio compra]]*Ventas[[#This Row],[Cantidad]]</f>
        <v>892</v>
      </c>
      <c r="J197" s="34">
        <v>0</v>
      </c>
      <c r="K197" s="34">
        <f>Ventas[[#This Row],[Total]]*Ventas[[#This Row],[Total 3]]</f>
        <v>0</v>
      </c>
      <c r="L197" s="34" t="s">
        <v>760</v>
      </c>
      <c r="M197" s="34"/>
    </row>
    <row r="198" spans="1:13" ht="21.75" customHeight="1">
      <c r="A198" s="16"/>
      <c r="B198" s="39">
        <v>45036</v>
      </c>
      <c r="C198" s="57" t="str">
        <f>VLOOKUP(Ventas[[#This Row],[Codigo]],Stock[#Data],2,FALSE)</f>
        <v>Bio Brew</v>
      </c>
      <c r="D198" s="37">
        <f>VLOOKUP(Ventas[[#This Row],[Codigo]],Stock[#Data],4,FALSE)</f>
        <v>1100</v>
      </c>
      <c r="E198" s="33">
        <f>VLOOKUP(Ventas[[#This Row],[Codigo]],Stock[#Data],3,FALSE)</f>
        <v>530</v>
      </c>
      <c r="F198" s="38">
        <v>1</v>
      </c>
      <c r="G198">
        <v>11</v>
      </c>
      <c r="H198" s="36">
        <f>Ventas[[#This Row],[Precio Venta]]*Ventas[[#This Row],[Cantidad]]-Ventas[[#This Row],[Descuento]]</f>
        <v>1100</v>
      </c>
      <c r="I198" s="34">
        <f>Ventas[[#This Row],[Total]]-Ventas[[#This Row],[Precio compra]]*Ventas[[#This Row],[Cantidad]]</f>
        <v>570</v>
      </c>
      <c r="J198" s="34">
        <v>0</v>
      </c>
      <c r="K198" s="34">
        <f>Ventas[[#This Row],[Total]]*Ventas[[#This Row],[Total 3]]</f>
        <v>0</v>
      </c>
      <c r="L198" s="34" t="s">
        <v>760</v>
      </c>
      <c r="M198" s="34"/>
    </row>
    <row r="199" spans="1:13" ht="21.75" customHeight="1">
      <c r="A199" s="16"/>
      <c r="B199" s="39">
        <v>45036</v>
      </c>
      <c r="C199" s="57" t="str">
        <f>VLOOKUP(Ventas[[#This Row],[Codigo]],Stock[#Data],2,FALSE)</f>
        <v>VAMP Guano de murcielago Flora</v>
      </c>
      <c r="D199" s="37">
        <f>VLOOKUP(Ventas[[#This Row],[Codigo]],Stock[#Data],4,FALSE)</f>
        <v>1000</v>
      </c>
      <c r="E199" s="33">
        <f>VLOOKUP(Ventas[[#This Row],[Codigo]],Stock[#Data],3,FALSE)</f>
        <v>510</v>
      </c>
      <c r="F199" s="38">
        <v>1</v>
      </c>
      <c r="G199">
        <v>38</v>
      </c>
      <c r="H199" s="36">
        <f>Ventas[[#This Row],[Precio Venta]]*Ventas[[#This Row],[Cantidad]]-Ventas[[#This Row],[Descuento]]</f>
        <v>1000</v>
      </c>
      <c r="I199" s="34">
        <f>Ventas[[#This Row],[Total]]-Ventas[[#This Row],[Precio compra]]*Ventas[[#This Row],[Cantidad]]</f>
        <v>490</v>
      </c>
      <c r="J199" s="34">
        <v>0</v>
      </c>
      <c r="K199" s="34">
        <f>Ventas[[#This Row],[Total]]*Ventas[[#This Row],[Total 3]]</f>
        <v>0</v>
      </c>
      <c r="L199" s="34" t="s">
        <v>760</v>
      </c>
      <c r="M199" s="34"/>
    </row>
    <row r="200" spans="1:13" ht="21.75" customHeight="1">
      <c r="A200" s="16"/>
      <c r="B200" s="39">
        <v>45036</v>
      </c>
      <c r="C200" s="57" t="str">
        <f>VLOOKUP(Ventas[[#This Row],[Codigo]],Stock[#Data],2,FALSE)</f>
        <v>Tips OCB Organic</v>
      </c>
      <c r="D200" s="37">
        <f>VLOOKUP(Ventas[[#This Row],[Codigo]],Stock[#Data],4,FALSE)</f>
        <v>300</v>
      </c>
      <c r="E200" s="33">
        <f>VLOOKUP(Ventas[[#This Row],[Codigo]],Stock[#Data],3,FALSE)</f>
        <v>156</v>
      </c>
      <c r="F200" s="38">
        <v>1</v>
      </c>
      <c r="G200">
        <v>95</v>
      </c>
      <c r="H200" s="36">
        <f>Ventas[[#This Row],[Precio Venta]]*Ventas[[#This Row],[Cantidad]]-Ventas[[#This Row],[Descuento]]</f>
        <v>300</v>
      </c>
      <c r="I200" s="34">
        <f>Ventas[[#This Row],[Total]]-Ventas[[#This Row],[Precio compra]]*Ventas[[#This Row],[Cantidad]]</f>
        <v>144</v>
      </c>
      <c r="J200" s="34">
        <v>1</v>
      </c>
      <c r="K200" s="34">
        <f>Ventas[[#This Row],[Total]]*Ventas[[#This Row],[Total 3]]</f>
        <v>300</v>
      </c>
      <c r="L200" s="34" t="s">
        <v>759</v>
      </c>
      <c r="M200" s="34"/>
    </row>
    <row r="201" spans="1:13" ht="21.75" customHeight="1">
      <c r="A201" s="16"/>
      <c r="B201" s="39">
        <v>45036</v>
      </c>
      <c r="C201" s="57" t="str">
        <f>VLOOKUP(Ventas[[#This Row],[Codigo]],Stock[#Data],2,FALSE)</f>
        <v>Sedas Blunt Rey 1/4 celulosa Orange</v>
      </c>
      <c r="D201" s="37">
        <f>VLOOKUP(Ventas[[#This Row],[Codigo]],Stock[#Data],4,FALSE)</f>
        <v>300</v>
      </c>
      <c r="E201" s="33">
        <f>VLOOKUP(Ventas[[#This Row],[Codigo]],Stock[#Data],3,FALSE)</f>
        <v>143</v>
      </c>
      <c r="F201" s="38">
        <v>1</v>
      </c>
      <c r="G201">
        <v>71</v>
      </c>
      <c r="H201" s="36">
        <f>Ventas[[#This Row],[Precio Venta]]*Ventas[[#This Row],[Cantidad]]-Ventas[[#This Row],[Descuento]]</f>
        <v>300</v>
      </c>
      <c r="I201" s="34">
        <f>Ventas[[#This Row],[Total]]-Ventas[[#This Row],[Precio compra]]*Ventas[[#This Row],[Cantidad]]</f>
        <v>157</v>
      </c>
      <c r="J201" s="34">
        <v>1</v>
      </c>
      <c r="K201" s="34">
        <f>Ventas[[#This Row],[Total]]*Ventas[[#This Row],[Total 3]]</f>
        <v>300</v>
      </c>
      <c r="L201" s="34" t="s">
        <v>759</v>
      </c>
      <c r="M201" s="34"/>
    </row>
    <row r="202" spans="1:13" ht="21.75" customHeight="1">
      <c r="A202" s="16"/>
      <c r="B202" s="39">
        <v>45036</v>
      </c>
      <c r="C202" s="57" t="str">
        <f>VLOOKUP(Ventas[[#This Row],[Codigo]],Stock[#Data],2,FALSE)</f>
        <v>Cortahilo</v>
      </c>
      <c r="D202" s="37">
        <f>VLOOKUP(Ventas[[#This Row],[Codigo]],Stock[#Data],4,FALSE)</f>
        <v>500</v>
      </c>
      <c r="E202" s="33">
        <f>VLOOKUP(Ventas[[#This Row],[Codigo]],Stock[#Data],3,FALSE)</f>
        <v>214</v>
      </c>
      <c r="F202" s="38">
        <v>1</v>
      </c>
      <c r="G202">
        <v>311</v>
      </c>
      <c r="H202" s="36">
        <f>Ventas[[#This Row],[Precio Venta]]*Ventas[[#This Row],[Cantidad]]-Ventas[[#This Row],[Descuento]]</f>
        <v>500</v>
      </c>
      <c r="I202" s="34">
        <f>Ventas[[#This Row],[Total]]-Ventas[[#This Row],[Precio compra]]*Ventas[[#This Row],[Cantidad]]</f>
        <v>286</v>
      </c>
      <c r="J202" s="34">
        <v>0</v>
      </c>
      <c r="K202" s="34">
        <f>Ventas[[#This Row],[Total]]*Ventas[[#This Row],[Total 3]]</f>
        <v>0</v>
      </c>
      <c r="L202" s="34" t="s">
        <v>760</v>
      </c>
      <c r="M202" s="34"/>
    </row>
    <row r="203" spans="1:13" ht="21.75" customHeight="1">
      <c r="A203" s="16"/>
      <c r="B203" s="39" t="s">
        <v>800</v>
      </c>
      <c r="C203" s="57" t="str">
        <f>VLOOKUP(Ventas[[#This Row],[Codigo]],Stock[#Data],2,FALSE)</f>
        <v>Sedas Blunt Rey 1/4 celulosa Orange</v>
      </c>
      <c r="D203" s="37">
        <f>VLOOKUP(Ventas[[#This Row],[Codigo]],Stock[#Data],4,FALSE)</f>
        <v>300</v>
      </c>
      <c r="E203" s="33">
        <f>VLOOKUP(Ventas[[#This Row],[Codigo]],Stock[#Data],3,FALSE)</f>
        <v>143</v>
      </c>
      <c r="F203" s="38">
        <v>1</v>
      </c>
      <c r="G203">
        <v>71</v>
      </c>
      <c r="H203" s="36">
        <f>Ventas[[#This Row],[Precio Venta]]*Ventas[[#This Row],[Cantidad]]-Ventas[[#This Row],[Descuento]]</f>
        <v>300</v>
      </c>
      <c r="I203" s="34">
        <f>Ventas[[#This Row],[Total]]-Ventas[[#This Row],[Precio compra]]*Ventas[[#This Row],[Cantidad]]</f>
        <v>157</v>
      </c>
      <c r="J203" s="34">
        <v>0</v>
      </c>
      <c r="K203" s="34">
        <f>Ventas[[#This Row],[Total]]*Ventas[[#This Row],[Total 3]]</f>
        <v>0</v>
      </c>
      <c r="L203" s="34" t="s">
        <v>760</v>
      </c>
      <c r="M203" s="34"/>
    </row>
    <row r="204" spans="1:13" ht="21.75" customHeight="1">
      <c r="A204" s="16"/>
      <c r="B204" s="39" t="s">
        <v>800</v>
      </c>
      <c r="C204" s="57" t="str">
        <f>VLOOKUP(Ventas[[#This Row],[Codigo]],Stock[#Data],2,FALSE)</f>
        <v>Tips STAMPS ECO</v>
      </c>
      <c r="D204" s="37">
        <f>VLOOKUP(Ventas[[#This Row],[Codigo]],Stock[#Data],4,FALSE)</f>
        <v>150</v>
      </c>
      <c r="E204" s="33">
        <f>VLOOKUP(Ventas[[#This Row],[Codigo]],Stock[#Data],3,FALSE)</f>
        <v>73</v>
      </c>
      <c r="F204" s="38">
        <v>1</v>
      </c>
      <c r="G204">
        <v>308</v>
      </c>
      <c r="H204" s="36">
        <f>Ventas[[#This Row],[Precio Venta]]*Ventas[[#This Row],[Cantidad]]-Ventas[[#This Row],[Descuento]]</f>
        <v>150</v>
      </c>
      <c r="I204" s="34">
        <f>Ventas[[#This Row],[Total]]-Ventas[[#This Row],[Precio compra]]*Ventas[[#This Row],[Cantidad]]</f>
        <v>77</v>
      </c>
      <c r="J204" s="34">
        <v>0</v>
      </c>
      <c r="K204" s="34">
        <f>Ventas[[#This Row],[Total]]*Ventas[[#This Row],[Total 3]]</f>
        <v>0</v>
      </c>
      <c r="L204" s="34" t="s">
        <v>760</v>
      </c>
      <c r="M204" s="34"/>
    </row>
    <row r="205" spans="1:13" ht="21.75" customHeight="1">
      <c r="A205" s="16"/>
      <c r="B205" s="39" t="s">
        <v>800</v>
      </c>
      <c r="C205" s="57" t="str">
        <f>VLOOKUP(Ventas[[#This Row],[Codigo]],Stock[#Data],2,FALSE)</f>
        <v xml:space="preserve">Sedas Stamps Celulosa </v>
      </c>
      <c r="D205" s="37">
        <f>VLOOKUP(Ventas[[#This Row],[Codigo]],Stock[#Data],4,FALSE)</f>
        <v>500</v>
      </c>
      <c r="E205" s="33">
        <f>VLOOKUP(Ventas[[#This Row],[Codigo]],Stock[#Data],3,FALSE)</f>
        <v>260</v>
      </c>
      <c r="F205" s="38">
        <v>1</v>
      </c>
      <c r="G205">
        <v>622</v>
      </c>
      <c r="H205" s="36">
        <f>Ventas[[#This Row],[Precio Venta]]*Ventas[[#This Row],[Cantidad]]-Ventas[[#This Row],[Descuento]]</f>
        <v>500</v>
      </c>
      <c r="I205" s="34">
        <f>Ventas[[#This Row],[Total]]-Ventas[[#This Row],[Precio compra]]*Ventas[[#This Row],[Cantidad]]</f>
        <v>240</v>
      </c>
      <c r="J205" s="34">
        <v>0</v>
      </c>
      <c r="K205" s="34">
        <f>Ventas[[#This Row],[Total]]*Ventas[[#This Row],[Total 3]]</f>
        <v>0</v>
      </c>
      <c r="L205" s="34" t="s">
        <v>760</v>
      </c>
      <c r="M205" s="34"/>
    </row>
    <row r="206" spans="1:13" ht="21.75" customHeight="1">
      <c r="A206" s="16"/>
      <c r="B206" s="39">
        <v>45034</v>
      </c>
      <c r="C206" s="57" t="str">
        <f>VLOOKUP(Ventas[[#This Row],[Codigo]],Stock[#Data],2,FALSE)</f>
        <v>Sedas PRISMA 1/4 Blue</v>
      </c>
      <c r="D206" s="37">
        <f>VLOOKUP(Ventas[[#This Row],[Codigo]],Stock[#Data],4,FALSE)</f>
        <v>200</v>
      </c>
      <c r="E206" s="33">
        <f>VLOOKUP(Ventas[[#This Row],[Codigo]],Stock[#Data],3,FALSE)</f>
        <v>100</v>
      </c>
      <c r="F206" s="38">
        <v>1</v>
      </c>
      <c r="G206">
        <v>91</v>
      </c>
      <c r="H206" s="36">
        <f>Ventas[[#This Row],[Precio Venta]]*Ventas[[#This Row],[Cantidad]]-Ventas[[#This Row],[Descuento]]</f>
        <v>200</v>
      </c>
      <c r="I206" s="34">
        <f>Ventas[[#This Row],[Total]]-Ventas[[#This Row],[Precio compra]]*Ventas[[#This Row],[Cantidad]]</f>
        <v>100</v>
      </c>
      <c r="J206" s="34">
        <v>0</v>
      </c>
      <c r="K206" s="34">
        <f>Ventas[[#This Row],[Total]]*Ventas[[#This Row],[Total 3]]</f>
        <v>0</v>
      </c>
      <c r="L206" s="34" t="s">
        <v>760</v>
      </c>
      <c r="M206" s="34"/>
    </row>
    <row r="207" spans="1:13" ht="21.75" customHeight="1">
      <c r="A207" s="16"/>
      <c r="B207" s="39">
        <v>45034</v>
      </c>
      <c r="C207" s="57" t="str">
        <f>VLOOKUP(Ventas[[#This Row],[Codigo]],Stock[#Data],2,FALSE)</f>
        <v xml:space="preserve">Lata Van Häasen </v>
      </c>
      <c r="D207" s="37">
        <f>VLOOKUP(Ventas[[#This Row],[Codigo]],Stock[#Data],4,FALSE)</f>
        <v>700</v>
      </c>
      <c r="E207" s="33">
        <f>VLOOKUP(Ventas[[#This Row],[Codigo]],Stock[#Data],3,FALSE)</f>
        <v>380</v>
      </c>
      <c r="F207" s="38">
        <v>1</v>
      </c>
      <c r="G207">
        <v>147</v>
      </c>
      <c r="H207" s="36">
        <f>Ventas[[#This Row],[Precio Venta]]*Ventas[[#This Row],[Cantidad]]-Ventas[[#This Row],[Descuento]]</f>
        <v>700</v>
      </c>
      <c r="I207" s="34">
        <f>Ventas[[#This Row],[Total]]-Ventas[[#This Row],[Precio compra]]*Ventas[[#This Row],[Cantidad]]</f>
        <v>320</v>
      </c>
      <c r="J207" s="34">
        <v>1</v>
      </c>
      <c r="K207" s="34">
        <f>Ventas[[#This Row],[Total]]*Ventas[[#This Row],[Total 3]]</f>
        <v>700</v>
      </c>
      <c r="L207" s="34" t="s">
        <v>759</v>
      </c>
      <c r="M207" s="34"/>
    </row>
    <row r="208" spans="1:13" ht="21.75" customHeight="1">
      <c r="A208" s="16"/>
      <c r="B208" s="39">
        <v>45034</v>
      </c>
      <c r="C208" s="57" t="str">
        <f>VLOOKUP(Ventas[[#This Row],[Codigo]],Stock[#Data],2,FALSE)</f>
        <v>Picador 3 rayos aluminio negro</v>
      </c>
      <c r="D208" s="37">
        <f>VLOOKUP(Ventas[[#This Row],[Codigo]],Stock[#Data],4,FALSE)</f>
        <v>4000</v>
      </c>
      <c r="E208" s="33">
        <f>VLOOKUP(Ventas[[#This Row],[Codigo]],Stock[#Data],3,FALSE)</f>
        <v>2082</v>
      </c>
      <c r="F208" s="38">
        <v>1</v>
      </c>
      <c r="G208">
        <v>276</v>
      </c>
      <c r="H208" s="36">
        <f>Ventas[[#This Row],[Precio Venta]]*Ventas[[#This Row],[Cantidad]]-Ventas[[#This Row],[Descuento]]</f>
        <v>4000</v>
      </c>
      <c r="I208" s="34">
        <f>Ventas[[#This Row],[Total]]-Ventas[[#This Row],[Precio compra]]*Ventas[[#This Row],[Cantidad]]</f>
        <v>1918</v>
      </c>
      <c r="J208" s="34">
        <v>1</v>
      </c>
      <c r="K208" s="34">
        <f>Ventas[[#This Row],[Total]]*Ventas[[#This Row],[Total 3]]</f>
        <v>4000</v>
      </c>
      <c r="L208" s="34" t="s">
        <v>759</v>
      </c>
      <c r="M208" s="34"/>
    </row>
    <row r="209" spans="1:13" ht="21.75" customHeight="1">
      <c r="A209" s="16"/>
      <c r="B209" s="39">
        <v>45034</v>
      </c>
      <c r="C209" s="57" t="str">
        <f>VLOOKUP(Ventas[[#This Row],[Codigo]],Stock[#Data],2,FALSE)</f>
        <v>Recipiente Rosin SQUADAFUM Redondo Mediano</v>
      </c>
      <c r="D209" s="37">
        <f>VLOOKUP(Ventas[[#This Row],[Codigo]],Stock[#Data],4,FALSE)</f>
        <v>700</v>
      </c>
      <c r="E209" s="33">
        <f>VLOOKUP(Ventas[[#This Row],[Codigo]],Stock[#Data],3,FALSE)</f>
        <v>270</v>
      </c>
      <c r="F209" s="38">
        <v>1</v>
      </c>
      <c r="G209">
        <v>180</v>
      </c>
      <c r="H209" s="36">
        <f>Ventas[[#This Row],[Precio Venta]]*Ventas[[#This Row],[Cantidad]]-Ventas[[#This Row],[Descuento]]</f>
        <v>700</v>
      </c>
      <c r="I209" s="34">
        <f>Ventas[[#This Row],[Total]]-Ventas[[#This Row],[Precio compra]]*Ventas[[#This Row],[Cantidad]]</f>
        <v>430</v>
      </c>
      <c r="J209" s="34">
        <v>1</v>
      </c>
      <c r="K209" s="34">
        <f>Ventas[[#This Row],[Total]]*Ventas[[#This Row],[Total 3]]</f>
        <v>700</v>
      </c>
      <c r="L209" s="34" t="s">
        <v>759</v>
      </c>
      <c r="M209" s="34"/>
    </row>
    <row r="210" spans="1:13" ht="21.75" customHeight="1">
      <c r="A210" s="16"/>
      <c r="B210" s="39">
        <v>45034</v>
      </c>
      <c r="C210" s="57" t="str">
        <f>VLOOKUP(Ventas[[#This Row],[Codigo]],Stock[#Data],2,FALSE)</f>
        <v xml:space="preserve">Sedas GIZEH Kz +tips </v>
      </c>
      <c r="D210" s="37">
        <f>VLOOKUP(Ventas[[#This Row],[Codigo]],Stock[#Data],4,FALSE)</f>
        <v>700</v>
      </c>
      <c r="E210" s="33">
        <f>VLOOKUP(Ventas[[#This Row],[Codigo]],Stock[#Data],3,FALSE)</f>
        <v>350</v>
      </c>
      <c r="F210" s="38">
        <v>1</v>
      </c>
      <c r="G210">
        <v>88</v>
      </c>
      <c r="H210" s="36">
        <f>Ventas[[#This Row],[Precio Venta]]*Ventas[[#This Row],[Cantidad]]-Ventas[[#This Row],[Descuento]]</f>
        <v>700</v>
      </c>
      <c r="I210" s="34">
        <f>Ventas[[#This Row],[Total]]-Ventas[[#This Row],[Precio compra]]*Ventas[[#This Row],[Cantidad]]</f>
        <v>350</v>
      </c>
      <c r="J210" s="34">
        <v>0</v>
      </c>
      <c r="K210" s="34">
        <f>Ventas[[#This Row],[Total]]*Ventas[[#This Row],[Total 3]]</f>
        <v>0</v>
      </c>
      <c r="L210" s="34" t="s">
        <v>760</v>
      </c>
      <c r="M210" s="34"/>
    </row>
    <row r="211" spans="1:13" ht="21.75" customHeight="1">
      <c r="A211" s="16"/>
      <c r="B211" s="39" t="s">
        <v>799</v>
      </c>
      <c r="C211" s="57" t="str">
        <f>VLOOKUP(Ventas[[#This Row],[Codigo]],Stock[#Data],2,FALSE)</f>
        <v xml:space="preserve">Aceite de Cannabis 30 ml </v>
      </c>
      <c r="D211" s="37">
        <f>VLOOKUP(Ventas[[#This Row],[Codigo]],Stock[#Data],4,FALSE)</f>
        <v>7500</v>
      </c>
      <c r="E211" s="33">
        <f>VLOOKUP(Ventas[[#This Row],[Codigo]],Stock[#Data],3,FALSE)</f>
        <v>5500</v>
      </c>
      <c r="F211" s="38">
        <v>1</v>
      </c>
      <c r="G211">
        <v>525</v>
      </c>
      <c r="H211" s="36">
        <f>Ventas[[#This Row],[Precio Venta]]*Ventas[[#This Row],[Cantidad]]-Ventas[[#This Row],[Descuento]]</f>
        <v>7500</v>
      </c>
      <c r="I211" s="34">
        <f>Ventas[[#This Row],[Total]]-Ventas[[#This Row],[Precio compra]]*Ventas[[#This Row],[Cantidad]]</f>
        <v>2000</v>
      </c>
      <c r="J211" s="34">
        <v>0</v>
      </c>
      <c r="K211" s="34">
        <f>Ventas[[#This Row],[Total]]*Ventas[[#This Row],[Total 3]]</f>
        <v>0</v>
      </c>
      <c r="L211" s="34" t="s">
        <v>760</v>
      </c>
      <c r="M211" s="34"/>
    </row>
    <row r="212" spans="1:13" ht="21.75" customHeight="1">
      <c r="A212" s="16"/>
      <c r="B212" s="39" t="s">
        <v>799</v>
      </c>
      <c r="C212" s="57" t="str">
        <f>VLOOKUP(Ventas[[#This Row],[Codigo]],Stock[#Data],2,FALSE)</f>
        <v>SKOG Zeta</v>
      </c>
      <c r="D212" s="37">
        <f>VLOOKUP(Ventas[[#This Row],[Codigo]],Stock[#Data],4,FALSE)</f>
        <v>800</v>
      </c>
      <c r="E212" s="33">
        <f>VLOOKUP(Ventas[[#This Row],[Codigo]],Stock[#Data],3,FALSE)</f>
        <v>405</v>
      </c>
      <c r="F212" s="38">
        <v>1</v>
      </c>
      <c r="G212">
        <v>13</v>
      </c>
      <c r="H212" s="36">
        <f>Ventas[[#This Row],[Precio Venta]]*Ventas[[#This Row],[Cantidad]]-Ventas[[#This Row],[Descuento]]</f>
        <v>800</v>
      </c>
      <c r="I212" s="34">
        <f>Ventas[[#This Row],[Total]]-Ventas[[#This Row],[Precio compra]]*Ventas[[#This Row],[Cantidad]]</f>
        <v>395</v>
      </c>
      <c r="J212" s="34">
        <v>0</v>
      </c>
      <c r="K212" s="34">
        <f>Ventas[[#This Row],[Total]]*Ventas[[#This Row],[Total 3]]</f>
        <v>0</v>
      </c>
      <c r="L212" s="34" t="s">
        <v>760</v>
      </c>
      <c r="M212" s="34"/>
    </row>
    <row r="213" spans="1:13" ht="21.75" customHeight="1">
      <c r="A213" s="16"/>
      <c r="B213" s="39" t="s">
        <v>799</v>
      </c>
      <c r="C213" s="57" t="str">
        <f>VLOOKUP(Ventas[[#This Row],[Codigo]],Stock[#Data],2,FALSE)</f>
        <v>Nostress aceite de neem</v>
      </c>
      <c r="D213" s="37">
        <f>VLOOKUP(Ventas[[#This Row],[Codigo]],Stock[#Data],4,FALSE)</f>
        <v>900</v>
      </c>
      <c r="E213" s="33">
        <f>VLOOKUP(Ventas[[#This Row],[Codigo]],Stock[#Data],3,FALSE)</f>
        <v>430</v>
      </c>
      <c r="F213" s="38">
        <v>1</v>
      </c>
      <c r="G213">
        <v>20</v>
      </c>
      <c r="H213" s="36">
        <f>Ventas[[#This Row],[Precio Venta]]*Ventas[[#This Row],[Cantidad]]-Ventas[[#This Row],[Descuento]]</f>
        <v>900</v>
      </c>
      <c r="I213" s="34">
        <f>Ventas[[#This Row],[Total]]-Ventas[[#This Row],[Precio compra]]*Ventas[[#This Row],[Cantidad]]</f>
        <v>470</v>
      </c>
      <c r="J213" s="34">
        <v>0</v>
      </c>
      <c r="K213" s="34">
        <f>Ventas[[#This Row],[Total]]*Ventas[[#This Row],[Total 3]]</f>
        <v>0</v>
      </c>
      <c r="L213" s="34" t="s">
        <v>760</v>
      </c>
      <c r="M213" s="34"/>
    </row>
    <row r="214" spans="1:13" ht="21.75" customHeight="1">
      <c r="A214" s="16"/>
      <c r="B214" s="39" t="s">
        <v>799</v>
      </c>
      <c r="C214" s="57" t="str">
        <f>VLOOKUP(Ventas[[#This Row],[Codigo]],Stock[#Data],2,FALSE)</f>
        <v>TreeMIX KILL MIX 45ml</v>
      </c>
      <c r="D214" s="37">
        <f>VLOOKUP(Ventas[[#This Row],[Codigo]],Stock[#Data],4,FALSE)</f>
        <v>650</v>
      </c>
      <c r="E214" s="33">
        <f>VLOOKUP(Ventas[[#This Row],[Codigo]],Stock[#Data],3,FALSE)</f>
        <v>320</v>
      </c>
      <c r="F214" s="38">
        <v>1</v>
      </c>
      <c r="G214">
        <v>27</v>
      </c>
      <c r="H214" s="36">
        <f>Ventas[[#This Row],[Precio Venta]]*Ventas[[#This Row],[Cantidad]]-Ventas[[#This Row],[Descuento]]</f>
        <v>650</v>
      </c>
      <c r="I214" s="34">
        <f>Ventas[[#This Row],[Total]]-Ventas[[#This Row],[Precio compra]]*Ventas[[#This Row],[Cantidad]]</f>
        <v>330</v>
      </c>
      <c r="J214" s="34">
        <v>0</v>
      </c>
      <c r="K214" s="34">
        <f>Ventas[[#This Row],[Total]]*Ventas[[#This Row],[Total 3]]</f>
        <v>0</v>
      </c>
      <c r="L214" s="34" t="s">
        <v>760</v>
      </c>
      <c r="M214" s="34"/>
    </row>
    <row r="215" spans="1:13" ht="21.75" customHeight="1">
      <c r="A215" s="16"/>
      <c r="B215" s="39">
        <v>45033</v>
      </c>
      <c r="C215" s="57" t="str">
        <f>VLOOKUP(Ventas[[#This Row],[Codigo]],Stock[#Data],2,FALSE)</f>
        <v>Cortahilo</v>
      </c>
      <c r="D215" s="37">
        <f>VLOOKUP(Ventas[[#This Row],[Codigo]],Stock[#Data],4,FALSE)</f>
        <v>500</v>
      </c>
      <c r="E215" s="33">
        <f>VLOOKUP(Ventas[[#This Row],[Codigo]],Stock[#Data],3,FALSE)</f>
        <v>214</v>
      </c>
      <c r="F215" s="38">
        <v>1</v>
      </c>
      <c r="G215">
        <v>311</v>
      </c>
      <c r="H215" s="36">
        <f>Ventas[[#This Row],[Precio Venta]]*Ventas[[#This Row],[Cantidad]]-Ventas[[#This Row],[Descuento]]</f>
        <v>500</v>
      </c>
      <c r="I215" s="34">
        <f>Ventas[[#This Row],[Total]]-Ventas[[#This Row],[Precio compra]]*Ventas[[#This Row],[Cantidad]]</f>
        <v>286</v>
      </c>
      <c r="J215" s="34">
        <v>1</v>
      </c>
      <c r="K215" s="34">
        <f>Ventas[[#This Row],[Total]]*Ventas[[#This Row],[Total 3]]</f>
        <v>500</v>
      </c>
      <c r="L215" s="34" t="s">
        <v>759</v>
      </c>
      <c r="M215" s="34"/>
    </row>
    <row r="216" spans="1:13" ht="21.75" customHeight="1">
      <c r="A216" s="16"/>
      <c r="B216" s="39">
        <v>45033</v>
      </c>
      <c r="C216" s="57" t="str">
        <f>VLOOKUP(Ventas[[#This Row],[Codigo]],Stock[#Data],2,FALSE)</f>
        <v>Tabaco Van Haasen Nativo</v>
      </c>
      <c r="D216" s="37">
        <f>VLOOKUP(Ventas[[#This Row],[Codigo]],Stock[#Data],4,FALSE)</f>
        <v>1000</v>
      </c>
      <c r="E216" s="33">
        <f>VLOOKUP(Ventas[[#This Row],[Codigo]],Stock[#Data],3,FALSE)</f>
        <v>630</v>
      </c>
      <c r="F216" s="38">
        <v>1</v>
      </c>
      <c r="G216">
        <v>620</v>
      </c>
      <c r="H216" s="36">
        <f>Ventas[[#This Row],[Precio Venta]]*Ventas[[#This Row],[Cantidad]]-Ventas[[#This Row],[Descuento]]</f>
        <v>1000</v>
      </c>
      <c r="I216" s="34">
        <f>Ventas[[#This Row],[Total]]-Ventas[[#This Row],[Precio compra]]*Ventas[[#This Row],[Cantidad]]</f>
        <v>370</v>
      </c>
      <c r="J216" s="34">
        <v>1</v>
      </c>
      <c r="K216" s="34">
        <f>Ventas[[#This Row],[Total]]*Ventas[[#This Row],[Total 3]]</f>
        <v>1000</v>
      </c>
      <c r="L216" s="34" t="s">
        <v>759</v>
      </c>
      <c r="M216" s="34"/>
    </row>
    <row r="217" spans="1:13" ht="21.75" customHeight="1">
      <c r="A217" s="16"/>
      <c r="B217" s="39">
        <v>45033</v>
      </c>
      <c r="C217" s="57" t="str">
        <f>VLOOKUP(Ventas[[#This Row],[Codigo]],Stock[#Data],2,FALSE)</f>
        <v>Namaste Amazonia 150gr</v>
      </c>
      <c r="D217" s="37">
        <f>VLOOKUP(Ventas[[#This Row],[Codigo]],Stock[#Data],4,FALSE)</f>
        <v>2200</v>
      </c>
      <c r="E217" s="33">
        <f>VLOOKUP(Ventas[[#This Row],[Codigo]],Stock[#Data],3,FALSE)</f>
        <v>1218</v>
      </c>
      <c r="F217" s="38">
        <v>1</v>
      </c>
      <c r="G217">
        <v>477</v>
      </c>
      <c r="H217" s="36">
        <f>Ventas[[#This Row],[Precio Venta]]*Ventas[[#This Row],[Cantidad]]-Ventas[[#This Row],[Descuento]]</f>
        <v>2200</v>
      </c>
      <c r="I217" s="34">
        <f>Ventas[[#This Row],[Total]]-Ventas[[#This Row],[Precio compra]]*Ventas[[#This Row],[Cantidad]]</f>
        <v>982</v>
      </c>
      <c r="J217" s="34">
        <v>0</v>
      </c>
      <c r="K217" s="34">
        <f>Ventas[[#This Row],[Total]]*Ventas[[#This Row],[Total 3]]</f>
        <v>0</v>
      </c>
      <c r="L217" s="34" t="s">
        <v>760</v>
      </c>
      <c r="M217" s="34"/>
    </row>
    <row r="218" spans="1:13" ht="21.75" customHeight="1">
      <c r="A218" s="16"/>
      <c r="B218" s="39">
        <v>45033</v>
      </c>
      <c r="C218" s="57" t="str">
        <f>VLOOKUP(Ventas[[#This Row],[Codigo]],Stock[#Data],2,FALSE)</f>
        <v>Sedas Blunt Rey 1/4 celulosa Orange</v>
      </c>
      <c r="D218" s="37">
        <f>VLOOKUP(Ventas[[#This Row],[Codigo]],Stock[#Data],4,FALSE)</f>
        <v>300</v>
      </c>
      <c r="E218" s="33">
        <f>VLOOKUP(Ventas[[#This Row],[Codigo]],Stock[#Data],3,FALSE)</f>
        <v>143</v>
      </c>
      <c r="F218" s="38">
        <v>3</v>
      </c>
      <c r="G218">
        <v>71</v>
      </c>
      <c r="H218" s="36">
        <f>Ventas[[#This Row],[Precio Venta]]*Ventas[[#This Row],[Cantidad]]-Ventas[[#This Row],[Descuento]]</f>
        <v>900</v>
      </c>
      <c r="I218" s="34">
        <f>Ventas[[#This Row],[Total]]-Ventas[[#This Row],[Precio compra]]*Ventas[[#This Row],[Cantidad]]</f>
        <v>471</v>
      </c>
      <c r="J218" s="34">
        <v>0</v>
      </c>
      <c r="K218" s="34">
        <f>Ventas[[#This Row],[Total]]*Ventas[[#This Row],[Total 3]]</f>
        <v>0</v>
      </c>
      <c r="L218" s="34" t="s">
        <v>760</v>
      </c>
      <c r="M218" s="34"/>
    </row>
    <row r="219" spans="1:13" ht="21.75" customHeight="1">
      <c r="A219" s="16"/>
      <c r="B219" s="39">
        <v>45033</v>
      </c>
      <c r="C219" s="57" t="str">
        <f>VLOOKUP(Ventas[[#This Row],[Codigo]],Stock[#Data],2,FALSE)</f>
        <v>Sedas PRISMA 1/4 Blue</v>
      </c>
      <c r="D219" s="37">
        <f>VLOOKUP(Ventas[[#This Row],[Codigo]],Stock[#Data],4,FALSE)</f>
        <v>200</v>
      </c>
      <c r="E219" s="33">
        <f>VLOOKUP(Ventas[[#This Row],[Codigo]],Stock[#Data],3,FALSE)</f>
        <v>100</v>
      </c>
      <c r="F219" s="38">
        <v>1</v>
      </c>
      <c r="G219">
        <v>91</v>
      </c>
      <c r="H219" s="36">
        <f>Ventas[[#This Row],[Precio Venta]]*Ventas[[#This Row],[Cantidad]]-Ventas[[#This Row],[Descuento]]</f>
        <v>200</v>
      </c>
      <c r="I219" s="34">
        <f>Ventas[[#This Row],[Total]]-Ventas[[#This Row],[Precio compra]]*Ventas[[#This Row],[Cantidad]]</f>
        <v>100</v>
      </c>
      <c r="J219" s="34">
        <v>0</v>
      </c>
      <c r="K219" s="34">
        <f>Ventas[[#This Row],[Total]]*Ventas[[#This Row],[Total 3]]</f>
        <v>0</v>
      </c>
      <c r="L219" s="34" t="s">
        <v>760</v>
      </c>
      <c r="M219" s="34"/>
    </row>
    <row r="220" spans="1:13" ht="21.75" customHeight="1">
      <c r="A220" s="16"/>
      <c r="B220" s="39" t="s">
        <v>797</v>
      </c>
      <c r="C220" s="57" t="str">
        <f>VLOOKUP(Ventas[[#This Row],[Codigo]],Stock[#Data],2,FALSE)</f>
        <v xml:space="preserve">Encendedor Clipper </v>
      </c>
      <c r="D220" s="37">
        <f>VLOOKUP(Ventas[[#This Row],[Codigo]],Stock[#Data],4,FALSE)</f>
        <v>600</v>
      </c>
      <c r="E220" s="33">
        <f>VLOOKUP(Ventas[[#This Row],[Codigo]],Stock[#Data],3,FALSE)</f>
        <v>378</v>
      </c>
      <c r="F220" s="38">
        <v>1</v>
      </c>
      <c r="G220">
        <v>58</v>
      </c>
      <c r="H220" s="36">
        <f>Ventas[[#This Row],[Precio Venta]]*Ventas[[#This Row],[Cantidad]]-Ventas[[#This Row],[Descuento]]</f>
        <v>600</v>
      </c>
      <c r="I220" s="34">
        <f>Ventas[[#This Row],[Total]]-Ventas[[#This Row],[Precio compra]]*Ventas[[#This Row],[Cantidad]]</f>
        <v>222</v>
      </c>
      <c r="J220" s="34">
        <v>0</v>
      </c>
      <c r="K220" s="34">
        <f>Ventas[[#This Row],[Total]]*Ventas[[#This Row],[Total 3]]</f>
        <v>0</v>
      </c>
      <c r="L220" s="34" t="s">
        <v>760</v>
      </c>
      <c r="M220" s="34"/>
    </row>
    <row r="221" spans="1:13" ht="21.75" customHeight="1">
      <c r="A221" s="16"/>
      <c r="B221" s="39" t="s">
        <v>797</v>
      </c>
      <c r="C221" s="57" t="str">
        <f>VLOOKUP(Ventas[[#This Row],[Codigo]],Stock[#Data],2,FALSE)</f>
        <v>Macetas Dame Aire 80 litros</v>
      </c>
      <c r="D221" s="37">
        <f>VLOOKUP(Ventas[[#This Row],[Codigo]],Stock[#Data],4,FALSE)</f>
        <v>1800</v>
      </c>
      <c r="E221" s="33">
        <f>VLOOKUP(Ventas[[#This Row],[Codigo]],Stock[#Data],3,FALSE)</f>
        <v>900</v>
      </c>
      <c r="F221" s="38">
        <v>1</v>
      </c>
      <c r="G221">
        <v>257</v>
      </c>
      <c r="H221" s="36">
        <f>Ventas[[#This Row],[Precio Venta]]*Ventas[[#This Row],[Cantidad]]-Ventas[[#This Row],[Descuento]]</f>
        <v>1800</v>
      </c>
      <c r="I221" s="34">
        <f>Ventas[[#This Row],[Total]]-Ventas[[#This Row],[Precio compra]]*Ventas[[#This Row],[Cantidad]]</f>
        <v>900</v>
      </c>
      <c r="J221" s="34">
        <v>0</v>
      </c>
      <c r="K221" s="34">
        <f>Ventas[[#This Row],[Total]]*Ventas[[#This Row],[Total 3]]</f>
        <v>0</v>
      </c>
      <c r="L221" s="34" t="s">
        <v>760</v>
      </c>
      <c r="M221" s="34"/>
    </row>
    <row r="222" spans="1:13" ht="21.75" customHeight="1">
      <c r="A222" s="16"/>
      <c r="B222" s="39" t="s">
        <v>797</v>
      </c>
      <c r="C222" s="57" t="str">
        <f>VLOOKUP(Ventas[[#This Row],[Codigo]],Stock[#Data],2,FALSE)</f>
        <v xml:space="preserve">ocb ultimate </v>
      </c>
      <c r="D222" s="37">
        <f>VLOOKUP(Ventas[[#This Row],[Codigo]],Stock[#Data],4,FALSE)</f>
        <v>300</v>
      </c>
      <c r="E222" s="33">
        <f>VLOOKUP(Ventas[[#This Row],[Codigo]],Stock[#Data],3,FALSE)</f>
        <v>165</v>
      </c>
      <c r="F222" s="38">
        <v>1</v>
      </c>
      <c r="G222">
        <v>354</v>
      </c>
      <c r="H222" s="36">
        <f>Ventas[[#This Row],[Precio Venta]]*Ventas[[#This Row],[Cantidad]]-Ventas[[#This Row],[Descuento]]</f>
        <v>300</v>
      </c>
      <c r="I222" s="34">
        <f>Ventas[[#This Row],[Total]]-Ventas[[#This Row],[Precio compra]]*Ventas[[#This Row],[Cantidad]]</f>
        <v>135</v>
      </c>
      <c r="J222" s="34">
        <v>0</v>
      </c>
      <c r="K222" s="34">
        <f>Ventas[[#This Row],[Total]]*Ventas[[#This Row],[Total 3]]</f>
        <v>0</v>
      </c>
      <c r="L222" s="34" t="s">
        <v>760</v>
      </c>
      <c r="M222" s="34"/>
    </row>
    <row r="223" spans="1:13" ht="21.75" customHeight="1">
      <c r="A223" s="16"/>
      <c r="B223" s="39" t="s">
        <v>797</v>
      </c>
      <c r="C223" s="57" t="str">
        <f>VLOOKUP(Ventas[[#This Row],[Codigo]],Stock[#Data],2,FALSE)</f>
        <v>Piedra para encendedor</v>
      </c>
      <c r="D223" s="37">
        <f>VLOOKUP(Ventas[[#This Row],[Codigo]],Stock[#Data],4,FALSE)</f>
        <v>450</v>
      </c>
      <c r="E223" s="33">
        <f>VLOOKUP(Ventas[[#This Row],[Codigo]],Stock[#Data],3,FALSE)</f>
        <v>223</v>
      </c>
      <c r="F223" s="38">
        <v>2</v>
      </c>
      <c r="G223">
        <v>201</v>
      </c>
      <c r="H223" s="36">
        <f>Ventas[[#This Row],[Precio Venta]]*Ventas[[#This Row],[Cantidad]]-Ventas[[#This Row],[Descuento]]</f>
        <v>900</v>
      </c>
      <c r="I223" s="34">
        <f>Ventas[[#This Row],[Total]]-Ventas[[#This Row],[Precio compra]]*Ventas[[#This Row],[Cantidad]]</f>
        <v>454</v>
      </c>
      <c r="J223" s="34">
        <v>0</v>
      </c>
      <c r="K223" s="34">
        <f>Ventas[[#This Row],[Total]]*Ventas[[#This Row],[Total 3]]</f>
        <v>0</v>
      </c>
      <c r="L223" s="34" t="s">
        <v>760</v>
      </c>
      <c r="M223" s="34"/>
    </row>
    <row r="224" spans="1:13" ht="21.75" customHeight="1">
      <c r="A224" s="16"/>
      <c r="B224" s="39" t="s">
        <v>797</v>
      </c>
      <c r="C224" s="57" t="str">
        <f>VLOOKUP(Ventas[[#This Row],[Codigo]],Stock[#Data],2,FALSE)</f>
        <v>Araña Roja Green Leaf 100ml</v>
      </c>
      <c r="D224" s="37">
        <f>VLOOKUP(Ventas[[#This Row],[Codigo]],Stock[#Data],4,FALSE)</f>
        <v>1800</v>
      </c>
      <c r="E224" s="33">
        <f>VLOOKUP(Ventas[[#This Row],[Codigo]],Stock[#Data],3,FALSE)</f>
        <v>904</v>
      </c>
      <c r="F224" s="38">
        <v>1</v>
      </c>
      <c r="G224">
        <v>470</v>
      </c>
      <c r="H224" s="36">
        <f>Ventas[[#This Row],[Precio Venta]]*Ventas[[#This Row],[Cantidad]]-Ventas[[#This Row],[Descuento]]</f>
        <v>1800</v>
      </c>
      <c r="I224" s="34">
        <f>Ventas[[#This Row],[Total]]-Ventas[[#This Row],[Precio compra]]*Ventas[[#This Row],[Cantidad]]</f>
        <v>896</v>
      </c>
      <c r="J224" s="34">
        <v>1</v>
      </c>
      <c r="K224" s="34">
        <f>Ventas[[#This Row],[Total]]*Ventas[[#This Row],[Total 3]]</f>
        <v>1800</v>
      </c>
      <c r="L224" s="34" t="s">
        <v>759</v>
      </c>
      <c r="M224" s="34"/>
    </row>
    <row r="225" spans="1:13" ht="21.75" customHeight="1">
      <c r="A225" s="16"/>
      <c r="B225" s="39" t="s">
        <v>797</v>
      </c>
      <c r="C225" s="57" t="str">
        <f>VLOOKUP(Ventas[[#This Row],[Codigo]],Stock[#Data],2,FALSE)</f>
        <v xml:space="preserve"> Blunt Wrap Chocolate</v>
      </c>
      <c r="D225" s="37">
        <f>VLOOKUP(Ventas[[#This Row],[Codigo]],Stock[#Data],4,FALSE)</f>
        <v>500</v>
      </c>
      <c r="E225" s="33">
        <f>VLOOKUP(Ventas[[#This Row],[Codigo]],Stock[#Data],3,FALSE)</f>
        <v>225</v>
      </c>
      <c r="F225" s="38">
        <v>1</v>
      </c>
      <c r="G225">
        <v>100</v>
      </c>
      <c r="H225" s="36">
        <f>Ventas[[#This Row],[Precio Venta]]*Ventas[[#This Row],[Cantidad]]-Ventas[[#This Row],[Descuento]]</f>
        <v>500</v>
      </c>
      <c r="I225" s="34">
        <f>Ventas[[#This Row],[Total]]-Ventas[[#This Row],[Precio compra]]*Ventas[[#This Row],[Cantidad]]</f>
        <v>275</v>
      </c>
      <c r="J225" s="34">
        <v>0</v>
      </c>
      <c r="K225" s="34">
        <f>Ventas[[#This Row],[Total]]*Ventas[[#This Row],[Total 3]]</f>
        <v>0</v>
      </c>
      <c r="L225" s="34" t="s">
        <v>760</v>
      </c>
      <c r="M225" s="34"/>
    </row>
    <row r="226" spans="1:13" ht="21.75" customHeight="1">
      <c r="A226" s="16"/>
      <c r="B226" s="39" t="s">
        <v>797</v>
      </c>
      <c r="C226" s="57" t="str">
        <f>VLOOKUP(Ventas[[#This Row],[Codigo]],Stock[#Data],2,FALSE)</f>
        <v>Tips STAMPS ECO</v>
      </c>
      <c r="D226" s="37">
        <f>VLOOKUP(Ventas[[#This Row],[Codigo]],Stock[#Data],4,FALSE)</f>
        <v>150</v>
      </c>
      <c r="E226" s="33">
        <f>VLOOKUP(Ventas[[#This Row],[Codigo]],Stock[#Data],3,FALSE)</f>
        <v>73</v>
      </c>
      <c r="F226" s="38">
        <v>3</v>
      </c>
      <c r="G226">
        <v>308</v>
      </c>
      <c r="H226" s="36">
        <f>Ventas[[#This Row],[Precio Venta]]*Ventas[[#This Row],[Cantidad]]-Ventas[[#This Row],[Descuento]]</f>
        <v>450</v>
      </c>
      <c r="I226" s="34">
        <f>Ventas[[#This Row],[Total]]-Ventas[[#This Row],[Precio compra]]*Ventas[[#This Row],[Cantidad]]</f>
        <v>231</v>
      </c>
      <c r="J226" s="34">
        <v>0</v>
      </c>
      <c r="K226" s="34">
        <f>Ventas[[#This Row],[Total]]*Ventas[[#This Row],[Total 3]]</f>
        <v>0</v>
      </c>
      <c r="L226" s="34" t="s">
        <v>760</v>
      </c>
      <c r="M226" s="34"/>
    </row>
    <row r="227" spans="1:13" ht="21.75" customHeight="1">
      <c r="A227" s="16"/>
      <c r="B227" s="39" t="s">
        <v>797</v>
      </c>
      <c r="C227" s="57" t="str">
        <f>VLOOKUP(Ventas[[#This Row],[Codigo]],Stock[#Data],2,FALSE)</f>
        <v xml:space="preserve">Sedas Stamps Celulosa </v>
      </c>
      <c r="D227" s="37">
        <f>VLOOKUP(Ventas[[#This Row],[Codigo]],Stock[#Data],4,FALSE)</f>
        <v>500</v>
      </c>
      <c r="E227" s="33">
        <f>VLOOKUP(Ventas[[#This Row],[Codigo]],Stock[#Data],3,FALSE)</f>
        <v>260</v>
      </c>
      <c r="F227" s="38">
        <v>1</v>
      </c>
      <c r="G227">
        <v>622</v>
      </c>
      <c r="H227" s="36">
        <f>Ventas[[#This Row],[Precio Venta]]*Ventas[[#This Row],[Cantidad]]-Ventas[[#This Row],[Descuento]]</f>
        <v>500</v>
      </c>
      <c r="I227" s="34">
        <f>Ventas[[#This Row],[Total]]-Ventas[[#This Row],[Precio compra]]*Ventas[[#This Row],[Cantidad]]</f>
        <v>240</v>
      </c>
      <c r="J227" s="34">
        <v>0</v>
      </c>
      <c r="K227" s="34">
        <f>Ventas[[#This Row],[Total]]*Ventas[[#This Row],[Total 3]]</f>
        <v>0</v>
      </c>
      <c r="L227" s="34" t="s">
        <v>760</v>
      </c>
      <c r="M227" s="34"/>
    </row>
    <row r="228" spans="1:13" ht="21.75" customHeight="1">
      <c r="A228" s="16"/>
      <c r="B228" s="39" t="s">
        <v>797</v>
      </c>
      <c r="C228" s="57" t="str">
        <f>VLOOKUP(Ventas[[#This Row],[Codigo]],Stock[#Data],2,FALSE)</f>
        <v>Macetas Sopladas 7 litros</v>
      </c>
      <c r="D228" s="37">
        <f>VLOOKUP(Ventas[[#This Row],[Codigo]],Stock[#Data],4,FALSE)</f>
        <v>200</v>
      </c>
      <c r="E228" s="33">
        <f>VLOOKUP(Ventas[[#This Row],[Codigo]],Stock[#Data],3,FALSE)</f>
        <v>100</v>
      </c>
      <c r="F228" s="38">
        <v>3</v>
      </c>
      <c r="G228">
        <v>247</v>
      </c>
      <c r="H228" s="36">
        <f>Ventas[[#This Row],[Precio Venta]]*Ventas[[#This Row],[Cantidad]]-Ventas[[#This Row],[Descuento]]</f>
        <v>600</v>
      </c>
      <c r="I228" s="34">
        <f>Ventas[[#This Row],[Total]]-Ventas[[#This Row],[Precio compra]]*Ventas[[#This Row],[Cantidad]]</f>
        <v>300</v>
      </c>
      <c r="J228" s="34">
        <v>0</v>
      </c>
      <c r="K228" s="34">
        <f>Ventas[[#This Row],[Total]]*Ventas[[#This Row],[Total 3]]</f>
        <v>0</v>
      </c>
      <c r="L228" s="34" t="s">
        <v>760</v>
      </c>
      <c r="M228" s="34"/>
    </row>
    <row r="229" spans="1:13" ht="21.75" customHeight="1">
      <c r="A229" s="16"/>
      <c r="B229" s="39" t="s">
        <v>797</v>
      </c>
      <c r="C229" s="57" t="str">
        <f>VLOOKUP(Ventas[[#This Row],[Codigo]],Stock[#Data],2,FALSE)</f>
        <v>Namaste Ph- 100ml</v>
      </c>
      <c r="D229" s="37">
        <f>VLOOKUP(Ventas[[#This Row],[Codigo]],Stock[#Data],4,FALSE)</f>
        <v>800</v>
      </c>
      <c r="E229" s="33">
        <f>VLOOKUP(Ventas[[#This Row],[Codigo]],Stock[#Data],3,FALSE)</f>
        <v>412</v>
      </c>
      <c r="F229" s="38">
        <v>1</v>
      </c>
      <c r="G229">
        <v>605</v>
      </c>
      <c r="H229" s="36">
        <f>Ventas[[#This Row],[Precio Venta]]*Ventas[[#This Row],[Cantidad]]-Ventas[[#This Row],[Descuento]]</f>
        <v>800</v>
      </c>
      <c r="I229" s="34">
        <f>Ventas[[#This Row],[Total]]-Ventas[[#This Row],[Precio compra]]*Ventas[[#This Row],[Cantidad]]</f>
        <v>388</v>
      </c>
      <c r="J229" s="34">
        <v>0</v>
      </c>
      <c r="K229" s="34">
        <f>Ventas[[#This Row],[Total]]*Ventas[[#This Row],[Total 3]]</f>
        <v>0</v>
      </c>
      <c r="L229" s="34" t="s">
        <v>760</v>
      </c>
      <c r="M229" s="34"/>
    </row>
    <row r="230" spans="1:13" ht="21.75" customHeight="1">
      <c r="A230" s="16"/>
      <c r="B230" s="39" t="s">
        <v>797</v>
      </c>
      <c r="C230" s="57" t="str">
        <f>VLOOKUP(Ventas[[#This Row],[Codigo]],Stock[#Data],2,FALSE)</f>
        <v>VAMP Guano de murcielago Flora</v>
      </c>
      <c r="D230" s="37">
        <f>VLOOKUP(Ventas[[#This Row],[Codigo]],Stock[#Data],4,FALSE)</f>
        <v>1000</v>
      </c>
      <c r="E230" s="33">
        <f>VLOOKUP(Ventas[[#This Row],[Codigo]],Stock[#Data],3,FALSE)</f>
        <v>510</v>
      </c>
      <c r="F230" s="38">
        <v>1</v>
      </c>
      <c r="G230">
        <v>38</v>
      </c>
      <c r="H230" s="36">
        <f>Ventas[[#This Row],[Precio Venta]]*Ventas[[#This Row],[Cantidad]]-Ventas[[#This Row],[Descuento]]</f>
        <v>1000</v>
      </c>
      <c r="I230" s="34">
        <f>Ventas[[#This Row],[Total]]-Ventas[[#This Row],[Precio compra]]*Ventas[[#This Row],[Cantidad]]</f>
        <v>490</v>
      </c>
      <c r="J230" s="34">
        <v>0</v>
      </c>
      <c r="K230" s="34">
        <f>Ventas[[#This Row],[Total]]*Ventas[[#This Row],[Total 3]]</f>
        <v>0</v>
      </c>
      <c r="L230" s="34" t="s">
        <v>760</v>
      </c>
      <c r="M230" s="34"/>
    </row>
    <row r="231" spans="1:13" ht="21.75" customHeight="1">
      <c r="A231" s="16"/>
      <c r="B231" s="39" t="s">
        <v>796</v>
      </c>
      <c r="C231" s="57" t="str">
        <f>VLOOKUP(Ventas[[#This Row],[Codigo]],Stock[#Data],2,FALSE)</f>
        <v>Sedas OCB 1/4 Organic  Bamboo</v>
      </c>
      <c r="D231" s="37">
        <f>VLOOKUP(Ventas[[#This Row],[Codigo]],Stock[#Data],4,FALSE)</f>
        <v>300</v>
      </c>
      <c r="E231" s="33">
        <f>VLOOKUP(Ventas[[#This Row],[Codigo]],Stock[#Data],3,FALSE)</f>
        <v>165</v>
      </c>
      <c r="F231" s="38">
        <v>1</v>
      </c>
      <c r="G231">
        <v>77</v>
      </c>
      <c r="H231" s="36">
        <f>Ventas[[#This Row],[Precio Venta]]*Ventas[[#This Row],[Cantidad]]-Ventas[[#This Row],[Descuento]]</f>
        <v>300</v>
      </c>
      <c r="I231" s="34">
        <f>Ventas[[#This Row],[Total]]-Ventas[[#This Row],[Precio compra]]*Ventas[[#This Row],[Cantidad]]</f>
        <v>135</v>
      </c>
      <c r="J231" s="34">
        <v>0</v>
      </c>
      <c r="K231" s="34">
        <f>Ventas[[#This Row],[Total]]*Ventas[[#This Row],[Total 3]]</f>
        <v>0</v>
      </c>
      <c r="L231" s="34" t="s">
        <v>760</v>
      </c>
      <c r="M231" s="34"/>
    </row>
    <row r="232" spans="1:13" ht="21.75" customHeight="1">
      <c r="A232" s="16"/>
      <c r="B232" s="39" t="s">
        <v>796</v>
      </c>
      <c r="C232" s="57" t="str">
        <f>VLOOKUP(Ventas[[#This Row],[Codigo]],Stock[#Data],2,FALSE)</f>
        <v xml:space="preserve">Clipper Raw </v>
      </c>
      <c r="D232" s="37">
        <f>VLOOKUP(Ventas[[#This Row],[Codigo]],Stock[#Data],4,FALSE)</f>
        <v>550</v>
      </c>
      <c r="E232" s="33">
        <f>VLOOKUP(Ventas[[#This Row],[Codigo]],Stock[#Data],3,FALSE)</f>
        <v>276</v>
      </c>
      <c r="F232" s="38">
        <v>1</v>
      </c>
      <c r="G232">
        <v>502</v>
      </c>
      <c r="H232" s="36">
        <f>Ventas[[#This Row],[Precio Venta]]*Ventas[[#This Row],[Cantidad]]-Ventas[[#This Row],[Descuento]]</f>
        <v>550</v>
      </c>
      <c r="I232" s="34">
        <f>Ventas[[#This Row],[Total]]-Ventas[[#This Row],[Precio compra]]*Ventas[[#This Row],[Cantidad]]</f>
        <v>274</v>
      </c>
      <c r="J232" s="34">
        <v>0</v>
      </c>
      <c r="K232" s="34">
        <f>Ventas[[#This Row],[Total]]*Ventas[[#This Row],[Total 3]]</f>
        <v>0</v>
      </c>
      <c r="L232" s="34" t="s">
        <v>760</v>
      </c>
      <c r="M232" s="34"/>
    </row>
    <row r="233" spans="1:13" ht="21.75" customHeight="1">
      <c r="A233" s="16"/>
      <c r="B233" s="39" t="s">
        <v>796</v>
      </c>
      <c r="C233" s="57" t="str">
        <f>VLOOKUP(Ventas[[#This Row],[Codigo]],Stock[#Data],2,FALSE)</f>
        <v>Sedas Blunt Rey 1/4 celulosa Orange</v>
      </c>
      <c r="D233" s="37">
        <f>VLOOKUP(Ventas[[#This Row],[Codigo]],Stock[#Data],4,FALSE)</f>
        <v>300</v>
      </c>
      <c r="E233" s="33">
        <f>VLOOKUP(Ventas[[#This Row],[Codigo]],Stock[#Data],3,FALSE)</f>
        <v>143</v>
      </c>
      <c r="F233" s="38">
        <v>1</v>
      </c>
      <c r="G233">
        <v>71</v>
      </c>
      <c r="H233" s="36">
        <f>Ventas[[#This Row],[Precio Venta]]*Ventas[[#This Row],[Cantidad]]-Ventas[[#This Row],[Descuento]]</f>
        <v>300</v>
      </c>
      <c r="I233" s="34">
        <f>Ventas[[#This Row],[Total]]-Ventas[[#This Row],[Precio compra]]*Ventas[[#This Row],[Cantidad]]</f>
        <v>157</v>
      </c>
      <c r="J233" s="34">
        <v>0</v>
      </c>
      <c r="K233" s="34">
        <f>Ventas[[#This Row],[Total]]*Ventas[[#This Row],[Total 3]]</f>
        <v>0</v>
      </c>
      <c r="L233" s="34" t="s">
        <v>760</v>
      </c>
      <c r="M233" s="34"/>
    </row>
    <row r="234" spans="1:13" ht="21.75" customHeight="1">
      <c r="A234" s="16"/>
      <c r="B234" s="39" t="s">
        <v>796</v>
      </c>
      <c r="C234" s="57" t="str">
        <f>VLOOKUP(Ventas[[#This Row],[Codigo]],Stock[#Data],2,FALSE)</f>
        <v>Sustrato Perlita</v>
      </c>
      <c r="D234" s="37">
        <f>VLOOKUP(Ventas[[#This Row],[Codigo]],Stock[#Data],4,FALSE)</f>
        <v>800</v>
      </c>
      <c r="E234" s="33">
        <f>VLOOKUP(Ventas[[#This Row],[Codigo]],Stock[#Data],3,FALSE)</f>
        <v>400</v>
      </c>
      <c r="F234" s="38">
        <v>10</v>
      </c>
      <c r="G234">
        <v>52</v>
      </c>
      <c r="H234" s="36">
        <f>Ventas[[#This Row],[Precio Venta]]*Ventas[[#This Row],[Cantidad]]-Ventas[[#This Row],[Descuento]]</f>
        <v>8000</v>
      </c>
      <c r="I234" s="34">
        <f>Ventas[[#This Row],[Total]]-Ventas[[#This Row],[Precio compra]]*Ventas[[#This Row],[Cantidad]]</f>
        <v>4000</v>
      </c>
      <c r="J234" s="34">
        <v>0</v>
      </c>
      <c r="K234" s="34">
        <f>Ventas[[#This Row],[Total]]*Ventas[[#This Row],[Total 3]]</f>
        <v>0</v>
      </c>
      <c r="L234" s="34" t="s">
        <v>760</v>
      </c>
      <c r="M234" s="34"/>
    </row>
    <row r="235" spans="1:13" ht="21.75" customHeight="1">
      <c r="A235" s="16"/>
      <c r="B235" s="39" t="s">
        <v>796</v>
      </c>
      <c r="C235" s="57" t="str">
        <f>VLOOKUP(Ventas[[#This Row],[Codigo]],Stock[#Data],2,FALSE)</f>
        <v>Sedas Lion Rolling Circus 1/4 alfalfa</v>
      </c>
      <c r="D235" s="37">
        <f>VLOOKUP(Ventas[[#This Row],[Codigo]],Stock[#Data],4,FALSE)</f>
        <v>300</v>
      </c>
      <c r="E235" s="33">
        <f>VLOOKUP(Ventas[[#This Row],[Codigo]],Stock[#Data],3,FALSE)</f>
        <v>150</v>
      </c>
      <c r="F235" s="38">
        <v>1</v>
      </c>
      <c r="G235">
        <v>63</v>
      </c>
      <c r="H235" s="36">
        <f>Ventas[[#This Row],[Precio Venta]]*Ventas[[#This Row],[Cantidad]]-Ventas[[#This Row],[Descuento]]</f>
        <v>300</v>
      </c>
      <c r="I235" s="34">
        <f>Ventas[[#This Row],[Total]]-Ventas[[#This Row],[Precio compra]]*Ventas[[#This Row],[Cantidad]]</f>
        <v>150</v>
      </c>
      <c r="J235" s="34">
        <v>0</v>
      </c>
      <c r="K235" s="34">
        <f>Ventas[[#This Row],[Total]]*Ventas[[#This Row],[Total 3]]</f>
        <v>0</v>
      </c>
      <c r="L235" s="34" t="s">
        <v>760</v>
      </c>
      <c r="M235" s="34"/>
    </row>
    <row r="236" spans="1:13" ht="21.75" customHeight="1">
      <c r="A236" s="16"/>
      <c r="B236" s="39" t="s">
        <v>796</v>
      </c>
      <c r="C236" s="57" t="str">
        <f>VLOOKUP(Ventas[[#This Row],[Codigo]],Stock[#Data],2,FALSE)</f>
        <v>Picador Zeus 3p Plastico</v>
      </c>
      <c r="D236" s="37">
        <f>VLOOKUP(Ventas[[#This Row],[Codigo]],Stock[#Data],4,FALSE)</f>
        <v>1000</v>
      </c>
      <c r="E236" s="33">
        <f>VLOOKUP(Ventas[[#This Row],[Codigo]],Stock[#Data],3,FALSE)</f>
        <v>460</v>
      </c>
      <c r="F236" s="38">
        <v>1</v>
      </c>
      <c r="G236">
        <v>564</v>
      </c>
      <c r="H236" s="36">
        <f>Ventas[[#This Row],[Precio Venta]]*Ventas[[#This Row],[Cantidad]]-Ventas[[#This Row],[Descuento]]</f>
        <v>1000</v>
      </c>
      <c r="I236" s="34">
        <f>Ventas[[#This Row],[Total]]-Ventas[[#This Row],[Precio compra]]*Ventas[[#This Row],[Cantidad]]</f>
        <v>540</v>
      </c>
      <c r="J236" s="34">
        <v>0</v>
      </c>
      <c r="K236" s="34">
        <f>Ventas[[#This Row],[Total]]*Ventas[[#This Row],[Total 3]]</f>
        <v>0</v>
      </c>
      <c r="L236" s="34" t="s">
        <v>760</v>
      </c>
      <c r="M236" s="34"/>
    </row>
    <row r="237" spans="1:13" ht="21.75" customHeight="1">
      <c r="A237" s="16"/>
      <c r="B237" s="39" t="s">
        <v>796</v>
      </c>
      <c r="C237" s="57" t="str">
        <f>VLOOKUP(Ventas[[#This Row],[Codigo]],Stock[#Data],2,FALSE)</f>
        <v>Red de Scrog 100x100</v>
      </c>
      <c r="D237" s="37">
        <f>VLOOKUP(Ventas[[#This Row],[Codigo]],Stock[#Data],4,FALSE)</f>
        <v>1200</v>
      </c>
      <c r="E237" s="33">
        <f>VLOOKUP(Ventas[[#This Row],[Codigo]],Stock[#Data],3,FALSE)</f>
        <v>576</v>
      </c>
      <c r="F237" s="38">
        <v>2</v>
      </c>
      <c r="G237">
        <v>195</v>
      </c>
      <c r="H237" s="36">
        <f>Ventas[[#This Row],[Precio Venta]]*Ventas[[#This Row],[Cantidad]]-Ventas[[#This Row],[Descuento]]</f>
        <v>2400</v>
      </c>
      <c r="I237" s="34">
        <f>Ventas[[#This Row],[Total]]-Ventas[[#This Row],[Precio compra]]*Ventas[[#This Row],[Cantidad]]</f>
        <v>1248</v>
      </c>
      <c r="J237" s="34">
        <v>0</v>
      </c>
      <c r="K237" s="34">
        <f>Ventas[[#This Row],[Total]]*Ventas[[#This Row],[Total 3]]</f>
        <v>0</v>
      </c>
      <c r="L237" s="34" t="s">
        <v>760</v>
      </c>
      <c r="M237" s="34"/>
    </row>
    <row r="238" spans="1:13" ht="21.75" customHeight="1">
      <c r="A238" s="16"/>
      <c r="B238" s="39" t="s">
        <v>796</v>
      </c>
      <c r="C238" s="57" t="str">
        <f>VLOOKUP(Ventas[[#This Row],[Codigo]],Stock[#Data],2,FALSE)</f>
        <v>Pipa India</v>
      </c>
      <c r="D238" s="37">
        <f>VLOOKUP(Ventas[[#This Row],[Codigo]],Stock[#Data],4,FALSE)</f>
        <v>2000</v>
      </c>
      <c r="E238" s="33">
        <f>VLOOKUP(Ventas[[#This Row],[Codigo]],Stock[#Data],3,FALSE)</f>
        <v>910</v>
      </c>
      <c r="F238" s="38">
        <v>1</v>
      </c>
      <c r="G238">
        <v>158</v>
      </c>
      <c r="H238" s="36">
        <f>Ventas[[#This Row],[Precio Venta]]*Ventas[[#This Row],[Cantidad]]-Ventas[[#This Row],[Descuento]]</f>
        <v>2000</v>
      </c>
      <c r="I238" s="34">
        <f>Ventas[[#This Row],[Total]]-Ventas[[#This Row],[Precio compra]]*Ventas[[#This Row],[Cantidad]]</f>
        <v>1090</v>
      </c>
      <c r="J238" s="34">
        <v>0</v>
      </c>
      <c r="K238" s="34">
        <f>Ventas[[#This Row],[Total]]*Ventas[[#This Row],[Total 3]]</f>
        <v>0</v>
      </c>
      <c r="L238" s="34" t="s">
        <v>760</v>
      </c>
      <c r="M238" s="34"/>
    </row>
    <row r="239" spans="1:13" ht="21.75" customHeight="1">
      <c r="A239" s="16"/>
      <c r="B239" s="39" t="s">
        <v>796</v>
      </c>
      <c r="C239" s="57" t="str">
        <f>VLOOKUP(Ventas[[#This Row],[Codigo]],Stock[#Data],2,FALSE)</f>
        <v xml:space="preserve">ocb ultimate </v>
      </c>
      <c r="D239" s="37">
        <f>VLOOKUP(Ventas[[#This Row],[Codigo]],Stock[#Data],4,FALSE)</f>
        <v>300</v>
      </c>
      <c r="E239" s="33">
        <f>VLOOKUP(Ventas[[#This Row],[Codigo]],Stock[#Data],3,FALSE)</f>
        <v>165</v>
      </c>
      <c r="F239" s="38">
        <v>3</v>
      </c>
      <c r="G239">
        <v>354</v>
      </c>
      <c r="H239" s="36">
        <f>Ventas[[#This Row],[Precio Venta]]*Ventas[[#This Row],[Cantidad]]-Ventas[[#This Row],[Descuento]]</f>
        <v>900</v>
      </c>
      <c r="I239" s="34">
        <f>Ventas[[#This Row],[Total]]-Ventas[[#This Row],[Precio compra]]*Ventas[[#This Row],[Cantidad]]</f>
        <v>405</v>
      </c>
      <c r="J239" s="34">
        <v>0</v>
      </c>
      <c r="K239" s="34">
        <f>Ventas[[#This Row],[Total]]*Ventas[[#This Row],[Total 3]]</f>
        <v>0</v>
      </c>
      <c r="L239" s="34" t="s">
        <v>760</v>
      </c>
      <c r="M239" s="34"/>
    </row>
    <row r="240" spans="1:13" ht="21.75" customHeight="1">
      <c r="A240" s="16"/>
      <c r="B240" s="39" t="s">
        <v>796</v>
      </c>
      <c r="C240" s="57" t="str">
        <f>VLOOKUP(Ventas[[#This Row],[Codigo]],Stock[#Data],2,FALSE)</f>
        <v xml:space="preserve">Filtros Gizhe + Sedas </v>
      </c>
      <c r="D240" s="37">
        <f>VLOOKUP(Ventas[[#This Row],[Codigo]],Stock[#Data],4,FALSE)</f>
        <v>350</v>
      </c>
      <c r="E240" s="33">
        <f>VLOOKUP(Ventas[[#This Row],[Codigo]],Stock[#Data],3,FALSE)</f>
        <v>150</v>
      </c>
      <c r="F240" s="38">
        <v>1</v>
      </c>
      <c r="G240">
        <v>476</v>
      </c>
      <c r="H240" s="36">
        <f>Ventas[[#This Row],[Precio Venta]]*Ventas[[#This Row],[Cantidad]]-Ventas[[#This Row],[Descuento]]</f>
        <v>350</v>
      </c>
      <c r="I240" s="34">
        <f>Ventas[[#This Row],[Total]]-Ventas[[#This Row],[Precio compra]]*Ventas[[#This Row],[Cantidad]]</f>
        <v>200</v>
      </c>
      <c r="J240" s="34">
        <v>1</v>
      </c>
      <c r="K240" s="34">
        <f>Ventas[[#This Row],[Total]]*Ventas[[#This Row],[Total 3]]</f>
        <v>350</v>
      </c>
      <c r="L240" s="34" t="s">
        <v>759</v>
      </c>
      <c r="M240" s="34"/>
    </row>
    <row r="241" spans="1:13" ht="21.75" customHeight="1">
      <c r="A241" s="16"/>
      <c r="B241" s="39" t="s">
        <v>796</v>
      </c>
      <c r="C241" s="57" t="str">
        <f>VLOOKUP(Ventas[[#This Row],[Codigo]],Stock[#Data],2,FALSE)</f>
        <v>Tabaco Van Kiff Vainilla</v>
      </c>
      <c r="D241" s="37">
        <f>VLOOKUP(Ventas[[#This Row],[Codigo]],Stock[#Data],4,FALSE)</f>
        <v>850</v>
      </c>
      <c r="E241" s="33">
        <f>VLOOKUP(Ventas[[#This Row],[Codigo]],Stock[#Data],3,FALSE)</f>
        <v>580</v>
      </c>
      <c r="F241" s="38">
        <v>2</v>
      </c>
      <c r="G241">
        <v>120</v>
      </c>
      <c r="H241" s="36">
        <f>Ventas[[#This Row],[Precio Venta]]*Ventas[[#This Row],[Cantidad]]-Ventas[[#This Row],[Descuento]]</f>
        <v>1700</v>
      </c>
      <c r="I241" s="34">
        <f>Ventas[[#This Row],[Total]]-Ventas[[#This Row],[Precio compra]]*Ventas[[#This Row],[Cantidad]]</f>
        <v>540</v>
      </c>
      <c r="J241" s="34">
        <v>1</v>
      </c>
      <c r="K241" s="34">
        <f>Ventas[[#This Row],[Total]]*Ventas[[#This Row],[Total 3]]</f>
        <v>1700</v>
      </c>
      <c r="L241" s="34" t="s">
        <v>759</v>
      </c>
      <c r="M241" s="34"/>
    </row>
    <row r="242" spans="1:13" ht="21.75" customHeight="1">
      <c r="A242" s="16"/>
      <c r="B242" s="39" t="s">
        <v>796</v>
      </c>
      <c r="C242" s="57" t="str">
        <f>VLOOKUP(Ventas[[#This Row],[Codigo]],Stock[#Data],2,FALSE)</f>
        <v>Red de Scrog 120x120</v>
      </c>
      <c r="D242" s="37">
        <f>VLOOKUP(Ventas[[#This Row],[Codigo]],Stock[#Data],4,FALSE)</f>
        <v>1300</v>
      </c>
      <c r="E242" s="33">
        <f>VLOOKUP(Ventas[[#This Row],[Codigo]],Stock[#Data],3,FALSE)</f>
        <v>630</v>
      </c>
      <c r="F242" s="38">
        <v>1</v>
      </c>
      <c r="G242">
        <v>196</v>
      </c>
      <c r="H242" s="36">
        <f>Ventas[[#This Row],[Precio Venta]]*Ventas[[#This Row],[Cantidad]]-Ventas[[#This Row],[Descuento]]</f>
        <v>1300</v>
      </c>
      <c r="I242" s="34">
        <f>Ventas[[#This Row],[Total]]-Ventas[[#This Row],[Precio compra]]*Ventas[[#This Row],[Cantidad]]</f>
        <v>670</v>
      </c>
      <c r="J242" s="34">
        <v>0</v>
      </c>
      <c r="K242" s="34">
        <f>Ventas[[#This Row],[Total]]*Ventas[[#This Row],[Total 3]]</f>
        <v>0</v>
      </c>
      <c r="L242" s="34" t="s">
        <v>760</v>
      </c>
      <c r="M242" s="34"/>
    </row>
    <row r="243" spans="1:13" ht="21.75" customHeight="1">
      <c r="A243" s="16"/>
      <c r="B243" s="39" t="s">
        <v>796</v>
      </c>
      <c r="C243" s="57" t="str">
        <f>VLOOKUP(Ventas[[#This Row],[Codigo]],Stock[#Data],2,FALSE)</f>
        <v xml:space="preserve">Encendedor Clipper </v>
      </c>
      <c r="D243" s="37">
        <f>VLOOKUP(Ventas[[#This Row],[Codigo]],Stock[#Data],4,FALSE)</f>
        <v>600</v>
      </c>
      <c r="E243" s="33">
        <f>VLOOKUP(Ventas[[#This Row],[Codigo]],Stock[#Data],3,FALSE)</f>
        <v>378</v>
      </c>
      <c r="F243" s="38">
        <v>1</v>
      </c>
      <c r="G243">
        <v>58</v>
      </c>
      <c r="H243" s="36">
        <f>Ventas[[#This Row],[Precio Venta]]*Ventas[[#This Row],[Cantidad]]-Ventas[[#This Row],[Descuento]]</f>
        <v>600</v>
      </c>
      <c r="I243" s="34">
        <f>Ventas[[#This Row],[Total]]-Ventas[[#This Row],[Precio compra]]*Ventas[[#This Row],[Cantidad]]</f>
        <v>222</v>
      </c>
      <c r="J243" s="34">
        <v>0</v>
      </c>
      <c r="K243" s="34">
        <f>Ventas[[#This Row],[Total]]*Ventas[[#This Row],[Total 3]]</f>
        <v>0</v>
      </c>
      <c r="L243" s="34" t="s">
        <v>760</v>
      </c>
      <c r="M243" s="34"/>
    </row>
    <row r="244" spans="1:13" ht="21.75" customHeight="1">
      <c r="A244" s="16"/>
      <c r="B244" s="39" t="s">
        <v>796</v>
      </c>
      <c r="C244" s="57" t="str">
        <f>VLOOKUP(Ventas[[#This Row],[Codigo]],Stock[#Data],2,FALSE)</f>
        <v xml:space="preserve">Clipper Raw </v>
      </c>
      <c r="D244" s="37">
        <f>VLOOKUP(Ventas[[#This Row],[Codigo]],Stock[#Data],4,FALSE)</f>
        <v>550</v>
      </c>
      <c r="E244" s="33">
        <f>VLOOKUP(Ventas[[#This Row],[Codigo]],Stock[#Data],3,FALSE)</f>
        <v>276</v>
      </c>
      <c r="F244" s="38">
        <v>1</v>
      </c>
      <c r="G244">
        <v>502</v>
      </c>
      <c r="H244" s="36">
        <f>Ventas[[#This Row],[Precio Venta]]*Ventas[[#This Row],[Cantidad]]-Ventas[[#This Row],[Descuento]]</f>
        <v>550</v>
      </c>
      <c r="I244" s="34">
        <f>Ventas[[#This Row],[Total]]-Ventas[[#This Row],[Precio compra]]*Ventas[[#This Row],[Cantidad]]</f>
        <v>274</v>
      </c>
      <c r="J244" s="34">
        <v>0</v>
      </c>
      <c r="K244" s="34">
        <f>Ventas[[#This Row],[Total]]*Ventas[[#This Row],[Total 3]]</f>
        <v>0</v>
      </c>
      <c r="L244" s="34" t="s">
        <v>760</v>
      </c>
      <c r="M244" s="34"/>
    </row>
    <row r="245" spans="1:13" ht="21.75" customHeight="1">
      <c r="A245" s="16"/>
      <c r="B245" s="39" t="s">
        <v>796</v>
      </c>
      <c r="C245" s="57" t="str">
        <f>VLOOKUP(Ventas[[#This Row],[Codigo]],Stock[#Data],2,FALSE)</f>
        <v>Araña Roja Green Leaf 100ml</v>
      </c>
      <c r="D245" s="37">
        <f>VLOOKUP(Ventas[[#This Row],[Codigo]],Stock[#Data],4,FALSE)</f>
        <v>1800</v>
      </c>
      <c r="E245" s="33">
        <f>VLOOKUP(Ventas[[#This Row],[Codigo]],Stock[#Data],3,FALSE)</f>
        <v>904</v>
      </c>
      <c r="F245" s="38">
        <v>1</v>
      </c>
      <c r="G245">
        <v>470</v>
      </c>
      <c r="H245" s="36">
        <f>Ventas[[#This Row],[Precio Venta]]*Ventas[[#This Row],[Cantidad]]-Ventas[[#This Row],[Descuento]]</f>
        <v>1800</v>
      </c>
      <c r="I245" s="34">
        <f>Ventas[[#This Row],[Total]]-Ventas[[#This Row],[Precio compra]]*Ventas[[#This Row],[Cantidad]]</f>
        <v>896</v>
      </c>
      <c r="J245" s="34">
        <v>0</v>
      </c>
      <c r="K245" s="34">
        <f>Ventas[[#This Row],[Total]]*Ventas[[#This Row],[Total 3]]</f>
        <v>0</v>
      </c>
      <c r="L245" s="34" t="s">
        <v>760</v>
      </c>
      <c r="M245" s="34"/>
    </row>
    <row r="246" spans="1:13" ht="21.75" customHeight="1">
      <c r="A246" s="16"/>
      <c r="B246" s="39" t="s">
        <v>796</v>
      </c>
      <c r="C246" s="57" t="str">
        <f>VLOOKUP(Ventas[[#This Row],[Codigo]],Stock[#Data],2,FALSE)</f>
        <v>Clonaste Namaste 30gr</v>
      </c>
      <c r="D246" s="37">
        <f>VLOOKUP(Ventas[[#This Row],[Codigo]],Stock[#Data],4,FALSE)</f>
        <v>2000</v>
      </c>
      <c r="E246" s="33">
        <f>VLOOKUP(Ventas[[#This Row],[Codigo]],Stock[#Data],3,FALSE)</f>
        <v>1054</v>
      </c>
      <c r="F246" s="38">
        <v>2</v>
      </c>
      <c r="G246">
        <v>486</v>
      </c>
      <c r="H246" s="36">
        <f>Ventas[[#This Row],[Precio Venta]]*Ventas[[#This Row],[Cantidad]]-Ventas[[#This Row],[Descuento]]</f>
        <v>4000</v>
      </c>
      <c r="I246" s="34">
        <f>Ventas[[#This Row],[Total]]-Ventas[[#This Row],[Precio compra]]*Ventas[[#This Row],[Cantidad]]</f>
        <v>1892</v>
      </c>
      <c r="J246" s="34">
        <v>0</v>
      </c>
      <c r="K246" s="34">
        <f>Ventas[[#This Row],[Total]]*Ventas[[#This Row],[Total 3]]</f>
        <v>0</v>
      </c>
      <c r="L246" s="34" t="s">
        <v>760</v>
      </c>
      <c r="M246" s="34"/>
    </row>
    <row r="247" spans="1:13" ht="21.75" customHeight="1">
      <c r="A247" s="16"/>
      <c r="B247" s="39" t="s">
        <v>795</v>
      </c>
      <c r="C247" s="57" t="str">
        <f>VLOOKUP(Ventas[[#This Row],[Codigo]],Stock[#Data],2,FALSE)</f>
        <v>Filtros GIZEH biodegradable</v>
      </c>
      <c r="D247" s="37">
        <f>VLOOKUP(Ventas[[#This Row],[Codigo]],Stock[#Data],4,FALSE)</f>
        <v>450</v>
      </c>
      <c r="E247" s="33">
        <f>VLOOKUP(Ventas[[#This Row],[Codigo]],Stock[#Data],3,FALSE)</f>
        <v>280</v>
      </c>
      <c r="F247" s="38">
        <v>1</v>
      </c>
      <c r="G247">
        <v>107</v>
      </c>
      <c r="H247" s="36">
        <f>Ventas[[#This Row],[Precio Venta]]*Ventas[[#This Row],[Cantidad]]-Ventas[[#This Row],[Descuento]]</f>
        <v>450</v>
      </c>
      <c r="I247" s="34">
        <f>Ventas[[#This Row],[Total]]-Ventas[[#This Row],[Precio compra]]*Ventas[[#This Row],[Cantidad]]</f>
        <v>170</v>
      </c>
      <c r="J247" s="34">
        <v>0</v>
      </c>
      <c r="K247" s="34">
        <f>Ventas[[#This Row],[Total]]*Ventas[[#This Row],[Total 3]]</f>
        <v>0</v>
      </c>
      <c r="L247" s="34" t="s">
        <v>760</v>
      </c>
      <c r="M247" s="34"/>
    </row>
    <row r="248" spans="1:13" ht="21.75" customHeight="1">
      <c r="A248" s="16"/>
      <c r="B248" s="39" t="s">
        <v>795</v>
      </c>
      <c r="C248" s="57" t="str">
        <f>VLOOKUP(Ventas[[#This Row],[Codigo]],Stock[#Data],2,FALSE)</f>
        <v xml:space="preserve">ocb ultimate </v>
      </c>
      <c r="D248" s="37">
        <f>VLOOKUP(Ventas[[#This Row],[Codigo]],Stock[#Data],4,FALSE)</f>
        <v>300</v>
      </c>
      <c r="E248" s="33">
        <f>VLOOKUP(Ventas[[#This Row],[Codigo]],Stock[#Data],3,FALSE)</f>
        <v>165</v>
      </c>
      <c r="F248" s="38">
        <v>1</v>
      </c>
      <c r="G248">
        <v>354</v>
      </c>
      <c r="H248" s="36">
        <f>Ventas[[#This Row],[Precio Venta]]*Ventas[[#This Row],[Cantidad]]-Ventas[[#This Row],[Descuento]]</f>
        <v>300</v>
      </c>
      <c r="I248" s="34">
        <f>Ventas[[#This Row],[Total]]-Ventas[[#This Row],[Precio compra]]*Ventas[[#This Row],[Cantidad]]</f>
        <v>135</v>
      </c>
      <c r="J248" s="34">
        <v>0</v>
      </c>
      <c r="K248" s="34">
        <f>Ventas[[#This Row],[Total]]*Ventas[[#This Row],[Total 3]]</f>
        <v>0</v>
      </c>
      <c r="L248" s="34" t="s">
        <v>760</v>
      </c>
      <c r="M248" s="34"/>
    </row>
    <row r="249" spans="1:13" ht="21.75" customHeight="1">
      <c r="A249" s="16"/>
      <c r="B249" s="39" t="s">
        <v>795</v>
      </c>
      <c r="C249" s="57" t="str">
        <f>VLOOKUP(Ventas[[#This Row],[Codigo]],Stock[#Data],2,FALSE)</f>
        <v>Tabaco Cerrito</v>
      </c>
      <c r="D249" s="37">
        <f>VLOOKUP(Ventas[[#This Row],[Codigo]],Stock[#Data],4,FALSE)</f>
        <v>800</v>
      </c>
      <c r="E249" s="33">
        <f>VLOOKUP(Ventas[[#This Row],[Codigo]],Stock[#Data],3,FALSE)</f>
        <v>552</v>
      </c>
      <c r="F249" s="38">
        <v>1</v>
      </c>
      <c r="G249">
        <v>112</v>
      </c>
      <c r="H249" s="36">
        <f>Ventas[[#This Row],[Precio Venta]]*Ventas[[#This Row],[Cantidad]]-Ventas[[#This Row],[Descuento]]</f>
        <v>800</v>
      </c>
      <c r="I249" s="34">
        <f>Ventas[[#This Row],[Total]]-Ventas[[#This Row],[Precio compra]]*Ventas[[#This Row],[Cantidad]]</f>
        <v>248</v>
      </c>
      <c r="J249" s="34">
        <v>0</v>
      </c>
      <c r="K249" s="34">
        <f>Ventas[[#This Row],[Total]]*Ventas[[#This Row],[Total 3]]</f>
        <v>0</v>
      </c>
      <c r="L249" s="34" t="s">
        <v>760</v>
      </c>
      <c r="M249" s="34"/>
    </row>
    <row r="250" spans="1:13" ht="21.75" customHeight="1">
      <c r="A250" s="16"/>
      <c r="B250" s="39" t="s">
        <v>795</v>
      </c>
      <c r="C250" s="57" t="str">
        <f>VLOOKUP(Ventas[[#This Row],[Codigo]],Stock[#Data],2,FALSE)</f>
        <v>Macetas Sopladas 3L</v>
      </c>
      <c r="D250" s="37">
        <f>VLOOKUP(Ventas[[#This Row],[Codigo]],Stock[#Data],4,FALSE)</f>
        <v>120</v>
      </c>
      <c r="E250" s="33">
        <f>VLOOKUP(Ventas[[#This Row],[Codigo]],Stock[#Data],3,FALSE)</f>
        <v>58</v>
      </c>
      <c r="F250" s="38">
        <v>4</v>
      </c>
      <c r="G250">
        <v>456</v>
      </c>
      <c r="H250" s="36">
        <f>Ventas[[#This Row],[Precio Venta]]*Ventas[[#This Row],[Cantidad]]-Ventas[[#This Row],[Descuento]]</f>
        <v>480</v>
      </c>
      <c r="I250" s="34">
        <f>Ventas[[#This Row],[Total]]-Ventas[[#This Row],[Precio compra]]*Ventas[[#This Row],[Cantidad]]</f>
        <v>248</v>
      </c>
      <c r="J250" s="34">
        <v>1</v>
      </c>
      <c r="K250" s="34">
        <f>Ventas[[#This Row],[Total]]*Ventas[[#This Row],[Total 3]]</f>
        <v>480</v>
      </c>
      <c r="L250" s="34" t="s">
        <v>759</v>
      </c>
      <c r="M250" s="34"/>
    </row>
    <row r="251" spans="1:13" ht="21.75" customHeight="1">
      <c r="A251" s="16"/>
      <c r="B251" s="39" t="s">
        <v>795</v>
      </c>
      <c r="C251" s="57" t="str">
        <f>VLOOKUP(Ventas[[#This Row],[Codigo]],Stock[#Data],2,FALSE)</f>
        <v>Sustrato Perlita</v>
      </c>
      <c r="D251" s="37">
        <f>VLOOKUP(Ventas[[#This Row],[Codigo]],Stock[#Data],4,FALSE)</f>
        <v>800</v>
      </c>
      <c r="E251" s="33">
        <f>VLOOKUP(Ventas[[#This Row],[Codigo]],Stock[#Data],3,FALSE)</f>
        <v>400</v>
      </c>
      <c r="F251" s="38">
        <v>1</v>
      </c>
      <c r="G251">
        <v>52</v>
      </c>
      <c r="H251" s="36">
        <f>Ventas[[#This Row],[Precio Venta]]*Ventas[[#This Row],[Cantidad]]-Ventas[[#This Row],[Descuento]]</f>
        <v>800</v>
      </c>
      <c r="I251" s="34">
        <f>Ventas[[#This Row],[Total]]-Ventas[[#This Row],[Precio compra]]*Ventas[[#This Row],[Cantidad]]</f>
        <v>400</v>
      </c>
      <c r="J251" s="34">
        <v>1</v>
      </c>
      <c r="K251" s="34">
        <f>Ventas[[#This Row],[Total]]*Ventas[[#This Row],[Total 3]]</f>
        <v>800</v>
      </c>
      <c r="L251" s="34" t="s">
        <v>759</v>
      </c>
      <c r="M251" s="34"/>
    </row>
    <row r="252" spans="1:13" ht="21.75" customHeight="1">
      <c r="A252" s="16"/>
      <c r="B252" s="39" t="s">
        <v>795</v>
      </c>
      <c r="C252" s="57" t="str">
        <f>VLOOKUP(Ventas[[#This Row],[Codigo]],Stock[#Data],2,FALSE)</f>
        <v>Tips STAMPS ECO</v>
      </c>
      <c r="D252" s="37">
        <f>VLOOKUP(Ventas[[#This Row],[Codigo]],Stock[#Data],4,FALSE)</f>
        <v>150</v>
      </c>
      <c r="E252" s="33">
        <f>VLOOKUP(Ventas[[#This Row],[Codigo]],Stock[#Data],3,FALSE)</f>
        <v>73</v>
      </c>
      <c r="F252" s="38">
        <v>1</v>
      </c>
      <c r="G252">
        <v>308</v>
      </c>
      <c r="H252" s="36">
        <f>Ventas[[#This Row],[Precio Venta]]*Ventas[[#This Row],[Cantidad]]-Ventas[[#This Row],[Descuento]]</f>
        <v>150</v>
      </c>
      <c r="I252" s="34">
        <f>Ventas[[#This Row],[Total]]-Ventas[[#This Row],[Precio compra]]*Ventas[[#This Row],[Cantidad]]</f>
        <v>77</v>
      </c>
      <c r="J252" s="34">
        <v>1</v>
      </c>
      <c r="K252" s="34">
        <f>Ventas[[#This Row],[Total]]*Ventas[[#This Row],[Total 3]]</f>
        <v>150</v>
      </c>
      <c r="L252" s="34" t="s">
        <v>759</v>
      </c>
      <c r="M252" s="34"/>
    </row>
    <row r="253" spans="1:13" ht="21.75" customHeight="1">
      <c r="A253" s="16"/>
      <c r="B253" s="39">
        <v>45028</v>
      </c>
      <c r="C253" s="57" t="str">
        <f>VLOOKUP(Ventas[[#This Row],[Codigo]],Stock[#Data],2,FALSE)</f>
        <v>Recipiente Rosin SQUADAFUM Redondo Mediano</v>
      </c>
      <c r="D253" s="37">
        <f>VLOOKUP(Ventas[[#This Row],[Codigo]],Stock[#Data],4,FALSE)</f>
        <v>700</v>
      </c>
      <c r="E253" s="33">
        <f>VLOOKUP(Ventas[[#This Row],[Codigo]],Stock[#Data],3,FALSE)</f>
        <v>270</v>
      </c>
      <c r="F253" s="38">
        <v>1</v>
      </c>
      <c r="G253">
        <v>180</v>
      </c>
      <c r="H253" s="36">
        <f>Ventas[[#This Row],[Precio Venta]]*Ventas[[#This Row],[Cantidad]]-Ventas[[#This Row],[Descuento]]</f>
        <v>700</v>
      </c>
      <c r="I253" s="34">
        <f>Ventas[[#This Row],[Total]]-Ventas[[#This Row],[Precio compra]]*Ventas[[#This Row],[Cantidad]]</f>
        <v>430</v>
      </c>
      <c r="J253" s="34">
        <v>0</v>
      </c>
      <c r="K253" s="34">
        <f>Ventas[[#This Row],[Total]]*Ventas[[#This Row],[Total 3]]</f>
        <v>0</v>
      </c>
      <c r="L253" s="34" t="s">
        <v>760</v>
      </c>
      <c r="M253" s="34"/>
    </row>
    <row r="254" spans="1:13" ht="21.75" customHeight="1">
      <c r="A254" s="16"/>
      <c r="B254" s="39">
        <v>45028</v>
      </c>
      <c r="C254" s="57" t="str">
        <f>VLOOKUP(Ventas[[#This Row],[Codigo]],Stock[#Data],2,FALSE)</f>
        <v>Bong Mini Verde</v>
      </c>
      <c r="D254" s="37">
        <f>VLOOKUP(Ventas[[#This Row],[Codigo]],Stock[#Data],4,FALSE)</f>
        <v>11000</v>
      </c>
      <c r="E254" s="33">
        <f>VLOOKUP(Ventas[[#This Row],[Codigo]],Stock[#Data],3,FALSE)</f>
        <v>5400</v>
      </c>
      <c r="F254" s="38">
        <v>1</v>
      </c>
      <c r="G254">
        <v>621</v>
      </c>
      <c r="H254" s="36">
        <f>Ventas[[#This Row],[Precio Venta]]*Ventas[[#This Row],[Cantidad]]-Ventas[[#This Row],[Descuento]]</f>
        <v>11000</v>
      </c>
      <c r="I254" s="34">
        <f>Ventas[[#This Row],[Total]]-Ventas[[#This Row],[Precio compra]]*Ventas[[#This Row],[Cantidad]]</f>
        <v>5600</v>
      </c>
      <c r="J254" s="34">
        <v>0</v>
      </c>
      <c r="K254" s="34">
        <f>Ventas[[#This Row],[Total]]*Ventas[[#This Row],[Total 3]]</f>
        <v>0</v>
      </c>
      <c r="L254" s="34" t="s">
        <v>760</v>
      </c>
      <c r="M254" s="34"/>
    </row>
    <row r="255" spans="1:13" ht="21.75" customHeight="1">
      <c r="A255" s="16"/>
      <c r="B255" s="39">
        <v>45028</v>
      </c>
      <c r="C255" s="57" t="str">
        <f>VLOOKUP(Ventas[[#This Row],[Codigo]],Stock[#Data],2,FALSE)</f>
        <v>Macetas Sopladas 10l</v>
      </c>
      <c r="D255" s="37">
        <f>VLOOKUP(Ventas[[#This Row],[Codigo]],Stock[#Data],4,FALSE)</f>
        <v>350</v>
      </c>
      <c r="E255" s="33">
        <f>VLOOKUP(Ventas[[#This Row],[Codigo]],Stock[#Data],3,FALSE)</f>
        <v>178</v>
      </c>
      <c r="F255" s="38">
        <v>6</v>
      </c>
      <c r="G255">
        <v>248</v>
      </c>
      <c r="H255" s="36">
        <f>Ventas[[#This Row],[Precio Venta]]*Ventas[[#This Row],[Cantidad]]-Ventas[[#This Row],[Descuento]]</f>
        <v>2100</v>
      </c>
      <c r="I255" s="34">
        <f>Ventas[[#This Row],[Total]]-Ventas[[#This Row],[Precio compra]]*Ventas[[#This Row],[Cantidad]]</f>
        <v>1032</v>
      </c>
      <c r="J255" s="34">
        <v>0</v>
      </c>
      <c r="K255" s="34">
        <f>Ventas[[#This Row],[Total]]*Ventas[[#This Row],[Total 3]]</f>
        <v>0</v>
      </c>
      <c r="L255" s="34" t="s">
        <v>760</v>
      </c>
      <c r="M255" s="34"/>
    </row>
    <row r="256" spans="1:13" ht="21.75" customHeight="1">
      <c r="A256" s="16"/>
      <c r="B256" s="39">
        <v>45028</v>
      </c>
      <c r="C256" s="57" t="str">
        <f>VLOOKUP(Ventas[[#This Row],[Codigo]],Stock[#Data],2,FALSE)</f>
        <v>Namaste Trico+ 100gr</v>
      </c>
      <c r="D256" s="37">
        <f>VLOOKUP(Ventas[[#This Row],[Codigo]],Stock[#Data],4,FALSE)</f>
        <v>1000</v>
      </c>
      <c r="E256" s="33">
        <f>VLOOKUP(Ventas[[#This Row],[Codigo]],Stock[#Data],3,FALSE)</f>
        <v>541</v>
      </c>
      <c r="F256" s="38">
        <v>1</v>
      </c>
      <c r="G256">
        <v>479</v>
      </c>
      <c r="H256" s="36">
        <f>Ventas[[#This Row],[Precio Venta]]*Ventas[[#This Row],[Cantidad]]-Ventas[[#This Row],[Descuento]]</f>
        <v>1000</v>
      </c>
      <c r="I256" s="34">
        <f>Ventas[[#This Row],[Total]]-Ventas[[#This Row],[Precio compra]]*Ventas[[#This Row],[Cantidad]]</f>
        <v>459</v>
      </c>
      <c r="J256" s="34">
        <v>1</v>
      </c>
      <c r="K256" s="34">
        <f>Ventas[[#This Row],[Total]]*Ventas[[#This Row],[Total 3]]</f>
        <v>1000</v>
      </c>
      <c r="L256" s="34" t="s">
        <v>759</v>
      </c>
      <c r="M256" s="34"/>
    </row>
    <row r="257" spans="1:13" ht="21.75" customHeight="1">
      <c r="A257" s="16"/>
      <c r="B257" s="39">
        <v>45028</v>
      </c>
      <c r="C257" s="57" t="str">
        <f>VLOOKUP(Ventas[[#This Row],[Codigo]],Stock[#Data],2,FALSE)</f>
        <v>Namaste Flora Booster 100ml</v>
      </c>
      <c r="D257" s="37">
        <f>VLOOKUP(Ventas[[#This Row],[Codigo]],Stock[#Data],4,FALSE)</f>
        <v>1000</v>
      </c>
      <c r="E257" s="33">
        <f>VLOOKUP(Ventas[[#This Row],[Codigo]],Stock[#Data],3,FALSE)</f>
        <v>517</v>
      </c>
      <c r="F257" s="38">
        <v>1</v>
      </c>
      <c r="G257">
        <v>480</v>
      </c>
      <c r="H257" s="36">
        <f>Ventas[[#This Row],[Precio Venta]]*Ventas[[#This Row],[Cantidad]]-Ventas[[#This Row],[Descuento]]</f>
        <v>1000</v>
      </c>
      <c r="I257" s="34">
        <f>Ventas[[#This Row],[Total]]-Ventas[[#This Row],[Precio compra]]*Ventas[[#This Row],[Cantidad]]</f>
        <v>483</v>
      </c>
      <c r="J257" s="34">
        <v>1</v>
      </c>
      <c r="K257" s="34">
        <f>Ventas[[#This Row],[Total]]*Ventas[[#This Row],[Total 3]]</f>
        <v>1000</v>
      </c>
      <c r="L257" s="34" t="s">
        <v>759</v>
      </c>
      <c r="M257" s="34"/>
    </row>
    <row r="258" spans="1:13" ht="21.75" customHeight="1">
      <c r="A258" s="16"/>
      <c r="B258" s="39">
        <v>45028</v>
      </c>
      <c r="C258" s="57" t="str">
        <f>VLOOKUP(Ventas[[#This Row],[Codigo]],Stock[#Data],2,FALSE)</f>
        <v>Namaste Shanti 100ml</v>
      </c>
      <c r="D258" s="37">
        <f>VLOOKUP(Ventas[[#This Row],[Codigo]],Stock[#Data],4,FALSE)</f>
        <v>2000</v>
      </c>
      <c r="E258" s="33">
        <f>VLOOKUP(Ventas[[#This Row],[Codigo]],Stock[#Data],3,FALSE)</f>
        <v>932</v>
      </c>
      <c r="F258" s="38">
        <v>1</v>
      </c>
      <c r="G258">
        <v>569</v>
      </c>
      <c r="H258" s="36">
        <f>Ventas[[#This Row],[Precio Venta]]*Ventas[[#This Row],[Cantidad]]-Ventas[[#This Row],[Descuento]]</f>
        <v>2000</v>
      </c>
      <c r="I258" s="34">
        <f>Ventas[[#This Row],[Total]]-Ventas[[#This Row],[Precio compra]]*Ventas[[#This Row],[Cantidad]]</f>
        <v>1068</v>
      </c>
      <c r="J258" s="34">
        <v>1</v>
      </c>
      <c r="K258" s="34">
        <f>Ventas[[#This Row],[Total]]*Ventas[[#This Row],[Total 3]]</f>
        <v>2000</v>
      </c>
      <c r="L258" s="34" t="s">
        <v>759</v>
      </c>
      <c r="M258" s="34"/>
    </row>
    <row r="259" spans="1:13" ht="21.75" customHeight="1">
      <c r="A259" s="16"/>
      <c r="B259" s="39">
        <v>45028</v>
      </c>
      <c r="C259" s="57" t="str">
        <f>VLOOKUP(Ventas[[#This Row],[Codigo]],Stock[#Data],2,FALSE)</f>
        <v>Sustrato Perlita</v>
      </c>
      <c r="D259" s="37">
        <f>VLOOKUP(Ventas[[#This Row],[Codigo]],Stock[#Data],4,FALSE)</f>
        <v>800</v>
      </c>
      <c r="E259" s="33">
        <f>VLOOKUP(Ventas[[#This Row],[Codigo]],Stock[#Data],3,FALSE)</f>
        <v>400</v>
      </c>
      <c r="F259" s="38">
        <v>1</v>
      </c>
      <c r="G259">
        <v>52</v>
      </c>
      <c r="H259" s="36">
        <f>Ventas[[#This Row],[Precio Venta]]*Ventas[[#This Row],[Cantidad]]-Ventas[[#This Row],[Descuento]]</f>
        <v>800</v>
      </c>
      <c r="I259" s="34">
        <f>Ventas[[#This Row],[Total]]-Ventas[[#This Row],[Precio compra]]*Ventas[[#This Row],[Cantidad]]</f>
        <v>400</v>
      </c>
      <c r="J259" s="34">
        <v>1</v>
      </c>
      <c r="K259" s="34">
        <f>Ventas[[#This Row],[Total]]*Ventas[[#This Row],[Total 3]]</f>
        <v>800</v>
      </c>
      <c r="L259" s="34" t="s">
        <v>759</v>
      </c>
      <c r="M259" s="34"/>
    </row>
    <row r="260" spans="1:13" ht="21.75" customHeight="1">
      <c r="A260" s="16"/>
      <c r="B260" s="39">
        <v>45028</v>
      </c>
      <c r="C260" s="57" t="str">
        <f>VLOOKUP(Ventas[[#This Row],[Codigo]],Stock[#Data],2,FALSE)</f>
        <v>VAMP Supermelaza</v>
      </c>
      <c r="D260" s="37">
        <f>VLOOKUP(Ventas[[#This Row],[Codigo]],Stock[#Data],4,FALSE)</f>
        <v>1800</v>
      </c>
      <c r="E260" s="33">
        <f>VLOOKUP(Ventas[[#This Row],[Codigo]],Stock[#Data],3,FALSE)</f>
        <v>908</v>
      </c>
      <c r="F260" s="38">
        <v>1</v>
      </c>
      <c r="G260">
        <v>36</v>
      </c>
      <c r="H260" s="36">
        <f>Ventas[[#This Row],[Precio Venta]]*Ventas[[#This Row],[Cantidad]]-Ventas[[#This Row],[Descuento]]</f>
        <v>1800</v>
      </c>
      <c r="I260" s="34">
        <f>Ventas[[#This Row],[Total]]-Ventas[[#This Row],[Precio compra]]*Ventas[[#This Row],[Cantidad]]</f>
        <v>892</v>
      </c>
      <c r="J260" s="34">
        <v>1</v>
      </c>
      <c r="K260" s="34">
        <f>Ventas[[#This Row],[Total]]*Ventas[[#This Row],[Total 3]]</f>
        <v>1800</v>
      </c>
      <c r="L260" s="34" t="s">
        <v>759</v>
      </c>
      <c r="M260" s="34"/>
    </row>
    <row r="261" spans="1:13" ht="21.75" customHeight="1">
      <c r="A261" s="16"/>
      <c r="B261" s="39">
        <v>45028</v>
      </c>
      <c r="C261" s="57" t="str">
        <f>VLOOKUP(Ventas[[#This Row],[Codigo]],Stock[#Data],2,FALSE)</f>
        <v>VAMP Supermelaza</v>
      </c>
      <c r="D261" s="37">
        <f>VLOOKUP(Ventas[[#This Row],[Codigo]],Stock[#Data],4,FALSE)</f>
        <v>1800</v>
      </c>
      <c r="E261" s="33">
        <f>VLOOKUP(Ventas[[#This Row],[Codigo]],Stock[#Data],3,FALSE)</f>
        <v>908</v>
      </c>
      <c r="F261" s="38">
        <v>1</v>
      </c>
      <c r="G261">
        <v>36</v>
      </c>
      <c r="H261" s="36">
        <f>Ventas[[#This Row],[Precio Venta]]*Ventas[[#This Row],[Cantidad]]-Ventas[[#This Row],[Descuento]]</f>
        <v>1800</v>
      </c>
      <c r="I261" s="34">
        <f>Ventas[[#This Row],[Total]]-Ventas[[#This Row],[Precio compra]]*Ventas[[#This Row],[Cantidad]]</f>
        <v>892</v>
      </c>
      <c r="J261" s="34">
        <v>0</v>
      </c>
      <c r="K261" s="34">
        <f>Ventas[[#This Row],[Total]]*Ventas[[#This Row],[Total 3]]</f>
        <v>0</v>
      </c>
      <c r="L261" s="34" t="s">
        <v>760</v>
      </c>
      <c r="M261" s="34"/>
    </row>
    <row r="262" spans="1:13" ht="21.75" customHeight="1">
      <c r="A262" s="16"/>
      <c r="B262" s="39">
        <v>45028</v>
      </c>
      <c r="C262" s="57" t="str">
        <f>VLOOKUP(Ventas[[#This Row],[Codigo]],Stock[#Data],2,FALSE)</f>
        <v>VAMP Guano de murcielago Flora</v>
      </c>
      <c r="D262" s="37">
        <f>VLOOKUP(Ventas[[#This Row],[Codigo]],Stock[#Data],4,FALSE)</f>
        <v>1000</v>
      </c>
      <c r="E262" s="33">
        <f>VLOOKUP(Ventas[[#This Row],[Codigo]],Stock[#Data],3,FALSE)</f>
        <v>510</v>
      </c>
      <c r="F262" s="38">
        <v>1</v>
      </c>
      <c r="G262">
        <v>38</v>
      </c>
      <c r="H262" s="36">
        <f>Ventas[[#This Row],[Precio Venta]]*Ventas[[#This Row],[Cantidad]]-Ventas[[#This Row],[Descuento]]</f>
        <v>1000</v>
      </c>
      <c r="I262" s="34">
        <f>Ventas[[#This Row],[Total]]-Ventas[[#This Row],[Precio compra]]*Ventas[[#This Row],[Cantidad]]</f>
        <v>490</v>
      </c>
      <c r="J262" s="34">
        <v>0</v>
      </c>
      <c r="K262" s="34">
        <f>Ventas[[#This Row],[Total]]*Ventas[[#This Row],[Total 3]]</f>
        <v>0</v>
      </c>
      <c r="L262" s="34" t="s">
        <v>760</v>
      </c>
      <c r="M262" s="34"/>
    </row>
    <row r="263" spans="1:13" ht="21.75" customHeight="1">
      <c r="A263" s="16"/>
      <c r="B263" s="39">
        <v>45028</v>
      </c>
      <c r="C263" s="57" t="str">
        <f>VLOOKUP(Ventas[[#This Row],[Codigo]],Stock[#Data],2,FALSE)</f>
        <v>Rejillas x5</v>
      </c>
      <c r="D263" s="37">
        <f>VLOOKUP(Ventas[[#This Row],[Codigo]],Stock[#Data],4,FALSE)</f>
        <v>100</v>
      </c>
      <c r="E263" s="33">
        <f>VLOOKUP(Ventas[[#This Row],[Codigo]],Stock[#Data],3,FALSE)</f>
        <v>20</v>
      </c>
      <c r="F263" s="38">
        <v>2</v>
      </c>
      <c r="G263">
        <v>239</v>
      </c>
      <c r="H263" s="36">
        <f>Ventas[[#This Row],[Precio Venta]]*Ventas[[#This Row],[Cantidad]]-Ventas[[#This Row],[Descuento]]</f>
        <v>200</v>
      </c>
      <c r="I263" s="34">
        <f>Ventas[[#This Row],[Total]]-Ventas[[#This Row],[Precio compra]]*Ventas[[#This Row],[Cantidad]]</f>
        <v>160</v>
      </c>
      <c r="J263" s="34">
        <v>1</v>
      </c>
      <c r="K263" s="34">
        <f>Ventas[[#This Row],[Total]]*Ventas[[#This Row],[Total 3]]</f>
        <v>200</v>
      </c>
      <c r="L263" s="34" t="s">
        <v>759</v>
      </c>
      <c r="M263" s="34"/>
    </row>
    <row r="264" spans="1:13" ht="21.75" customHeight="1">
      <c r="A264" s="16"/>
      <c r="B264" s="39">
        <v>45028</v>
      </c>
      <c r="C264" s="57" t="str">
        <f>VLOOKUP(Ventas[[#This Row],[Codigo]],Stock[#Data],2,FALSE)</f>
        <v>Pipa India</v>
      </c>
      <c r="D264" s="37">
        <f>VLOOKUP(Ventas[[#This Row],[Codigo]],Stock[#Data],4,FALSE)</f>
        <v>2000</v>
      </c>
      <c r="E264" s="33">
        <f>VLOOKUP(Ventas[[#This Row],[Codigo]],Stock[#Data],3,FALSE)</f>
        <v>910</v>
      </c>
      <c r="F264" s="38">
        <v>1</v>
      </c>
      <c r="G264">
        <v>158</v>
      </c>
      <c r="H264" s="36">
        <f>Ventas[[#This Row],[Precio Venta]]*Ventas[[#This Row],[Cantidad]]-Ventas[[#This Row],[Descuento]]</f>
        <v>2000</v>
      </c>
      <c r="I264" s="34">
        <f>Ventas[[#This Row],[Total]]-Ventas[[#This Row],[Precio compra]]*Ventas[[#This Row],[Cantidad]]</f>
        <v>1090</v>
      </c>
      <c r="J264" s="34">
        <v>1</v>
      </c>
      <c r="K264" s="34">
        <f>Ventas[[#This Row],[Total]]*Ventas[[#This Row],[Total 3]]</f>
        <v>2000</v>
      </c>
      <c r="L264" s="34" t="s">
        <v>759</v>
      </c>
      <c r="M264" s="34"/>
    </row>
    <row r="265" spans="1:13" ht="21.75" customHeight="1">
      <c r="A265" s="16"/>
      <c r="B265" s="39">
        <v>45028</v>
      </c>
      <c r="C265" s="57" t="str">
        <f>VLOOKUP(Ventas[[#This Row],[Codigo]],Stock[#Data],2,FALSE)</f>
        <v>Sustrato Perlita</v>
      </c>
      <c r="D265" s="37">
        <f>VLOOKUP(Ventas[[#This Row],[Codigo]],Stock[#Data],4,FALSE)</f>
        <v>800</v>
      </c>
      <c r="E265" s="33">
        <f>VLOOKUP(Ventas[[#This Row],[Codigo]],Stock[#Data],3,FALSE)</f>
        <v>400</v>
      </c>
      <c r="F265" s="38">
        <v>1</v>
      </c>
      <c r="G265">
        <v>52</v>
      </c>
      <c r="H265" s="36">
        <f>Ventas[[#This Row],[Precio Venta]]*Ventas[[#This Row],[Cantidad]]-Ventas[[#This Row],[Descuento]]</f>
        <v>800</v>
      </c>
      <c r="I265" s="34">
        <f>Ventas[[#This Row],[Total]]-Ventas[[#This Row],[Precio compra]]*Ventas[[#This Row],[Cantidad]]</f>
        <v>400</v>
      </c>
      <c r="J265" s="34">
        <v>1</v>
      </c>
      <c r="K265" s="34">
        <f>Ventas[[#This Row],[Total]]*Ventas[[#This Row],[Total 3]]</f>
        <v>800</v>
      </c>
      <c r="L265" s="34" t="s">
        <v>759</v>
      </c>
      <c r="M265" s="34"/>
    </row>
    <row r="266" spans="1:13" ht="21.75" customHeight="1">
      <c r="A266" s="16"/>
      <c r="B266" s="39">
        <v>45028</v>
      </c>
      <c r="C266" s="57" t="str">
        <f>VLOOKUP(Ventas[[#This Row],[Codigo]],Stock[#Data],2,FALSE)</f>
        <v xml:space="preserve">Clipper Raw </v>
      </c>
      <c r="D266" s="37">
        <f>VLOOKUP(Ventas[[#This Row],[Codigo]],Stock[#Data],4,FALSE)</f>
        <v>550</v>
      </c>
      <c r="E266" s="33">
        <f>VLOOKUP(Ventas[[#This Row],[Codigo]],Stock[#Data],3,FALSE)</f>
        <v>276</v>
      </c>
      <c r="F266" s="38">
        <v>2</v>
      </c>
      <c r="G266">
        <v>502</v>
      </c>
      <c r="H266" s="36">
        <f>Ventas[[#This Row],[Precio Venta]]*Ventas[[#This Row],[Cantidad]]-Ventas[[#This Row],[Descuento]]</f>
        <v>1100</v>
      </c>
      <c r="I266" s="34">
        <f>Ventas[[#This Row],[Total]]-Ventas[[#This Row],[Precio compra]]*Ventas[[#This Row],[Cantidad]]</f>
        <v>548</v>
      </c>
      <c r="J266" s="34">
        <v>0</v>
      </c>
      <c r="K266" s="34">
        <f>Ventas[[#This Row],[Total]]*Ventas[[#This Row],[Total 3]]</f>
        <v>0</v>
      </c>
      <c r="L266" s="34" t="s">
        <v>760</v>
      </c>
      <c r="M266" s="34"/>
    </row>
    <row r="267" spans="1:13" ht="21.75" customHeight="1">
      <c r="A267" s="16"/>
      <c r="B267" s="39">
        <v>45028</v>
      </c>
      <c r="C267" s="57" t="str">
        <f>VLOOKUP(Ventas[[#This Row],[Codigo]],Stock[#Data],2,FALSE)</f>
        <v>Araña Roja Green Leaf 100ml</v>
      </c>
      <c r="D267" s="37">
        <f>VLOOKUP(Ventas[[#This Row],[Codigo]],Stock[#Data],4,FALSE)</f>
        <v>1800</v>
      </c>
      <c r="E267" s="33">
        <f>VLOOKUP(Ventas[[#This Row],[Codigo]],Stock[#Data],3,FALSE)</f>
        <v>904</v>
      </c>
      <c r="F267" s="38">
        <v>1</v>
      </c>
      <c r="G267">
        <v>470</v>
      </c>
      <c r="H267" s="36">
        <f>Ventas[[#This Row],[Precio Venta]]*Ventas[[#This Row],[Cantidad]]-Ventas[[#This Row],[Descuento]]</f>
        <v>1800</v>
      </c>
      <c r="I267" s="34">
        <f>Ventas[[#This Row],[Total]]-Ventas[[#This Row],[Precio compra]]*Ventas[[#This Row],[Cantidad]]</f>
        <v>896</v>
      </c>
      <c r="J267" s="34">
        <v>0</v>
      </c>
      <c r="K267" s="34">
        <f>Ventas[[#This Row],[Total]]*Ventas[[#This Row],[Total 3]]</f>
        <v>0</v>
      </c>
      <c r="L267" s="34" t="s">
        <v>760</v>
      </c>
      <c r="M267" s="34"/>
    </row>
    <row r="268" spans="1:13" ht="21.75" customHeight="1">
      <c r="A268" s="16"/>
      <c r="B268" s="39">
        <v>45028</v>
      </c>
      <c r="C268" s="57" t="str">
        <f>VLOOKUP(Ventas[[#This Row],[Codigo]],Stock[#Data],2,FALSE)</f>
        <v>Pipa silicona colmena</v>
      </c>
      <c r="D268" s="37">
        <f>VLOOKUP(Ventas[[#This Row],[Codigo]],Stock[#Data],4,FALSE)</f>
        <v>2900</v>
      </c>
      <c r="E268" s="33">
        <f>VLOOKUP(Ventas[[#This Row],[Codigo]],Stock[#Data],3,FALSE)</f>
        <v>1420</v>
      </c>
      <c r="F268" s="38">
        <v>1</v>
      </c>
      <c r="G268">
        <v>286</v>
      </c>
      <c r="H268" s="36">
        <f>Ventas[[#This Row],[Precio Venta]]*Ventas[[#This Row],[Cantidad]]-Ventas[[#This Row],[Descuento]]</f>
        <v>2900</v>
      </c>
      <c r="I268" s="34">
        <f>Ventas[[#This Row],[Total]]-Ventas[[#This Row],[Precio compra]]*Ventas[[#This Row],[Cantidad]]</f>
        <v>1480</v>
      </c>
      <c r="J268" s="34">
        <v>0</v>
      </c>
      <c r="K268" s="34">
        <f>Ventas[[#This Row],[Total]]*Ventas[[#This Row],[Total 3]]</f>
        <v>0</v>
      </c>
      <c r="L268" s="34" t="s">
        <v>760</v>
      </c>
      <c r="M268" s="34"/>
    </row>
    <row r="269" spans="1:13" ht="21.75" customHeight="1">
      <c r="A269" s="16"/>
      <c r="B269" s="39" t="s">
        <v>793</v>
      </c>
      <c r="C269" s="35" t="str">
        <f>VLOOKUP(Ventas[[#This Row],[Codigo]],Stock[#Data],2,FALSE)</f>
        <v>Picador 4p Amsterdam Holland</v>
      </c>
      <c r="D269" s="37">
        <f>VLOOKUP(Ventas[[#This Row],[Codigo]],Stock[#Data],4,FALSE)</f>
        <v>3000</v>
      </c>
      <c r="E269" s="33">
        <f>VLOOKUP(Ventas[[#This Row],[Codigo]],Stock[#Data],3,FALSE)</f>
        <v>1452</v>
      </c>
      <c r="F269" s="38">
        <v>1</v>
      </c>
      <c r="G269">
        <v>618</v>
      </c>
      <c r="H269" s="36">
        <f>Ventas[[#This Row],[Precio Venta]]*Ventas[[#This Row],[Cantidad]]-Ventas[[#This Row],[Descuento]]</f>
        <v>3000</v>
      </c>
      <c r="I269" s="34">
        <f>Ventas[[#This Row],[Total]]-Ventas[[#This Row],[Precio compra]]*Ventas[[#This Row],[Cantidad]]</f>
        <v>1548</v>
      </c>
      <c r="J269" s="34">
        <v>0</v>
      </c>
      <c r="K269" s="34">
        <f>Ventas[[#This Row],[Total]]*Ventas[[#This Row],[Total 3]]</f>
        <v>0</v>
      </c>
      <c r="L269" s="34" t="s">
        <v>760</v>
      </c>
      <c r="M269" s="34"/>
    </row>
    <row r="270" spans="1:13" ht="21.75" customHeight="1">
      <c r="A270" s="16"/>
      <c r="B270" s="39" t="s">
        <v>793</v>
      </c>
      <c r="C270" s="35" t="str">
        <f>VLOOKUP(Ventas[[#This Row],[Codigo]],Stock[#Data],2,FALSE)</f>
        <v>Sedas Lion Rolling Circus 1/4 alfalfa</v>
      </c>
      <c r="D270" s="37">
        <f>VLOOKUP(Ventas[[#This Row],[Codigo]],Stock[#Data],4,FALSE)</f>
        <v>300</v>
      </c>
      <c r="E270" s="33">
        <f>VLOOKUP(Ventas[[#This Row],[Codigo]],Stock[#Data],3,FALSE)</f>
        <v>150</v>
      </c>
      <c r="F270" s="38">
        <v>1</v>
      </c>
      <c r="G270">
        <v>63</v>
      </c>
      <c r="H270" s="36">
        <f>Ventas[[#This Row],[Precio Venta]]*Ventas[[#This Row],[Cantidad]]-Ventas[[#This Row],[Descuento]]</f>
        <v>300</v>
      </c>
      <c r="I270" s="34">
        <f>Ventas[[#This Row],[Total]]-Ventas[[#This Row],[Precio compra]]*Ventas[[#This Row],[Cantidad]]</f>
        <v>150</v>
      </c>
      <c r="J270" s="34">
        <v>0</v>
      </c>
      <c r="K270" s="34">
        <f>Ventas[[#This Row],[Total]]*Ventas[[#This Row],[Total 3]]</f>
        <v>0</v>
      </c>
      <c r="L270" s="34" t="s">
        <v>760</v>
      </c>
      <c r="M270" s="34"/>
    </row>
    <row r="271" spans="1:13" ht="21.75" customHeight="1">
      <c r="A271" s="16"/>
      <c r="B271" s="39" t="s">
        <v>793</v>
      </c>
      <c r="C271" s="35" t="str">
        <f>VLOOKUP(Ventas[[#This Row],[Codigo]],Stock[#Data],2,FALSE)</f>
        <v xml:space="preserve">Turbina Bujia </v>
      </c>
      <c r="D271" s="37">
        <f>VLOOKUP(Ventas[[#This Row],[Codigo]],Stock[#Data],4,FALSE)</f>
        <v>2000</v>
      </c>
      <c r="E271" s="33">
        <f>VLOOKUP(Ventas[[#This Row],[Codigo]],Stock[#Data],3,FALSE)</f>
        <v>525</v>
      </c>
      <c r="F271" s="38">
        <v>1</v>
      </c>
      <c r="G271">
        <v>432</v>
      </c>
      <c r="H271" s="36">
        <f>Ventas[[#This Row],[Precio Venta]]*Ventas[[#This Row],[Cantidad]]-Ventas[[#This Row],[Descuento]]</f>
        <v>2000</v>
      </c>
      <c r="I271" s="34">
        <f>Ventas[[#This Row],[Total]]-Ventas[[#This Row],[Precio compra]]*Ventas[[#This Row],[Cantidad]]</f>
        <v>1475</v>
      </c>
      <c r="J271" s="34">
        <v>0</v>
      </c>
      <c r="K271" s="34">
        <f>Ventas[[#This Row],[Total]]*Ventas[[#This Row],[Total 3]]</f>
        <v>0</v>
      </c>
      <c r="L271" s="34" t="s">
        <v>760</v>
      </c>
      <c r="M271" s="34"/>
    </row>
    <row r="272" spans="1:13" ht="21.75" customHeight="1">
      <c r="A272" s="16"/>
      <c r="B272" s="39" t="s">
        <v>793</v>
      </c>
      <c r="C272" s="35" t="str">
        <f>VLOOKUP(Ventas[[#This Row],[Codigo]],Stock[#Data],2,FALSE)</f>
        <v>Bong Acrílico Chico Manzana Mordida</v>
      </c>
      <c r="D272" s="37">
        <f>VLOOKUP(Ventas[[#This Row],[Codigo]],Stock[#Data],4,FALSE)</f>
        <v>2000</v>
      </c>
      <c r="E272" s="33">
        <f>VLOOKUP(Ventas[[#This Row],[Codigo]],Stock[#Data],3,FALSE)</f>
        <v>926</v>
      </c>
      <c r="F272" s="38">
        <v>1</v>
      </c>
      <c r="G272">
        <v>533</v>
      </c>
      <c r="H272" s="36">
        <f>Ventas[[#This Row],[Precio Venta]]*Ventas[[#This Row],[Cantidad]]-Ventas[[#This Row],[Descuento]]</f>
        <v>2000</v>
      </c>
      <c r="I272" s="34">
        <f>Ventas[[#This Row],[Total]]-Ventas[[#This Row],[Precio compra]]*Ventas[[#This Row],[Cantidad]]</f>
        <v>1074</v>
      </c>
      <c r="J272" s="34">
        <v>0</v>
      </c>
      <c r="K272" s="34">
        <f>Ventas[[#This Row],[Total]]*Ventas[[#This Row],[Total 3]]</f>
        <v>0</v>
      </c>
      <c r="L272" s="34" t="s">
        <v>760</v>
      </c>
      <c r="M272" s="34"/>
    </row>
    <row r="273" spans="1:13" ht="21.75" customHeight="1">
      <c r="A273" s="16"/>
      <c r="B273" s="39" t="s">
        <v>793</v>
      </c>
      <c r="C273" s="35" t="str">
        <f>VLOOKUP(Ventas[[#This Row],[Codigo]],Stock[#Data],2,FALSE)</f>
        <v>Bandeja OCB con tapa</v>
      </c>
      <c r="D273" s="37">
        <f>VLOOKUP(Ventas[[#This Row],[Codigo]],Stock[#Data],4,FALSE)</f>
        <v>3000</v>
      </c>
      <c r="E273" s="33">
        <f>VLOOKUP(Ventas[[#This Row],[Codigo]],Stock[#Data],3,FALSE)</f>
        <v>1321</v>
      </c>
      <c r="F273" s="38">
        <v>1</v>
      </c>
      <c r="G273">
        <v>546</v>
      </c>
      <c r="H273" s="36">
        <f>Ventas[[#This Row],[Precio Venta]]*Ventas[[#This Row],[Cantidad]]-Ventas[[#This Row],[Descuento]]</f>
        <v>3000</v>
      </c>
      <c r="I273" s="34">
        <f>Ventas[[#This Row],[Total]]-Ventas[[#This Row],[Precio compra]]*Ventas[[#This Row],[Cantidad]]</f>
        <v>1679</v>
      </c>
      <c r="J273" s="34">
        <v>0</v>
      </c>
      <c r="K273" s="34">
        <f>Ventas[[#This Row],[Total]]*Ventas[[#This Row],[Total 3]]</f>
        <v>0</v>
      </c>
      <c r="L273" s="34" t="s">
        <v>760</v>
      </c>
      <c r="M273" s="34"/>
    </row>
    <row r="274" spans="1:13" ht="21.75" customHeight="1">
      <c r="A274" s="16"/>
      <c r="B274" s="39" t="s">
        <v>793</v>
      </c>
      <c r="C274" s="35" t="str">
        <f>VLOOKUP(Ventas[[#This Row],[Codigo]],Stock[#Data],2,FALSE)</f>
        <v>Sustrato Perlita</v>
      </c>
      <c r="D274" s="37">
        <f>VLOOKUP(Ventas[[#This Row],[Codigo]],Stock[#Data],4,FALSE)</f>
        <v>800</v>
      </c>
      <c r="E274" s="33">
        <f>VLOOKUP(Ventas[[#This Row],[Codigo]],Stock[#Data],3,FALSE)</f>
        <v>400</v>
      </c>
      <c r="F274" s="38">
        <v>8</v>
      </c>
      <c r="G274">
        <v>52</v>
      </c>
      <c r="H274" s="36">
        <f>Ventas[[#This Row],[Precio Venta]]*Ventas[[#This Row],[Cantidad]]-Ventas[[#This Row],[Descuento]]</f>
        <v>6400</v>
      </c>
      <c r="I274" s="34">
        <f>Ventas[[#This Row],[Total]]-Ventas[[#This Row],[Precio compra]]*Ventas[[#This Row],[Cantidad]]</f>
        <v>3200</v>
      </c>
      <c r="J274" s="34">
        <v>0</v>
      </c>
      <c r="K274" s="34">
        <f>Ventas[[#This Row],[Total]]*Ventas[[#This Row],[Total 3]]</f>
        <v>0</v>
      </c>
      <c r="L274" s="34" t="s">
        <v>760</v>
      </c>
      <c r="M274" s="34"/>
    </row>
    <row r="275" spans="1:13" ht="21.75" customHeight="1">
      <c r="A275" s="16"/>
      <c r="B275" s="39" t="s">
        <v>793</v>
      </c>
      <c r="C275" s="35" t="str">
        <f>VLOOKUP(Ventas[[#This Row],[Codigo]],Stock[#Data],2,FALSE)</f>
        <v>Macetas Soplada 15L</v>
      </c>
      <c r="D275" s="37">
        <f>VLOOKUP(Ventas[[#This Row],[Codigo]],Stock[#Data],4,FALSE)</f>
        <v>450</v>
      </c>
      <c r="E275" s="33">
        <f>VLOOKUP(Ventas[[#This Row],[Codigo]],Stock[#Data],3,FALSE)</f>
        <v>222</v>
      </c>
      <c r="F275" s="38">
        <v>2</v>
      </c>
      <c r="G275">
        <v>380</v>
      </c>
      <c r="H275" s="36">
        <f>Ventas[[#This Row],[Precio Venta]]*Ventas[[#This Row],[Cantidad]]-Ventas[[#This Row],[Descuento]]</f>
        <v>900</v>
      </c>
      <c r="I275" s="34">
        <f>Ventas[[#This Row],[Total]]-Ventas[[#This Row],[Precio compra]]*Ventas[[#This Row],[Cantidad]]</f>
        <v>456</v>
      </c>
      <c r="J275" s="34">
        <v>0</v>
      </c>
      <c r="K275" s="34">
        <f>Ventas[[#This Row],[Total]]*Ventas[[#This Row],[Total 3]]</f>
        <v>0</v>
      </c>
      <c r="L275" s="34" t="s">
        <v>760</v>
      </c>
      <c r="M275" s="34"/>
    </row>
    <row r="276" spans="1:13" ht="21.75" customHeight="1">
      <c r="A276" s="16"/>
      <c r="B276" s="39" t="s">
        <v>793</v>
      </c>
      <c r="C276" s="35" t="str">
        <f>VLOOKUP(Ventas[[#This Row],[Codigo]],Stock[#Data],2,FALSE)</f>
        <v>TreeMIX A 45ml</v>
      </c>
      <c r="D276" s="37">
        <f>VLOOKUP(Ventas[[#This Row],[Codigo]],Stock[#Data],4,FALSE)</f>
        <v>500</v>
      </c>
      <c r="E276" s="33">
        <f>VLOOKUP(Ventas[[#This Row],[Codigo]],Stock[#Data],3,FALSE)</f>
        <v>260</v>
      </c>
      <c r="F276" s="38">
        <v>1</v>
      </c>
      <c r="G276">
        <v>21</v>
      </c>
      <c r="H276" s="36">
        <f>Ventas[[#This Row],[Precio Venta]]*Ventas[[#This Row],[Cantidad]]-Ventas[[#This Row],[Descuento]]</f>
        <v>500</v>
      </c>
      <c r="I276" s="34">
        <f>Ventas[[#This Row],[Total]]-Ventas[[#This Row],[Precio compra]]*Ventas[[#This Row],[Cantidad]]</f>
        <v>240</v>
      </c>
      <c r="J276" s="34">
        <v>0</v>
      </c>
      <c r="K276" s="34">
        <f>Ventas[[#This Row],[Total]]*Ventas[[#This Row],[Total 3]]</f>
        <v>0</v>
      </c>
      <c r="L276" s="34" t="s">
        <v>760</v>
      </c>
      <c r="M276" s="34"/>
    </row>
    <row r="277" spans="1:13" ht="21.75" customHeight="1">
      <c r="A277" s="16"/>
      <c r="B277" s="39" t="s">
        <v>793</v>
      </c>
      <c r="C277" s="35" t="str">
        <f>VLOOKUP(Ventas[[#This Row],[Codigo]],Stock[#Data],2,FALSE)</f>
        <v xml:space="preserve"> Sedas LION Kz Ultra fina</v>
      </c>
      <c r="D277" s="37">
        <f>VLOOKUP(Ventas[[#This Row],[Codigo]],Stock[#Data],4,FALSE)</f>
        <v>150</v>
      </c>
      <c r="E277" s="33">
        <f>VLOOKUP(Ventas[[#This Row],[Codigo]],Stock[#Data],3,FALSE)</f>
        <v>65</v>
      </c>
      <c r="F277" s="38">
        <v>1</v>
      </c>
      <c r="G277">
        <v>78</v>
      </c>
      <c r="H277" s="36">
        <f>Ventas[[#This Row],[Precio Venta]]*Ventas[[#This Row],[Cantidad]]-Ventas[[#This Row],[Descuento]]</f>
        <v>150</v>
      </c>
      <c r="I277" s="34">
        <f>Ventas[[#This Row],[Total]]-Ventas[[#This Row],[Precio compra]]*Ventas[[#This Row],[Cantidad]]</f>
        <v>85</v>
      </c>
      <c r="J277" s="34">
        <v>0</v>
      </c>
      <c r="K277" s="34">
        <f>Ventas[[#This Row],[Total]]*Ventas[[#This Row],[Total 3]]</f>
        <v>0</v>
      </c>
      <c r="L277" s="34" t="s">
        <v>760</v>
      </c>
      <c r="M277" s="34"/>
    </row>
    <row r="278" spans="1:13" ht="21.75" customHeight="1">
      <c r="A278" s="16"/>
      <c r="B278" s="39" t="s">
        <v>793</v>
      </c>
      <c r="C278" s="35" t="str">
        <f>VLOOKUP(Ventas[[#This Row],[Codigo]],Stock[#Data],2,FALSE)</f>
        <v>Tips Lion Unbleached</v>
      </c>
      <c r="D278" s="37">
        <f>VLOOKUP(Ventas[[#This Row],[Codigo]],Stock[#Data],4,FALSE)</f>
        <v>250</v>
      </c>
      <c r="E278" s="33">
        <f>VLOOKUP(Ventas[[#This Row],[Codigo]],Stock[#Data],3,FALSE)</f>
        <v>137</v>
      </c>
      <c r="F278" s="38">
        <v>1</v>
      </c>
      <c r="G278">
        <v>458</v>
      </c>
      <c r="H278" s="36">
        <f>Ventas[[#This Row],[Precio Venta]]*Ventas[[#This Row],[Cantidad]]-Ventas[[#This Row],[Descuento]]</f>
        <v>250</v>
      </c>
      <c r="I278" s="34">
        <f>Ventas[[#This Row],[Total]]-Ventas[[#This Row],[Precio compra]]*Ventas[[#This Row],[Cantidad]]</f>
        <v>113</v>
      </c>
      <c r="J278" s="34">
        <v>0</v>
      </c>
      <c r="K278" s="34">
        <f>Ventas[[#This Row],[Total]]*Ventas[[#This Row],[Total 3]]</f>
        <v>0</v>
      </c>
      <c r="L278" s="34" t="s">
        <v>760</v>
      </c>
      <c r="M278" s="34"/>
    </row>
    <row r="279" spans="1:13" ht="21.75" customHeight="1">
      <c r="A279" s="16"/>
      <c r="B279" s="39" t="s">
        <v>793</v>
      </c>
      <c r="C279" s="35" t="str">
        <f>VLOOKUP(Ventas[[#This Row],[Codigo]],Stock[#Data],2,FALSE)</f>
        <v>Araña Roja Green Leaf 100ml</v>
      </c>
      <c r="D279" s="37">
        <f>VLOOKUP(Ventas[[#This Row],[Codigo]],Stock[#Data],4,FALSE)</f>
        <v>1800</v>
      </c>
      <c r="E279" s="33">
        <f>VLOOKUP(Ventas[[#This Row],[Codigo]],Stock[#Data],3,FALSE)</f>
        <v>904</v>
      </c>
      <c r="F279" s="38">
        <v>2</v>
      </c>
      <c r="G279">
        <v>470</v>
      </c>
      <c r="H279" s="36">
        <f>Ventas[[#This Row],[Precio Venta]]*Ventas[[#This Row],[Cantidad]]-Ventas[[#This Row],[Descuento]]</f>
        <v>3600</v>
      </c>
      <c r="I279" s="34">
        <f>Ventas[[#This Row],[Total]]-Ventas[[#This Row],[Precio compra]]*Ventas[[#This Row],[Cantidad]]</f>
        <v>1792</v>
      </c>
      <c r="J279" s="34">
        <v>0</v>
      </c>
      <c r="K279" s="34">
        <f>Ventas[[#This Row],[Total]]*Ventas[[#This Row],[Total 3]]</f>
        <v>0</v>
      </c>
      <c r="L279" s="34" t="s">
        <v>760</v>
      </c>
      <c r="M279" s="34"/>
    </row>
    <row r="280" spans="1:13" ht="21.75" customHeight="1">
      <c r="A280" s="16"/>
      <c r="B280" s="39" t="s">
        <v>793</v>
      </c>
      <c r="C280" s="35" t="str">
        <f>VLOOKUP(Ventas[[#This Row],[Codigo]],Stock[#Data],2,FALSE)</f>
        <v>Namaste Trico+ 250gr</v>
      </c>
      <c r="D280" s="37">
        <f>VLOOKUP(Ventas[[#This Row],[Codigo]],Stock[#Data],4,FALSE)</f>
        <v>2000</v>
      </c>
      <c r="E280" s="33">
        <f>VLOOKUP(Ventas[[#This Row],[Codigo]],Stock[#Data],3,FALSE)</f>
        <v>1033</v>
      </c>
      <c r="F280" s="38">
        <v>1</v>
      </c>
      <c r="G280">
        <v>500</v>
      </c>
      <c r="H280" s="36">
        <f>Ventas[[#This Row],[Precio Venta]]*Ventas[[#This Row],[Cantidad]]-Ventas[[#This Row],[Descuento]]</f>
        <v>2000</v>
      </c>
      <c r="I280" s="34">
        <f>Ventas[[#This Row],[Total]]-Ventas[[#This Row],[Precio compra]]*Ventas[[#This Row],[Cantidad]]</f>
        <v>967</v>
      </c>
      <c r="J280" s="34">
        <v>0</v>
      </c>
      <c r="K280" s="34">
        <f>Ventas[[#This Row],[Total]]*Ventas[[#This Row],[Total 3]]</f>
        <v>0</v>
      </c>
      <c r="L280" s="34" t="s">
        <v>760</v>
      </c>
      <c r="M280" s="34"/>
    </row>
    <row r="281" spans="1:13" ht="21.75" customHeight="1">
      <c r="A281" s="16"/>
      <c r="B281" s="39" t="s">
        <v>793</v>
      </c>
      <c r="C281" s="35" t="str">
        <f>VLOOKUP(Ventas[[#This Row],[Codigo]],Stock[#Data],2,FALSE)</f>
        <v>Namaste Oro Negro 100ml</v>
      </c>
      <c r="D281" s="37">
        <f>VLOOKUP(Ventas[[#This Row],[Codigo]],Stock[#Data],4,FALSE)</f>
        <v>1000</v>
      </c>
      <c r="E281" s="33">
        <f>VLOOKUP(Ventas[[#This Row],[Codigo]],Stock[#Data],3,FALSE)</f>
        <v>515</v>
      </c>
      <c r="F281" s="38">
        <v>1</v>
      </c>
      <c r="G281">
        <v>478</v>
      </c>
      <c r="H281" s="36">
        <f>Ventas[[#This Row],[Precio Venta]]*Ventas[[#This Row],[Cantidad]]-Ventas[[#This Row],[Descuento]]</f>
        <v>1000</v>
      </c>
      <c r="I281" s="34">
        <f>Ventas[[#This Row],[Total]]-Ventas[[#This Row],[Precio compra]]*Ventas[[#This Row],[Cantidad]]</f>
        <v>485</v>
      </c>
      <c r="J281" s="34">
        <v>0</v>
      </c>
      <c r="K281" s="34">
        <f>Ventas[[#This Row],[Total]]*Ventas[[#This Row],[Total 3]]</f>
        <v>0</v>
      </c>
      <c r="L281" s="34" t="s">
        <v>760</v>
      </c>
      <c r="M281" s="34"/>
    </row>
    <row r="282" spans="1:13" ht="21.75" customHeight="1">
      <c r="A282" s="16"/>
      <c r="B282" s="39" t="s">
        <v>793</v>
      </c>
      <c r="C282" s="35" t="str">
        <f>VLOOKUP(Ventas[[#This Row],[Codigo]],Stock[#Data],2,FALSE)</f>
        <v>Rejillas x5</v>
      </c>
      <c r="D282" s="37">
        <f>VLOOKUP(Ventas[[#This Row],[Codigo]],Stock[#Data],4,FALSE)</f>
        <v>100</v>
      </c>
      <c r="E282" s="33">
        <f>VLOOKUP(Ventas[[#This Row],[Codigo]],Stock[#Data],3,FALSE)</f>
        <v>20</v>
      </c>
      <c r="F282" s="38">
        <v>1</v>
      </c>
      <c r="G282">
        <v>239</v>
      </c>
      <c r="H282" s="36">
        <f>Ventas[[#This Row],[Precio Venta]]*Ventas[[#This Row],[Cantidad]]-Ventas[[#This Row],[Descuento]]</f>
        <v>100</v>
      </c>
      <c r="I282" s="34">
        <f>Ventas[[#This Row],[Total]]-Ventas[[#This Row],[Precio compra]]*Ventas[[#This Row],[Cantidad]]</f>
        <v>80</v>
      </c>
      <c r="J282" s="34">
        <v>0</v>
      </c>
      <c r="K282" s="34">
        <f>Ventas[[#This Row],[Total]]*Ventas[[#This Row],[Total 3]]</f>
        <v>0</v>
      </c>
      <c r="L282" s="34" t="s">
        <v>760</v>
      </c>
      <c r="M282" s="34"/>
    </row>
    <row r="283" spans="1:13" ht="21.75" customHeight="1">
      <c r="A283" s="16"/>
      <c r="B283" s="39" t="s">
        <v>793</v>
      </c>
      <c r="C283" s="35" t="str">
        <f>VLOOKUP(Ventas[[#This Row],[Codigo]],Stock[#Data],2,FALSE)</f>
        <v>Sedas Lion Rolling Circus 1/4 alfalfa</v>
      </c>
      <c r="D283" s="37">
        <f>VLOOKUP(Ventas[[#This Row],[Codigo]],Stock[#Data],4,FALSE)</f>
        <v>300</v>
      </c>
      <c r="E283" s="33">
        <f>VLOOKUP(Ventas[[#This Row],[Codigo]],Stock[#Data],3,FALSE)</f>
        <v>150</v>
      </c>
      <c r="F283" s="38">
        <v>1</v>
      </c>
      <c r="G283">
        <v>63</v>
      </c>
      <c r="H283" s="36">
        <f>Ventas[[#This Row],[Precio Venta]]*Ventas[[#This Row],[Cantidad]]-Ventas[[#This Row],[Descuento]]</f>
        <v>300</v>
      </c>
      <c r="I283" s="34">
        <f>Ventas[[#This Row],[Total]]-Ventas[[#This Row],[Precio compra]]*Ventas[[#This Row],[Cantidad]]</f>
        <v>150</v>
      </c>
      <c r="J283" s="34">
        <v>0</v>
      </c>
      <c r="K283" s="34">
        <f>Ventas[[#This Row],[Total]]*Ventas[[#This Row],[Total 3]]</f>
        <v>0</v>
      </c>
      <c r="L283" s="34" t="s">
        <v>760</v>
      </c>
      <c r="M283" s="34"/>
    </row>
    <row r="284" spans="1:13" ht="21.75" customHeight="1">
      <c r="A284" s="16"/>
      <c r="B284" s="39" t="s">
        <v>793</v>
      </c>
      <c r="C284" s="35" t="str">
        <f>VLOOKUP(Ventas[[#This Row],[Codigo]],Stock[#Data],2,FALSE)</f>
        <v>Pipa de Cerámica Hippie</v>
      </c>
      <c r="D284" s="37">
        <f>VLOOKUP(Ventas[[#This Row],[Codigo]],Stock[#Data],4,FALSE)</f>
        <v>800</v>
      </c>
      <c r="E284" s="33">
        <f>VLOOKUP(Ventas[[#This Row],[Codigo]],Stock[#Data],3,FALSE)</f>
        <v>400</v>
      </c>
      <c r="F284" s="38">
        <v>1</v>
      </c>
      <c r="G284">
        <v>523</v>
      </c>
      <c r="H284" s="36">
        <f>Ventas[[#This Row],[Precio Venta]]*Ventas[[#This Row],[Cantidad]]-Ventas[[#This Row],[Descuento]]</f>
        <v>800</v>
      </c>
      <c r="I284" s="34">
        <f>Ventas[[#This Row],[Total]]-Ventas[[#This Row],[Precio compra]]*Ventas[[#This Row],[Cantidad]]</f>
        <v>400</v>
      </c>
      <c r="J284" s="34">
        <v>0</v>
      </c>
      <c r="K284" s="34">
        <f>Ventas[[#This Row],[Total]]*Ventas[[#This Row],[Total 3]]</f>
        <v>0</v>
      </c>
      <c r="L284" s="34" t="s">
        <v>760</v>
      </c>
      <c r="M284" s="34"/>
    </row>
    <row r="285" spans="1:13" ht="21.75" customHeight="1">
      <c r="A285" s="16"/>
      <c r="B285" s="39" t="s">
        <v>793</v>
      </c>
      <c r="C285" s="35" t="str">
        <f>VLOOKUP(Ventas[[#This Row],[Codigo]],Stock[#Data],2,FALSE)</f>
        <v>Sedas Blunt Rey 1/4 organic</v>
      </c>
      <c r="D285" s="37">
        <f>VLOOKUP(Ventas[[#This Row],[Codigo]],Stock[#Data],4,FALSE)</f>
        <v>250</v>
      </c>
      <c r="E285" s="33">
        <f>VLOOKUP(Ventas[[#This Row],[Codigo]],Stock[#Data],3,FALSE)</f>
        <v>109</v>
      </c>
      <c r="F285" s="38">
        <v>1</v>
      </c>
      <c r="G285">
        <v>67</v>
      </c>
      <c r="H285" s="36">
        <f>Ventas[[#This Row],[Precio Venta]]*Ventas[[#This Row],[Cantidad]]-Ventas[[#This Row],[Descuento]]</f>
        <v>250</v>
      </c>
      <c r="I285" s="34">
        <f>Ventas[[#This Row],[Total]]-Ventas[[#This Row],[Precio compra]]*Ventas[[#This Row],[Cantidad]]</f>
        <v>141</v>
      </c>
      <c r="J285" s="34">
        <v>0</v>
      </c>
      <c r="K285" s="34">
        <f>Ventas[[#This Row],[Total]]*Ventas[[#This Row],[Total 3]]</f>
        <v>0</v>
      </c>
      <c r="L285" s="34" t="s">
        <v>760</v>
      </c>
      <c r="M285" s="34"/>
    </row>
    <row r="286" spans="1:13" ht="21.75" customHeight="1">
      <c r="A286" s="16"/>
      <c r="B286" s="39" t="s">
        <v>792</v>
      </c>
      <c r="C286" s="32" t="str">
        <f>VLOOKUP(Ventas[[#This Row],[Codigo]],Stock[#Data],2,FALSE)</f>
        <v>VAMP Guano de murcielago Flora</v>
      </c>
      <c r="D286" s="37">
        <f>VLOOKUP(Ventas[[#This Row],[Codigo]],Stock[#Data],4,FALSE)</f>
        <v>1000</v>
      </c>
      <c r="E286" s="33">
        <f>VLOOKUP(Ventas[[#This Row],[Codigo]],Stock[#Data],3,FALSE)</f>
        <v>510</v>
      </c>
      <c r="F286" s="38">
        <v>1</v>
      </c>
      <c r="G286">
        <v>38</v>
      </c>
      <c r="H286" s="36">
        <f>Ventas[[#This Row],[Precio Venta]]*Ventas[[#This Row],[Cantidad]]-Ventas[[#This Row],[Descuento]]</f>
        <v>1000</v>
      </c>
      <c r="I286" s="34">
        <f>Ventas[[#This Row],[Total]]-Ventas[[#This Row],[Precio compra]]*Ventas[[#This Row],[Cantidad]]</f>
        <v>490</v>
      </c>
      <c r="J286" s="34">
        <v>0</v>
      </c>
      <c r="K286" s="34">
        <f>Ventas[[#This Row],[Total]]*Ventas[[#This Row],[Total 3]]</f>
        <v>0</v>
      </c>
      <c r="L286" s="34" t="s">
        <v>760</v>
      </c>
      <c r="M286" s="34"/>
    </row>
    <row r="287" spans="1:13" ht="21.75" customHeight="1">
      <c r="A287" s="16"/>
      <c r="B287" s="39" t="s">
        <v>785</v>
      </c>
      <c r="C287" s="32" t="str">
        <f>VLOOKUP(Ventas[[#This Row],[Codigo]],Stock[#Data],2,FALSE)</f>
        <v>Armador ZEUS Plástico</v>
      </c>
      <c r="D287" s="37">
        <f>VLOOKUP(Ventas[[#This Row],[Codigo]],Stock[#Data],4,FALSE)</f>
        <v>900</v>
      </c>
      <c r="E287" s="33">
        <f>VLOOKUP(Ventas[[#This Row],[Codigo]],Stock[#Data],3,FALSE)</f>
        <v>430</v>
      </c>
      <c r="F287" s="38">
        <v>1</v>
      </c>
      <c r="G287">
        <v>170</v>
      </c>
      <c r="H287" s="36">
        <f>Ventas[[#This Row],[Precio Venta]]*Ventas[[#This Row],[Cantidad]]-Ventas[[#This Row],[Descuento]]</f>
        <v>900</v>
      </c>
      <c r="I287" s="34">
        <f>Ventas[[#This Row],[Total]]-Ventas[[#This Row],[Precio compra]]*Ventas[[#This Row],[Cantidad]]</f>
        <v>470</v>
      </c>
      <c r="J287" s="34">
        <v>0</v>
      </c>
      <c r="K287" s="34">
        <f>Ventas[[#This Row],[Total]]*Ventas[[#This Row],[Total 3]]</f>
        <v>0</v>
      </c>
      <c r="L287" s="34" t="s">
        <v>760</v>
      </c>
      <c r="M287" s="34"/>
    </row>
    <row r="288" spans="1:13" ht="21.75" customHeight="1">
      <c r="A288" s="16"/>
      <c r="B288" s="39" t="s">
        <v>785</v>
      </c>
      <c r="C288" s="32" t="str">
        <f>VLOOKUP(Ventas[[#This Row],[Codigo]],Stock[#Data],2,FALSE)</f>
        <v xml:space="preserve">Sedas Stamps Celulosa </v>
      </c>
      <c r="D288" s="37">
        <f>VLOOKUP(Ventas[[#This Row],[Codigo]],Stock[#Data],4,FALSE)</f>
        <v>500</v>
      </c>
      <c r="E288" s="33">
        <f>VLOOKUP(Ventas[[#This Row],[Codigo]],Stock[#Data],3,FALSE)</f>
        <v>260</v>
      </c>
      <c r="F288" s="38">
        <v>2</v>
      </c>
      <c r="G288">
        <v>622</v>
      </c>
      <c r="H288" s="36">
        <f>Ventas[[#This Row],[Precio Venta]]*Ventas[[#This Row],[Cantidad]]-Ventas[[#This Row],[Descuento]]</f>
        <v>1000</v>
      </c>
      <c r="I288" s="34">
        <f>Ventas[[#This Row],[Total]]-Ventas[[#This Row],[Precio compra]]*Ventas[[#This Row],[Cantidad]]</f>
        <v>480</v>
      </c>
      <c r="J288" s="34">
        <v>0</v>
      </c>
      <c r="K288" s="34">
        <f>Ventas[[#This Row],[Total]]*Ventas[[#This Row],[Total 3]]</f>
        <v>0</v>
      </c>
      <c r="L288" s="34" t="s">
        <v>760</v>
      </c>
      <c r="M288" s="34"/>
    </row>
    <row r="289" spans="1:13" ht="21.75" customHeight="1">
      <c r="A289" s="16"/>
      <c r="B289" s="39" t="s">
        <v>785</v>
      </c>
      <c r="C289" s="32" t="str">
        <f>VLOOKUP(Ventas[[#This Row],[Codigo]],Stock[#Data],2,FALSE)</f>
        <v>Power Buffer PH7</v>
      </c>
      <c r="D289" s="37">
        <f>VLOOKUP(Ventas[[#This Row],[Codigo]],Stock[#Data],4,FALSE)</f>
        <v>600</v>
      </c>
      <c r="E289" s="33">
        <f>VLOOKUP(Ventas[[#This Row],[Codigo]],Stock[#Data],3,FALSE)</f>
        <v>310</v>
      </c>
      <c r="F289" s="38">
        <v>1</v>
      </c>
      <c r="G289">
        <v>56</v>
      </c>
      <c r="H289" s="36">
        <f>Ventas[[#This Row],[Precio Venta]]*Ventas[[#This Row],[Cantidad]]-Ventas[[#This Row],[Descuento]]</f>
        <v>600</v>
      </c>
      <c r="I289" s="34">
        <f>Ventas[[#This Row],[Total]]-Ventas[[#This Row],[Precio compra]]*Ventas[[#This Row],[Cantidad]]</f>
        <v>290</v>
      </c>
      <c r="J289" s="34">
        <v>0</v>
      </c>
      <c r="K289" s="34">
        <f>Ventas[[#This Row],[Total]]*Ventas[[#This Row],[Total 3]]</f>
        <v>0</v>
      </c>
      <c r="L289" s="34" t="s">
        <v>760</v>
      </c>
      <c r="M289" s="34"/>
    </row>
    <row r="290" spans="1:13" ht="21.75" customHeight="1">
      <c r="A290" s="16"/>
      <c r="B290" s="39" t="s">
        <v>785</v>
      </c>
      <c r="C290" s="32" t="str">
        <f>VLOOKUP(Ventas[[#This Row],[Codigo]],Stock[#Data],2,FALSE)</f>
        <v>Power Buffer PH4</v>
      </c>
      <c r="D290" s="37">
        <f>VLOOKUP(Ventas[[#This Row],[Codigo]],Stock[#Data],4,FALSE)</f>
        <v>600</v>
      </c>
      <c r="E290" s="33">
        <f>VLOOKUP(Ventas[[#This Row],[Codigo]],Stock[#Data],3,FALSE)</f>
        <v>310</v>
      </c>
      <c r="F290" s="38">
        <v>1</v>
      </c>
      <c r="G290">
        <v>57</v>
      </c>
      <c r="H290" s="36">
        <f>Ventas[[#This Row],[Precio Venta]]*Ventas[[#This Row],[Cantidad]]-Ventas[[#This Row],[Descuento]]</f>
        <v>600</v>
      </c>
      <c r="I290" s="34">
        <f>Ventas[[#This Row],[Total]]-Ventas[[#This Row],[Precio compra]]*Ventas[[#This Row],[Cantidad]]</f>
        <v>290</v>
      </c>
      <c r="J290" s="34">
        <v>0</v>
      </c>
      <c r="K290" s="34">
        <f>Ventas[[#This Row],[Total]]*Ventas[[#This Row],[Total 3]]</f>
        <v>0</v>
      </c>
      <c r="L290" s="34" t="s">
        <v>760</v>
      </c>
      <c r="M290" s="34"/>
    </row>
    <row r="291" spans="1:13" ht="21.75" customHeight="1">
      <c r="A291" s="16"/>
      <c r="B291" s="39" t="s">
        <v>785</v>
      </c>
      <c r="C291" s="32" t="str">
        <f>VLOOKUP(Ventas[[#This Row],[Codigo]],Stock[#Data],2,FALSE)</f>
        <v>Power Cleaning H2O</v>
      </c>
      <c r="D291" s="37">
        <f>VLOOKUP(Ventas[[#This Row],[Codigo]],Stock[#Data],4,FALSE)</f>
        <v>800</v>
      </c>
      <c r="E291" s="33">
        <f>VLOOKUP(Ventas[[#This Row],[Codigo]],Stock[#Data],3,FALSE)</f>
        <v>380</v>
      </c>
      <c r="F291" s="38">
        <v>1</v>
      </c>
      <c r="G291">
        <v>54</v>
      </c>
      <c r="H291" s="36">
        <f>Ventas[[#This Row],[Precio Venta]]*Ventas[[#This Row],[Cantidad]]-Ventas[[#This Row],[Descuento]]</f>
        <v>800</v>
      </c>
      <c r="I291" s="34">
        <f>Ventas[[#This Row],[Total]]-Ventas[[#This Row],[Precio compra]]*Ventas[[#This Row],[Cantidad]]</f>
        <v>420</v>
      </c>
      <c r="J291" s="34">
        <v>0</v>
      </c>
      <c r="K291" s="34">
        <f>Ventas[[#This Row],[Total]]*Ventas[[#This Row],[Total 3]]</f>
        <v>0</v>
      </c>
      <c r="L291" s="34" t="s">
        <v>760</v>
      </c>
      <c r="M291" s="34"/>
    </row>
    <row r="292" spans="1:13" ht="21.75" customHeight="1">
      <c r="A292" s="16"/>
      <c r="B292" s="39">
        <v>45023</v>
      </c>
      <c r="C292" s="32" t="str">
        <f>VLOOKUP(Ventas[[#This Row],[Codigo]],Stock[#Data],2,FALSE)</f>
        <v>Picador 3p Calavera Rosa</v>
      </c>
      <c r="D292" s="37">
        <f>VLOOKUP(Ventas[[#This Row],[Codigo]],Stock[#Data],4,FALSE)</f>
        <v>5000</v>
      </c>
      <c r="E292" s="33">
        <f>VLOOKUP(Ventas[[#This Row],[Codigo]],Stock[#Data],3,FALSE)</f>
        <v>2496</v>
      </c>
      <c r="F292" s="38">
        <v>1</v>
      </c>
      <c r="G292">
        <v>617</v>
      </c>
      <c r="H292" s="36">
        <f>Ventas[[#This Row],[Precio Venta]]*Ventas[[#This Row],[Cantidad]]-Ventas[[#This Row],[Descuento]]</f>
        <v>5000</v>
      </c>
      <c r="I292" s="34">
        <f>Ventas[[#This Row],[Total]]-Ventas[[#This Row],[Precio compra]]*Ventas[[#This Row],[Cantidad]]</f>
        <v>2504</v>
      </c>
      <c r="J292" s="34">
        <v>1</v>
      </c>
      <c r="K292" s="34">
        <f>Ventas[[#This Row],[Total]]*Ventas[[#This Row],[Total 3]]</f>
        <v>5000</v>
      </c>
      <c r="L292" s="34" t="s">
        <v>759</v>
      </c>
      <c r="M292" s="34"/>
    </row>
    <row r="293" spans="1:13" ht="21.75" customHeight="1">
      <c r="A293" s="16"/>
      <c r="B293" s="39">
        <v>45023</v>
      </c>
      <c r="C293" s="32" t="str">
        <f>VLOOKUP(Ventas[[#This Row],[Codigo]],Stock[#Data],2,FALSE)</f>
        <v>Sedas Blunt Rey 1/4 celulosa Orange</v>
      </c>
      <c r="D293" s="37">
        <f>VLOOKUP(Ventas[[#This Row],[Codigo]],Stock[#Data],4,FALSE)</f>
        <v>300</v>
      </c>
      <c r="E293" s="33">
        <f>VLOOKUP(Ventas[[#This Row],[Codigo]],Stock[#Data],3,FALSE)</f>
        <v>143</v>
      </c>
      <c r="F293" s="38">
        <v>2</v>
      </c>
      <c r="G293">
        <v>71</v>
      </c>
      <c r="H293" s="36">
        <f>Ventas[[#This Row],[Precio Venta]]*Ventas[[#This Row],[Cantidad]]-Ventas[[#This Row],[Descuento]]</f>
        <v>600</v>
      </c>
      <c r="I293" s="34">
        <f>Ventas[[#This Row],[Total]]-Ventas[[#This Row],[Precio compra]]*Ventas[[#This Row],[Cantidad]]</f>
        <v>314</v>
      </c>
      <c r="J293" s="34">
        <v>1</v>
      </c>
      <c r="K293" s="34">
        <f>Ventas[[#This Row],[Total]]*Ventas[[#This Row],[Total 3]]</f>
        <v>600</v>
      </c>
      <c r="L293" s="34" t="s">
        <v>759</v>
      </c>
      <c r="M293" s="34"/>
    </row>
    <row r="294" spans="1:13" ht="21.75" customHeight="1">
      <c r="A294" s="16"/>
      <c r="B294" s="39" t="s">
        <v>784</v>
      </c>
      <c r="C294" s="32" t="str">
        <f>VLOOKUP(Ventas[[#This Row],[Codigo]],Stock[#Data],2,FALSE)</f>
        <v xml:space="preserve">Clipper Raw </v>
      </c>
      <c r="D294" s="37">
        <f>VLOOKUP(Ventas[[#This Row],[Codigo]],Stock[#Data],4,FALSE)</f>
        <v>550</v>
      </c>
      <c r="E294" s="33">
        <f>VLOOKUP(Ventas[[#This Row],[Codigo]],Stock[#Data],3,FALSE)</f>
        <v>276</v>
      </c>
      <c r="F294" s="38">
        <v>1</v>
      </c>
      <c r="G294">
        <v>502</v>
      </c>
      <c r="H294" s="36">
        <f>Ventas[[#This Row],[Precio Venta]]*Ventas[[#This Row],[Cantidad]]-Ventas[[#This Row],[Descuento]]</f>
        <v>550</v>
      </c>
      <c r="I294" s="34">
        <f>Ventas[[#This Row],[Total]]-Ventas[[#This Row],[Precio compra]]*Ventas[[#This Row],[Cantidad]]</f>
        <v>274</v>
      </c>
      <c r="J294" s="34">
        <v>0</v>
      </c>
      <c r="K294" s="34">
        <f>Ventas[[#This Row],[Total]]*Ventas[[#This Row],[Total 3]]</f>
        <v>0</v>
      </c>
      <c r="L294" s="34" t="s">
        <v>760</v>
      </c>
      <c r="M294" s="34"/>
    </row>
    <row r="295" spans="1:13" ht="21.75" customHeight="1">
      <c r="A295" s="16"/>
      <c r="B295" s="39" t="s">
        <v>784</v>
      </c>
      <c r="C295" s="32" t="str">
        <f>VLOOKUP(Ventas[[#This Row],[Codigo]],Stock[#Data],2,FALSE)</f>
        <v>Extractor Kudu 6"</v>
      </c>
      <c r="D295" s="37">
        <f>VLOOKUP(Ventas[[#This Row],[Codigo]],Stock[#Data],4,FALSE)</f>
        <v>10000</v>
      </c>
      <c r="E295" s="33">
        <f>VLOOKUP(Ventas[[#This Row],[Codigo]],Stock[#Data],3,FALSE)</f>
        <v>6075</v>
      </c>
      <c r="F295" s="38">
        <v>2</v>
      </c>
      <c r="G295">
        <v>397</v>
      </c>
      <c r="H295" s="36">
        <f>Ventas[[#This Row],[Precio Venta]]*Ventas[[#This Row],[Cantidad]]-Ventas[[#This Row],[Descuento]]</f>
        <v>20000</v>
      </c>
      <c r="I295" s="34">
        <f>Ventas[[#This Row],[Total]]-Ventas[[#This Row],[Precio compra]]*Ventas[[#This Row],[Cantidad]]</f>
        <v>7850</v>
      </c>
      <c r="J295" s="34">
        <v>0</v>
      </c>
      <c r="K295" s="34">
        <f>Ventas[[#This Row],[Total]]*Ventas[[#This Row],[Total 3]]</f>
        <v>0</v>
      </c>
      <c r="L295" s="34" t="s">
        <v>760</v>
      </c>
      <c r="M295" s="34"/>
    </row>
    <row r="296" spans="1:13" ht="21.75" customHeight="1">
      <c r="A296" s="16"/>
      <c r="B296" s="39" t="s">
        <v>784</v>
      </c>
      <c r="C296" s="32" t="str">
        <f>VLOOKUP(Ventas[[#This Row],[Codigo]],Stock[#Data],2,FALSE)</f>
        <v>Geotextiles 40L cultivate</v>
      </c>
      <c r="D296" s="37">
        <f>VLOOKUP(Ventas[[#This Row],[Codigo]],Stock[#Data],4,FALSE)</f>
        <v>1300</v>
      </c>
      <c r="E296" s="33">
        <f>VLOOKUP(Ventas[[#This Row],[Codigo]],Stock[#Data],3,FALSE)</f>
        <v>638</v>
      </c>
      <c r="F296" s="38">
        <v>1</v>
      </c>
      <c r="G296">
        <v>597</v>
      </c>
      <c r="H296" s="36">
        <f>Ventas[[#This Row],[Precio Venta]]*Ventas[[#This Row],[Cantidad]]-Ventas[[#This Row],[Descuento]]</f>
        <v>1300</v>
      </c>
      <c r="I296" s="34">
        <f>Ventas[[#This Row],[Total]]-Ventas[[#This Row],[Precio compra]]*Ventas[[#This Row],[Cantidad]]</f>
        <v>662</v>
      </c>
      <c r="J296" s="34">
        <v>0</v>
      </c>
      <c r="K296" s="34">
        <f>Ventas[[#This Row],[Total]]*Ventas[[#This Row],[Total 3]]</f>
        <v>0</v>
      </c>
      <c r="L296" s="34" t="s">
        <v>760</v>
      </c>
      <c r="M296" s="34"/>
    </row>
    <row r="297" spans="1:13" ht="21.75" customHeight="1">
      <c r="A297" s="16"/>
      <c r="B297" s="39" t="s">
        <v>784</v>
      </c>
      <c r="C297" s="32" t="str">
        <f>VLOOKUP(Ventas[[#This Row],[Codigo]],Stock[#Data],2,FALSE)</f>
        <v>Macetas Soplada 15L</v>
      </c>
      <c r="D297" s="37">
        <f>VLOOKUP(Ventas[[#This Row],[Codigo]],Stock[#Data],4,FALSE)</f>
        <v>450</v>
      </c>
      <c r="E297" s="33">
        <f>VLOOKUP(Ventas[[#This Row],[Codigo]],Stock[#Data],3,FALSE)</f>
        <v>222</v>
      </c>
      <c r="F297" s="38">
        <v>2</v>
      </c>
      <c r="G297">
        <v>380</v>
      </c>
      <c r="H297" s="36">
        <f>Ventas[[#This Row],[Precio Venta]]*Ventas[[#This Row],[Cantidad]]-Ventas[[#This Row],[Descuento]]</f>
        <v>900</v>
      </c>
      <c r="I297" s="34">
        <f>Ventas[[#This Row],[Total]]-Ventas[[#This Row],[Precio compra]]*Ventas[[#This Row],[Cantidad]]</f>
        <v>456</v>
      </c>
      <c r="J297" s="34">
        <v>0</v>
      </c>
      <c r="K297" s="34">
        <f>Ventas[[#This Row],[Total]]*Ventas[[#This Row],[Total 3]]</f>
        <v>0</v>
      </c>
      <c r="L297" s="34" t="s">
        <v>760</v>
      </c>
      <c r="M297" s="34"/>
    </row>
    <row r="298" spans="1:13" ht="21.75" customHeight="1">
      <c r="A298" s="16"/>
      <c r="B298" s="39" t="s">
        <v>783</v>
      </c>
      <c r="C298" s="32" t="str">
        <f>VLOOKUP(Ventas[[#This Row],[Codigo]],Stock[#Data],2,FALSE)</f>
        <v>Sedas Blunt Rey 1/4 celulosa Orange</v>
      </c>
      <c r="D298" s="37">
        <f>VLOOKUP(Ventas[[#This Row],[Codigo]],Stock[#Data],4,FALSE)</f>
        <v>300</v>
      </c>
      <c r="E298" s="33">
        <f>VLOOKUP(Ventas[[#This Row],[Codigo]],Stock[#Data],3,FALSE)</f>
        <v>143</v>
      </c>
      <c r="F298" s="38">
        <v>2</v>
      </c>
      <c r="G298">
        <v>71</v>
      </c>
      <c r="H298" s="36">
        <f>Ventas[[#This Row],[Precio Venta]]*Ventas[[#This Row],[Cantidad]]-Ventas[[#This Row],[Descuento]]</f>
        <v>600</v>
      </c>
      <c r="I298" s="34">
        <f>Ventas[[#This Row],[Total]]-Ventas[[#This Row],[Precio compra]]*Ventas[[#This Row],[Cantidad]]</f>
        <v>314</v>
      </c>
      <c r="J298" s="34">
        <v>0</v>
      </c>
      <c r="K298" s="34">
        <f>Ventas[[#This Row],[Total]]*Ventas[[#This Row],[Total 3]]</f>
        <v>0</v>
      </c>
      <c r="L298" s="34" t="s">
        <v>760</v>
      </c>
      <c r="M298" s="34"/>
    </row>
    <row r="299" spans="1:13" ht="21.75" customHeight="1">
      <c r="A299" s="16"/>
      <c r="B299" s="39" t="s">
        <v>783</v>
      </c>
      <c r="C299" s="32" t="str">
        <f>VLOOKUP(Ventas[[#This Row],[Codigo]],Stock[#Data],2,FALSE)</f>
        <v xml:space="preserve">Encendedor Clipper </v>
      </c>
      <c r="D299" s="37">
        <f>VLOOKUP(Ventas[[#This Row],[Codigo]],Stock[#Data],4,FALSE)</f>
        <v>600</v>
      </c>
      <c r="E299" s="33">
        <f>VLOOKUP(Ventas[[#This Row],[Codigo]],Stock[#Data],3,FALSE)</f>
        <v>378</v>
      </c>
      <c r="F299" s="38">
        <v>1</v>
      </c>
      <c r="G299">
        <v>58</v>
      </c>
      <c r="H299" s="36">
        <f>Ventas[[#This Row],[Precio Venta]]*Ventas[[#This Row],[Cantidad]]-Ventas[[#This Row],[Descuento]]</f>
        <v>600</v>
      </c>
      <c r="I299" s="34">
        <f>Ventas[[#This Row],[Total]]-Ventas[[#This Row],[Precio compra]]*Ventas[[#This Row],[Cantidad]]</f>
        <v>222</v>
      </c>
      <c r="J299" s="34">
        <v>0</v>
      </c>
      <c r="K299" s="34">
        <f>Ventas[[#This Row],[Total]]*Ventas[[#This Row],[Total 3]]</f>
        <v>0</v>
      </c>
      <c r="L299" s="34" t="s">
        <v>760</v>
      </c>
      <c r="M299" s="34"/>
    </row>
    <row r="300" spans="1:13" ht="21.75" customHeight="1">
      <c r="A300" s="16"/>
      <c r="B300" s="39" t="s">
        <v>783</v>
      </c>
      <c r="C300" s="32" t="str">
        <f>VLOOKUP(Ventas[[#This Row],[Codigo]],Stock[#Data],2,FALSE)</f>
        <v>Lata GIZEH</v>
      </c>
      <c r="D300" s="37">
        <f>VLOOKUP(Ventas[[#This Row],[Codigo]],Stock[#Data],4,FALSE)</f>
        <v>700</v>
      </c>
      <c r="E300" s="33">
        <f>VLOOKUP(Ventas[[#This Row],[Codigo]],Stock[#Data],3,FALSE)</f>
        <v>300</v>
      </c>
      <c r="F300" s="38">
        <v>1</v>
      </c>
      <c r="G300">
        <v>554</v>
      </c>
      <c r="H300" s="36">
        <f>Ventas[[#This Row],[Precio Venta]]*Ventas[[#This Row],[Cantidad]]-Ventas[[#This Row],[Descuento]]</f>
        <v>700</v>
      </c>
      <c r="I300" s="34">
        <f>Ventas[[#This Row],[Total]]-Ventas[[#This Row],[Precio compra]]*Ventas[[#This Row],[Cantidad]]</f>
        <v>400</v>
      </c>
      <c r="J300" s="34">
        <v>0</v>
      </c>
      <c r="K300" s="34">
        <f>Ventas[[#This Row],[Total]]*Ventas[[#This Row],[Total 3]]</f>
        <v>0</v>
      </c>
      <c r="L300" s="34" t="s">
        <v>760</v>
      </c>
      <c r="M300" s="34"/>
    </row>
    <row r="301" spans="1:13" ht="21.75" customHeight="1">
      <c r="A301" s="16"/>
      <c r="B301" s="39" t="s">
        <v>783</v>
      </c>
      <c r="C301" s="32" t="str">
        <f>VLOOKUP(Ventas[[#This Row],[Codigo]],Stock[#Data],2,FALSE)</f>
        <v>Araña Roja Green Leaf 100ml</v>
      </c>
      <c r="D301" s="37">
        <f>VLOOKUP(Ventas[[#This Row],[Codigo]],Stock[#Data],4,FALSE)</f>
        <v>1800</v>
      </c>
      <c r="E301" s="33">
        <f>VLOOKUP(Ventas[[#This Row],[Codigo]],Stock[#Data],3,FALSE)</f>
        <v>904</v>
      </c>
      <c r="F301" s="38">
        <v>2</v>
      </c>
      <c r="G301">
        <v>470</v>
      </c>
      <c r="H301" s="36">
        <f>Ventas[[#This Row],[Precio Venta]]*Ventas[[#This Row],[Cantidad]]-Ventas[[#This Row],[Descuento]]</f>
        <v>3600</v>
      </c>
      <c r="I301" s="34">
        <f>Ventas[[#This Row],[Total]]-Ventas[[#This Row],[Precio compra]]*Ventas[[#This Row],[Cantidad]]</f>
        <v>1792</v>
      </c>
      <c r="J301" s="34">
        <v>0</v>
      </c>
      <c r="K301" s="34">
        <f>Ventas[[#This Row],[Total]]*Ventas[[#This Row],[Total 3]]</f>
        <v>0</v>
      </c>
      <c r="L301" s="34" t="s">
        <v>760</v>
      </c>
      <c r="M301" s="34"/>
    </row>
    <row r="302" spans="1:13" ht="21.75" customHeight="1">
      <c r="A302" s="16"/>
      <c r="B302" s="39" t="s">
        <v>783</v>
      </c>
      <c r="C302" s="32" t="str">
        <f>VLOOKUP(Ventas[[#This Row],[Codigo]],Stock[#Data],2,FALSE)</f>
        <v>SKOG Zeta</v>
      </c>
      <c r="D302" s="37">
        <f>VLOOKUP(Ventas[[#This Row],[Codigo]],Stock[#Data],4,FALSE)</f>
        <v>800</v>
      </c>
      <c r="E302" s="33">
        <f>VLOOKUP(Ventas[[#This Row],[Codigo]],Stock[#Data],3,FALSE)</f>
        <v>405</v>
      </c>
      <c r="F302" s="38">
        <v>1</v>
      </c>
      <c r="G302">
        <v>13</v>
      </c>
      <c r="H302" s="36">
        <f>Ventas[[#This Row],[Precio Venta]]*Ventas[[#This Row],[Cantidad]]-Ventas[[#This Row],[Descuento]]</f>
        <v>800</v>
      </c>
      <c r="I302" s="34">
        <f>Ventas[[#This Row],[Total]]-Ventas[[#This Row],[Precio compra]]*Ventas[[#This Row],[Cantidad]]</f>
        <v>395</v>
      </c>
      <c r="J302" s="34">
        <v>0</v>
      </c>
      <c r="K302" s="34">
        <f>Ventas[[#This Row],[Total]]*Ventas[[#This Row],[Total 3]]</f>
        <v>0</v>
      </c>
      <c r="L302" s="34" t="s">
        <v>760</v>
      </c>
      <c r="M302" s="34"/>
    </row>
    <row r="303" spans="1:13" ht="21.75" customHeight="1">
      <c r="A303" s="16"/>
      <c r="B303" s="39" t="s">
        <v>783</v>
      </c>
      <c r="C303" s="32" t="str">
        <f>VLOOKUP(Ventas[[#This Row],[Codigo]],Stock[#Data],2,FALSE)</f>
        <v>Sedas Smoking x 300</v>
      </c>
      <c r="D303" s="37">
        <f>VLOOKUP(Ventas[[#This Row],[Codigo]],Stock[#Data],4,FALSE)</f>
        <v>450</v>
      </c>
      <c r="E303" s="33">
        <f>VLOOKUP(Ventas[[#This Row],[Codigo]],Stock[#Data],3,FALSE)</f>
        <v>223</v>
      </c>
      <c r="F303" s="38">
        <v>1</v>
      </c>
      <c r="G303">
        <v>83</v>
      </c>
      <c r="H303" s="36">
        <f>Ventas[[#This Row],[Precio Venta]]*Ventas[[#This Row],[Cantidad]]-Ventas[[#This Row],[Descuento]]</f>
        <v>450</v>
      </c>
      <c r="I303" s="34">
        <f>Ventas[[#This Row],[Total]]-Ventas[[#This Row],[Precio compra]]*Ventas[[#This Row],[Cantidad]]</f>
        <v>227</v>
      </c>
      <c r="J303" s="34">
        <v>0</v>
      </c>
      <c r="K303" s="34">
        <f>Ventas[[#This Row],[Total]]*Ventas[[#This Row],[Total 3]]</f>
        <v>0</v>
      </c>
      <c r="L303" s="34" t="s">
        <v>760</v>
      </c>
      <c r="M303" s="34"/>
    </row>
    <row r="304" spans="1:13" ht="21.75" customHeight="1">
      <c r="A304" s="16"/>
      <c r="B304" s="39" t="s">
        <v>783</v>
      </c>
      <c r="C304" s="32" t="str">
        <f>VLOOKUP(Ventas[[#This Row],[Codigo]],Stock[#Data],2,FALSE)</f>
        <v>Sedas STAMPS Kz Organic</v>
      </c>
      <c r="D304" s="37">
        <f>VLOOKUP(Ventas[[#This Row],[Codigo]],Stock[#Data],4,FALSE)</f>
        <v>200</v>
      </c>
      <c r="E304" s="33">
        <f>VLOOKUP(Ventas[[#This Row],[Codigo]],Stock[#Data],3,FALSE)</f>
        <v>93</v>
      </c>
      <c r="F304" s="38">
        <v>1</v>
      </c>
      <c r="G304">
        <v>75</v>
      </c>
      <c r="H304" s="36">
        <f>Ventas[[#This Row],[Precio Venta]]*Ventas[[#This Row],[Cantidad]]-Ventas[[#This Row],[Descuento]]</f>
        <v>200</v>
      </c>
      <c r="I304" s="34">
        <f>Ventas[[#This Row],[Total]]-Ventas[[#This Row],[Precio compra]]*Ventas[[#This Row],[Cantidad]]</f>
        <v>107</v>
      </c>
      <c r="J304" s="34">
        <v>1</v>
      </c>
      <c r="K304" s="34">
        <f>Ventas[[#This Row],[Total]]*Ventas[[#This Row],[Total 3]]</f>
        <v>200</v>
      </c>
      <c r="L304" s="34" t="s">
        <v>759</v>
      </c>
      <c r="M304" s="34"/>
    </row>
    <row r="305" spans="1:13" ht="21.75" customHeight="1">
      <c r="A305" s="16"/>
      <c r="B305" s="39" t="s">
        <v>783</v>
      </c>
      <c r="C305" s="32" t="str">
        <f>VLOOKUP(Ventas[[#This Row],[Codigo]],Stock[#Data],2,FALSE)</f>
        <v>Blunt Lion Rolling Circus TERPENES GELATO</v>
      </c>
      <c r="D305" s="37">
        <f>VLOOKUP(Ventas[[#This Row],[Codigo]],Stock[#Data],4,FALSE)</f>
        <v>850</v>
      </c>
      <c r="E305" s="33">
        <f>VLOOKUP(Ventas[[#This Row],[Codigo]],Stock[#Data],3,FALSE)</f>
        <v>422</v>
      </c>
      <c r="F305" s="38">
        <v>2</v>
      </c>
      <c r="G305">
        <v>99</v>
      </c>
      <c r="H305" s="36">
        <f>Ventas[[#This Row],[Precio Venta]]*Ventas[[#This Row],[Cantidad]]-Ventas[[#This Row],[Descuento]]</f>
        <v>1700</v>
      </c>
      <c r="I305" s="34">
        <f>Ventas[[#This Row],[Total]]-Ventas[[#This Row],[Precio compra]]*Ventas[[#This Row],[Cantidad]]</f>
        <v>856</v>
      </c>
      <c r="J305" s="34">
        <v>0</v>
      </c>
      <c r="K305" s="34">
        <f>Ventas[[#This Row],[Total]]*Ventas[[#This Row],[Total 3]]</f>
        <v>0</v>
      </c>
      <c r="L305" s="34" t="s">
        <v>760</v>
      </c>
      <c r="M305" s="34"/>
    </row>
    <row r="306" spans="1:13" ht="21.75" customHeight="1">
      <c r="A306" s="16"/>
      <c r="B306" s="39" t="s">
        <v>783</v>
      </c>
      <c r="C306" s="32" t="str">
        <f>VLOOKUP(Ventas[[#This Row],[Codigo]],Stock[#Data],2,FALSE)</f>
        <v xml:space="preserve">Picar StampsAcrilico 4 partes </v>
      </c>
      <c r="D306" s="37">
        <f>VLOOKUP(Ventas[[#This Row],[Codigo]],Stock[#Data],4,FALSE)</f>
        <v>1500</v>
      </c>
      <c r="E306" s="33">
        <f>VLOOKUP(Ventas[[#This Row],[Codigo]],Stock[#Data],3,FALSE)</f>
        <v>595</v>
      </c>
      <c r="F306" s="38">
        <v>1</v>
      </c>
      <c r="G306">
        <v>418</v>
      </c>
      <c r="H306" s="36">
        <f>Ventas[[#This Row],[Precio Venta]]*Ventas[[#This Row],[Cantidad]]-Ventas[[#This Row],[Descuento]]</f>
        <v>1500</v>
      </c>
      <c r="I306" s="34">
        <f>Ventas[[#This Row],[Total]]-Ventas[[#This Row],[Precio compra]]*Ventas[[#This Row],[Cantidad]]</f>
        <v>905</v>
      </c>
      <c r="J306" s="34">
        <v>0</v>
      </c>
      <c r="K306" s="34">
        <f>Ventas[[#This Row],[Total]]*Ventas[[#This Row],[Total 3]]</f>
        <v>0</v>
      </c>
      <c r="L306" s="34" t="s">
        <v>760</v>
      </c>
      <c r="M306" s="34"/>
    </row>
    <row r="307" spans="1:13" ht="21.75" customHeight="1">
      <c r="A307" s="16"/>
      <c r="B307" s="39" t="s">
        <v>783</v>
      </c>
      <c r="C307" s="32" t="str">
        <f>VLOOKUP(Ventas[[#This Row],[Codigo]],Stock[#Data],2,FALSE)</f>
        <v>OCB premium</v>
      </c>
      <c r="D307" s="37">
        <f>VLOOKUP(Ventas[[#This Row],[Codigo]],Stock[#Data],4,FALSE)</f>
        <v>300</v>
      </c>
      <c r="E307" s="33">
        <f>VLOOKUP(Ventas[[#This Row],[Codigo]],Stock[#Data],3,FALSE)</f>
        <v>165</v>
      </c>
      <c r="F307" s="38">
        <v>3</v>
      </c>
      <c r="G307">
        <v>594</v>
      </c>
      <c r="H307" s="36">
        <f>Ventas[[#This Row],[Precio Venta]]*Ventas[[#This Row],[Cantidad]]-Ventas[[#This Row],[Descuento]]</f>
        <v>900</v>
      </c>
      <c r="I307" s="34">
        <f>Ventas[[#This Row],[Total]]-Ventas[[#This Row],[Precio compra]]*Ventas[[#This Row],[Cantidad]]</f>
        <v>405</v>
      </c>
      <c r="J307" s="34">
        <v>0</v>
      </c>
      <c r="K307" s="34">
        <f>Ventas[[#This Row],[Total]]*Ventas[[#This Row],[Total 3]]</f>
        <v>0</v>
      </c>
      <c r="L307" s="34" t="s">
        <v>760</v>
      </c>
      <c r="M307" s="34"/>
    </row>
    <row r="308" spans="1:13" ht="21.75" customHeight="1">
      <c r="A308" s="16"/>
      <c r="B308" s="39" t="s">
        <v>783</v>
      </c>
      <c r="C308" s="32" t="str">
        <f>VLOOKUP(Ventas[[#This Row],[Codigo]],Stock[#Data],2,FALSE)</f>
        <v>Sustrato Perlita</v>
      </c>
      <c r="D308" s="37">
        <f>VLOOKUP(Ventas[[#This Row],[Codigo]],Stock[#Data],4,FALSE)</f>
        <v>800</v>
      </c>
      <c r="E308" s="33">
        <f>VLOOKUP(Ventas[[#This Row],[Codigo]],Stock[#Data],3,FALSE)</f>
        <v>400</v>
      </c>
      <c r="F308" s="38">
        <v>6</v>
      </c>
      <c r="G308">
        <v>52</v>
      </c>
      <c r="H308" s="36">
        <f>Ventas[[#This Row],[Precio Venta]]*Ventas[[#This Row],[Cantidad]]-Ventas[[#This Row],[Descuento]]</f>
        <v>4800</v>
      </c>
      <c r="I308" s="34">
        <f>Ventas[[#This Row],[Total]]-Ventas[[#This Row],[Precio compra]]*Ventas[[#This Row],[Cantidad]]</f>
        <v>2400</v>
      </c>
      <c r="J308" s="34">
        <v>0</v>
      </c>
      <c r="K308" s="34">
        <f>Ventas[[#This Row],[Total]]*Ventas[[#This Row],[Total 3]]</f>
        <v>0</v>
      </c>
      <c r="L308" s="34" t="s">
        <v>760</v>
      </c>
      <c r="M308" s="34"/>
    </row>
    <row r="309" spans="1:13" ht="21.75" customHeight="1">
      <c r="A309" s="16"/>
      <c r="B309" s="39" t="s">
        <v>783</v>
      </c>
      <c r="C309" s="32" t="str">
        <f>VLOOKUP(Ventas[[#This Row],[Codigo]],Stock[#Data],2,FALSE)</f>
        <v>Piedra para encendedor</v>
      </c>
      <c r="D309" s="37">
        <f>VLOOKUP(Ventas[[#This Row],[Codigo]],Stock[#Data],4,FALSE)</f>
        <v>450</v>
      </c>
      <c r="E309" s="33">
        <f>VLOOKUP(Ventas[[#This Row],[Codigo]],Stock[#Data],3,FALSE)</f>
        <v>223</v>
      </c>
      <c r="F309" s="38">
        <v>1</v>
      </c>
      <c r="G309">
        <v>201</v>
      </c>
      <c r="H309" s="36">
        <f>Ventas[[#This Row],[Precio Venta]]*Ventas[[#This Row],[Cantidad]]-Ventas[[#This Row],[Descuento]]</f>
        <v>450</v>
      </c>
      <c r="I309" s="34">
        <f>Ventas[[#This Row],[Total]]-Ventas[[#This Row],[Precio compra]]*Ventas[[#This Row],[Cantidad]]</f>
        <v>227</v>
      </c>
      <c r="J309" s="34">
        <v>1</v>
      </c>
      <c r="K309" s="34">
        <f>Ventas[[#This Row],[Total]]*Ventas[[#This Row],[Total 3]]</f>
        <v>450</v>
      </c>
      <c r="L309" s="34" t="s">
        <v>759</v>
      </c>
      <c r="M309" s="34"/>
    </row>
    <row r="310" spans="1:13" ht="21.75" customHeight="1">
      <c r="A310" s="16"/>
      <c r="B310" s="39" t="s">
        <v>783</v>
      </c>
      <c r="C310" s="32" t="str">
        <f>VLOOKUP(Ventas[[#This Row],[Codigo]],Stock[#Data],2,FALSE)</f>
        <v>Lata GIZEH+Sedas</v>
      </c>
      <c r="D310" s="37">
        <f>VLOOKUP(Ventas[[#This Row],[Codigo]],Stock[#Data],4,FALSE)</f>
        <v>1000</v>
      </c>
      <c r="E310" s="33">
        <f>VLOOKUP(Ventas[[#This Row],[Codigo]],Stock[#Data],3,FALSE)</f>
        <v>376</v>
      </c>
      <c r="F310" s="38">
        <v>1</v>
      </c>
      <c r="G310">
        <v>555</v>
      </c>
      <c r="H310" s="36">
        <f>Ventas[[#This Row],[Precio Venta]]*Ventas[[#This Row],[Cantidad]]-Ventas[[#This Row],[Descuento]]</f>
        <v>1000</v>
      </c>
      <c r="I310" s="34">
        <f>Ventas[[#This Row],[Total]]-Ventas[[#This Row],[Precio compra]]*Ventas[[#This Row],[Cantidad]]</f>
        <v>624</v>
      </c>
      <c r="J310" s="34">
        <v>1</v>
      </c>
      <c r="K310" s="34">
        <f>Ventas[[#This Row],[Total]]*Ventas[[#This Row],[Total 3]]</f>
        <v>1000</v>
      </c>
      <c r="L310" s="34" t="s">
        <v>759</v>
      </c>
      <c r="M310" s="34"/>
    </row>
    <row r="311" spans="1:13" ht="21.75" customHeight="1">
      <c r="A311" s="16"/>
      <c r="B311" s="39" t="s">
        <v>783</v>
      </c>
      <c r="C311" s="32" t="str">
        <f>VLOOKUP(Ventas[[#This Row],[Codigo]],Stock[#Data],2,FALSE)</f>
        <v>Tips Lion Unbleached</v>
      </c>
      <c r="D311" s="37">
        <f>VLOOKUP(Ventas[[#This Row],[Codigo]],Stock[#Data],4,FALSE)</f>
        <v>250</v>
      </c>
      <c r="E311" s="33">
        <f>VLOOKUP(Ventas[[#This Row],[Codigo]],Stock[#Data],3,FALSE)</f>
        <v>137</v>
      </c>
      <c r="F311" s="38">
        <v>2</v>
      </c>
      <c r="G311">
        <v>458</v>
      </c>
      <c r="H311" s="36">
        <f>Ventas[[#This Row],[Precio Venta]]*Ventas[[#This Row],[Cantidad]]-Ventas[[#This Row],[Descuento]]</f>
        <v>500</v>
      </c>
      <c r="I311" s="34">
        <f>Ventas[[#This Row],[Total]]-Ventas[[#This Row],[Precio compra]]*Ventas[[#This Row],[Cantidad]]</f>
        <v>226</v>
      </c>
      <c r="J311" s="34">
        <v>0</v>
      </c>
      <c r="K311" s="34">
        <f>Ventas[[#This Row],[Total]]*Ventas[[#This Row],[Total 3]]</f>
        <v>0</v>
      </c>
      <c r="L311" s="34" t="s">
        <v>760</v>
      </c>
      <c r="M311" s="34"/>
    </row>
    <row r="312" spans="1:13" ht="21.75" customHeight="1">
      <c r="A312" s="16"/>
      <c r="B312" s="39" t="s">
        <v>783</v>
      </c>
      <c r="C312" s="32" t="str">
        <f>VLOOKUP(Ventas[[#This Row],[Codigo]],Stock[#Data],2,FALSE)</f>
        <v>VAMP Guano de murcielago Flora</v>
      </c>
      <c r="D312" s="37">
        <f>VLOOKUP(Ventas[[#This Row],[Codigo]],Stock[#Data],4,FALSE)</f>
        <v>1000</v>
      </c>
      <c r="E312" s="33">
        <f>VLOOKUP(Ventas[[#This Row],[Codigo]],Stock[#Data],3,FALSE)</f>
        <v>510</v>
      </c>
      <c r="F312" s="38">
        <v>1</v>
      </c>
      <c r="G312">
        <v>38</v>
      </c>
      <c r="H312" s="36">
        <f>Ventas[[#This Row],[Precio Venta]]*Ventas[[#This Row],[Cantidad]]-Ventas[[#This Row],[Descuento]]</f>
        <v>1000</v>
      </c>
      <c r="I312" s="34">
        <f>Ventas[[#This Row],[Total]]-Ventas[[#This Row],[Precio compra]]*Ventas[[#This Row],[Cantidad]]</f>
        <v>490</v>
      </c>
      <c r="J312" s="34">
        <v>0</v>
      </c>
      <c r="K312" s="34">
        <f>Ventas[[#This Row],[Total]]*Ventas[[#This Row],[Total 3]]</f>
        <v>0</v>
      </c>
      <c r="L312" s="34" t="s">
        <v>760</v>
      </c>
      <c r="M312" s="34"/>
    </row>
    <row r="313" spans="1:13" ht="21.75" customHeight="1">
      <c r="A313" s="16"/>
      <c r="B313" s="39" t="s">
        <v>783</v>
      </c>
      <c r="C313" s="32" t="str">
        <f>VLOOKUP(Ventas[[#This Row],[Codigo]],Stock[#Data],2,FALSE)</f>
        <v>VAMP Supermelaza</v>
      </c>
      <c r="D313" s="37">
        <f>VLOOKUP(Ventas[[#This Row],[Codigo]],Stock[#Data],4,FALSE)</f>
        <v>1800</v>
      </c>
      <c r="E313" s="33">
        <f>VLOOKUP(Ventas[[#This Row],[Codigo]],Stock[#Data],3,FALSE)</f>
        <v>908</v>
      </c>
      <c r="F313" s="38">
        <v>2</v>
      </c>
      <c r="G313">
        <v>36</v>
      </c>
      <c r="H313" s="36">
        <f>Ventas[[#This Row],[Precio Venta]]*Ventas[[#This Row],[Cantidad]]-Ventas[[#This Row],[Descuento]]</f>
        <v>3600</v>
      </c>
      <c r="I313" s="34">
        <f>Ventas[[#This Row],[Total]]-Ventas[[#This Row],[Precio compra]]*Ventas[[#This Row],[Cantidad]]</f>
        <v>1784</v>
      </c>
      <c r="J313" s="34">
        <v>0</v>
      </c>
      <c r="K313" s="34">
        <f>Ventas[[#This Row],[Total]]*Ventas[[#This Row],[Total 3]]</f>
        <v>0</v>
      </c>
      <c r="L313" s="34" t="s">
        <v>760</v>
      </c>
      <c r="M313" s="34"/>
    </row>
    <row r="314" spans="1:13" ht="21.75" customHeight="1">
      <c r="A314" s="16"/>
      <c r="B314" s="39" t="s">
        <v>783</v>
      </c>
      <c r="C314" s="32" t="str">
        <f>VLOOKUP(Ventas[[#This Row],[Codigo]],Stock[#Data],2,FALSE)</f>
        <v>Tips STAMPS ECO</v>
      </c>
      <c r="D314" s="37">
        <f>VLOOKUP(Ventas[[#This Row],[Codigo]],Stock[#Data],4,FALSE)</f>
        <v>150</v>
      </c>
      <c r="E314" s="33">
        <f>VLOOKUP(Ventas[[#This Row],[Codigo]],Stock[#Data],3,FALSE)</f>
        <v>73</v>
      </c>
      <c r="F314" s="38">
        <v>1</v>
      </c>
      <c r="G314">
        <v>308</v>
      </c>
      <c r="H314" s="36">
        <f>Ventas[[#This Row],[Precio Venta]]*Ventas[[#This Row],[Cantidad]]-Ventas[[#This Row],[Descuento]]</f>
        <v>150</v>
      </c>
      <c r="I314" s="34">
        <f>Ventas[[#This Row],[Total]]-Ventas[[#This Row],[Precio compra]]*Ventas[[#This Row],[Cantidad]]</f>
        <v>77</v>
      </c>
      <c r="J314" s="34">
        <v>0</v>
      </c>
      <c r="K314" s="34">
        <f>Ventas[[#This Row],[Total]]*Ventas[[#This Row],[Total 3]]</f>
        <v>0</v>
      </c>
      <c r="L314" s="34" t="s">
        <v>760</v>
      </c>
      <c r="M314" s="34"/>
    </row>
    <row r="315" spans="1:13" ht="21.75" customHeight="1">
      <c r="A315" s="16"/>
      <c r="B315" s="39" t="s">
        <v>783</v>
      </c>
      <c r="C315" s="32" t="str">
        <f>VLOOKUP(Ventas[[#This Row],[Codigo]],Stock[#Data],2,FALSE)</f>
        <v>Sedas STAMPS Celulosa x300</v>
      </c>
      <c r="D315" s="37">
        <f>VLOOKUP(Ventas[[#This Row],[Codigo]],Stock[#Data],4,FALSE)</f>
        <v>900</v>
      </c>
      <c r="E315" s="33">
        <f>VLOOKUP(Ventas[[#This Row],[Codigo]],Stock[#Data],3,FALSE)</f>
        <v>444</v>
      </c>
      <c r="F315" s="38">
        <v>1</v>
      </c>
      <c r="G315">
        <v>595</v>
      </c>
      <c r="H315" s="36">
        <f>Ventas[[#This Row],[Precio Venta]]*Ventas[[#This Row],[Cantidad]]-Ventas[[#This Row],[Descuento]]</f>
        <v>900</v>
      </c>
      <c r="I315" s="34">
        <f>Ventas[[#This Row],[Total]]-Ventas[[#This Row],[Precio compra]]*Ventas[[#This Row],[Cantidad]]</f>
        <v>456</v>
      </c>
      <c r="J315" s="34">
        <v>0</v>
      </c>
      <c r="K315" s="34">
        <f>Ventas[[#This Row],[Total]]*Ventas[[#This Row],[Total 3]]</f>
        <v>0</v>
      </c>
      <c r="L315" s="34" t="s">
        <v>760</v>
      </c>
      <c r="M315" s="34"/>
    </row>
    <row r="316" spans="1:13" ht="21.75" customHeight="1">
      <c r="A316" s="16"/>
      <c r="B316" s="39" t="s">
        <v>782</v>
      </c>
      <c r="C316" s="32" t="str">
        <f>VLOOKUP(Ventas[[#This Row],[Codigo]],Stock[#Data],2,FALSE)</f>
        <v>Revienta Esquejes 50cc</v>
      </c>
      <c r="D316" s="37">
        <f>VLOOKUP(Ventas[[#This Row],[Codigo]],Stock[#Data],4,FALSE)</f>
        <v>3000</v>
      </c>
      <c r="E316" s="33">
        <f>VLOOKUP(Ventas[[#This Row],[Codigo]],Stock[#Data],3,FALSE)</f>
        <v>1660</v>
      </c>
      <c r="F316" s="38">
        <v>1</v>
      </c>
      <c r="G316">
        <v>494</v>
      </c>
      <c r="H316" s="36">
        <f>Ventas[[#This Row],[Precio Venta]]*Ventas[[#This Row],[Cantidad]]-Ventas[[#This Row],[Descuento]]</f>
        <v>3000</v>
      </c>
      <c r="I316" s="34">
        <f>Ventas[[#This Row],[Total]]-Ventas[[#This Row],[Precio compra]]*Ventas[[#This Row],[Cantidad]]</f>
        <v>1340</v>
      </c>
      <c r="J316" s="34">
        <v>0</v>
      </c>
      <c r="K316" s="34">
        <f>Ventas[[#This Row],[Total]]*Ventas[[#This Row],[Total 3]]</f>
        <v>0</v>
      </c>
      <c r="L316" s="34" t="s">
        <v>760</v>
      </c>
      <c r="M316" s="34"/>
    </row>
    <row r="317" spans="1:13" ht="21.75" customHeight="1">
      <c r="A317" s="16"/>
      <c r="B317" s="39" t="s">
        <v>782</v>
      </c>
      <c r="C317" s="32" t="str">
        <f>VLOOKUP(Ventas[[#This Row],[Codigo]],Stock[#Data],2,FALSE)</f>
        <v>Sustrato Perlita</v>
      </c>
      <c r="D317" s="37">
        <f>VLOOKUP(Ventas[[#This Row],[Codigo]],Stock[#Data],4,FALSE)</f>
        <v>800</v>
      </c>
      <c r="E317" s="33">
        <f>VLOOKUP(Ventas[[#This Row],[Codigo]],Stock[#Data],3,FALSE)</f>
        <v>400</v>
      </c>
      <c r="F317" s="38">
        <v>4</v>
      </c>
      <c r="G317">
        <v>52</v>
      </c>
      <c r="H317" s="36">
        <f>Ventas[[#This Row],[Precio Venta]]*Ventas[[#This Row],[Cantidad]]-Ventas[[#This Row],[Descuento]]</f>
        <v>3200</v>
      </c>
      <c r="I317" s="34">
        <f>Ventas[[#This Row],[Total]]-Ventas[[#This Row],[Precio compra]]*Ventas[[#This Row],[Cantidad]]</f>
        <v>1600</v>
      </c>
      <c r="J317" s="34">
        <v>0</v>
      </c>
      <c r="K317" s="34">
        <f>Ventas[[#This Row],[Total]]*Ventas[[#This Row],[Total 3]]</f>
        <v>0</v>
      </c>
      <c r="L317" s="34" t="s">
        <v>760</v>
      </c>
      <c r="M317" s="34"/>
    </row>
    <row r="318" spans="1:13" ht="21.75" customHeight="1">
      <c r="A318" s="16"/>
      <c r="B318" s="39" t="s">
        <v>782</v>
      </c>
      <c r="C318" s="32" t="str">
        <f>VLOOKUP(Ventas[[#This Row],[Codigo]],Stock[#Data],2,FALSE)</f>
        <v>Sedas Lion Rolling Circus 1/4 alfalfa</v>
      </c>
      <c r="D318" s="37">
        <f>VLOOKUP(Ventas[[#This Row],[Codigo]],Stock[#Data],4,FALSE)</f>
        <v>300</v>
      </c>
      <c r="E318" s="33">
        <f>VLOOKUP(Ventas[[#This Row],[Codigo]],Stock[#Data],3,FALSE)</f>
        <v>150</v>
      </c>
      <c r="F318" s="38">
        <v>1</v>
      </c>
      <c r="G318">
        <v>63</v>
      </c>
      <c r="H318" s="36">
        <f>Ventas[[#This Row],[Precio Venta]]*Ventas[[#This Row],[Cantidad]]-Ventas[[#This Row],[Descuento]]</f>
        <v>300</v>
      </c>
      <c r="I318" s="34">
        <f>Ventas[[#This Row],[Total]]-Ventas[[#This Row],[Precio compra]]*Ventas[[#This Row],[Cantidad]]</f>
        <v>150</v>
      </c>
      <c r="J318" s="34">
        <v>1</v>
      </c>
      <c r="K318" s="34">
        <f>Ventas[[#This Row],[Total]]*Ventas[[#This Row],[Total 3]]</f>
        <v>300</v>
      </c>
      <c r="L318" s="34" t="s">
        <v>759</v>
      </c>
      <c r="M318" s="34"/>
    </row>
    <row r="319" spans="1:13" ht="21.75" customHeight="1">
      <c r="A319" s="16"/>
      <c r="B319" s="39" t="s">
        <v>782</v>
      </c>
      <c r="C319" s="32" t="str">
        <f>VLOOKUP(Ventas[[#This Row],[Codigo]],Stock[#Data],2,FALSE)</f>
        <v xml:space="preserve">Tips Raw Cone </v>
      </c>
      <c r="D319" s="37">
        <f>VLOOKUP(Ventas[[#This Row],[Codigo]],Stock[#Data],4,FALSE)</f>
        <v>450</v>
      </c>
      <c r="E319" s="33">
        <f>VLOOKUP(Ventas[[#This Row],[Codigo]],Stock[#Data],3,FALSE)</f>
        <v>230</v>
      </c>
      <c r="F319" s="38">
        <v>1</v>
      </c>
      <c r="G319">
        <v>453</v>
      </c>
      <c r="H319" s="36">
        <f>Ventas[[#This Row],[Precio Venta]]*Ventas[[#This Row],[Cantidad]]-Ventas[[#This Row],[Descuento]]</f>
        <v>450</v>
      </c>
      <c r="I319" s="34">
        <f>Ventas[[#This Row],[Total]]-Ventas[[#This Row],[Precio compra]]*Ventas[[#This Row],[Cantidad]]</f>
        <v>220</v>
      </c>
      <c r="J319" s="34">
        <v>1</v>
      </c>
      <c r="K319" s="34">
        <f>Ventas[[#This Row],[Total]]*Ventas[[#This Row],[Total 3]]</f>
        <v>450</v>
      </c>
      <c r="L319" s="34" t="s">
        <v>759</v>
      </c>
      <c r="M319" s="34"/>
    </row>
    <row r="320" spans="1:13" ht="21.75" customHeight="1">
      <c r="A320" s="16"/>
      <c r="B320" s="39" t="s">
        <v>782</v>
      </c>
      <c r="C320" s="32" t="str">
        <f>VLOOKUP(Ventas[[#This Row],[Codigo]],Stock[#Data],2,FALSE)</f>
        <v>Medidor de PH</v>
      </c>
      <c r="D320" s="37">
        <f>VLOOKUP(Ventas[[#This Row],[Codigo]],Stock[#Data],4,FALSE)</f>
        <v>4000</v>
      </c>
      <c r="E320" s="33">
        <f>VLOOKUP(Ventas[[#This Row],[Codigo]],Stock[#Data],3,FALSE)</f>
        <v>2000</v>
      </c>
      <c r="F320" s="38">
        <v>1</v>
      </c>
      <c r="G320">
        <v>185</v>
      </c>
      <c r="H320" s="36">
        <f>Ventas[[#This Row],[Precio Venta]]*Ventas[[#This Row],[Cantidad]]-Ventas[[#This Row],[Descuento]]</f>
        <v>4000</v>
      </c>
      <c r="I320" s="34">
        <f>Ventas[[#This Row],[Total]]-Ventas[[#This Row],[Precio compra]]*Ventas[[#This Row],[Cantidad]]</f>
        <v>2000</v>
      </c>
      <c r="J320" s="34">
        <v>0</v>
      </c>
      <c r="K320" s="34">
        <f>Ventas[[#This Row],[Total]]*Ventas[[#This Row],[Total 3]]</f>
        <v>0</v>
      </c>
      <c r="L320" s="34" t="s">
        <v>760</v>
      </c>
      <c r="M320" s="34"/>
    </row>
    <row r="321" spans="1:13" ht="21.75" customHeight="1">
      <c r="A321" s="16"/>
      <c r="B321" s="39" t="s">
        <v>782</v>
      </c>
      <c r="C321" s="32" t="str">
        <f>VLOOKUP(Ventas[[#This Row],[Codigo]],Stock[#Data],2,FALSE)</f>
        <v>Tips STAMPS ECO</v>
      </c>
      <c r="D321" s="37">
        <f>VLOOKUP(Ventas[[#This Row],[Codigo]],Stock[#Data],4,FALSE)</f>
        <v>150</v>
      </c>
      <c r="E321" s="33">
        <f>VLOOKUP(Ventas[[#This Row],[Codigo]],Stock[#Data],3,FALSE)</f>
        <v>73</v>
      </c>
      <c r="F321" s="38">
        <v>1</v>
      </c>
      <c r="G321">
        <v>308</v>
      </c>
      <c r="H321" s="36">
        <f>Ventas[[#This Row],[Precio Venta]]*Ventas[[#This Row],[Cantidad]]-Ventas[[#This Row],[Descuento]]</f>
        <v>150</v>
      </c>
      <c r="I321" s="34">
        <f>Ventas[[#This Row],[Total]]-Ventas[[#This Row],[Precio compra]]*Ventas[[#This Row],[Cantidad]]</f>
        <v>77</v>
      </c>
      <c r="J321" s="34">
        <v>0</v>
      </c>
      <c r="K321" s="34">
        <f>Ventas[[#This Row],[Total]]*Ventas[[#This Row],[Total 3]]</f>
        <v>0</v>
      </c>
      <c r="L321" s="34" t="s">
        <v>760</v>
      </c>
      <c r="M321" s="34"/>
    </row>
    <row r="322" spans="1:13" ht="21.75" customHeight="1">
      <c r="A322" s="16"/>
      <c r="B322" s="39" t="s">
        <v>782</v>
      </c>
      <c r="C322" s="32" t="str">
        <f>VLOOKUP(Ventas[[#This Row],[Codigo]],Stock[#Data],2,FALSE)</f>
        <v xml:space="preserve">Aceite de Cannabis 30 ml </v>
      </c>
      <c r="D322" s="37">
        <f>VLOOKUP(Ventas[[#This Row],[Codigo]],Stock[#Data],4,FALSE)</f>
        <v>7500</v>
      </c>
      <c r="E322" s="33">
        <f>VLOOKUP(Ventas[[#This Row],[Codigo]],Stock[#Data],3,FALSE)</f>
        <v>5500</v>
      </c>
      <c r="F322" s="38">
        <v>1</v>
      </c>
      <c r="G322">
        <v>525</v>
      </c>
      <c r="H322" s="36">
        <f>Ventas[[#This Row],[Precio Venta]]*Ventas[[#This Row],[Cantidad]]-Ventas[[#This Row],[Descuento]]</f>
        <v>7500</v>
      </c>
      <c r="I322" s="34">
        <f>Ventas[[#This Row],[Total]]-Ventas[[#This Row],[Precio compra]]*Ventas[[#This Row],[Cantidad]]</f>
        <v>2000</v>
      </c>
      <c r="J322" s="34">
        <v>0</v>
      </c>
      <c r="K322" s="34">
        <f>Ventas[[#This Row],[Total]]*Ventas[[#This Row],[Total 3]]</f>
        <v>0</v>
      </c>
      <c r="L322" s="34" t="s">
        <v>760</v>
      </c>
      <c r="M322" s="34"/>
    </row>
    <row r="323" spans="1:13" ht="21.75" customHeight="1">
      <c r="A323" s="16"/>
      <c r="B323" s="39" t="s">
        <v>782</v>
      </c>
      <c r="C323" s="32" t="str">
        <f>VLOOKUP(Ventas[[#This Row],[Codigo]],Stock[#Data],2,FALSE)</f>
        <v xml:space="preserve">Polea Santa Planta 5kg </v>
      </c>
      <c r="D323" s="37">
        <f>VLOOKUP(Ventas[[#This Row],[Codigo]],Stock[#Data],4,FALSE)</f>
        <v>2500</v>
      </c>
      <c r="E323" s="33">
        <f>VLOOKUP(Ventas[[#This Row],[Codigo]],Stock[#Data],3,FALSE)</f>
        <v>1375</v>
      </c>
      <c r="F323" s="38">
        <v>2</v>
      </c>
      <c r="G323">
        <v>510</v>
      </c>
      <c r="H323" s="36">
        <f>Ventas[[#This Row],[Precio Venta]]*Ventas[[#This Row],[Cantidad]]-Ventas[[#This Row],[Descuento]]</f>
        <v>5000</v>
      </c>
      <c r="I323" s="34">
        <f>Ventas[[#This Row],[Total]]-Ventas[[#This Row],[Precio compra]]*Ventas[[#This Row],[Cantidad]]</f>
        <v>2250</v>
      </c>
      <c r="J323" s="34">
        <v>0</v>
      </c>
      <c r="K323" s="34">
        <f>Ventas[[#This Row],[Total]]*Ventas[[#This Row],[Total 3]]</f>
        <v>0</v>
      </c>
      <c r="L323" s="34" t="s">
        <v>760</v>
      </c>
      <c r="M323" s="34"/>
    </row>
    <row r="324" spans="1:13" ht="21.75" customHeight="1">
      <c r="A324" s="16"/>
      <c r="B324" s="39" t="s">
        <v>782</v>
      </c>
      <c r="C324" s="32" t="str">
        <f>VLOOKUP(Ventas[[#This Row],[Codigo]],Stock[#Data],2,FALSE)</f>
        <v>Perlita 5L</v>
      </c>
      <c r="D324" s="37">
        <f>VLOOKUP(Ventas[[#This Row],[Codigo]],Stock[#Data],4,FALSE)</f>
        <v>500</v>
      </c>
      <c r="E324" s="33">
        <f>VLOOKUP(Ventas[[#This Row],[Codigo]],Stock[#Data],3,FALSE)</f>
        <v>230</v>
      </c>
      <c r="F324" s="38">
        <v>1</v>
      </c>
      <c r="G324">
        <v>607</v>
      </c>
      <c r="H324" s="36">
        <f>Ventas[[#This Row],[Precio Venta]]*Ventas[[#This Row],[Cantidad]]-Ventas[[#This Row],[Descuento]]</f>
        <v>500</v>
      </c>
      <c r="I324" s="34">
        <f>Ventas[[#This Row],[Total]]-Ventas[[#This Row],[Precio compra]]*Ventas[[#This Row],[Cantidad]]</f>
        <v>270</v>
      </c>
      <c r="J324" s="34">
        <v>0</v>
      </c>
      <c r="K324" s="34">
        <f>Ventas[[#This Row],[Total]]*Ventas[[#This Row],[Total 3]]</f>
        <v>0</v>
      </c>
      <c r="L324" s="34" t="s">
        <v>760</v>
      </c>
      <c r="M324" s="34"/>
    </row>
    <row r="325" spans="1:13" ht="21.75" customHeight="1">
      <c r="A325" s="16"/>
      <c r="B325" s="39" t="s">
        <v>782</v>
      </c>
      <c r="C325" s="32" t="str">
        <f>VLOOKUP(Ventas[[#This Row],[Codigo]],Stock[#Data],2,FALSE)</f>
        <v>TreeMIX N 200ml</v>
      </c>
      <c r="D325" s="37">
        <f>VLOOKUP(Ventas[[#This Row],[Codigo]],Stock[#Data],4,FALSE)</f>
        <v>1400</v>
      </c>
      <c r="E325" s="33">
        <f>VLOOKUP(Ventas[[#This Row],[Codigo]],Stock[#Data],3,FALSE)</f>
        <v>650</v>
      </c>
      <c r="F325" s="38">
        <v>1</v>
      </c>
      <c r="G325">
        <v>33</v>
      </c>
      <c r="H325" s="36">
        <f>Ventas[[#This Row],[Precio Venta]]*Ventas[[#This Row],[Cantidad]]-Ventas[[#This Row],[Descuento]]</f>
        <v>1400</v>
      </c>
      <c r="I325" s="34">
        <f>Ventas[[#This Row],[Total]]-Ventas[[#This Row],[Precio compra]]*Ventas[[#This Row],[Cantidad]]</f>
        <v>750</v>
      </c>
      <c r="J325" s="34">
        <v>0</v>
      </c>
      <c r="K325" s="34">
        <f>Ventas[[#This Row],[Total]]*Ventas[[#This Row],[Total 3]]</f>
        <v>0</v>
      </c>
      <c r="L325" s="34" t="s">
        <v>760</v>
      </c>
      <c r="M325" s="34"/>
    </row>
    <row r="326" spans="1:13" ht="21.75" customHeight="1">
      <c r="A326" s="16"/>
      <c r="B326" s="39" t="s">
        <v>782</v>
      </c>
      <c r="C326" s="32" t="str">
        <f>VLOOKUP(Ventas[[#This Row],[Codigo]],Stock[#Data],2,FALSE)</f>
        <v>TreeMIX A 200ml</v>
      </c>
      <c r="D326" s="37">
        <f>VLOOKUP(Ventas[[#This Row],[Codigo]],Stock[#Data],4,FALSE)</f>
        <v>1400</v>
      </c>
      <c r="E326" s="33">
        <f>VLOOKUP(Ventas[[#This Row],[Codigo]],Stock[#Data],3,FALSE)</f>
        <v>700</v>
      </c>
      <c r="F326" s="38">
        <v>1</v>
      </c>
      <c r="G326">
        <v>31</v>
      </c>
      <c r="H326" s="36">
        <f>Ventas[[#This Row],[Precio Venta]]*Ventas[[#This Row],[Cantidad]]-Ventas[[#This Row],[Descuento]]</f>
        <v>1400</v>
      </c>
      <c r="I326" s="34">
        <f>Ventas[[#This Row],[Total]]-Ventas[[#This Row],[Precio compra]]*Ventas[[#This Row],[Cantidad]]</f>
        <v>700</v>
      </c>
      <c r="J326" s="34">
        <v>0</v>
      </c>
      <c r="K326" s="34">
        <f>Ventas[[#This Row],[Total]]*Ventas[[#This Row],[Total 3]]</f>
        <v>0</v>
      </c>
      <c r="L326" s="34" t="s">
        <v>760</v>
      </c>
      <c r="M326" s="34"/>
    </row>
    <row r="327" spans="1:13" ht="21.75" customHeight="1">
      <c r="A327" s="16"/>
      <c r="B327" s="39" t="s">
        <v>782</v>
      </c>
      <c r="C327" s="32" t="str">
        <f>VLOOKUP(Ventas[[#This Row],[Codigo]],Stock[#Data],2,FALSE)</f>
        <v>Sedas Blunt Rey 1/4  Hemp</v>
      </c>
      <c r="D327" s="37">
        <f>VLOOKUP(Ventas[[#This Row],[Codigo]],Stock[#Data],4,FALSE)</f>
        <v>250</v>
      </c>
      <c r="E327" s="33">
        <f>VLOOKUP(Ventas[[#This Row],[Codigo]],Stock[#Data],3,FALSE)</f>
        <v>120</v>
      </c>
      <c r="F327" s="38">
        <v>1</v>
      </c>
      <c r="G327">
        <v>287</v>
      </c>
      <c r="H327" s="36">
        <f>Ventas[[#This Row],[Precio Venta]]*Ventas[[#This Row],[Cantidad]]-Ventas[[#This Row],[Descuento]]</f>
        <v>250</v>
      </c>
      <c r="I327" s="34">
        <f>Ventas[[#This Row],[Total]]-Ventas[[#This Row],[Precio compra]]*Ventas[[#This Row],[Cantidad]]</f>
        <v>130</v>
      </c>
      <c r="J327" s="34">
        <v>0</v>
      </c>
      <c r="K327" s="34">
        <f>Ventas[[#This Row],[Total]]*Ventas[[#This Row],[Total 3]]</f>
        <v>0</v>
      </c>
      <c r="L327" s="34" t="s">
        <v>760</v>
      </c>
      <c r="M327" s="34"/>
    </row>
    <row r="328" spans="1:13" ht="21.75" customHeight="1">
      <c r="A328" s="16"/>
      <c r="B328" s="39" t="s">
        <v>780</v>
      </c>
      <c r="C328" s="32" t="str">
        <f>VLOOKUP(Ventas[[#This Row],[Codigo]],Stock[#Data],2,FALSE)</f>
        <v xml:space="preserve">tips moon </v>
      </c>
      <c r="D328" s="37">
        <f>VLOOKUP(Ventas[[#This Row],[Codigo]],Stock[#Data],4,FALSE)</f>
        <v>100</v>
      </c>
      <c r="E328" s="33">
        <f>VLOOKUP(Ventas[[#This Row],[Codigo]],Stock[#Data],3,FALSE)</f>
        <v>50</v>
      </c>
      <c r="F328" s="38">
        <v>2</v>
      </c>
      <c r="G328">
        <v>356</v>
      </c>
      <c r="H328" s="36">
        <f>Ventas[[#This Row],[Precio Venta]]*Ventas[[#This Row],[Cantidad]]-Ventas[[#This Row],[Descuento]]</f>
        <v>200</v>
      </c>
      <c r="I328" s="34">
        <f>Ventas[[#This Row],[Total]]-Ventas[[#This Row],[Precio compra]]*Ventas[[#This Row],[Cantidad]]</f>
        <v>100</v>
      </c>
      <c r="J328" s="34">
        <v>0</v>
      </c>
      <c r="K328" s="34">
        <f>Ventas[[#This Row],[Total]]*Ventas[[#This Row],[Total 3]]</f>
        <v>0</v>
      </c>
      <c r="L328" s="34" t="s">
        <v>760</v>
      </c>
      <c r="M328" s="34"/>
    </row>
    <row r="329" spans="1:13" ht="21.75" customHeight="1">
      <c r="A329" s="16"/>
      <c r="B329" s="39" t="s">
        <v>780</v>
      </c>
      <c r="C329" s="32" t="str">
        <f>VLOOKUP(Ventas[[#This Row],[Codigo]],Stock[#Data],2,FALSE)</f>
        <v>OCB premium</v>
      </c>
      <c r="D329" s="37">
        <f>VLOOKUP(Ventas[[#This Row],[Codigo]],Stock[#Data],4,FALSE)</f>
        <v>300</v>
      </c>
      <c r="E329" s="33">
        <f>VLOOKUP(Ventas[[#This Row],[Codigo]],Stock[#Data],3,FALSE)</f>
        <v>165</v>
      </c>
      <c r="F329" s="38">
        <v>2</v>
      </c>
      <c r="G329">
        <v>594</v>
      </c>
      <c r="H329" s="36">
        <f>Ventas[[#This Row],[Precio Venta]]*Ventas[[#This Row],[Cantidad]]-Ventas[[#This Row],[Descuento]]</f>
        <v>600</v>
      </c>
      <c r="I329" s="34">
        <f>Ventas[[#This Row],[Total]]-Ventas[[#This Row],[Precio compra]]*Ventas[[#This Row],[Cantidad]]</f>
        <v>270</v>
      </c>
      <c r="J329" s="34">
        <v>0</v>
      </c>
      <c r="K329" s="34">
        <f>Ventas[[#This Row],[Total]]*Ventas[[#This Row],[Total 3]]</f>
        <v>0</v>
      </c>
      <c r="L329" s="34" t="s">
        <v>760</v>
      </c>
      <c r="M329" s="34"/>
    </row>
    <row r="330" spans="1:13" ht="21.75" customHeight="1">
      <c r="A330" s="16"/>
      <c r="B330" s="39" t="s">
        <v>780</v>
      </c>
      <c r="C330" s="32" t="str">
        <f>VLOOKUP(Ventas[[#This Row],[Codigo]],Stock[#Data],2,FALSE)</f>
        <v>Namaste Amazonia 150gr</v>
      </c>
      <c r="D330" s="37">
        <f>VLOOKUP(Ventas[[#This Row],[Codigo]],Stock[#Data],4,FALSE)</f>
        <v>2200</v>
      </c>
      <c r="E330" s="33">
        <f>VLOOKUP(Ventas[[#This Row],[Codigo]],Stock[#Data],3,FALSE)</f>
        <v>1218</v>
      </c>
      <c r="F330" s="38">
        <v>1</v>
      </c>
      <c r="G330">
        <v>477</v>
      </c>
      <c r="H330" s="36">
        <f>Ventas[[#This Row],[Precio Venta]]*Ventas[[#This Row],[Cantidad]]-Ventas[[#This Row],[Descuento]]</f>
        <v>2200</v>
      </c>
      <c r="I330" s="34">
        <f>Ventas[[#This Row],[Total]]-Ventas[[#This Row],[Precio compra]]*Ventas[[#This Row],[Cantidad]]</f>
        <v>982</v>
      </c>
      <c r="J330" s="34">
        <v>0</v>
      </c>
      <c r="K330" s="34">
        <f>Ventas[[#This Row],[Total]]*Ventas[[#This Row],[Total 3]]</f>
        <v>0</v>
      </c>
      <c r="L330" s="34" t="s">
        <v>760</v>
      </c>
      <c r="M330" s="34"/>
    </row>
    <row r="331" spans="1:13" ht="21.75" customHeight="1">
      <c r="A331" s="16"/>
      <c r="B331" s="39" t="s">
        <v>780</v>
      </c>
      <c r="C331" s="32" t="str">
        <f>VLOOKUP(Ventas[[#This Row],[Codigo]],Stock[#Data],2,FALSE)</f>
        <v>Namaste Oro Negro 100ml</v>
      </c>
      <c r="D331" s="37">
        <f>VLOOKUP(Ventas[[#This Row],[Codigo]],Stock[#Data],4,FALSE)</f>
        <v>1000</v>
      </c>
      <c r="E331" s="33">
        <f>VLOOKUP(Ventas[[#This Row],[Codigo]],Stock[#Data],3,FALSE)</f>
        <v>515</v>
      </c>
      <c r="F331" s="38">
        <v>1</v>
      </c>
      <c r="G331">
        <v>478</v>
      </c>
      <c r="H331" s="36">
        <f>Ventas[[#This Row],[Precio Venta]]*Ventas[[#This Row],[Cantidad]]-Ventas[[#This Row],[Descuento]]</f>
        <v>1000</v>
      </c>
      <c r="I331" s="34">
        <f>Ventas[[#This Row],[Total]]-Ventas[[#This Row],[Precio compra]]*Ventas[[#This Row],[Cantidad]]</f>
        <v>485</v>
      </c>
      <c r="J331" s="34">
        <v>0</v>
      </c>
      <c r="K331" s="34">
        <f>Ventas[[#This Row],[Total]]*Ventas[[#This Row],[Total 3]]</f>
        <v>0</v>
      </c>
      <c r="L331" s="34" t="s">
        <v>760</v>
      </c>
      <c r="M331" s="34"/>
    </row>
    <row r="332" spans="1:13" ht="21.75" customHeight="1">
      <c r="A332" s="16"/>
      <c r="B332" s="39" t="s">
        <v>780</v>
      </c>
      <c r="C332" s="32" t="str">
        <f>VLOOKUP(Ventas[[#This Row],[Codigo]],Stock[#Data],2,FALSE)</f>
        <v xml:space="preserve">Aceite de Cannabis 30 ml </v>
      </c>
      <c r="D332" s="37">
        <f>VLOOKUP(Ventas[[#This Row],[Codigo]],Stock[#Data],4,FALSE)</f>
        <v>7500</v>
      </c>
      <c r="E332" s="33">
        <f>VLOOKUP(Ventas[[#This Row],[Codigo]],Stock[#Data],3,FALSE)</f>
        <v>5500</v>
      </c>
      <c r="F332" s="38">
        <v>1</v>
      </c>
      <c r="G332">
        <v>525</v>
      </c>
      <c r="H332" s="36">
        <f>Ventas[[#This Row],[Precio Venta]]*Ventas[[#This Row],[Cantidad]]-Ventas[[#This Row],[Descuento]]</f>
        <v>7500</v>
      </c>
      <c r="I332" s="34">
        <f>Ventas[[#This Row],[Total]]-Ventas[[#This Row],[Precio compra]]*Ventas[[#This Row],[Cantidad]]</f>
        <v>2000</v>
      </c>
      <c r="J332" s="34">
        <v>1</v>
      </c>
      <c r="K332" s="34">
        <f>Ventas[[#This Row],[Total]]*Ventas[[#This Row],[Total 3]]</f>
        <v>7500</v>
      </c>
      <c r="L332" s="34" t="s">
        <v>759</v>
      </c>
      <c r="M332" s="34"/>
    </row>
    <row r="333" spans="1:13" ht="21.75" customHeight="1">
      <c r="A333" s="16"/>
      <c r="B333" s="39" t="s">
        <v>780</v>
      </c>
      <c r="C333" s="32" t="str">
        <f>VLOOKUP(Ventas[[#This Row],[Codigo]],Stock[#Data],2,FALSE)</f>
        <v>Rejillas x5</v>
      </c>
      <c r="D333" s="37">
        <f>VLOOKUP(Ventas[[#This Row],[Codigo]],Stock[#Data],4,FALSE)</f>
        <v>100</v>
      </c>
      <c r="E333" s="33">
        <f>VLOOKUP(Ventas[[#This Row],[Codigo]],Stock[#Data],3,FALSE)</f>
        <v>20</v>
      </c>
      <c r="F333" s="38">
        <v>1</v>
      </c>
      <c r="G333">
        <v>239</v>
      </c>
      <c r="H333" s="36">
        <f>Ventas[[#This Row],[Precio Venta]]*Ventas[[#This Row],[Cantidad]]-Ventas[[#This Row],[Descuento]]</f>
        <v>100</v>
      </c>
      <c r="I333" s="34">
        <f>Ventas[[#This Row],[Total]]-Ventas[[#This Row],[Precio compra]]*Ventas[[#This Row],[Cantidad]]</f>
        <v>80</v>
      </c>
      <c r="J333" s="34">
        <v>0</v>
      </c>
      <c r="K333" s="34">
        <f>Ventas[[#This Row],[Total]]*Ventas[[#This Row],[Total 3]]</f>
        <v>0</v>
      </c>
      <c r="L333" s="34" t="s">
        <v>760</v>
      </c>
      <c r="M333" s="34"/>
    </row>
    <row r="334" spans="1:13" ht="21.75" customHeight="1">
      <c r="A334" s="16"/>
      <c r="B334" s="39" t="s">
        <v>780</v>
      </c>
      <c r="C334" s="32" t="str">
        <f>VLOOKUP(Ventas[[#This Row],[Codigo]],Stock[#Data],2,FALSE)</f>
        <v>Sedas Lion Rolling Circus 1/4 alfalfa</v>
      </c>
      <c r="D334" s="37">
        <f>VLOOKUP(Ventas[[#This Row],[Codigo]],Stock[#Data],4,FALSE)</f>
        <v>300</v>
      </c>
      <c r="E334" s="33">
        <f>VLOOKUP(Ventas[[#This Row],[Codigo]],Stock[#Data],3,FALSE)</f>
        <v>150</v>
      </c>
      <c r="F334" s="38">
        <v>1</v>
      </c>
      <c r="G334">
        <v>63</v>
      </c>
      <c r="H334" s="36">
        <f>Ventas[[#This Row],[Precio Venta]]*Ventas[[#This Row],[Cantidad]]-Ventas[[#This Row],[Descuento]]</f>
        <v>300</v>
      </c>
      <c r="I334" s="34">
        <f>Ventas[[#This Row],[Total]]-Ventas[[#This Row],[Precio compra]]*Ventas[[#This Row],[Cantidad]]</f>
        <v>150</v>
      </c>
      <c r="J334" s="34">
        <v>0</v>
      </c>
      <c r="K334" s="34">
        <f>Ventas[[#This Row],[Total]]*Ventas[[#This Row],[Total 3]]</f>
        <v>0</v>
      </c>
      <c r="L334" s="34" t="s">
        <v>760</v>
      </c>
      <c r="M334" s="34"/>
    </row>
    <row r="335" spans="1:13" ht="21.75" customHeight="1">
      <c r="A335" s="16"/>
      <c r="B335" s="39" t="s">
        <v>780</v>
      </c>
      <c r="C335" s="32" t="str">
        <f>VLOOKUP(Ventas[[#This Row],[Codigo]],Stock[#Data],2,FALSE)</f>
        <v>Macetas Soplada 15L</v>
      </c>
      <c r="D335" s="37">
        <f>VLOOKUP(Ventas[[#This Row],[Codigo]],Stock[#Data],4,FALSE)</f>
        <v>450</v>
      </c>
      <c r="E335" s="33">
        <f>VLOOKUP(Ventas[[#This Row],[Codigo]],Stock[#Data],3,FALSE)</f>
        <v>222</v>
      </c>
      <c r="F335" s="38">
        <v>3</v>
      </c>
      <c r="G335">
        <v>380</v>
      </c>
      <c r="H335" s="36">
        <f>Ventas[[#This Row],[Precio Venta]]*Ventas[[#This Row],[Cantidad]]-Ventas[[#This Row],[Descuento]]</f>
        <v>1350</v>
      </c>
      <c r="I335" s="34">
        <f>Ventas[[#This Row],[Total]]-Ventas[[#This Row],[Precio compra]]*Ventas[[#This Row],[Cantidad]]</f>
        <v>684</v>
      </c>
      <c r="J335" s="34">
        <v>0</v>
      </c>
      <c r="K335" s="34">
        <f>Ventas[[#This Row],[Total]]*Ventas[[#This Row],[Total 3]]</f>
        <v>0</v>
      </c>
      <c r="L335" s="34" t="s">
        <v>760</v>
      </c>
      <c r="M335" s="34"/>
    </row>
    <row r="336" spans="1:13" ht="21.75" customHeight="1">
      <c r="A336" s="16"/>
      <c r="B336" s="39" t="s">
        <v>780</v>
      </c>
      <c r="C336" s="32" t="str">
        <f>VLOOKUP(Ventas[[#This Row],[Codigo]],Stock[#Data],2,FALSE)</f>
        <v>Sedas Blunt Rey 1/4 celulosa Orange</v>
      </c>
      <c r="D336" s="37">
        <f>VLOOKUP(Ventas[[#This Row],[Codigo]],Stock[#Data],4,FALSE)</f>
        <v>300</v>
      </c>
      <c r="E336" s="33">
        <f>VLOOKUP(Ventas[[#This Row],[Codigo]],Stock[#Data],3,FALSE)</f>
        <v>143</v>
      </c>
      <c r="F336" s="38">
        <v>1</v>
      </c>
      <c r="G336">
        <v>71</v>
      </c>
      <c r="H336" s="36">
        <f>Ventas[[#This Row],[Precio Venta]]*Ventas[[#This Row],[Cantidad]]-Ventas[[#This Row],[Descuento]]</f>
        <v>300</v>
      </c>
      <c r="I336" s="34">
        <f>Ventas[[#This Row],[Total]]-Ventas[[#This Row],[Precio compra]]*Ventas[[#This Row],[Cantidad]]</f>
        <v>157</v>
      </c>
      <c r="J336" s="34">
        <v>1</v>
      </c>
      <c r="K336" s="34">
        <f>Ventas[[#This Row],[Total]]*Ventas[[#This Row],[Total 3]]</f>
        <v>300</v>
      </c>
      <c r="L336" s="34" t="s">
        <v>759</v>
      </c>
      <c r="M336" s="34"/>
    </row>
    <row r="337" spans="1:13" ht="21.75" customHeight="1">
      <c r="A337" s="16"/>
      <c r="B337" s="39" t="s">
        <v>780</v>
      </c>
      <c r="C337" s="32" t="str">
        <f>VLOOKUP(Ventas[[#This Row],[Codigo]],Stock[#Data],2,FALSE)</f>
        <v>Tips STAMPS ECO</v>
      </c>
      <c r="D337" s="37">
        <f>VLOOKUP(Ventas[[#This Row],[Codigo]],Stock[#Data],4,FALSE)</f>
        <v>150</v>
      </c>
      <c r="E337" s="33">
        <f>VLOOKUP(Ventas[[#This Row],[Codigo]],Stock[#Data],3,FALSE)</f>
        <v>73</v>
      </c>
      <c r="F337" s="38">
        <v>1</v>
      </c>
      <c r="G337">
        <v>308</v>
      </c>
      <c r="H337" s="36">
        <f>Ventas[[#This Row],[Precio Venta]]*Ventas[[#This Row],[Cantidad]]-Ventas[[#This Row],[Descuento]]</f>
        <v>150</v>
      </c>
      <c r="I337" s="34">
        <f>Ventas[[#This Row],[Total]]-Ventas[[#This Row],[Precio compra]]*Ventas[[#This Row],[Cantidad]]</f>
        <v>77</v>
      </c>
      <c r="J337" s="34">
        <v>1</v>
      </c>
      <c r="K337" s="34">
        <f>Ventas[[#This Row],[Total]]*Ventas[[#This Row],[Total 3]]</f>
        <v>150</v>
      </c>
      <c r="L337" s="34" t="s">
        <v>759</v>
      </c>
      <c r="M337" s="34"/>
    </row>
    <row r="338" spans="1:13" ht="21.75" customHeight="1">
      <c r="A338" s="16"/>
      <c r="B338" s="39" t="s">
        <v>780</v>
      </c>
      <c r="C338" s="32" t="str">
        <f>VLOOKUP(Ventas[[#This Row],[Codigo]],Stock[#Data],2,FALSE)</f>
        <v>Namaste Shanti 100ml</v>
      </c>
      <c r="D338" s="37">
        <f>VLOOKUP(Ventas[[#This Row],[Codigo]],Stock[#Data],4,FALSE)</f>
        <v>2000</v>
      </c>
      <c r="E338" s="33">
        <f>VLOOKUP(Ventas[[#This Row],[Codigo]],Stock[#Data],3,FALSE)</f>
        <v>932</v>
      </c>
      <c r="F338" s="38">
        <v>2</v>
      </c>
      <c r="G338">
        <v>569</v>
      </c>
      <c r="H338" s="36">
        <f>Ventas[[#This Row],[Precio Venta]]*Ventas[[#This Row],[Cantidad]]-Ventas[[#This Row],[Descuento]]</f>
        <v>4000</v>
      </c>
      <c r="I338" s="34">
        <f>Ventas[[#This Row],[Total]]-Ventas[[#This Row],[Precio compra]]*Ventas[[#This Row],[Cantidad]]</f>
        <v>2136</v>
      </c>
      <c r="J338" s="34">
        <v>1</v>
      </c>
      <c r="K338" s="34">
        <f>Ventas[[#This Row],[Total]]*Ventas[[#This Row],[Total 3]]</f>
        <v>4000</v>
      </c>
      <c r="L338" s="34" t="s">
        <v>759</v>
      </c>
      <c r="M338" s="34"/>
    </row>
    <row r="339" spans="1:13" ht="21.75" customHeight="1">
      <c r="A339" s="16"/>
      <c r="B339" s="39" t="s">
        <v>780</v>
      </c>
      <c r="C339" s="32" t="str">
        <f>VLOOKUP(Ventas[[#This Row],[Codigo]],Stock[#Data],2,FALSE)</f>
        <v>Namaste Trico+ 100gr</v>
      </c>
      <c r="D339" s="37">
        <f>VLOOKUP(Ventas[[#This Row],[Codigo]],Stock[#Data],4,FALSE)</f>
        <v>1000</v>
      </c>
      <c r="E339" s="33">
        <f>VLOOKUP(Ventas[[#This Row],[Codigo]],Stock[#Data],3,FALSE)</f>
        <v>541</v>
      </c>
      <c r="F339" s="38">
        <v>3</v>
      </c>
      <c r="G339">
        <v>479</v>
      </c>
      <c r="H339" s="36">
        <f>Ventas[[#This Row],[Precio Venta]]*Ventas[[#This Row],[Cantidad]]-Ventas[[#This Row],[Descuento]]</f>
        <v>3000</v>
      </c>
      <c r="I339" s="34">
        <f>Ventas[[#This Row],[Total]]-Ventas[[#This Row],[Precio compra]]*Ventas[[#This Row],[Cantidad]]</f>
        <v>1377</v>
      </c>
      <c r="J339" s="34">
        <v>1</v>
      </c>
      <c r="K339" s="34">
        <f>Ventas[[#This Row],[Total]]*Ventas[[#This Row],[Total 3]]</f>
        <v>3000</v>
      </c>
      <c r="L339" s="34" t="s">
        <v>759</v>
      </c>
      <c r="M339" s="34"/>
    </row>
    <row r="340" spans="1:13" ht="21.75" customHeight="1">
      <c r="A340" s="16"/>
      <c r="B340" s="39" t="s">
        <v>780</v>
      </c>
      <c r="C340" s="32" t="str">
        <f>VLOOKUP(Ventas[[#This Row],[Codigo]],Stock[#Data],2,FALSE)</f>
        <v>Namaste Flora Booster 100ml</v>
      </c>
      <c r="D340" s="37">
        <f>VLOOKUP(Ventas[[#This Row],[Codigo]],Stock[#Data],4,FALSE)</f>
        <v>1000</v>
      </c>
      <c r="E340" s="33">
        <f>VLOOKUP(Ventas[[#This Row],[Codigo]],Stock[#Data],3,FALSE)</f>
        <v>517</v>
      </c>
      <c r="F340" s="38">
        <v>3</v>
      </c>
      <c r="G340">
        <v>480</v>
      </c>
      <c r="H340" s="36">
        <f>Ventas[[#This Row],[Precio Venta]]*Ventas[[#This Row],[Cantidad]]-Ventas[[#This Row],[Descuento]]</f>
        <v>3000</v>
      </c>
      <c r="I340" s="34">
        <f>Ventas[[#This Row],[Total]]-Ventas[[#This Row],[Precio compra]]*Ventas[[#This Row],[Cantidad]]</f>
        <v>1449</v>
      </c>
      <c r="J340" s="34">
        <v>1</v>
      </c>
      <c r="K340" s="34">
        <f>Ventas[[#This Row],[Total]]*Ventas[[#This Row],[Total 3]]</f>
        <v>3000</v>
      </c>
      <c r="L340" s="34" t="s">
        <v>759</v>
      </c>
      <c r="M340" s="34"/>
    </row>
    <row r="341" spans="1:13" ht="21.75" customHeight="1">
      <c r="A341" s="16"/>
      <c r="B341" s="39" t="s">
        <v>780</v>
      </c>
      <c r="C341" s="32" t="str">
        <f>VLOOKUP(Ventas[[#This Row],[Codigo]],Stock[#Data],2,FALSE)</f>
        <v>Namaste Ph- 100ml</v>
      </c>
      <c r="D341" s="37">
        <f>VLOOKUP(Ventas[[#This Row],[Codigo]],Stock[#Data],4,FALSE)</f>
        <v>800</v>
      </c>
      <c r="E341" s="33">
        <f>VLOOKUP(Ventas[[#This Row],[Codigo]],Stock[#Data],3,FALSE)</f>
        <v>412</v>
      </c>
      <c r="F341" s="38">
        <v>1</v>
      </c>
      <c r="G341">
        <v>605</v>
      </c>
      <c r="H341" s="36">
        <f>Ventas[[#This Row],[Precio Venta]]*Ventas[[#This Row],[Cantidad]]-Ventas[[#This Row],[Descuento]]</f>
        <v>800</v>
      </c>
      <c r="I341" s="34">
        <f>Ventas[[#This Row],[Total]]-Ventas[[#This Row],[Precio compra]]*Ventas[[#This Row],[Cantidad]]</f>
        <v>388</v>
      </c>
      <c r="J341" s="34">
        <v>0</v>
      </c>
      <c r="K341" s="34">
        <f>Ventas[[#This Row],[Total]]*Ventas[[#This Row],[Total 3]]</f>
        <v>0</v>
      </c>
      <c r="L341" s="34" t="s">
        <v>760</v>
      </c>
      <c r="M341" s="34"/>
    </row>
    <row r="342" spans="1:13" ht="21.75" customHeight="1">
      <c r="A342" s="16"/>
      <c r="B342" s="39" t="s">
        <v>780</v>
      </c>
      <c r="C342" s="32" t="str">
        <f>VLOOKUP(Ventas[[#This Row],[Codigo]],Stock[#Data],2,FALSE)</f>
        <v xml:space="preserve">Bio Proyect Ph + 125ml </v>
      </c>
      <c r="D342" s="37">
        <f>VLOOKUP(Ventas[[#This Row],[Codigo]],Stock[#Data],4,FALSE)</f>
        <v>1300</v>
      </c>
      <c r="E342" s="33">
        <f>VLOOKUP(Ventas[[#This Row],[Codigo]],Stock[#Data],3,FALSE)</f>
        <v>631</v>
      </c>
      <c r="F342" s="38">
        <v>1</v>
      </c>
      <c r="G342">
        <v>441</v>
      </c>
      <c r="H342" s="36">
        <f>Ventas[[#This Row],[Precio Venta]]*Ventas[[#This Row],[Cantidad]]-Ventas[[#This Row],[Descuento]]</f>
        <v>1300</v>
      </c>
      <c r="I342" s="34">
        <f>Ventas[[#This Row],[Total]]-Ventas[[#This Row],[Precio compra]]*Ventas[[#This Row],[Cantidad]]</f>
        <v>669</v>
      </c>
      <c r="J342" s="34">
        <v>0</v>
      </c>
      <c r="K342" s="34">
        <f>Ventas[[#This Row],[Total]]*Ventas[[#This Row],[Total 3]]</f>
        <v>0</v>
      </c>
      <c r="L342" s="34" t="s">
        <v>760</v>
      </c>
      <c r="M342" s="34"/>
    </row>
    <row r="343" spans="1:13" ht="21.75" customHeight="1">
      <c r="A343" s="16"/>
      <c r="B343" s="39" t="s">
        <v>780</v>
      </c>
      <c r="C343" s="32" t="str">
        <f>VLOOKUP(Ventas[[#This Row],[Codigo]],Stock[#Data],2,FALSE)</f>
        <v>Namaste Flora Booster 100ml</v>
      </c>
      <c r="D343" s="37">
        <f>VLOOKUP(Ventas[[#This Row],[Codigo]],Stock[#Data],4,FALSE)</f>
        <v>1000</v>
      </c>
      <c r="E343" s="33">
        <f>VLOOKUP(Ventas[[#This Row],[Codigo]],Stock[#Data],3,FALSE)</f>
        <v>517</v>
      </c>
      <c r="F343" s="38">
        <v>1</v>
      </c>
      <c r="G343">
        <v>480</v>
      </c>
      <c r="H343" s="36">
        <f>Ventas[[#This Row],[Precio Venta]]*Ventas[[#This Row],[Cantidad]]-Ventas[[#This Row],[Descuento]]</f>
        <v>1000</v>
      </c>
      <c r="I343" s="34">
        <f>Ventas[[#This Row],[Total]]-Ventas[[#This Row],[Precio compra]]*Ventas[[#This Row],[Cantidad]]</f>
        <v>483</v>
      </c>
      <c r="J343" s="34">
        <v>0</v>
      </c>
      <c r="K343" s="34">
        <f>Ventas[[#This Row],[Total]]*Ventas[[#This Row],[Total 3]]</f>
        <v>0</v>
      </c>
      <c r="L343" s="34" t="s">
        <v>760</v>
      </c>
      <c r="M343" s="34"/>
    </row>
    <row r="344" spans="1:13" ht="21.75" customHeight="1">
      <c r="A344" s="16"/>
      <c r="B344" s="39" t="s">
        <v>780</v>
      </c>
      <c r="C344" s="32" t="str">
        <f>VLOOKUP(Ventas[[#This Row],[Codigo]],Stock[#Data],2,FALSE)</f>
        <v>TreeMIX A 45ml</v>
      </c>
      <c r="D344" s="37">
        <f>VLOOKUP(Ventas[[#This Row],[Codigo]],Stock[#Data],4,FALSE)</f>
        <v>500</v>
      </c>
      <c r="E344" s="33">
        <f>VLOOKUP(Ventas[[#This Row],[Codigo]],Stock[#Data],3,FALSE)</f>
        <v>260</v>
      </c>
      <c r="F344" s="38">
        <v>1</v>
      </c>
      <c r="G344">
        <v>21</v>
      </c>
      <c r="H344" s="36">
        <f>Ventas[[#This Row],[Precio Venta]]*Ventas[[#This Row],[Cantidad]]-Ventas[[#This Row],[Descuento]]</f>
        <v>500</v>
      </c>
      <c r="I344" s="34">
        <f>Ventas[[#This Row],[Total]]-Ventas[[#This Row],[Precio compra]]*Ventas[[#This Row],[Cantidad]]</f>
        <v>240</v>
      </c>
      <c r="J344" s="34">
        <v>0</v>
      </c>
      <c r="K344" s="34">
        <f>Ventas[[#This Row],[Total]]*Ventas[[#This Row],[Total 3]]</f>
        <v>0</v>
      </c>
      <c r="L344" s="34" t="s">
        <v>760</v>
      </c>
      <c r="M344" s="34"/>
    </row>
    <row r="345" spans="1:13" ht="21.75" customHeight="1">
      <c r="A345" s="16"/>
      <c r="B345" s="39" t="s">
        <v>780</v>
      </c>
      <c r="C345" s="32" t="str">
        <f>VLOOKUP(Ventas[[#This Row],[Codigo]],Stock[#Data],2,FALSE)</f>
        <v>TreeMIX CANDY 45 ml</v>
      </c>
      <c r="D345" s="37">
        <f>VLOOKUP(Ventas[[#This Row],[Codigo]],Stock[#Data],4,FALSE)</f>
        <v>500</v>
      </c>
      <c r="E345" s="33">
        <f>VLOOKUP(Ventas[[#This Row],[Codigo]],Stock[#Data],3,FALSE)</f>
        <v>220</v>
      </c>
      <c r="F345" s="38">
        <v>1</v>
      </c>
      <c r="G345">
        <v>26</v>
      </c>
      <c r="H345" s="36">
        <f>Ventas[[#This Row],[Precio Venta]]*Ventas[[#This Row],[Cantidad]]-Ventas[[#This Row],[Descuento]]</f>
        <v>500</v>
      </c>
      <c r="I345" s="34">
        <f>Ventas[[#This Row],[Total]]-Ventas[[#This Row],[Precio compra]]*Ventas[[#This Row],[Cantidad]]</f>
        <v>280</v>
      </c>
      <c r="J345" s="34">
        <v>0</v>
      </c>
      <c r="K345" s="34">
        <f>Ventas[[#This Row],[Total]]*Ventas[[#This Row],[Total 3]]</f>
        <v>0</v>
      </c>
      <c r="L345" s="34" t="s">
        <v>760</v>
      </c>
      <c r="M345" s="34"/>
    </row>
    <row r="346" spans="1:13" ht="21.75" customHeight="1">
      <c r="A346" s="16"/>
      <c r="B346" s="39" t="s">
        <v>777</v>
      </c>
      <c r="C346" s="32" t="str">
        <f>VLOOKUP(Ventas[[#This Row],[Codigo]],Stock[#Data],2,FALSE)</f>
        <v>Picador Zeus 4p Plastico</v>
      </c>
      <c r="D346" s="37">
        <f>VLOOKUP(Ventas[[#This Row],[Codigo]],Stock[#Data],4,FALSE)</f>
        <v>1500</v>
      </c>
      <c r="E346" s="33">
        <f>VLOOKUP(Ventas[[#This Row],[Codigo]],Stock[#Data],3,FALSE)</f>
        <v>760</v>
      </c>
      <c r="F346" s="38">
        <v>1</v>
      </c>
      <c r="G346">
        <v>565</v>
      </c>
      <c r="H346" s="36">
        <f>Ventas[[#This Row],[Precio Venta]]*Ventas[[#This Row],[Cantidad]]-Ventas[[#This Row],[Descuento]]</f>
        <v>1500</v>
      </c>
      <c r="I346" s="34">
        <f>Ventas[[#This Row],[Total]]-Ventas[[#This Row],[Precio compra]]*Ventas[[#This Row],[Cantidad]]</f>
        <v>740</v>
      </c>
      <c r="J346" s="34">
        <v>0</v>
      </c>
      <c r="K346" s="34">
        <f>Ventas[[#This Row],[Total]]*Ventas[[#This Row],[Total 3]]</f>
        <v>0</v>
      </c>
      <c r="L346" s="34" t="s">
        <v>760</v>
      </c>
      <c r="M346" s="34"/>
    </row>
    <row r="347" spans="1:13" ht="21.75" customHeight="1">
      <c r="A347" s="16"/>
      <c r="B347" s="39" t="s">
        <v>777</v>
      </c>
      <c r="C347" s="32" t="str">
        <f>VLOOKUP(Ventas[[#This Row],[Codigo]],Stock[#Data],2,FALSE)</f>
        <v>Sedas Blunt Rey Kz celulosa Verde</v>
      </c>
      <c r="D347" s="37">
        <f>VLOOKUP(Ventas[[#This Row],[Codigo]],Stock[#Data],4,FALSE)</f>
        <v>400</v>
      </c>
      <c r="E347" s="33">
        <f>VLOOKUP(Ventas[[#This Row],[Codigo]],Stock[#Data],3,FALSE)</f>
        <v>163</v>
      </c>
      <c r="F347" s="38">
        <v>1</v>
      </c>
      <c r="G347">
        <v>70</v>
      </c>
      <c r="H347" s="36">
        <f>Ventas[[#This Row],[Precio Venta]]*Ventas[[#This Row],[Cantidad]]-Ventas[[#This Row],[Descuento]]</f>
        <v>400</v>
      </c>
      <c r="I347" s="34">
        <f>Ventas[[#This Row],[Total]]-Ventas[[#This Row],[Precio compra]]*Ventas[[#This Row],[Cantidad]]</f>
        <v>237</v>
      </c>
      <c r="J347" s="34">
        <v>0</v>
      </c>
      <c r="K347" s="34">
        <f>Ventas[[#This Row],[Total]]*Ventas[[#This Row],[Total 3]]</f>
        <v>0</v>
      </c>
      <c r="L347" s="34" t="s">
        <v>760</v>
      </c>
      <c r="M347" s="34"/>
    </row>
    <row r="348" spans="1:13" ht="21.75" customHeight="1">
      <c r="A348" s="16"/>
      <c r="B348" s="39" t="s">
        <v>777</v>
      </c>
      <c r="C348" s="32" t="str">
        <f>VLOOKUP(Ventas[[#This Row],[Codigo]],Stock[#Data],2,FALSE)</f>
        <v>Sustrato Perlita</v>
      </c>
      <c r="D348" s="37">
        <f>VLOOKUP(Ventas[[#This Row],[Codigo]],Stock[#Data],4,FALSE)</f>
        <v>800</v>
      </c>
      <c r="E348" s="33">
        <f>VLOOKUP(Ventas[[#This Row],[Codigo]],Stock[#Data],3,FALSE)</f>
        <v>400</v>
      </c>
      <c r="F348" s="38">
        <v>1</v>
      </c>
      <c r="G348">
        <v>52</v>
      </c>
      <c r="H348" s="36">
        <f>Ventas[[#This Row],[Precio Venta]]*Ventas[[#This Row],[Cantidad]]-Ventas[[#This Row],[Descuento]]</f>
        <v>800</v>
      </c>
      <c r="I348" s="34">
        <f>Ventas[[#This Row],[Total]]-Ventas[[#This Row],[Precio compra]]*Ventas[[#This Row],[Cantidad]]</f>
        <v>400</v>
      </c>
      <c r="J348" s="34">
        <v>0</v>
      </c>
      <c r="K348" s="34">
        <f>Ventas[[#This Row],[Total]]*Ventas[[#This Row],[Total 3]]</f>
        <v>0</v>
      </c>
      <c r="L348" s="34" t="s">
        <v>760</v>
      </c>
      <c r="M348" s="34"/>
    </row>
    <row r="349" spans="1:13" ht="21.75" customHeight="1">
      <c r="A349" s="16"/>
      <c r="B349" s="39" t="s">
        <v>777</v>
      </c>
      <c r="C349" s="32" t="str">
        <f>VLOOKUP(Ventas[[#This Row],[Codigo]],Stock[#Data],2,FALSE)</f>
        <v>Sedas STAMPS Kz Organic</v>
      </c>
      <c r="D349" s="37">
        <f>VLOOKUP(Ventas[[#This Row],[Codigo]],Stock[#Data],4,FALSE)</f>
        <v>200</v>
      </c>
      <c r="E349" s="33">
        <f>VLOOKUP(Ventas[[#This Row],[Codigo]],Stock[#Data],3,FALSE)</f>
        <v>93</v>
      </c>
      <c r="F349" s="38">
        <v>1</v>
      </c>
      <c r="G349">
        <v>75</v>
      </c>
      <c r="H349" s="36">
        <f>Ventas[[#This Row],[Precio Venta]]*Ventas[[#This Row],[Cantidad]]-Ventas[[#This Row],[Descuento]]</f>
        <v>200</v>
      </c>
      <c r="I349" s="34">
        <f>Ventas[[#This Row],[Total]]-Ventas[[#This Row],[Precio compra]]*Ventas[[#This Row],[Cantidad]]</f>
        <v>107</v>
      </c>
      <c r="J349" s="34">
        <v>0</v>
      </c>
      <c r="K349" s="34">
        <f>Ventas[[#This Row],[Total]]*Ventas[[#This Row],[Total 3]]</f>
        <v>0</v>
      </c>
      <c r="L349" s="34" t="s">
        <v>760</v>
      </c>
      <c r="M349" s="34"/>
    </row>
    <row r="350" spans="1:13" ht="21.75" customHeight="1">
      <c r="A350" s="16"/>
      <c r="B350" s="39" t="s">
        <v>777</v>
      </c>
      <c r="C350" s="32" t="str">
        <f>VLOOKUP(Ventas[[#This Row],[Codigo]],Stock[#Data],2,FALSE)</f>
        <v>Sedas Blunt Rey Kz celulosa Orange</v>
      </c>
      <c r="D350" s="37">
        <f>VLOOKUP(Ventas[[#This Row],[Codigo]],Stock[#Data],4,FALSE)</f>
        <v>400</v>
      </c>
      <c r="E350" s="33">
        <f>VLOOKUP(Ventas[[#This Row],[Codigo]],Stock[#Data],3,FALSE)</f>
        <v>167</v>
      </c>
      <c r="F350" s="38">
        <v>1</v>
      </c>
      <c r="G350">
        <v>68</v>
      </c>
      <c r="H350" s="36">
        <f>Ventas[[#This Row],[Precio Venta]]*Ventas[[#This Row],[Cantidad]]-Ventas[[#This Row],[Descuento]]</f>
        <v>400</v>
      </c>
      <c r="I350" s="34">
        <f>Ventas[[#This Row],[Total]]-Ventas[[#This Row],[Precio compra]]*Ventas[[#This Row],[Cantidad]]</f>
        <v>233</v>
      </c>
      <c r="J350" s="34">
        <v>0</v>
      </c>
      <c r="K350" s="34">
        <f>Ventas[[#This Row],[Total]]*Ventas[[#This Row],[Total 3]]</f>
        <v>0</v>
      </c>
      <c r="L350" s="34" t="s">
        <v>760</v>
      </c>
      <c r="M350" s="34"/>
    </row>
    <row r="351" spans="1:13" ht="21.75" customHeight="1">
      <c r="A351" s="16"/>
      <c r="B351" s="39" t="s">
        <v>777</v>
      </c>
      <c r="C351" s="32" t="str">
        <f>VLOOKUP(Ventas[[#This Row],[Codigo]],Stock[#Data],2,FALSE)</f>
        <v>Namaste Flora Booster 100ml</v>
      </c>
      <c r="D351" s="37">
        <f>VLOOKUP(Ventas[[#This Row],[Codigo]],Stock[#Data],4,FALSE)</f>
        <v>1000</v>
      </c>
      <c r="E351" s="33">
        <f>VLOOKUP(Ventas[[#This Row],[Codigo]],Stock[#Data],3,FALSE)</f>
        <v>517</v>
      </c>
      <c r="F351" s="38">
        <v>1</v>
      </c>
      <c r="G351">
        <v>480</v>
      </c>
      <c r="H351" s="36">
        <f>Ventas[[#This Row],[Precio Venta]]*Ventas[[#This Row],[Cantidad]]-Ventas[[#This Row],[Descuento]]</f>
        <v>1000</v>
      </c>
      <c r="I351" s="34">
        <f>Ventas[[#This Row],[Total]]-Ventas[[#This Row],[Precio compra]]*Ventas[[#This Row],[Cantidad]]</f>
        <v>483</v>
      </c>
      <c r="J351" s="34">
        <v>0</v>
      </c>
      <c r="K351" s="34">
        <f>Ventas[[#This Row],[Total]]*Ventas[[#This Row],[Total 3]]</f>
        <v>0</v>
      </c>
      <c r="L351" s="34" t="s">
        <v>760</v>
      </c>
      <c r="M351" s="34"/>
    </row>
    <row r="352" spans="1:13" ht="21.75" customHeight="1">
      <c r="A352" s="16"/>
      <c r="B352" s="39" t="s">
        <v>777</v>
      </c>
      <c r="C352" s="32" t="str">
        <f>VLOOKUP(Ventas[[#This Row],[Codigo]],Stock[#Data],2,FALSE)</f>
        <v>TreeMIX CANDY 45 ml</v>
      </c>
      <c r="D352" s="37">
        <f>VLOOKUP(Ventas[[#This Row],[Codigo]],Stock[#Data],4,FALSE)</f>
        <v>500</v>
      </c>
      <c r="E352" s="33">
        <f>VLOOKUP(Ventas[[#This Row],[Codigo]],Stock[#Data],3,FALSE)</f>
        <v>220</v>
      </c>
      <c r="F352" s="38">
        <v>2</v>
      </c>
      <c r="G352">
        <v>26</v>
      </c>
      <c r="H352" s="36">
        <f>Ventas[[#This Row],[Precio Venta]]*Ventas[[#This Row],[Cantidad]]-Ventas[[#This Row],[Descuento]]</f>
        <v>1000</v>
      </c>
      <c r="I352" s="34">
        <f>Ventas[[#This Row],[Total]]-Ventas[[#This Row],[Precio compra]]*Ventas[[#This Row],[Cantidad]]</f>
        <v>560</v>
      </c>
      <c r="J352" s="34">
        <v>0</v>
      </c>
      <c r="K352" s="34">
        <f>Ventas[[#This Row],[Total]]*Ventas[[#This Row],[Total 3]]</f>
        <v>0</v>
      </c>
      <c r="L352" s="34" t="s">
        <v>760</v>
      </c>
      <c r="M352" s="34"/>
    </row>
    <row r="353" spans="1:13" ht="21.75" customHeight="1">
      <c r="A353" s="16"/>
      <c r="B353" s="39" t="s">
        <v>777</v>
      </c>
      <c r="C353" s="32" t="str">
        <f>VLOOKUP(Ventas[[#This Row],[Codigo]],Stock[#Data],2,FALSE)</f>
        <v>TreeMIX A 45ml</v>
      </c>
      <c r="D353" s="37">
        <f>VLOOKUP(Ventas[[#This Row],[Codigo]],Stock[#Data],4,FALSE)</f>
        <v>500</v>
      </c>
      <c r="E353" s="33">
        <f>VLOOKUP(Ventas[[#This Row],[Codigo]],Stock[#Data],3,FALSE)</f>
        <v>260</v>
      </c>
      <c r="F353" s="38">
        <v>1</v>
      </c>
      <c r="G353">
        <v>21</v>
      </c>
      <c r="H353" s="36">
        <f>Ventas[[#This Row],[Precio Venta]]*Ventas[[#This Row],[Cantidad]]-Ventas[[#This Row],[Descuento]]</f>
        <v>500</v>
      </c>
      <c r="I353" s="34">
        <f>Ventas[[#This Row],[Total]]-Ventas[[#This Row],[Precio compra]]*Ventas[[#This Row],[Cantidad]]</f>
        <v>240</v>
      </c>
      <c r="J353" s="34">
        <v>0</v>
      </c>
      <c r="K353" s="34">
        <f>Ventas[[#This Row],[Total]]*Ventas[[#This Row],[Total 3]]</f>
        <v>0</v>
      </c>
      <c r="L353" s="34" t="s">
        <v>760</v>
      </c>
      <c r="M353" s="34"/>
    </row>
    <row r="354" spans="1:13" ht="21.75" customHeight="1">
      <c r="A354" s="16"/>
      <c r="B354" s="39" t="s">
        <v>768</v>
      </c>
      <c r="C354" s="35" t="str">
        <f>VLOOKUP(Ventas[[#This Row],[Codigo]],Stock[#Data],2,FALSE)</f>
        <v xml:space="preserve">Filtros Gizhe + Sedas </v>
      </c>
      <c r="D354" s="37">
        <f>VLOOKUP(Ventas[[#This Row],[Codigo]],Stock[#Data],4,FALSE)</f>
        <v>350</v>
      </c>
      <c r="E354" s="33">
        <f>VLOOKUP(Ventas[[#This Row],[Codigo]],Stock[#Data],3,FALSE)</f>
        <v>150</v>
      </c>
      <c r="F354" s="38">
        <v>1</v>
      </c>
      <c r="G354">
        <v>476</v>
      </c>
      <c r="H354" s="36">
        <f>Ventas[[#This Row],[Precio Venta]]*Ventas[[#This Row],[Cantidad]]-Ventas[[#This Row],[Descuento]]</f>
        <v>350</v>
      </c>
      <c r="I354" s="34">
        <f>Ventas[[#This Row],[Total]]-Ventas[[#This Row],[Precio compra]]*Ventas[[#This Row],[Cantidad]]</f>
        <v>200</v>
      </c>
      <c r="J354" s="34">
        <v>0</v>
      </c>
      <c r="K354" s="34">
        <f>Ventas[[#This Row],[Total]]*Ventas[[#This Row],[Total 3]]</f>
        <v>0</v>
      </c>
      <c r="L354" s="34" t="s">
        <v>760</v>
      </c>
      <c r="M354" s="34"/>
    </row>
    <row r="355" spans="1:13" ht="21.75" customHeight="1">
      <c r="A355" s="16"/>
      <c r="B355" s="39" t="s">
        <v>768</v>
      </c>
      <c r="C355" s="35" t="str">
        <f>VLOOKUP(Ventas[[#This Row],[Codigo]],Stock[#Data],2,FALSE)</f>
        <v>Tips STAMPS ECO</v>
      </c>
      <c r="D355" s="37">
        <f>VLOOKUP(Ventas[[#This Row],[Codigo]],Stock[#Data],4,FALSE)</f>
        <v>150</v>
      </c>
      <c r="E355" s="33">
        <f>VLOOKUP(Ventas[[#This Row],[Codigo]],Stock[#Data],3,FALSE)</f>
        <v>73</v>
      </c>
      <c r="F355" s="38">
        <v>1</v>
      </c>
      <c r="G355">
        <v>308</v>
      </c>
      <c r="H355" s="36">
        <f>Ventas[[#This Row],[Precio Venta]]*Ventas[[#This Row],[Cantidad]]-Ventas[[#This Row],[Descuento]]</f>
        <v>150</v>
      </c>
      <c r="I355" s="34">
        <f>Ventas[[#This Row],[Total]]-Ventas[[#This Row],[Precio compra]]*Ventas[[#This Row],[Cantidad]]</f>
        <v>77</v>
      </c>
      <c r="J355" s="34">
        <v>0</v>
      </c>
      <c r="K355" s="34">
        <f>Ventas[[#This Row],[Total]]*Ventas[[#This Row],[Total 3]]</f>
        <v>0</v>
      </c>
      <c r="L355" s="34" t="s">
        <v>760</v>
      </c>
      <c r="M355" s="34"/>
    </row>
    <row r="356" spans="1:13" ht="21.75" customHeight="1">
      <c r="A356" s="16"/>
      <c r="B356" s="39" t="s">
        <v>768</v>
      </c>
      <c r="C356" s="35" t="str">
        <f>VLOOKUP(Ventas[[#This Row],[Codigo]],Stock[#Data],2,FALSE)</f>
        <v xml:space="preserve">Picador lion Barcelona California Amsterdam 2 partes </v>
      </c>
      <c r="D356" s="37">
        <f>VLOOKUP(Ventas[[#This Row],[Codigo]],Stock[#Data],4,FALSE)</f>
        <v>4000</v>
      </c>
      <c r="E356" s="33">
        <f>VLOOKUP(Ventas[[#This Row],[Codigo]],Stock[#Data],3,FALSE)</f>
        <v>2002</v>
      </c>
      <c r="F356" s="38">
        <v>1</v>
      </c>
      <c r="G356">
        <v>429</v>
      </c>
      <c r="H356" s="36">
        <f>Ventas[[#This Row],[Precio Venta]]*Ventas[[#This Row],[Cantidad]]-Ventas[[#This Row],[Descuento]]</f>
        <v>4000</v>
      </c>
      <c r="I356" s="34">
        <f>Ventas[[#This Row],[Total]]-Ventas[[#This Row],[Precio compra]]*Ventas[[#This Row],[Cantidad]]</f>
        <v>1998</v>
      </c>
      <c r="J356" s="34">
        <v>1</v>
      </c>
      <c r="K356" s="34">
        <f>Ventas[[#This Row],[Total]]*Ventas[[#This Row],[Total 3]]</f>
        <v>4000</v>
      </c>
      <c r="L356" s="34" t="s">
        <v>759</v>
      </c>
      <c r="M356" s="34"/>
    </row>
    <row r="357" spans="1:13" ht="21.75" customHeight="1">
      <c r="A357" s="16"/>
      <c r="B357" s="39" t="s">
        <v>768</v>
      </c>
      <c r="C357" s="32" t="str">
        <f>VLOOKUP(Ventas[[#This Row],[Codigo]],Stock[#Data],2,FALSE)</f>
        <v>CropSecret 250ml Floral Session</v>
      </c>
      <c r="D357" s="37">
        <f>VLOOKUP(Ventas[[#This Row],[Codigo]],Stock[#Data],4,FALSE)</f>
        <v>2000</v>
      </c>
      <c r="E357" s="33">
        <f>VLOOKUP(Ventas[[#This Row],[Codigo]],Stock[#Data],3,FALSE)</f>
        <v>836</v>
      </c>
      <c r="F357" s="38">
        <v>1</v>
      </c>
      <c r="G357">
        <v>6</v>
      </c>
      <c r="H357" s="36">
        <f>Ventas[[#This Row],[Precio Venta]]*Ventas[[#This Row],[Cantidad]]-Ventas[[#This Row],[Descuento]]</f>
        <v>2000</v>
      </c>
      <c r="I357" s="34">
        <f>Ventas[[#This Row],[Total]]-Ventas[[#This Row],[Precio compra]]*Ventas[[#This Row],[Cantidad]]</f>
        <v>1164</v>
      </c>
      <c r="J357" s="34">
        <v>0</v>
      </c>
      <c r="K357" s="34">
        <f>Ventas[[#This Row],[Total]]*Ventas[[#This Row],[Total 3]]</f>
        <v>0</v>
      </c>
      <c r="L357" s="34" t="s">
        <v>760</v>
      </c>
      <c r="M357" s="34"/>
    </row>
    <row r="358" spans="1:13" ht="21.75" customHeight="1">
      <c r="A358" s="16"/>
      <c r="B358" s="39" t="s">
        <v>768</v>
      </c>
      <c r="C358" s="32" t="str">
        <f>VLOOKUP(Ventas[[#This Row],[Codigo]],Stock[#Data],2,FALSE)</f>
        <v>sedas Blunt Rey Frutilla</v>
      </c>
      <c r="D358" s="37">
        <f>VLOOKUP(Ventas[[#This Row],[Codigo]],Stock[#Data],4,FALSE)</f>
        <v>250</v>
      </c>
      <c r="E358" s="33">
        <f>VLOOKUP(Ventas[[#This Row],[Codigo]],Stock[#Data],3,FALSE)</f>
        <v>126</v>
      </c>
      <c r="F358" s="38">
        <v>1</v>
      </c>
      <c r="G358">
        <v>609</v>
      </c>
      <c r="H358" s="36">
        <f>Ventas[[#This Row],[Precio Venta]]*Ventas[[#This Row],[Cantidad]]-Ventas[[#This Row],[Descuento]]</f>
        <v>250</v>
      </c>
      <c r="I358" s="34">
        <f>Ventas[[#This Row],[Total]]-Ventas[[#This Row],[Precio compra]]*Ventas[[#This Row],[Cantidad]]</f>
        <v>124</v>
      </c>
      <c r="J358" s="34">
        <v>0</v>
      </c>
      <c r="K358" s="34">
        <f>Ventas[[#This Row],[Total]]*Ventas[[#This Row],[Total 3]]</f>
        <v>0</v>
      </c>
      <c r="L358" s="34" t="s">
        <v>760</v>
      </c>
      <c r="M358" s="34"/>
    </row>
    <row r="359" spans="1:13" ht="21.75" customHeight="1">
      <c r="A359" s="16"/>
      <c r="B359" s="39" t="s">
        <v>768</v>
      </c>
      <c r="C359" s="32" t="str">
        <f>VLOOKUP(Ventas[[#This Row],[Codigo]],Stock[#Data],2,FALSE)</f>
        <v>Sedas Blunt Rey 1/4 saborizadas Durazno</v>
      </c>
      <c r="D359" s="37">
        <f>VLOOKUP(Ventas[[#This Row],[Codigo]],Stock[#Data],4,FALSE)</f>
        <v>250</v>
      </c>
      <c r="E359" s="33">
        <f>VLOOKUP(Ventas[[#This Row],[Codigo]],Stock[#Data],3,FALSE)</f>
        <v>126</v>
      </c>
      <c r="F359" s="38">
        <v>1</v>
      </c>
      <c r="G359">
        <v>73</v>
      </c>
      <c r="H359" s="36">
        <f>Ventas[[#This Row],[Precio Venta]]*Ventas[[#This Row],[Cantidad]]-Ventas[[#This Row],[Descuento]]</f>
        <v>250</v>
      </c>
      <c r="I359" s="34">
        <f>Ventas[[#This Row],[Total]]-Ventas[[#This Row],[Precio compra]]*Ventas[[#This Row],[Cantidad]]</f>
        <v>124</v>
      </c>
      <c r="J359" s="34">
        <v>0</v>
      </c>
      <c r="K359" s="34">
        <f>Ventas[[#This Row],[Total]]*Ventas[[#This Row],[Total 3]]</f>
        <v>0</v>
      </c>
      <c r="L359" s="34" t="s">
        <v>760</v>
      </c>
      <c r="M359" s="34"/>
    </row>
    <row r="360" spans="1:13" ht="21.75" customHeight="1">
      <c r="A360" s="16"/>
      <c r="B360" s="39" t="s">
        <v>768</v>
      </c>
      <c r="C360" s="32" t="str">
        <f>VLOOKUP(Ventas[[#This Row],[Codigo]],Stock[#Data],2,FALSE)</f>
        <v xml:space="preserve">tips moon </v>
      </c>
      <c r="D360" s="37">
        <f>VLOOKUP(Ventas[[#This Row],[Codigo]],Stock[#Data],4,FALSE)</f>
        <v>100</v>
      </c>
      <c r="E360" s="33">
        <f>VLOOKUP(Ventas[[#This Row],[Codigo]],Stock[#Data],3,FALSE)</f>
        <v>50</v>
      </c>
      <c r="F360" s="38">
        <v>1</v>
      </c>
      <c r="G360">
        <v>356</v>
      </c>
      <c r="H360" s="36">
        <f>Ventas[[#This Row],[Precio Venta]]*Ventas[[#This Row],[Cantidad]]-Ventas[[#This Row],[Descuento]]</f>
        <v>100</v>
      </c>
      <c r="I360" s="34">
        <f>Ventas[[#This Row],[Total]]-Ventas[[#This Row],[Precio compra]]*Ventas[[#This Row],[Cantidad]]</f>
        <v>50</v>
      </c>
      <c r="J360" s="34">
        <v>0</v>
      </c>
      <c r="K360" s="34">
        <f>Ventas[[#This Row],[Total]]*Ventas[[#This Row],[Total 3]]</f>
        <v>0</v>
      </c>
      <c r="L360" s="34" t="s">
        <v>760</v>
      </c>
      <c r="M360" s="34"/>
    </row>
    <row r="361" spans="1:13" ht="21.75" customHeight="1">
      <c r="A361" s="16"/>
      <c r="B361" s="39" t="s">
        <v>768</v>
      </c>
      <c r="C361" s="32" t="str">
        <f>VLOOKUP(Ventas[[#This Row],[Codigo]],Stock[#Data],2,FALSE)</f>
        <v>Macetas Dame Aire 80 litros</v>
      </c>
      <c r="D361" s="37">
        <f>VLOOKUP(Ventas[[#This Row],[Codigo]],Stock[#Data],4,FALSE)</f>
        <v>1800</v>
      </c>
      <c r="E361" s="33">
        <f>VLOOKUP(Ventas[[#This Row],[Codigo]],Stock[#Data],3,FALSE)</f>
        <v>900</v>
      </c>
      <c r="F361" s="38">
        <v>2</v>
      </c>
      <c r="G361">
        <v>257</v>
      </c>
      <c r="H361" s="36">
        <f>Ventas[[#This Row],[Precio Venta]]*Ventas[[#This Row],[Cantidad]]-Ventas[[#This Row],[Descuento]]</f>
        <v>3600</v>
      </c>
      <c r="I361" s="34">
        <f>Ventas[[#This Row],[Total]]-Ventas[[#This Row],[Precio compra]]*Ventas[[#This Row],[Cantidad]]</f>
        <v>1800</v>
      </c>
      <c r="J361" s="34">
        <v>0</v>
      </c>
      <c r="K361" s="34">
        <f>Ventas[[#This Row],[Total]]*Ventas[[#This Row],[Total 3]]</f>
        <v>0</v>
      </c>
      <c r="L361" s="34" t="s">
        <v>760</v>
      </c>
      <c r="M361" s="34"/>
    </row>
    <row r="362" spans="1:13" ht="21.75" customHeight="1">
      <c r="A362" s="16"/>
      <c r="B362" s="39" t="s">
        <v>767</v>
      </c>
      <c r="C362" s="32" t="str">
        <f>VLOOKUP(Ventas[[#This Row],[Codigo]],Stock[#Data],2,FALSE)</f>
        <v>Power PH-</v>
      </c>
      <c r="D362" s="37">
        <f>VLOOKUP(Ventas[[#This Row],[Codigo]],Stock[#Data],4,FALSE)</f>
        <v>800</v>
      </c>
      <c r="E362" s="33">
        <f>VLOOKUP(Ventas[[#This Row],[Codigo]],Stock[#Data],3,FALSE)</f>
        <v>400</v>
      </c>
      <c r="F362" s="38">
        <v>1</v>
      </c>
      <c r="G362">
        <v>55</v>
      </c>
      <c r="H362" s="36">
        <f>Ventas[[#This Row],[Precio Venta]]*Ventas[[#This Row],[Cantidad]]-Ventas[[#This Row],[Descuento]]</f>
        <v>800</v>
      </c>
      <c r="I362" s="34">
        <f>Ventas[[#This Row],[Total]]-Ventas[[#This Row],[Precio compra]]*Ventas[[#This Row],[Cantidad]]</f>
        <v>400</v>
      </c>
      <c r="J362" s="34">
        <v>1</v>
      </c>
      <c r="K362" s="34">
        <f>Ventas[[#This Row],[Total]]*Ventas[[#This Row],[Total 3]]</f>
        <v>800</v>
      </c>
      <c r="L362" s="34" t="s">
        <v>759</v>
      </c>
      <c r="M362" s="34"/>
    </row>
    <row r="363" spans="1:13" ht="21.75" customHeight="1">
      <c r="A363" s="16"/>
      <c r="B363" s="39" t="s">
        <v>767</v>
      </c>
      <c r="C363" s="32" t="str">
        <f>VLOOKUP(Ventas[[#This Row],[Codigo]],Stock[#Data],2,FALSE)</f>
        <v>Namaste Flora Booster 100ml</v>
      </c>
      <c r="D363" s="37">
        <f>VLOOKUP(Ventas[[#This Row],[Codigo]],Stock[#Data],4,FALSE)</f>
        <v>1000</v>
      </c>
      <c r="E363" s="33">
        <f>VLOOKUP(Ventas[[#This Row],[Codigo]],Stock[#Data],3,FALSE)</f>
        <v>517</v>
      </c>
      <c r="F363" s="38">
        <v>1</v>
      </c>
      <c r="G363">
        <v>480</v>
      </c>
      <c r="H363" s="36">
        <f>Ventas[[#This Row],[Precio Venta]]*Ventas[[#This Row],[Cantidad]]-Ventas[[#This Row],[Descuento]]</f>
        <v>1000</v>
      </c>
      <c r="I363" s="34">
        <f>Ventas[[#This Row],[Total]]-Ventas[[#This Row],[Precio compra]]*Ventas[[#This Row],[Cantidad]]</f>
        <v>483</v>
      </c>
      <c r="J363" s="34">
        <v>1</v>
      </c>
      <c r="K363" s="34">
        <f>Ventas[[#This Row],[Total]]*Ventas[[#This Row],[Total 3]]</f>
        <v>1000</v>
      </c>
      <c r="L363" s="34" t="s">
        <v>759</v>
      </c>
      <c r="M363" s="34"/>
    </row>
    <row r="364" spans="1:13" ht="21.75" customHeight="1">
      <c r="A364" s="16"/>
      <c r="B364" s="39" t="s">
        <v>767</v>
      </c>
      <c r="C364" s="32" t="str">
        <f>VLOOKUP(Ventas[[#This Row],[Codigo]],Stock[#Data],2,FALSE)</f>
        <v>4 en 1 100ml Green Leaf Insumos</v>
      </c>
      <c r="D364" s="37">
        <f>VLOOKUP(Ventas[[#This Row],[Codigo]],Stock[#Data],4,FALSE)</f>
        <v>1000</v>
      </c>
      <c r="E364" s="33">
        <f>VLOOKUP(Ventas[[#This Row],[Codigo]],Stock[#Data],3,FALSE)</f>
        <v>498</v>
      </c>
      <c r="F364" s="38">
        <v>1</v>
      </c>
      <c r="G364">
        <v>575</v>
      </c>
      <c r="H364" s="36">
        <f>Ventas[[#This Row],[Precio Venta]]*Ventas[[#This Row],[Cantidad]]-Ventas[[#This Row],[Descuento]]</f>
        <v>1000</v>
      </c>
      <c r="I364" s="34">
        <f>Ventas[[#This Row],[Total]]-Ventas[[#This Row],[Precio compra]]*Ventas[[#This Row],[Cantidad]]</f>
        <v>502</v>
      </c>
      <c r="J364" s="34">
        <v>1</v>
      </c>
      <c r="K364" s="34">
        <f>Ventas[[#This Row],[Total]]*Ventas[[#This Row],[Total 3]]</f>
        <v>1000</v>
      </c>
      <c r="L364" s="34" t="s">
        <v>759</v>
      </c>
      <c r="M364" s="34"/>
    </row>
    <row r="365" spans="1:13" ht="21.75" customHeight="1">
      <c r="A365" s="16"/>
      <c r="B365" s="39" t="s">
        <v>767</v>
      </c>
      <c r="C365" s="32" t="str">
        <f>VLOOKUP(Ventas[[#This Row],[Codigo]],Stock[#Data],2,FALSE)</f>
        <v>Blunt Lion Rolling Circus TERPENES GELATO</v>
      </c>
      <c r="D365" s="37">
        <f>VLOOKUP(Ventas[[#This Row],[Codigo]],Stock[#Data],4,FALSE)</f>
        <v>850</v>
      </c>
      <c r="E365" s="33">
        <f>VLOOKUP(Ventas[[#This Row],[Codigo]],Stock[#Data],3,FALSE)</f>
        <v>422</v>
      </c>
      <c r="F365" s="38">
        <v>1</v>
      </c>
      <c r="G365">
        <v>99</v>
      </c>
      <c r="H365" s="36">
        <f>Ventas[[#This Row],[Precio Venta]]*Ventas[[#This Row],[Cantidad]]-Ventas[[#This Row],[Descuento]]</f>
        <v>850</v>
      </c>
      <c r="I365" s="34">
        <f>Ventas[[#This Row],[Total]]-Ventas[[#This Row],[Precio compra]]*Ventas[[#This Row],[Cantidad]]</f>
        <v>428</v>
      </c>
      <c r="J365" s="34">
        <v>1</v>
      </c>
      <c r="K365" s="34">
        <f>Ventas[[#This Row],[Total]]*Ventas[[#This Row],[Total 3]]</f>
        <v>850</v>
      </c>
      <c r="L365" s="34" t="s">
        <v>759</v>
      </c>
      <c r="M365" s="34"/>
    </row>
    <row r="366" spans="1:13" ht="21.75" customHeight="1">
      <c r="A366" s="16"/>
      <c r="B366" s="39" t="s">
        <v>767</v>
      </c>
      <c r="C366" s="32" t="str">
        <f>VLOOKUP(Ventas[[#This Row],[Codigo]],Stock[#Data],2,FALSE)</f>
        <v>Picador Lion Rolling Circus Negro Lionpepers.com</v>
      </c>
      <c r="D366" s="37">
        <f>VLOOKUP(Ventas[[#This Row],[Codigo]],Stock[#Data],4,FALSE)</f>
        <v>2500</v>
      </c>
      <c r="E366" s="33">
        <f>VLOOKUP(Ventas[[#This Row],[Codigo]],Stock[#Data],3,FALSE)</f>
        <v>1250</v>
      </c>
      <c r="F366" s="38">
        <v>1</v>
      </c>
      <c r="G366">
        <v>222</v>
      </c>
      <c r="H366" s="36">
        <f>Ventas[[#This Row],[Precio Venta]]*Ventas[[#This Row],[Cantidad]]-Ventas[[#This Row],[Descuento]]</f>
        <v>2500</v>
      </c>
      <c r="I366" s="34">
        <f>Ventas[[#This Row],[Total]]-Ventas[[#This Row],[Precio compra]]*Ventas[[#This Row],[Cantidad]]</f>
        <v>1250</v>
      </c>
      <c r="J366" s="34">
        <v>1</v>
      </c>
      <c r="K366" s="34">
        <f>Ventas[[#This Row],[Total]]*Ventas[[#This Row],[Total 3]]</f>
        <v>2500</v>
      </c>
      <c r="L366" s="34" t="s">
        <v>759</v>
      </c>
      <c r="M366" s="34"/>
    </row>
    <row r="367" spans="1:13" ht="21.75" customHeight="1">
      <c r="A367" s="16"/>
      <c r="B367" s="39" t="s">
        <v>767</v>
      </c>
      <c r="C367" s="32" t="str">
        <f>VLOOKUP(Ventas[[#This Row],[Codigo]],Stock[#Data],2,FALSE)</f>
        <v>4 en 1 100ml Green Leaf Insumos</v>
      </c>
      <c r="D367" s="37">
        <f>VLOOKUP(Ventas[[#This Row],[Codigo]],Stock[#Data],4,FALSE)</f>
        <v>1000</v>
      </c>
      <c r="E367" s="33">
        <f>VLOOKUP(Ventas[[#This Row],[Codigo]],Stock[#Data],3,FALSE)</f>
        <v>498</v>
      </c>
      <c r="F367" s="38">
        <v>1</v>
      </c>
      <c r="G367">
        <v>575</v>
      </c>
      <c r="H367" s="36">
        <f>Ventas[[#This Row],[Precio Venta]]*Ventas[[#This Row],[Cantidad]]-Ventas[[#This Row],[Descuento]]</f>
        <v>1000</v>
      </c>
      <c r="I367" s="34">
        <f>Ventas[[#This Row],[Total]]-Ventas[[#This Row],[Precio compra]]*Ventas[[#This Row],[Cantidad]]</f>
        <v>502</v>
      </c>
      <c r="J367" s="34">
        <v>0</v>
      </c>
      <c r="K367" s="34">
        <f>Ventas[[#This Row],[Total]]*Ventas[[#This Row],[Total 3]]</f>
        <v>0</v>
      </c>
      <c r="L367" s="34" t="s">
        <v>760</v>
      </c>
      <c r="M367" s="34"/>
    </row>
    <row r="368" spans="1:13" ht="21.75" customHeight="1">
      <c r="A368" s="16"/>
      <c r="B368" s="39" t="s">
        <v>767</v>
      </c>
      <c r="C368" s="32" t="str">
        <f>VLOOKUP(Ventas[[#This Row],[Codigo]],Stock[#Data],2,FALSE)</f>
        <v>Lata Lion Rolling Circus</v>
      </c>
      <c r="D368" s="37">
        <f>VLOOKUP(Ventas[[#This Row],[Codigo]],Stock[#Data],4,FALSE)</f>
        <v>1200</v>
      </c>
      <c r="E368" s="33">
        <f>VLOOKUP(Ventas[[#This Row],[Codigo]],Stock[#Data],3,FALSE)</f>
        <v>580</v>
      </c>
      <c r="F368" s="38">
        <v>1</v>
      </c>
      <c r="G368">
        <v>145</v>
      </c>
      <c r="H368" s="36">
        <f>Ventas[[#This Row],[Precio Venta]]*Ventas[[#This Row],[Cantidad]]-Ventas[[#This Row],[Descuento]]</f>
        <v>1200</v>
      </c>
      <c r="I368" s="34">
        <f>Ventas[[#This Row],[Total]]-Ventas[[#This Row],[Precio compra]]*Ventas[[#This Row],[Cantidad]]</f>
        <v>620</v>
      </c>
      <c r="J368" s="34">
        <v>0</v>
      </c>
      <c r="K368" s="34">
        <f>Ventas[[#This Row],[Total]]*Ventas[[#This Row],[Total 3]]</f>
        <v>0</v>
      </c>
      <c r="L368" s="34" t="s">
        <v>760</v>
      </c>
      <c r="M368" s="34"/>
    </row>
    <row r="369" spans="1:13" ht="21.75" customHeight="1">
      <c r="A369" s="16"/>
      <c r="B369" s="39" t="s">
        <v>767</v>
      </c>
      <c r="C369" s="32" t="str">
        <f>VLOOKUP(Ventas[[#This Row],[Codigo]],Stock[#Data],2,FALSE)</f>
        <v>gas butano clear 250cc</v>
      </c>
      <c r="D369" s="37">
        <f>VLOOKUP(Ventas[[#This Row],[Codigo]],Stock[#Data],4,FALSE)</f>
        <v>1000</v>
      </c>
      <c r="E369" s="33">
        <f>VLOOKUP(Ventas[[#This Row],[Codigo]],Stock[#Data],3,FALSE)</f>
        <v>425</v>
      </c>
      <c r="F369" s="38">
        <v>1</v>
      </c>
      <c r="G369">
        <v>358</v>
      </c>
      <c r="H369" s="36">
        <f>Ventas[[#This Row],[Precio Venta]]*Ventas[[#This Row],[Cantidad]]-Ventas[[#This Row],[Descuento]]</f>
        <v>1000</v>
      </c>
      <c r="I369" s="34">
        <f>Ventas[[#This Row],[Total]]-Ventas[[#This Row],[Precio compra]]*Ventas[[#This Row],[Cantidad]]</f>
        <v>575</v>
      </c>
      <c r="J369" s="34">
        <v>0</v>
      </c>
      <c r="K369" s="34">
        <f>Ventas[[#This Row],[Total]]*Ventas[[#This Row],[Total 3]]</f>
        <v>0</v>
      </c>
      <c r="L369" s="34" t="s">
        <v>760</v>
      </c>
      <c r="M369" s="34"/>
    </row>
    <row r="370" spans="1:13" ht="21.75" customHeight="1">
      <c r="A370" s="16"/>
      <c r="B370" s="39" t="s">
        <v>767</v>
      </c>
      <c r="C370" s="32" t="str">
        <f>VLOOKUP(Ventas[[#This Row],[Codigo]],Stock[#Data],2,FALSE)</f>
        <v>Blunt Lion Rolling Circus TERPENES GELATO</v>
      </c>
      <c r="D370" s="37">
        <f>VLOOKUP(Ventas[[#This Row],[Codigo]],Stock[#Data],4,FALSE)</f>
        <v>850</v>
      </c>
      <c r="E370" s="33">
        <f>VLOOKUP(Ventas[[#This Row],[Codigo]],Stock[#Data],3,FALSE)</f>
        <v>422</v>
      </c>
      <c r="F370" s="38">
        <v>1</v>
      </c>
      <c r="G370">
        <v>99</v>
      </c>
      <c r="H370" s="36">
        <f>Ventas[[#This Row],[Precio Venta]]*Ventas[[#This Row],[Cantidad]]-Ventas[[#This Row],[Descuento]]</f>
        <v>850</v>
      </c>
      <c r="I370" s="34">
        <f>Ventas[[#This Row],[Total]]-Ventas[[#This Row],[Precio compra]]*Ventas[[#This Row],[Cantidad]]</f>
        <v>428</v>
      </c>
      <c r="J370" s="34">
        <v>0</v>
      </c>
      <c r="K370" s="34">
        <f>Ventas[[#This Row],[Total]]*Ventas[[#This Row],[Total 3]]</f>
        <v>0</v>
      </c>
      <c r="L370" s="34" t="s">
        <v>760</v>
      </c>
      <c r="M370" s="34"/>
    </row>
    <row r="371" spans="1:13" ht="21.75" customHeight="1">
      <c r="A371" s="16"/>
      <c r="B371" s="39" t="s">
        <v>767</v>
      </c>
      <c r="C371" s="32" t="str">
        <f>VLOOKUP(Ventas[[#This Row],[Codigo]],Stock[#Data],2,FALSE)</f>
        <v>Sedas Blunt Rey 1/4 organic</v>
      </c>
      <c r="D371" s="37">
        <f>VLOOKUP(Ventas[[#This Row],[Codigo]],Stock[#Data],4,FALSE)</f>
        <v>250</v>
      </c>
      <c r="E371" s="33">
        <f>VLOOKUP(Ventas[[#This Row],[Codigo]],Stock[#Data],3,FALSE)</f>
        <v>109</v>
      </c>
      <c r="F371" s="38">
        <v>1</v>
      </c>
      <c r="G371">
        <v>67</v>
      </c>
      <c r="H371" s="36">
        <f>Ventas[[#This Row],[Precio Venta]]*Ventas[[#This Row],[Cantidad]]-Ventas[[#This Row],[Descuento]]</f>
        <v>250</v>
      </c>
      <c r="I371" s="34">
        <f>Ventas[[#This Row],[Total]]-Ventas[[#This Row],[Precio compra]]*Ventas[[#This Row],[Cantidad]]</f>
        <v>141</v>
      </c>
      <c r="J371" s="34">
        <v>0</v>
      </c>
      <c r="K371" s="34">
        <f>Ventas[[#This Row],[Total]]*Ventas[[#This Row],[Total 3]]</f>
        <v>0</v>
      </c>
      <c r="L371" s="34" t="s">
        <v>760</v>
      </c>
      <c r="M371" s="34"/>
    </row>
    <row r="372" spans="1:13" ht="21.75" customHeight="1">
      <c r="A372" s="16"/>
      <c r="B372" s="39" t="s">
        <v>767</v>
      </c>
      <c r="C372" s="32" t="str">
        <f>VLOOKUP(Ventas[[#This Row],[Codigo]],Stock[#Data],2,FALSE)</f>
        <v>Lupa con clip x60</v>
      </c>
      <c r="D372" s="37">
        <f>VLOOKUP(Ventas[[#This Row],[Codigo]],Stock[#Data],4,FALSE)</f>
        <v>2500</v>
      </c>
      <c r="E372" s="33">
        <f>VLOOKUP(Ventas[[#This Row],[Codigo]],Stock[#Data],3,FALSE)</f>
        <v>1500</v>
      </c>
      <c r="F372" s="38">
        <v>1</v>
      </c>
      <c r="G372">
        <v>266</v>
      </c>
      <c r="H372" s="36">
        <f>Ventas[[#This Row],[Precio Venta]]*Ventas[[#This Row],[Cantidad]]-Ventas[[#This Row],[Descuento]]</f>
        <v>2500</v>
      </c>
      <c r="I372" s="34">
        <f>Ventas[[#This Row],[Total]]-Ventas[[#This Row],[Precio compra]]*Ventas[[#This Row],[Cantidad]]</f>
        <v>1000</v>
      </c>
      <c r="J372" s="34">
        <v>1</v>
      </c>
      <c r="K372" s="34">
        <f>Ventas[[#This Row],[Total]]*Ventas[[#This Row],[Total 3]]</f>
        <v>2500</v>
      </c>
      <c r="L372" s="34" t="s">
        <v>759</v>
      </c>
      <c r="M372" s="34"/>
    </row>
    <row r="373" spans="1:13" ht="21.75" customHeight="1">
      <c r="A373" s="16"/>
      <c r="B373" s="39" t="s">
        <v>767</v>
      </c>
      <c r="C373" s="32" t="str">
        <f>VLOOKUP(Ventas[[#This Row],[Codigo]],Stock[#Data],2,FALSE)</f>
        <v>Tips OCB Organic</v>
      </c>
      <c r="D373" s="37">
        <f>VLOOKUP(Ventas[[#This Row],[Codigo]],Stock[#Data],4,FALSE)</f>
        <v>300</v>
      </c>
      <c r="E373" s="33">
        <f>VLOOKUP(Ventas[[#This Row],[Codigo]],Stock[#Data],3,FALSE)</f>
        <v>156</v>
      </c>
      <c r="F373" s="38">
        <v>1</v>
      </c>
      <c r="G373">
        <v>95</v>
      </c>
      <c r="H373" s="36">
        <f>Ventas[[#This Row],[Precio Venta]]*Ventas[[#This Row],[Cantidad]]-Ventas[[#This Row],[Descuento]]</f>
        <v>300</v>
      </c>
      <c r="I373" s="34">
        <f>Ventas[[#This Row],[Total]]-Ventas[[#This Row],[Precio compra]]*Ventas[[#This Row],[Cantidad]]</f>
        <v>144</v>
      </c>
      <c r="J373" s="34">
        <v>0</v>
      </c>
      <c r="K373" s="34">
        <f>Ventas[[#This Row],[Total]]*Ventas[[#This Row],[Total 3]]</f>
        <v>0</v>
      </c>
      <c r="L373" s="34" t="s">
        <v>760</v>
      </c>
      <c r="M373" s="34"/>
    </row>
    <row r="374" spans="1:13" ht="21.75" customHeight="1">
      <c r="A374" s="16"/>
      <c r="B374" s="39" t="s">
        <v>757</v>
      </c>
      <c r="C374" s="35" t="str">
        <f>VLOOKUP(Ventas[[#This Row],[Codigo]],Stock[#Data],2,FALSE)</f>
        <v xml:space="preserve">Clipper Raw </v>
      </c>
      <c r="D374" s="37">
        <f>VLOOKUP(Ventas[[#This Row],[Codigo]],Stock[#Data],4,FALSE)</f>
        <v>550</v>
      </c>
      <c r="E374" s="33">
        <f>VLOOKUP(Ventas[[#This Row],[Codigo]],Stock[#Data],3,FALSE)</f>
        <v>276</v>
      </c>
      <c r="F374" s="38">
        <v>1</v>
      </c>
      <c r="G374">
        <v>502</v>
      </c>
      <c r="H374" s="36">
        <f>Ventas[[#This Row],[Precio Venta]]*Ventas[[#This Row],[Cantidad]]-Ventas[[#This Row],[Descuento]]</f>
        <v>550</v>
      </c>
      <c r="I374" s="34">
        <f>Ventas[[#This Row],[Total]]-Ventas[[#This Row],[Precio compra]]*Ventas[[#This Row],[Cantidad]]</f>
        <v>274</v>
      </c>
      <c r="J374" s="34">
        <v>0</v>
      </c>
      <c r="K374" s="34">
        <f>Ventas[[#This Row],[Total]]*Ventas[[#This Row],[Total 3]]</f>
        <v>0</v>
      </c>
      <c r="L374" s="34" t="s">
        <v>760</v>
      </c>
      <c r="M374" s="34"/>
    </row>
    <row r="375" spans="1:13" ht="21.75" customHeight="1">
      <c r="A375" s="16"/>
      <c r="B375" s="39" t="s">
        <v>757</v>
      </c>
      <c r="C375" s="35" t="str">
        <f>VLOOKUP(Ventas[[#This Row],[Codigo]],Stock[#Data],2,FALSE)</f>
        <v>Red de Scrog 60x60</v>
      </c>
      <c r="D375" s="37">
        <f>VLOOKUP(Ventas[[#This Row],[Codigo]],Stock[#Data],4,FALSE)</f>
        <v>1000</v>
      </c>
      <c r="E375" s="33">
        <f>VLOOKUP(Ventas[[#This Row],[Codigo]],Stock[#Data],3,FALSE)</f>
        <v>522</v>
      </c>
      <c r="F375" s="38">
        <v>1</v>
      </c>
      <c r="G375">
        <v>193</v>
      </c>
      <c r="H375" s="36">
        <f>Ventas[[#This Row],[Precio Venta]]*Ventas[[#This Row],[Cantidad]]-Ventas[[#This Row],[Descuento]]</f>
        <v>1000</v>
      </c>
      <c r="I375" s="34">
        <f>Ventas[[#This Row],[Total]]-Ventas[[#This Row],[Precio compra]]*Ventas[[#This Row],[Cantidad]]</f>
        <v>478</v>
      </c>
      <c r="J375" s="34">
        <v>1</v>
      </c>
      <c r="K375" s="34">
        <f>Ventas[[#This Row],[Total]]*Ventas[[#This Row],[Total 3]]</f>
        <v>1000</v>
      </c>
      <c r="L375" s="34" t="s">
        <v>759</v>
      </c>
      <c r="M375" s="34"/>
    </row>
    <row r="376" spans="1:13" ht="21.75" customHeight="1">
      <c r="A376" s="16"/>
      <c r="B376" s="39" t="s">
        <v>757</v>
      </c>
      <c r="C376" s="35" t="str">
        <f>VLOOKUP(Ventas[[#This Row],[Codigo]],Stock[#Data],2,FALSE)</f>
        <v xml:space="preserve">Maceta Geotextil Pochita 24L </v>
      </c>
      <c r="D376" s="37">
        <f>VLOOKUP(Ventas[[#This Row],[Codigo]],Stock[#Data],4,FALSE)</f>
        <v>850</v>
      </c>
      <c r="E376" s="33">
        <f>VLOOKUP(Ventas[[#This Row],[Codigo]],Stock[#Data],3,FALSE)</f>
        <v>421</v>
      </c>
      <c r="F376" s="38">
        <v>1</v>
      </c>
      <c r="G376">
        <v>467</v>
      </c>
      <c r="H376" s="36">
        <f>Ventas[[#This Row],[Precio Venta]]*Ventas[[#This Row],[Cantidad]]-Ventas[[#This Row],[Descuento]]</f>
        <v>850</v>
      </c>
      <c r="I376" s="34">
        <f>Ventas[[#This Row],[Total]]-Ventas[[#This Row],[Precio compra]]*Ventas[[#This Row],[Cantidad]]</f>
        <v>429</v>
      </c>
      <c r="J376" s="34">
        <v>1</v>
      </c>
      <c r="K376" s="34">
        <f>Ventas[[#This Row],[Total]]*Ventas[[#This Row],[Total 3]]</f>
        <v>850</v>
      </c>
      <c r="L376" s="34" t="s">
        <v>759</v>
      </c>
      <c r="M376" s="34"/>
    </row>
    <row r="377" spans="1:13" ht="21.75" customHeight="1">
      <c r="A377" s="16"/>
      <c r="B377" s="39" t="s">
        <v>757</v>
      </c>
      <c r="C377" s="35" t="str">
        <f>VLOOKUP(Ventas[[#This Row],[Codigo]],Stock[#Data],2,FALSE)</f>
        <v>Sustrato Perlita</v>
      </c>
      <c r="D377" s="37">
        <f>VLOOKUP(Ventas[[#This Row],[Codigo]],Stock[#Data],4,FALSE)</f>
        <v>800</v>
      </c>
      <c r="E377" s="33">
        <f>VLOOKUP(Ventas[[#This Row],[Codigo]],Stock[#Data],3,FALSE)</f>
        <v>400</v>
      </c>
      <c r="F377" s="38">
        <v>1</v>
      </c>
      <c r="G377">
        <v>52</v>
      </c>
      <c r="H377" s="36">
        <f>Ventas[[#This Row],[Precio Venta]]*Ventas[[#This Row],[Cantidad]]-Ventas[[#This Row],[Descuento]]</f>
        <v>800</v>
      </c>
      <c r="I377" s="34">
        <f>Ventas[[#This Row],[Total]]-Ventas[[#This Row],[Precio compra]]*Ventas[[#This Row],[Cantidad]]</f>
        <v>400</v>
      </c>
      <c r="J377" s="34">
        <v>1</v>
      </c>
      <c r="K377" s="34">
        <f>Ventas[[#This Row],[Total]]*Ventas[[#This Row],[Total 3]]</f>
        <v>800</v>
      </c>
      <c r="L377" s="34" t="s">
        <v>759</v>
      </c>
      <c r="M377" s="34"/>
    </row>
    <row r="378" spans="1:13" ht="21.75" customHeight="1">
      <c r="A378" s="16"/>
      <c r="B378" s="39" t="s">
        <v>757</v>
      </c>
      <c r="C378" s="35" t="str">
        <f>VLOOKUP(Ventas[[#This Row],[Codigo]],Stock[#Data],2,FALSE)</f>
        <v>Sustrato Perlita</v>
      </c>
      <c r="D378" s="37">
        <f>VLOOKUP(Ventas[[#This Row],[Codigo]],Stock[#Data],4,FALSE)</f>
        <v>800</v>
      </c>
      <c r="E378" s="33">
        <f>VLOOKUP(Ventas[[#This Row],[Codigo]],Stock[#Data],3,FALSE)</f>
        <v>400</v>
      </c>
      <c r="F378" s="38">
        <v>1</v>
      </c>
      <c r="G378">
        <v>52</v>
      </c>
      <c r="H378" s="36">
        <f>Ventas[[#This Row],[Precio Venta]]*Ventas[[#This Row],[Cantidad]]-Ventas[[#This Row],[Descuento]]</f>
        <v>800</v>
      </c>
      <c r="I378" s="34">
        <f>Ventas[[#This Row],[Total]]-Ventas[[#This Row],[Precio compra]]*Ventas[[#This Row],[Cantidad]]</f>
        <v>400</v>
      </c>
      <c r="J378" s="34">
        <v>0</v>
      </c>
      <c r="K378" s="34">
        <f>Ventas[[#This Row],[Total]]*Ventas[[#This Row],[Total 3]]</f>
        <v>0</v>
      </c>
      <c r="L378" s="34" t="s">
        <v>760</v>
      </c>
      <c r="M378" s="34"/>
    </row>
    <row r="379" spans="1:13" ht="21.75" customHeight="1">
      <c r="A379" s="16"/>
      <c r="B379" s="39" t="s">
        <v>757</v>
      </c>
      <c r="C379" s="35" t="str">
        <f>VLOOKUP(Ventas[[#This Row],[Codigo]],Stock[#Data],2,FALSE)</f>
        <v>TreeMIX A 200ml</v>
      </c>
      <c r="D379" s="37">
        <f>VLOOKUP(Ventas[[#This Row],[Codigo]],Stock[#Data],4,FALSE)</f>
        <v>1400</v>
      </c>
      <c r="E379" s="33">
        <f>VLOOKUP(Ventas[[#This Row],[Codigo]],Stock[#Data],3,FALSE)</f>
        <v>700</v>
      </c>
      <c r="F379" s="38">
        <v>1</v>
      </c>
      <c r="G379">
        <v>31</v>
      </c>
      <c r="H379" s="36">
        <f>Ventas[[#This Row],[Precio Venta]]*Ventas[[#This Row],[Cantidad]]-Ventas[[#This Row],[Descuento]]</f>
        <v>1400</v>
      </c>
      <c r="I379" s="34">
        <f>Ventas[[#This Row],[Total]]-Ventas[[#This Row],[Precio compra]]*Ventas[[#This Row],[Cantidad]]</f>
        <v>700</v>
      </c>
      <c r="J379" s="34">
        <v>0</v>
      </c>
      <c r="K379" s="34">
        <f>Ventas[[#This Row],[Total]]*Ventas[[#This Row],[Total 3]]</f>
        <v>0</v>
      </c>
      <c r="L379" s="34" t="s">
        <v>760</v>
      </c>
      <c r="M379" s="34"/>
    </row>
    <row r="380" spans="1:13" ht="21.75" customHeight="1">
      <c r="A380" s="16"/>
      <c r="B380" s="39" t="s">
        <v>757</v>
      </c>
      <c r="C380" s="35" t="str">
        <f>VLOOKUP(Ventas[[#This Row],[Codigo]],Stock[#Data],2,FALSE)</f>
        <v>Lupa con clip x60</v>
      </c>
      <c r="D380" s="37">
        <f>VLOOKUP(Ventas[[#This Row],[Codigo]],Stock[#Data],4,FALSE)</f>
        <v>2500</v>
      </c>
      <c r="E380" s="33">
        <f>VLOOKUP(Ventas[[#This Row],[Codigo]],Stock[#Data],3,FALSE)</f>
        <v>1500</v>
      </c>
      <c r="F380" s="38">
        <v>1</v>
      </c>
      <c r="G380">
        <v>266</v>
      </c>
      <c r="H380" s="36">
        <f>Ventas[[#This Row],[Precio Venta]]*Ventas[[#This Row],[Cantidad]]-Ventas[[#This Row],[Descuento]]</f>
        <v>2500</v>
      </c>
      <c r="I380" s="34">
        <f>Ventas[[#This Row],[Total]]-Ventas[[#This Row],[Precio compra]]*Ventas[[#This Row],[Cantidad]]</f>
        <v>1000</v>
      </c>
      <c r="J380" s="34">
        <v>0</v>
      </c>
      <c r="K380" s="34">
        <f>Ventas[[#This Row],[Total]]*Ventas[[#This Row],[Total 3]]</f>
        <v>0</v>
      </c>
      <c r="L380" s="34" t="s">
        <v>760</v>
      </c>
      <c r="M380" s="34"/>
    </row>
    <row r="381" spans="1:13" ht="21.75" customHeight="1">
      <c r="A381" s="16"/>
      <c r="B381" s="39" t="s">
        <v>757</v>
      </c>
      <c r="C381" s="35" t="str">
        <f>VLOOKUP(Ventas[[#This Row],[Codigo]],Stock[#Data],2,FALSE)</f>
        <v>Tips Lion Rolling Circus pre-armados</v>
      </c>
      <c r="D381" s="37">
        <f>VLOOKUP(Ventas[[#This Row],[Codigo]],Stock[#Data],4,FALSE)</f>
        <v>1600</v>
      </c>
      <c r="E381" s="33">
        <f>VLOOKUP(Ventas[[#This Row],[Codigo]],Stock[#Data],3,FALSE)</f>
        <v>803</v>
      </c>
      <c r="F381" s="38">
        <v>1</v>
      </c>
      <c r="G381">
        <v>97</v>
      </c>
      <c r="H381" s="36">
        <f>Ventas[[#This Row],[Precio Venta]]*Ventas[[#This Row],[Cantidad]]-Ventas[[#This Row],[Descuento]]</f>
        <v>1600</v>
      </c>
      <c r="I381" s="34">
        <f>Ventas[[#This Row],[Total]]-Ventas[[#This Row],[Precio compra]]*Ventas[[#This Row],[Cantidad]]</f>
        <v>797</v>
      </c>
      <c r="J381" s="34">
        <v>0</v>
      </c>
      <c r="K381" s="34">
        <f>Ventas[[#This Row],[Total]]*Ventas[[#This Row],[Total 3]]</f>
        <v>0</v>
      </c>
      <c r="L381" s="34" t="s">
        <v>760</v>
      </c>
      <c r="M381" s="34"/>
    </row>
    <row r="382" spans="1:13" ht="21.75" customHeight="1">
      <c r="A382" s="16"/>
      <c r="B382" s="39" t="s">
        <v>757</v>
      </c>
      <c r="C382" s="35" t="str">
        <f>VLOOKUP(Ventas[[#This Row],[Codigo]],Stock[#Data],2,FALSE)</f>
        <v>Maquina para Armar Metalica STAMPS</v>
      </c>
      <c r="D382" s="37">
        <f>VLOOKUP(Ventas[[#This Row],[Codigo]],Stock[#Data],4,FALSE)</f>
        <v>2300</v>
      </c>
      <c r="E382" s="33">
        <f>VLOOKUP(Ventas[[#This Row],[Codigo]],Stock[#Data],3,FALSE)</f>
        <v>1145</v>
      </c>
      <c r="F382" s="38">
        <v>1</v>
      </c>
      <c r="G382">
        <v>413</v>
      </c>
      <c r="H382" s="36">
        <f>Ventas[[#This Row],[Precio Venta]]*Ventas[[#This Row],[Cantidad]]-Ventas[[#This Row],[Descuento]]</f>
        <v>2300</v>
      </c>
      <c r="I382" s="34">
        <f>Ventas[[#This Row],[Total]]-Ventas[[#This Row],[Precio compra]]*Ventas[[#This Row],[Cantidad]]</f>
        <v>1155</v>
      </c>
      <c r="J382" s="34">
        <v>0</v>
      </c>
      <c r="K382" s="34">
        <f>Ventas[[#This Row],[Total]]*Ventas[[#This Row],[Total 3]]</f>
        <v>0</v>
      </c>
      <c r="L382" s="34" t="s">
        <v>760</v>
      </c>
      <c r="M382" s="34"/>
    </row>
    <row r="383" spans="1:13" ht="21.75" customHeight="1">
      <c r="A383" s="16"/>
      <c r="B383" s="39" t="s">
        <v>757</v>
      </c>
      <c r="C383" s="35" t="str">
        <f>VLOOKUP(Ventas[[#This Row],[Codigo]],Stock[#Data],2,FALSE)</f>
        <v>VAMP Guano de murcielago Flora</v>
      </c>
      <c r="D383" s="37">
        <f>VLOOKUP(Ventas[[#This Row],[Codigo]],Stock[#Data],4,FALSE)</f>
        <v>1000</v>
      </c>
      <c r="E383" s="33">
        <f>VLOOKUP(Ventas[[#This Row],[Codigo]],Stock[#Data],3,FALSE)</f>
        <v>510</v>
      </c>
      <c r="F383" s="38">
        <v>2</v>
      </c>
      <c r="G383">
        <v>38</v>
      </c>
      <c r="H383" s="36">
        <f>Ventas[[#This Row],[Precio Venta]]*Ventas[[#This Row],[Cantidad]]-Ventas[[#This Row],[Descuento]]</f>
        <v>2000</v>
      </c>
      <c r="I383" s="34">
        <f>Ventas[[#This Row],[Total]]-Ventas[[#This Row],[Precio compra]]*Ventas[[#This Row],[Cantidad]]</f>
        <v>980</v>
      </c>
      <c r="J383" s="34">
        <v>0</v>
      </c>
      <c r="K383" s="34">
        <f>Ventas[[#This Row],[Total]]*Ventas[[#This Row],[Total 3]]</f>
        <v>0</v>
      </c>
      <c r="L383" s="34" t="s">
        <v>760</v>
      </c>
      <c r="M383" s="34"/>
    </row>
    <row r="384" spans="1:13" ht="21.75" customHeight="1">
      <c r="A384" s="16"/>
      <c r="B384" s="39" t="s">
        <v>757</v>
      </c>
      <c r="C384" s="35" t="str">
        <f>VLOOKUP(Ventas[[#This Row],[Codigo]],Stock[#Data],2,FALSE)</f>
        <v>VAMP Supermelaza</v>
      </c>
      <c r="D384" s="37">
        <f>VLOOKUP(Ventas[[#This Row],[Codigo]],Stock[#Data],4,FALSE)</f>
        <v>1800</v>
      </c>
      <c r="E384" s="33">
        <f>VLOOKUP(Ventas[[#This Row],[Codigo]],Stock[#Data],3,FALSE)</f>
        <v>908</v>
      </c>
      <c r="F384" s="38">
        <v>2</v>
      </c>
      <c r="G384">
        <v>36</v>
      </c>
      <c r="H384" s="36">
        <f>Ventas[[#This Row],[Precio Venta]]*Ventas[[#This Row],[Cantidad]]-Ventas[[#This Row],[Descuento]]</f>
        <v>3600</v>
      </c>
      <c r="I384" s="34">
        <f>Ventas[[#This Row],[Total]]-Ventas[[#This Row],[Precio compra]]*Ventas[[#This Row],[Cantidad]]</f>
        <v>1784</v>
      </c>
      <c r="J384" s="34">
        <v>0</v>
      </c>
      <c r="K384" s="34">
        <f>Ventas[[#This Row],[Total]]*Ventas[[#This Row],[Total 3]]</f>
        <v>0</v>
      </c>
      <c r="L384" s="34" t="s">
        <v>760</v>
      </c>
      <c r="M384" s="34"/>
    </row>
    <row r="385" spans="1:13" ht="21.75" customHeight="1">
      <c r="A385" s="16"/>
      <c r="B385" s="39" t="s">
        <v>757</v>
      </c>
      <c r="C385" s="32" t="str">
        <f>VLOOKUP(Ventas[[#This Row],[Codigo]],Stock[#Data],2,FALSE)</f>
        <v>Tabaco Van Kiff Chocolate</v>
      </c>
      <c r="D385" s="37">
        <f>VLOOKUP(Ventas[[#This Row],[Codigo]],Stock[#Data],4,FALSE)</f>
        <v>850</v>
      </c>
      <c r="E385" s="33">
        <f>VLOOKUP(Ventas[[#This Row],[Codigo]],Stock[#Data],3,FALSE)</f>
        <v>580</v>
      </c>
      <c r="F385" s="38">
        <v>1</v>
      </c>
      <c r="G385">
        <v>119</v>
      </c>
      <c r="H385" s="36">
        <f>Ventas[[#This Row],[Precio Venta]]*Ventas[[#This Row],[Cantidad]]-Ventas[[#This Row],[Descuento]]</f>
        <v>850</v>
      </c>
      <c r="I385" s="34">
        <f>Ventas[[#This Row],[Total]]-Ventas[[#This Row],[Precio compra]]*Ventas[[#This Row],[Cantidad]]</f>
        <v>270</v>
      </c>
      <c r="J385" s="34">
        <v>0</v>
      </c>
      <c r="K385" s="34">
        <f>Ventas[[#This Row],[Total]]*Ventas[[#This Row],[Total 3]]</f>
        <v>0</v>
      </c>
      <c r="L385" s="34"/>
      <c r="M385" s="34"/>
    </row>
    <row r="386" spans="1:13" ht="21.75" customHeight="1">
      <c r="A386" s="16"/>
      <c r="B386" s="39" t="s">
        <v>757</v>
      </c>
      <c r="C386" s="32" t="str">
        <f>VLOOKUP(Ventas[[#This Row],[Codigo]],Stock[#Data],2,FALSE)</f>
        <v>OCB Cañamo Organico</v>
      </c>
      <c r="D386" s="37">
        <f>VLOOKUP(Ventas[[#This Row],[Codigo]],Stock[#Data],4,FALSE)</f>
        <v>300</v>
      </c>
      <c r="E386" s="33">
        <f>VLOOKUP(Ventas[[#This Row],[Codigo]],Stock[#Data],3,FALSE)</f>
        <v>165</v>
      </c>
      <c r="F386" s="38">
        <v>1</v>
      </c>
      <c r="G386">
        <v>593</v>
      </c>
      <c r="H386" s="36">
        <f>Ventas[[#This Row],[Precio Venta]]*Ventas[[#This Row],[Cantidad]]-Ventas[[#This Row],[Descuento]]</f>
        <v>300</v>
      </c>
      <c r="I386" s="34">
        <f>Ventas[[#This Row],[Total]]-Ventas[[#This Row],[Precio compra]]*Ventas[[#This Row],[Cantidad]]</f>
        <v>135</v>
      </c>
      <c r="J386" s="34">
        <v>0</v>
      </c>
      <c r="K386" s="34">
        <f>Ventas[[#This Row],[Total]]*Ventas[[#This Row],[Total 3]]</f>
        <v>0</v>
      </c>
      <c r="L386" s="34"/>
      <c r="M386" s="34"/>
    </row>
    <row r="387" spans="1:13" ht="21.75" customHeight="1">
      <c r="A387" s="16"/>
      <c r="B387" s="39" t="s">
        <v>757</v>
      </c>
      <c r="C387" s="32" t="str">
        <f>VLOOKUP(Ventas[[#This Row],[Codigo]],Stock[#Data],2,FALSE)</f>
        <v>Lata GIZEH</v>
      </c>
      <c r="D387" s="37">
        <f>VLOOKUP(Ventas[[#This Row],[Codigo]],Stock[#Data],4,FALSE)</f>
        <v>700</v>
      </c>
      <c r="E387" s="33">
        <f>VLOOKUP(Ventas[[#This Row],[Codigo]],Stock[#Data],3,FALSE)</f>
        <v>300</v>
      </c>
      <c r="F387" s="38">
        <v>1</v>
      </c>
      <c r="G387">
        <v>554</v>
      </c>
      <c r="H387" s="36">
        <f>Ventas[[#This Row],[Precio Venta]]*Ventas[[#This Row],[Cantidad]]-Ventas[[#This Row],[Descuento]]</f>
        <v>700</v>
      </c>
      <c r="I387" s="34">
        <f>Ventas[[#This Row],[Total]]-Ventas[[#This Row],[Precio compra]]*Ventas[[#This Row],[Cantidad]]</f>
        <v>400</v>
      </c>
      <c r="J387" s="34">
        <v>0</v>
      </c>
      <c r="K387" s="34">
        <f>Ventas[[#This Row],[Total]]*Ventas[[#This Row],[Total 3]]</f>
        <v>0</v>
      </c>
      <c r="L387" s="34"/>
      <c r="M387" s="34"/>
    </row>
    <row r="388" spans="1:13" ht="21.75" customHeight="1">
      <c r="A388" s="16"/>
      <c r="B388" s="39" t="s">
        <v>755</v>
      </c>
      <c r="C388" s="32" t="str">
        <f>VLOOKUP(Ventas[[#This Row],[Codigo]],Stock[#Data],2,FALSE)</f>
        <v>Namaste Oro Negro 100ml</v>
      </c>
      <c r="D388" s="37">
        <f>VLOOKUP(Ventas[[#This Row],[Codigo]],Stock[#Data],4,FALSE)</f>
        <v>1000</v>
      </c>
      <c r="E388" s="33">
        <f>VLOOKUP(Ventas[[#This Row],[Codigo]],Stock[#Data],3,FALSE)</f>
        <v>515</v>
      </c>
      <c r="F388" s="38">
        <v>1</v>
      </c>
      <c r="G388">
        <v>478</v>
      </c>
      <c r="H388" s="36">
        <f>Ventas[[#This Row],[Precio Venta]]*Ventas[[#This Row],[Cantidad]]-Ventas[[#This Row],[Descuento]]</f>
        <v>1000</v>
      </c>
      <c r="I388" s="34">
        <f>Ventas[[#This Row],[Total]]-Ventas[[#This Row],[Precio compra]]*Ventas[[#This Row],[Cantidad]]</f>
        <v>485</v>
      </c>
      <c r="J388" s="34"/>
      <c r="K388" s="34">
        <f>Ventas[[#This Row],[Total]]*Ventas[[#This Row],[Total 3]]</f>
        <v>0</v>
      </c>
      <c r="L388" s="34"/>
      <c r="M388" s="34"/>
    </row>
    <row r="389" spans="1:13" ht="21.75" customHeight="1">
      <c r="A389" s="16"/>
      <c r="B389" s="39" t="s">
        <v>755</v>
      </c>
      <c r="C389" s="32" t="str">
        <f>VLOOKUP(Ventas[[#This Row],[Codigo]],Stock[#Data],2,FALSE)</f>
        <v>Lupa con clip x60</v>
      </c>
      <c r="D389" s="37">
        <f>VLOOKUP(Ventas[[#This Row],[Codigo]],Stock[#Data],4,FALSE)</f>
        <v>2500</v>
      </c>
      <c r="E389" s="33">
        <f>VLOOKUP(Ventas[[#This Row],[Codigo]],Stock[#Data],3,FALSE)</f>
        <v>1500</v>
      </c>
      <c r="F389" s="38">
        <v>1</v>
      </c>
      <c r="G389">
        <v>266</v>
      </c>
      <c r="H389" s="36">
        <f>Ventas[[#This Row],[Precio Venta]]*Ventas[[#This Row],[Cantidad]]-Ventas[[#This Row],[Descuento]]</f>
        <v>2500</v>
      </c>
      <c r="I389" s="34">
        <f>Ventas[[#This Row],[Total]]-Ventas[[#This Row],[Precio compra]]*Ventas[[#This Row],[Cantidad]]</f>
        <v>1000</v>
      </c>
      <c r="J389" s="34"/>
      <c r="K389" s="34">
        <f>Ventas[[#This Row],[Total]]*Ventas[[#This Row],[Total 3]]</f>
        <v>0</v>
      </c>
      <c r="L389" s="34"/>
      <c r="M389" s="34"/>
    </row>
    <row r="390" spans="1:13" ht="21.75" customHeight="1">
      <c r="A390" s="16"/>
      <c r="B390" s="39" t="s">
        <v>755</v>
      </c>
      <c r="C390" s="32" t="str">
        <f>VLOOKUP(Ventas[[#This Row],[Codigo]],Stock[#Data],2,FALSE)</f>
        <v>Cooler 4" Ruleman BtFans</v>
      </c>
      <c r="D390" s="37">
        <f>VLOOKUP(Ventas[[#This Row],[Codigo]],Stock[#Data],4,FALSE)</f>
        <v>4000</v>
      </c>
      <c r="E390" s="33">
        <f>VLOOKUP(Ventas[[#This Row],[Codigo]],Stock[#Data],3,FALSE)</f>
        <v>2000</v>
      </c>
      <c r="F390" s="38">
        <v>1</v>
      </c>
      <c r="G390">
        <v>501</v>
      </c>
      <c r="H390" s="36">
        <f>Ventas[[#This Row],[Precio Venta]]*Ventas[[#This Row],[Cantidad]]-Ventas[[#This Row],[Descuento]]</f>
        <v>4000</v>
      </c>
      <c r="I390" s="34">
        <f>Ventas[[#This Row],[Total]]-Ventas[[#This Row],[Precio compra]]*Ventas[[#This Row],[Cantidad]]</f>
        <v>2000</v>
      </c>
      <c r="J390" s="34"/>
      <c r="K390" s="34">
        <f>Ventas[[#This Row],[Total]]*Ventas[[#This Row],[Total 3]]</f>
        <v>0</v>
      </c>
      <c r="L390" s="34"/>
      <c r="M390" s="34"/>
    </row>
    <row r="391" spans="1:13" ht="21.75" customHeight="1">
      <c r="A391" s="16"/>
      <c r="B391" s="39" t="s">
        <v>755</v>
      </c>
      <c r="C391" s="32" t="str">
        <f>VLOOKUP(Ventas[[#This Row],[Codigo]],Stock[#Data],2,FALSE)</f>
        <v>Sustrato Perlita</v>
      </c>
      <c r="D391" s="37">
        <f>VLOOKUP(Ventas[[#This Row],[Codigo]],Stock[#Data],4,FALSE)</f>
        <v>800</v>
      </c>
      <c r="E391" s="33">
        <f>VLOOKUP(Ventas[[#This Row],[Codigo]],Stock[#Data],3,FALSE)</f>
        <v>400</v>
      </c>
      <c r="F391" s="38">
        <v>4</v>
      </c>
      <c r="G391">
        <v>52</v>
      </c>
      <c r="H391" s="36">
        <f>Ventas[[#This Row],[Precio Venta]]*Ventas[[#This Row],[Cantidad]]-Ventas[[#This Row],[Descuento]]</f>
        <v>3200</v>
      </c>
      <c r="I391" s="34">
        <f>Ventas[[#This Row],[Total]]-Ventas[[#This Row],[Precio compra]]*Ventas[[#This Row],[Cantidad]]</f>
        <v>1600</v>
      </c>
      <c r="J391" s="34"/>
      <c r="K391" s="34">
        <f>Ventas[[#This Row],[Total]]*Ventas[[#This Row],[Total 3]]</f>
        <v>0</v>
      </c>
      <c r="L391" s="34"/>
      <c r="M391" s="34"/>
    </row>
    <row r="392" spans="1:13" ht="21.75" customHeight="1">
      <c r="A392" s="16"/>
      <c r="B392" s="39" t="s">
        <v>755</v>
      </c>
      <c r="C392" s="32" t="str">
        <f>VLOOKUP(Ventas[[#This Row],[Codigo]],Stock[#Data],2,FALSE)</f>
        <v>Namaste Flora Booster 100ml</v>
      </c>
      <c r="D392" s="37">
        <f>VLOOKUP(Ventas[[#This Row],[Codigo]],Stock[#Data],4,FALSE)</f>
        <v>1000</v>
      </c>
      <c r="E392" s="33">
        <f>VLOOKUP(Ventas[[#This Row],[Codigo]],Stock[#Data],3,FALSE)</f>
        <v>517</v>
      </c>
      <c r="F392" s="38">
        <v>1</v>
      </c>
      <c r="G392">
        <v>480</v>
      </c>
      <c r="H392" s="36">
        <f>Ventas[[#This Row],[Precio Venta]]*Ventas[[#This Row],[Cantidad]]-Ventas[[#This Row],[Descuento]]</f>
        <v>1000</v>
      </c>
      <c r="I392" s="34">
        <f>Ventas[[#This Row],[Total]]-Ventas[[#This Row],[Precio compra]]*Ventas[[#This Row],[Cantidad]]</f>
        <v>483</v>
      </c>
      <c r="J392" s="34"/>
      <c r="K392" s="34">
        <f>Ventas[[#This Row],[Total]]*Ventas[[#This Row],[Total 3]]</f>
        <v>0</v>
      </c>
      <c r="L392" s="34"/>
      <c r="M392" s="34"/>
    </row>
    <row r="393" spans="1:13" ht="21.75" customHeight="1">
      <c r="A393" s="16"/>
      <c r="B393" s="39" t="s">
        <v>755</v>
      </c>
      <c r="C393" s="32" t="str">
        <f>VLOOKUP(Ventas[[#This Row],[Codigo]],Stock[#Data],2,FALSE)</f>
        <v>TreeMIX A 45ml</v>
      </c>
      <c r="D393" s="37">
        <f>VLOOKUP(Ventas[[#This Row],[Codigo]],Stock[#Data],4,FALSE)</f>
        <v>500</v>
      </c>
      <c r="E393" s="33">
        <f>VLOOKUP(Ventas[[#This Row],[Codigo]],Stock[#Data],3,FALSE)</f>
        <v>260</v>
      </c>
      <c r="F393" s="38">
        <v>1</v>
      </c>
      <c r="G393">
        <v>21</v>
      </c>
      <c r="H393" s="36">
        <f>Ventas[[#This Row],[Precio Venta]]*Ventas[[#This Row],[Cantidad]]-Ventas[[#This Row],[Descuento]]</f>
        <v>500</v>
      </c>
      <c r="I393" s="34">
        <f>Ventas[[#This Row],[Total]]-Ventas[[#This Row],[Precio compra]]*Ventas[[#This Row],[Cantidad]]</f>
        <v>240</v>
      </c>
      <c r="J393" s="34"/>
      <c r="K393" s="34">
        <f>Ventas[[#This Row],[Total]]*Ventas[[#This Row],[Total 3]]</f>
        <v>0</v>
      </c>
      <c r="L393" s="34"/>
      <c r="M393" s="34"/>
    </row>
    <row r="394" spans="1:13" ht="21.75" customHeight="1">
      <c r="A394" s="16"/>
      <c r="B394" s="39" t="s">
        <v>751</v>
      </c>
      <c r="C394" s="32" t="str">
        <f>VLOOKUP(Ventas[[#This Row],[Codigo]],Stock[#Data],2,FALSE)</f>
        <v>Sedas Lion Rolling Circus 1/4 alfalfa</v>
      </c>
      <c r="D394" s="37">
        <f>VLOOKUP(Ventas[[#This Row],[Codigo]],Stock[#Data],4,FALSE)</f>
        <v>300</v>
      </c>
      <c r="E394" s="33">
        <f>VLOOKUP(Ventas[[#This Row],[Codigo]],Stock[#Data],3,FALSE)</f>
        <v>150</v>
      </c>
      <c r="F394" s="38">
        <v>1</v>
      </c>
      <c r="G394">
        <v>63</v>
      </c>
      <c r="H394" s="36">
        <f>Ventas[[#This Row],[Precio Venta]]*Ventas[[#This Row],[Cantidad]]-Ventas[[#This Row],[Descuento]]</f>
        <v>300</v>
      </c>
      <c r="I394" s="34">
        <f>Ventas[[#This Row],[Total]]-Ventas[[#This Row],[Precio compra]]*Ventas[[#This Row],[Cantidad]]</f>
        <v>150</v>
      </c>
      <c r="J394" s="34"/>
      <c r="K394" s="34">
        <f>Ventas[[#This Row],[Total]]*Ventas[[#This Row],[Total 3]]</f>
        <v>0</v>
      </c>
      <c r="L394" s="34"/>
      <c r="M394" s="34"/>
    </row>
    <row r="395" spans="1:13" ht="21.75" customHeight="1">
      <c r="A395" s="16"/>
      <c r="B395" s="39" t="s">
        <v>751</v>
      </c>
      <c r="C395" s="32" t="str">
        <f>VLOOKUP(Ventas[[#This Row],[Codigo]],Stock[#Data],2,FALSE)</f>
        <v xml:space="preserve">Tips Raw Cone </v>
      </c>
      <c r="D395" s="37">
        <f>VLOOKUP(Ventas[[#This Row],[Codigo]],Stock[#Data],4,FALSE)</f>
        <v>450</v>
      </c>
      <c r="E395" s="33">
        <f>VLOOKUP(Ventas[[#This Row],[Codigo]],Stock[#Data],3,FALSE)</f>
        <v>230</v>
      </c>
      <c r="F395" s="38">
        <v>1</v>
      </c>
      <c r="G395">
        <v>453</v>
      </c>
      <c r="H395" s="36">
        <f>Ventas[[#This Row],[Precio Venta]]*Ventas[[#This Row],[Cantidad]]-Ventas[[#This Row],[Descuento]]</f>
        <v>450</v>
      </c>
      <c r="I395" s="34">
        <f>Ventas[[#This Row],[Total]]-Ventas[[#This Row],[Precio compra]]*Ventas[[#This Row],[Cantidad]]</f>
        <v>220</v>
      </c>
      <c r="J395" s="34"/>
      <c r="K395" s="34">
        <f>Ventas[[#This Row],[Total]]*Ventas[[#This Row],[Total 3]]</f>
        <v>0</v>
      </c>
      <c r="L395" s="34"/>
      <c r="M395" s="34"/>
    </row>
    <row r="396" spans="1:13" ht="21.75" customHeight="1">
      <c r="A396" s="16"/>
      <c r="B396" s="39" t="s">
        <v>751</v>
      </c>
      <c r="C396" s="32" t="str">
        <f>VLOOKUP(Ventas[[#This Row],[Codigo]],Stock[#Data],2,FALSE)</f>
        <v>Tabaco Van Kiff Chocolate</v>
      </c>
      <c r="D396" s="37">
        <f>VLOOKUP(Ventas[[#This Row],[Codigo]],Stock[#Data],4,FALSE)</f>
        <v>850</v>
      </c>
      <c r="E396" s="33">
        <f>VLOOKUP(Ventas[[#This Row],[Codigo]],Stock[#Data],3,FALSE)</f>
        <v>580</v>
      </c>
      <c r="F396" s="38">
        <v>1</v>
      </c>
      <c r="G396">
        <v>119</v>
      </c>
      <c r="H396" s="36">
        <f>Ventas[[#This Row],[Precio Venta]]*Ventas[[#This Row],[Cantidad]]-Ventas[[#This Row],[Descuento]]</f>
        <v>850</v>
      </c>
      <c r="I396" s="34">
        <f>Ventas[[#This Row],[Total]]-Ventas[[#This Row],[Precio compra]]*Ventas[[#This Row],[Cantidad]]</f>
        <v>270</v>
      </c>
      <c r="J396" s="34"/>
      <c r="K396" s="34">
        <f>Ventas[[#This Row],[Total]]*Ventas[[#This Row],[Total 3]]</f>
        <v>0</v>
      </c>
      <c r="L396" s="34"/>
      <c r="M396" s="34"/>
    </row>
    <row r="397" spans="1:13" ht="21.75" customHeight="1">
      <c r="A397" s="16"/>
      <c r="B397" s="39" t="s">
        <v>751</v>
      </c>
      <c r="C397" s="32" t="str">
        <f>VLOOKUP(Ventas[[#This Row],[Codigo]],Stock[#Data],2,FALSE)</f>
        <v>VAMP Guano de murcielago Flora</v>
      </c>
      <c r="D397" s="37">
        <f>VLOOKUP(Ventas[[#This Row],[Codigo]],Stock[#Data],4,FALSE)</f>
        <v>1000</v>
      </c>
      <c r="E397" s="33">
        <f>VLOOKUP(Ventas[[#This Row],[Codigo]],Stock[#Data],3,FALSE)</f>
        <v>510</v>
      </c>
      <c r="F397" s="38">
        <v>1</v>
      </c>
      <c r="G397">
        <v>38</v>
      </c>
      <c r="H397" s="36">
        <f>Ventas[[#This Row],[Precio Venta]]*Ventas[[#This Row],[Cantidad]]-Ventas[[#This Row],[Descuento]]</f>
        <v>1000</v>
      </c>
      <c r="I397" s="34">
        <f>Ventas[[#This Row],[Total]]-Ventas[[#This Row],[Precio compra]]*Ventas[[#This Row],[Cantidad]]</f>
        <v>490</v>
      </c>
      <c r="J397" s="34"/>
      <c r="K397" s="34">
        <f>Ventas[[#This Row],[Total]]*Ventas[[#This Row],[Total 3]]</f>
        <v>0</v>
      </c>
      <c r="L397" s="34"/>
      <c r="M397" s="34"/>
    </row>
    <row r="398" spans="1:13" ht="21.75" customHeight="1">
      <c r="A398" s="16"/>
      <c r="B398" s="39" t="s">
        <v>751</v>
      </c>
      <c r="C398" s="32" t="str">
        <f>VLOOKUP(Ventas[[#This Row],[Codigo]],Stock[#Data],2,FALSE)</f>
        <v>Macetas Sopladas 3L</v>
      </c>
      <c r="D398" s="37">
        <f>VLOOKUP(Ventas[[#This Row],[Codigo]],Stock[#Data],4,FALSE)</f>
        <v>120</v>
      </c>
      <c r="E398" s="33">
        <f>VLOOKUP(Ventas[[#This Row],[Codigo]],Stock[#Data],3,FALSE)</f>
        <v>58</v>
      </c>
      <c r="F398" s="38">
        <v>3</v>
      </c>
      <c r="G398">
        <v>456</v>
      </c>
      <c r="H398" s="36">
        <f>Ventas[[#This Row],[Precio Venta]]*Ventas[[#This Row],[Cantidad]]-Ventas[[#This Row],[Descuento]]</f>
        <v>360</v>
      </c>
      <c r="I398" s="34">
        <f>Ventas[[#This Row],[Total]]-Ventas[[#This Row],[Precio compra]]*Ventas[[#This Row],[Cantidad]]</f>
        <v>186</v>
      </c>
      <c r="J398" s="34"/>
      <c r="K398" s="34">
        <f>Ventas[[#This Row],[Total]]*Ventas[[#This Row],[Total 3]]</f>
        <v>0</v>
      </c>
      <c r="L398" s="34"/>
      <c r="M398" s="34"/>
    </row>
    <row r="399" spans="1:13" ht="21.75" customHeight="1">
      <c r="A399" s="16"/>
      <c r="B399" s="39" t="s">
        <v>751</v>
      </c>
      <c r="C399" s="32" t="str">
        <f>VLOOKUP(Ventas[[#This Row],[Codigo]],Stock[#Data],2,FALSE)</f>
        <v>Sauver 1/4</v>
      </c>
      <c r="D399" s="37">
        <f>VLOOKUP(Ventas[[#This Row],[Codigo]],Stock[#Data],4,FALSE)</f>
        <v>200</v>
      </c>
      <c r="E399" s="33">
        <f>VLOOKUP(Ventas[[#This Row],[Codigo]],Stock[#Data],3,FALSE)</f>
        <v>75</v>
      </c>
      <c r="F399" s="38">
        <v>1</v>
      </c>
      <c r="G399">
        <v>149</v>
      </c>
      <c r="H399" s="36">
        <f>Ventas[[#This Row],[Precio Venta]]*Ventas[[#This Row],[Cantidad]]-Ventas[[#This Row],[Descuento]]</f>
        <v>200</v>
      </c>
      <c r="I399" s="34">
        <f>Ventas[[#This Row],[Total]]-Ventas[[#This Row],[Precio compra]]*Ventas[[#This Row],[Cantidad]]</f>
        <v>125</v>
      </c>
      <c r="J399" s="34"/>
      <c r="K399" s="34">
        <f>Ventas[[#This Row],[Total]]*Ventas[[#This Row],[Total 3]]</f>
        <v>0</v>
      </c>
      <c r="L399" s="34"/>
      <c r="M399" s="34"/>
    </row>
    <row r="400" spans="1:13" ht="21.75" customHeight="1">
      <c r="A400" s="16"/>
      <c r="B400" s="39" t="s">
        <v>751</v>
      </c>
      <c r="C400" s="32" t="str">
        <f>VLOOKUP(Ventas[[#This Row],[Codigo]],Stock[#Data],2,FALSE)</f>
        <v>Namaste Flora Booster 100ml</v>
      </c>
      <c r="D400" s="37">
        <f>VLOOKUP(Ventas[[#This Row],[Codigo]],Stock[#Data],4,FALSE)</f>
        <v>1000</v>
      </c>
      <c r="E400" s="33">
        <f>VLOOKUP(Ventas[[#This Row],[Codigo]],Stock[#Data],3,FALSE)</f>
        <v>517</v>
      </c>
      <c r="F400" s="38">
        <v>1</v>
      </c>
      <c r="G400">
        <v>480</v>
      </c>
      <c r="H400" s="36">
        <f>Ventas[[#This Row],[Precio Venta]]*Ventas[[#This Row],[Cantidad]]-Ventas[[#This Row],[Descuento]]</f>
        <v>1000</v>
      </c>
      <c r="I400" s="34">
        <f>Ventas[[#This Row],[Total]]-Ventas[[#This Row],[Precio compra]]*Ventas[[#This Row],[Cantidad]]</f>
        <v>483</v>
      </c>
      <c r="J400" s="34"/>
      <c r="K400" s="34">
        <f>Ventas[[#This Row],[Total]]*Ventas[[#This Row],[Total 3]]</f>
        <v>0</v>
      </c>
      <c r="L400" s="34"/>
      <c r="M400" s="34"/>
    </row>
    <row r="401" spans="1:13" ht="21.75" customHeight="1">
      <c r="A401" s="16"/>
      <c r="B401" s="39" t="s">
        <v>751</v>
      </c>
      <c r="C401" s="32" t="str">
        <f>VLOOKUP(Ventas[[#This Row],[Codigo]],Stock[#Data],2,FALSE)</f>
        <v>TreeMIX A 45ml</v>
      </c>
      <c r="D401" s="37">
        <f>VLOOKUP(Ventas[[#This Row],[Codigo]],Stock[#Data],4,FALSE)</f>
        <v>500</v>
      </c>
      <c r="E401" s="33">
        <f>VLOOKUP(Ventas[[#This Row],[Codigo]],Stock[#Data],3,FALSE)</f>
        <v>260</v>
      </c>
      <c r="F401" s="38">
        <v>1</v>
      </c>
      <c r="G401">
        <v>21</v>
      </c>
      <c r="H401" s="36">
        <f>Ventas[[#This Row],[Precio Venta]]*Ventas[[#This Row],[Cantidad]]-Ventas[[#This Row],[Descuento]]</f>
        <v>500</v>
      </c>
      <c r="I401" s="34">
        <f>Ventas[[#This Row],[Total]]-Ventas[[#This Row],[Precio compra]]*Ventas[[#This Row],[Cantidad]]</f>
        <v>240</v>
      </c>
      <c r="J401" s="34"/>
      <c r="K401" s="34">
        <f>Ventas[[#This Row],[Total]]*Ventas[[#This Row],[Total 3]]</f>
        <v>0</v>
      </c>
      <c r="L401" s="34"/>
      <c r="M401" s="34"/>
    </row>
    <row r="402" spans="1:13" ht="21.75" customHeight="1">
      <c r="A402" s="16"/>
      <c r="B402" s="39" t="s">
        <v>751</v>
      </c>
      <c r="C402" s="32" t="str">
        <f>VLOOKUP(Ventas[[#This Row],[Codigo]],Stock[#Data],2,FALSE)</f>
        <v xml:space="preserve">Picador Dk 4p Amsterdam hoja </v>
      </c>
      <c r="D402" s="37">
        <f>VLOOKUP(Ventas[[#This Row],[Codigo]],Stock[#Data],4,FALSE)</f>
        <v>4000</v>
      </c>
      <c r="E402" s="33">
        <f>VLOOKUP(Ventas[[#This Row],[Codigo]],Stock[#Data],3,FALSE)</f>
        <v>2140</v>
      </c>
      <c r="F402" s="38">
        <v>1</v>
      </c>
      <c r="G402">
        <v>435</v>
      </c>
      <c r="H402" s="36">
        <f>Ventas[[#This Row],[Precio Venta]]*Ventas[[#This Row],[Cantidad]]-Ventas[[#This Row],[Descuento]]</f>
        <v>4000</v>
      </c>
      <c r="I402" s="34">
        <f>Ventas[[#This Row],[Total]]-Ventas[[#This Row],[Precio compra]]*Ventas[[#This Row],[Cantidad]]</f>
        <v>1860</v>
      </c>
      <c r="J402" s="34"/>
      <c r="K402" s="34">
        <f>Ventas[[#This Row],[Total]]*Ventas[[#This Row],[Total 3]]</f>
        <v>0</v>
      </c>
      <c r="L402" s="34"/>
      <c r="M402" s="34"/>
    </row>
    <row r="403" spans="1:13" ht="21.75" customHeight="1">
      <c r="A403" s="16"/>
      <c r="B403" s="39" t="s">
        <v>751</v>
      </c>
      <c r="C403" s="32" t="str">
        <f>VLOOKUP(Ventas[[#This Row],[Codigo]],Stock[#Data],2,FALSE)</f>
        <v>Sedas Blunt Rey 1/4 saborizadas Durazno</v>
      </c>
      <c r="D403" s="37">
        <f>VLOOKUP(Ventas[[#This Row],[Codigo]],Stock[#Data],4,FALSE)</f>
        <v>250</v>
      </c>
      <c r="E403" s="33">
        <f>VLOOKUP(Ventas[[#This Row],[Codigo]],Stock[#Data],3,FALSE)</f>
        <v>126</v>
      </c>
      <c r="F403" s="38">
        <v>1</v>
      </c>
      <c r="G403">
        <v>73</v>
      </c>
      <c r="H403" s="36">
        <f>Ventas[[#This Row],[Precio Venta]]*Ventas[[#This Row],[Cantidad]]-Ventas[[#This Row],[Descuento]]</f>
        <v>250</v>
      </c>
      <c r="I403" s="34">
        <f>Ventas[[#This Row],[Total]]-Ventas[[#This Row],[Precio compra]]*Ventas[[#This Row],[Cantidad]]</f>
        <v>124</v>
      </c>
      <c r="J403" s="34"/>
      <c r="K403" s="34">
        <f>Ventas[[#This Row],[Total]]*Ventas[[#This Row],[Total 3]]</f>
        <v>0</v>
      </c>
      <c r="L403" s="34"/>
      <c r="M403" s="34"/>
    </row>
    <row r="404" spans="1:13" ht="21.75" customHeight="1">
      <c r="A404" s="16"/>
      <c r="B404" s="39" t="s">
        <v>751</v>
      </c>
      <c r="C404" s="32" t="str">
        <f>VLOOKUP(Ventas[[#This Row],[Codigo]],Stock[#Data],2,FALSE)</f>
        <v>Tips STAMPS ECO</v>
      </c>
      <c r="D404" s="37">
        <f>VLOOKUP(Ventas[[#This Row],[Codigo]],Stock[#Data],4,FALSE)</f>
        <v>150</v>
      </c>
      <c r="E404" s="33">
        <f>VLOOKUP(Ventas[[#This Row],[Codigo]],Stock[#Data],3,FALSE)</f>
        <v>73</v>
      </c>
      <c r="F404" s="38">
        <v>1</v>
      </c>
      <c r="G404">
        <v>308</v>
      </c>
      <c r="H404" s="36">
        <f>Ventas[[#This Row],[Precio Venta]]*Ventas[[#This Row],[Cantidad]]-Ventas[[#This Row],[Descuento]]</f>
        <v>150</v>
      </c>
      <c r="I404" s="34">
        <f>Ventas[[#This Row],[Total]]-Ventas[[#This Row],[Precio compra]]*Ventas[[#This Row],[Cantidad]]</f>
        <v>77</v>
      </c>
      <c r="J404" s="34"/>
      <c r="K404" s="34">
        <f>Ventas[[#This Row],[Total]]*Ventas[[#This Row],[Total 3]]</f>
        <v>0</v>
      </c>
      <c r="L404" s="34"/>
      <c r="M404" s="34"/>
    </row>
    <row r="405" spans="1:13" ht="21.75" customHeight="1">
      <c r="A405" s="16"/>
      <c r="B405" s="39" t="s">
        <v>751</v>
      </c>
      <c r="C405" s="32" t="str">
        <f>VLOOKUP(Ventas[[#This Row],[Codigo]],Stock[#Data],2,FALSE)</f>
        <v>Power Cleaning H2O</v>
      </c>
      <c r="D405" s="37">
        <f>VLOOKUP(Ventas[[#This Row],[Codigo]],Stock[#Data],4,FALSE)</f>
        <v>800</v>
      </c>
      <c r="E405" s="33">
        <f>VLOOKUP(Ventas[[#This Row],[Codigo]],Stock[#Data],3,FALSE)</f>
        <v>380</v>
      </c>
      <c r="F405" s="38">
        <v>1</v>
      </c>
      <c r="G405">
        <v>54</v>
      </c>
      <c r="H405" s="36">
        <f>Ventas[[#This Row],[Precio Venta]]*Ventas[[#This Row],[Cantidad]]-Ventas[[#This Row],[Descuento]]</f>
        <v>800</v>
      </c>
      <c r="I405" s="34">
        <f>Ventas[[#This Row],[Total]]-Ventas[[#This Row],[Precio compra]]*Ventas[[#This Row],[Cantidad]]</f>
        <v>420</v>
      </c>
      <c r="J405" s="34"/>
      <c r="K405" s="34">
        <f>Ventas[[#This Row],[Total]]*Ventas[[#This Row],[Total 3]]</f>
        <v>0</v>
      </c>
      <c r="L405" s="34"/>
      <c r="M405" s="34"/>
    </row>
    <row r="406" spans="1:13" ht="21.75" customHeight="1">
      <c r="A406" s="16"/>
      <c r="B406" s="39" t="s">
        <v>751</v>
      </c>
      <c r="C406" s="32" t="str">
        <f>VLOOKUP(Ventas[[#This Row],[Codigo]],Stock[#Data],2,FALSE)</f>
        <v>4 en 1 100ml Green Leaf Insumos</v>
      </c>
      <c r="D406" s="37">
        <f>VLOOKUP(Ventas[[#This Row],[Codigo]],Stock[#Data],4,FALSE)</f>
        <v>1000</v>
      </c>
      <c r="E406" s="33">
        <f>VLOOKUP(Ventas[[#This Row],[Codigo]],Stock[#Data],3,FALSE)</f>
        <v>498</v>
      </c>
      <c r="F406" s="38">
        <v>2</v>
      </c>
      <c r="G406">
        <v>575</v>
      </c>
      <c r="H406" s="36">
        <f>Ventas[[#This Row],[Precio Venta]]*Ventas[[#This Row],[Cantidad]]-Ventas[[#This Row],[Descuento]]</f>
        <v>2000</v>
      </c>
      <c r="I406" s="34">
        <f>Ventas[[#This Row],[Total]]-Ventas[[#This Row],[Precio compra]]*Ventas[[#This Row],[Cantidad]]</f>
        <v>1004</v>
      </c>
      <c r="J406" s="34"/>
      <c r="K406" s="34">
        <f>Ventas[[#This Row],[Total]]*Ventas[[#This Row],[Total 3]]</f>
        <v>0</v>
      </c>
      <c r="L406" s="34"/>
      <c r="M406" s="34"/>
    </row>
    <row r="407" spans="1:13" ht="21.75" customHeight="1">
      <c r="A407" s="16"/>
      <c r="B407" s="39">
        <v>45010</v>
      </c>
      <c r="C407" s="32" t="str">
        <f>VLOOKUP(Ventas[[#This Row],[Codigo]],Stock[#Data],2,FALSE)</f>
        <v>Sedas Lion Rolling Circus 1/4 alfalfa</v>
      </c>
      <c r="D407" s="37">
        <f>VLOOKUP(Ventas[[#This Row],[Codigo]],Stock[#Data],4,FALSE)</f>
        <v>300</v>
      </c>
      <c r="E407" s="33">
        <f>VLOOKUP(Ventas[[#This Row],[Codigo]],Stock[#Data],3,FALSE)</f>
        <v>150</v>
      </c>
      <c r="F407" s="38">
        <v>1</v>
      </c>
      <c r="G407">
        <v>63</v>
      </c>
      <c r="H407" s="36">
        <f>Ventas[[#This Row],[Precio Venta]]*Ventas[[#This Row],[Cantidad]]-Ventas[[#This Row],[Descuento]]</f>
        <v>300</v>
      </c>
      <c r="I407" s="34">
        <f>Ventas[[#This Row],[Total]]-Ventas[[#This Row],[Precio compra]]*Ventas[[#This Row],[Cantidad]]</f>
        <v>150</v>
      </c>
      <c r="J407" s="34"/>
      <c r="K407" s="34">
        <f>Ventas[[#This Row],[Total]]*Ventas[[#This Row],[Total 3]]</f>
        <v>0</v>
      </c>
      <c r="L407" s="34"/>
      <c r="M407" s="34"/>
    </row>
    <row r="408" spans="1:13" ht="21.75" customHeight="1">
      <c r="A408" s="16"/>
      <c r="B408" s="39">
        <v>45010</v>
      </c>
      <c r="C408" s="32" t="str">
        <f>VLOOKUP(Ventas[[#This Row],[Codigo]],Stock[#Data],2,FALSE)</f>
        <v>Sedas Lion Rolling Circus Kz alfalfa</v>
      </c>
      <c r="D408" s="37">
        <f>VLOOKUP(Ventas[[#This Row],[Codigo]],Stock[#Data],4,FALSE)</f>
        <v>550</v>
      </c>
      <c r="E408" s="33">
        <f>VLOOKUP(Ventas[[#This Row],[Codigo]],Stock[#Data],3,FALSE)</f>
        <v>259</v>
      </c>
      <c r="F408" s="38">
        <v>1</v>
      </c>
      <c r="G408">
        <v>64</v>
      </c>
      <c r="H408" s="36">
        <f>Ventas[[#This Row],[Precio Venta]]*Ventas[[#This Row],[Cantidad]]-Ventas[[#This Row],[Descuento]]</f>
        <v>550</v>
      </c>
      <c r="I408" s="34">
        <f>Ventas[[#This Row],[Total]]-Ventas[[#This Row],[Precio compra]]*Ventas[[#This Row],[Cantidad]]</f>
        <v>291</v>
      </c>
      <c r="J408" s="34"/>
      <c r="K408" s="34">
        <f>Ventas[[#This Row],[Total]]*Ventas[[#This Row],[Total 3]]</f>
        <v>0</v>
      </c>
      <c r="L408" s="34"/>
      <c r="M408" s="34"/>
    </row>
    <row r="409" spans="1:13" ht="21.75" customHeight="1">
      <c r="A409" s="16"/>
      <c r="B409" s="39">
        <v>45010</v>
      </c>
      <c r="C409" s="32" t="str">
        <f>VLOOKUP(Ventas[[#This Row],[Codigo]],Stock[#Data],2,FALSE)</f>
        <v>Sedas Blunt Rey Kz celulosa Verde</v>
      </c>
      <c r="D409" s="37">
        <f>VLOOKUP(Ventas[[#This Row],[Codigo]],Stock[#Data],4,FALSE)</f>
        <v>400</v>
      </c>
      <c r="E409" s="33">
        <f>VLOOKUP(Ventas[[#This Row],[Codigo]],Stock[#Data],3,FALSE)</f>
        <v>163</v>
      </c>
      <c r="F409" s="38">
        <v>1</v>
      </c>
      <c r="G409">
        <v>70</v>
      </c>
      <c r="H409" s="36">
        <f>Ventas[[#This Row],[Precio Venta]]*Ventas[[#This Row],[Cantidad]]-Ventas[[#This Row],[Descuento]]</f>
        <v>400</v>
      </c>
      <c r="I409" s="34">
        <f>Ventas[[#This Row],[Total]]-Ventas[[#This Row],[Precio compra]]*Ventas[[#This Row],[Cantidad]]</f>
        <v>237</v>
      </c>
      <c r="J409" s="34"/>
      <c r="K409" s="34">
        <f>Ventas[[#This Row],[Total]]*Ventas[[#This Row],[Total 3]]</f>
        <v>0</v>
      </c>
      <c r="L409" s="34"/>
      <c r="M409" s="34"/>
    </row>
    <row r="410" spans="1:13" ht="21.75" customHeight="1">
      <c r="A410" s="16"/>
      <c r="B410" s="39">
        <v>45010</v>
      </c>
      <c r="C410" s="32" t="str">
        <f>VLOOKUP(Ventas[[#This Row],[Codigo]],Stock[#Data],2,FALSE)</f>
        <v>Sedas Blunt Rey 1/4 celulosa Verde</v>
      </c>
      <c r="D410" s="37">
        <f>VLOOKUP(Ventas[[#This Row],[Codigo]],Stock[#Data],4,FALSE)</f>
        <v>300</v>
      </c>
      <c r="E410" s="33">
        <f>VLOOKUP(Ventas[[#This Row],[Codigo]],Stock[#Data],3,FALSE)</f>
        <v>135</v>
      </c>
      <c r="F410" s="38">
        <v>1</v>
      </c>
      <c r="G410">
        <v>72</v>
      </c>
      <c r="H410" s="36">
        <f>Ventas[[#This Row],[Precio Venta]]*Ventas[[#This Row],[Cantidad]]-Ventas[[#This Row],[Descuento]]</f>
        <v>300</v>
      </c>
      <c r="I410" s="34">
        <f>Ventas[[#This Row],[Total]]-Ventas[[#This Row],[Precio compra]]*Ventas[[#This Row],[Cantidad]]</f>
        <v>165</v>
      </c>
      <c r="J410" s="34"/>
      <c r="K410" s="34">
        <f>Ventas[[#This Row],[Total]]*Ventas[[#This Row],[Total 3]]</f>
        <v>0</v>
      </c>
      <c r="L410" s="34"/>
      <c r="M410" s="34"/>
    </row>
    <row r="411" spans="1:13" ht="21.75" customHeight="1">
      <c r="A411" s="16"/>
      <c r="B411" s="39">
        <v>45010</v>
      </c>
      <c r="C411" s="32" t="str">
        <f>VLOOKUP(Ventas[[#This Row],[Codigo]],Stock[#Data],2,FALSE)</f>
        <v>Bandeja Blunt Rey chicas m/v</v>
      </c>
      <c r="D411" s="37">
        <f>VLOOKUP(Ventas[[#This Row],[Codigo]],Stock[#Data],4,FALSE)</f>
        <v>2100</v>
      </c>
      <c r="E411" s="33">
        <f>VLOOKUP(Ventas[[#This Row],[Codigo]],Stock[#Data],3,FALSE)</f>
        <v>1047</v>
      </c>
      <c r="F411" s="38">
        <v>1</v>
      </c>
      <c r="G411">
        <v>128</v>
      </c>
      <c r="H411" s="36">
        <f>Ventas[[#This Row],[Precio Venta]]*Ventas[[#This Row],[Cantidad]]-Ventas[[#This Row],[Descuento]]</f>
        <v>2100</v>
      </c>
      <c r="I411" s="34">
        <f>Ventas[[#This Row],[Total]]-Ventas[[#This Row],[Precio compra]]*Ventas[[#This Row],[Cantidad]]</f>
        <v>1053</v>
      </c>
      <c r="J411" s="34"/>
      <c r="K411" s="34">
        <f>Ventas[[#This Row],[Total]]*Ventas[[#This Row],[Total 3]]</f>
        <v>0</v>
      </c>
      <c r="L411" s="34"/>
      <c r="M411" s="34"/>
    </row>
    <row r="412" spans="1:13" ht="21.75" customHeight="1">
      <c r="A412" s="16"/>
      <c r="B412" s="39">
        <v>45010</v>
      </c>
      <c r="C412" s="32" t="str">
        <f>VLOOKUP(Ventas[[#This Row],[Codigo]],Stock[#Data],2,FALSE)</f>
        <v>Piedra para encendedor</v>
      </c>
      <c r="D412" s="37">
        <f>VLOOKUP(Ventas[[#This Row],[Codigo]],Stock[#Data],4,FALSE)</f>
        <v>450</v>
      </c>
      <c r="E412" s="33">
        <f>VLOOKUP(Ventas[[#This Row],[Codigo]],Stock[#Data],3,FALSE)</f>
        <v>223</v>
      </c>
      <c r="F412" s="38">
        <v>2</v>
      </c>
      <c r="G412">
        <v>201</v>
      </c>
      <c r="H412" s="36">
        <f>Ventas[[#This Row],[Precio Venta]]*Ventas[[#This Row],[Cantidad]]-Ventas[[#This Row],[Descuento]]</f>
        <v>900</v>
      </c>
      <c r="I412" s="34">
        <f>Ventas[[#This Row],[Total]]-Ventas[[#This Row],[Precio compra]]*Ventas[[#This Row],[Cantidad]]</f>
        <v>454</v>
      </c>
      <c r="J412" s="34"/>
      <c r="K412" s="34">
        <f>Ventas[[#This Row],[Total]]*Ventas[[#This Row],[Total 3]]</f>
        <v>0</v>
      </c>
      <c r="L412" s="34"/>
      <c r="M412" s="34"/>
    </row>
    <row r="413" spans="1:13" ht="21.75" customHeight="1">
      <c r="A413" s="16"/>
      <c r="B413" s="39">
        <v>45010</v>
      </c>
      <c r="C413" s="32" t="str">
        <f>VLOOKUP(Ventas[[#This Row],[Codigo]],Stock[#Data],2,FALSE)</f>
        <v xml:space="preserve">tips moon </v>
      </c>
      <c r="D413" s="37">
        <f>VLOOKUP(Ventas[[#This Row],[Codigo]],Stock[#Data],4,FALSE)</f>
        <v>100</v>
      </c>
      <c r="E413" s="33">
        <f>VLOOKUP(Ventas[[#This Row],[Codigo]],Stock[#Data],3,FALSE)</f>
        <v>50</v>
      </c>
      <c r="F413" s="38">
        <v>1</v>
      </c>
      <c r="G413">
        <v>356</v>
      </c>
      <c r="H413" s="36">
        <f>Ventas[[#This Row],[Precio Venta]]*Ventas[[#This Row],[Cantidad]]-Ventas[[#This Row],[Descuento]]</f>
        <v>100</v>
      </c>
      <c r="I413" s="34">
        <f>Ventas[[#This Row],[Total]]-Ventas[[#This Row],[Precio compra]]*Ventas[[#This Row],[Cantidad]]</f>
        <v>50</v>
      </c>
      <c r="J413" s="34"/>
      <c r="K413" s="34">
        <f>Ventas[[#This Row],[Total]]*Ventas[[#This Row],[Total 3]]</f>
        <v>0</v>
      </c>
      <c r="L413" s="34"/>
      <c r="M413" s="34"/>
    </row>
    <row r="414" spans="1:13" ht="21.75" customHeight="1">
      <c r="A414" s="16"/>
      <c r="B414" s="39">
        <v>45010</v>
      </c>
      <c r="C414" s="32" t="str">
        <f>VLOOKUP(Ventas[[#This Row],[Codigo]],Stock[#Data],2,FALSE)</f>
        <v xml:space="preserve">Turbina Bujia </v>
      </c>
      <c r="D414" s="37">
        <f>VLOOKUP(Ventas[[#This Row],[Codigo]],Stock[#Data],4,FALSE)</f>
        <v>2000</v>
      </c>
      <c r="E414" s="33">
        <f>VLOOKUP(Ventas[[#This Row],[Codigo]],Stock[#Data],3,FALSE)</f>
        <v>525</v>
      </c>
      <c r="F414" s="38">
        <v>1</v>
      </c>
      <c r="G414">
        <v>432</v>
      </c>
      <c r="H414" s="36">
        <f>Ventas[[#This Row],[Precio Venta]]*Ventas[[#This Row],[Cantidad]]-Ventas[[#This Row],[Descuento]]</f>
        <v>2000</v>
      </c>
      <c r="I414" s="34">
        <f>Ventas[[#This Row],[Total]]-Ventas[[#This Row],[Precio compra]]*Ventas[[#This Row],[Cantidad]]</f>
        <v>1475</v>
      </c>
      <c r="J414" s="34"/>
      <c r="K414" s="34">
        <f>Ventas[[#This Row],[Total]]*Ventas[[#This Row],[Total 3]]</f>
        <v>0</v>
      </c>
      <c r="L414" s="34"/>
      <c r="M414" s="34"/>
    </row>
    <row r="415" spans="1:13" ht="21.75" customHeight="1">
      <c r="A415" s="16"/>
      <c r="B415" s="39">
        <v>44986</v>
      </c>
      <c r="C415" s="32" t="str">
        <f>VLOOKUP(Ventas[[#This Row],[Codigo]],Stock[#Data],2,FALSE)</f>
        <v>Cultivate Insecticida 100ml</v>
      </c>
      <c r="D415" s="37">
        <f>VLOOKUP(Ventas[[#This Row],[Codigo]],Stock[#Data],4,FALSE)</f>
        <v>1500</v>
      </c>
      <c r="E415" s="33">
        <f>VLOOKUP(Ventas[[#This Row],[Codigo]],Stock[#Data],3,FALSE)</f>
        <v>740</v>
      </c>
      <c r="F415" s="38">
        <v>1</v>
      </c>
      <c r="G415">
        <v>544</v>
      </c>
      <c r="H415" s="36">
        <f>Ventas[[#This Row],[Precio Venta]]*Ventas[[#This Row],[Cantidad]]-Ventas[[#This Row],[Descuento]]</f>
        <v>1500</v>
      </c>
      <c r="I415" s="34">
        <f>Ventas[[#This Row],[Total]]-Ventas[[#This Row],[Precio compra]]*Ventas[[#This Row],[Cantidad]]</f>
        <v>760</v>
      </c>
      <c r="J415" s="34"/>
      <c r="K415" s="34">
        <f>Ventas[[#This Row],[Total]]*Ventas[[#This Row],[Total 3]]</f>
        <v>0</v>
      </c>
      <c r="L415" s="34"/>
      <c r="M415" s="34"/>
    </row>
    <row r="416" spans="1:13" ht="21.75" customHeight="1">
      <c r="A416" s="16"/>
      <c r="B416" s="39">
        <v>44986</v>
      </c>
      <c r="C416" s="32" t="str">
        <f>VLOOKUP(Ventas[[#This Row],[Codigo]],Stock[#Data],2,FALSE)</f>
        <v>Lata GIZEH</v>
      </c>
      <c r="D416" s="37">
        <f>VLOOKUP(Ventas[[#This Row],[Codigo]],Stock[#Data],4,FALSE)</f>
        <v>700</v>
      </c>
      <c r="E416" s="33">
        <f>VLOOKUP(Ventas[[#This Row],[Codigo]],Stock[#Data],3,FALSE)</f>
        <v>300</v>
      </c>
      <c r="F416" s="38">
        <v>1</v>
      </c>
      <c r="G416">
        <v>554</v>
      </c>
      <c r="H416" s="36">
        <f>Ventas[[#This Row],[Precio Venta]]*Ventas[[#This Row],[Cantidad]]-Ventas[[#This Row],[Descuento]]</f>
        <v>700</v>
      </c>
      <c r="I416" s="34">
        <f>Ventas[[#This Row],[Total]]-Ventas[[#This Row],[Precio compra]]*Ventas[[#This Row],[Cantidad]]</f>
        <v>400</v>
      </c>
      <c r="J416" s="34"/>
      <c r="K416" s="34">
        <f>Ventas[[#This Row],[Total]]*Ventas[[#This Row],[Total 3]]</f>
        <v>0</v>
      </c>
      <c r="L416" s="34"/>
      <c r="M416" s="34"/>
    </row>
    <row r="417" spans="1:13" ht="21.75" customHeight="1">
      <c r="A417" s="16"/>
      <c r="B417" s="39">
        <v>44986</v>
      </c>
      <c r="C417" s="32" t="str">
        <f>VLOOKUP(Ventas[[#This Row],[Codigo]],Stock[#Data],2,FALSE)</f>
        <v xml:space="preserve">Bong de Silicona Grande </v>
      </c>
      <c r="D417" s="37">
        <f>VLOOKUP(Ventas[[#This Row],[Codigo]],Stock[#Data],4,FALSE)</f>
        <v>12000</v>
      </c>
      <c r="E417" s="33">
        <f>VLOOKUP(Ventas[[#This Row],[Codigo]],Stock[#Data],3,FALSE)</f>
        <v>5750</v>
      </c>
      <c r="F417" s="38">
        <v>1</v>
      </c>
      <c r="G417">
        <v>566</v>
      </c>
      <c r="H417" s="36">
        <f>Ventas[[#This Row],[Precio Venta]]*Ventas[[#This Row],[Cantidad]]-Ventas[[#This Row],[Descuento]]</f>
        <v>12000</v>
      </c>
      <c r="I417" s="34">
        <f>Ventas[[#This Row],[Total]]-Ventas[[#This Row],[Precio compra]]*Ventas[[#This Row],[Cantidad]]</f>
        <v>6250</v>
      </c>
      <c r="J417" s="34"/>
      <c r="K417" s="34">
        <f>Ventas[[#This Row],[Total]]*Ventas[[#This Row],[Total 3]]</f>
        <v>0</v>
      </c>
      <c r="L417" s="34"/>
      <c r="M417" s="34"/>
    </row>
    <row r="418" spans="1:13" ht="21.75" customHeight="1">
      <c r="A418" s="16"/>
      <c r="B418" s="39">
        <v>44986</v>
      </c>
      <c r="C418" s="32" t="str">
        <f>VLOOKUP(Ventas[[#This Row],[Codigo]],Stock[#Data],2,FALSE)</f>
        <v>El Duende Jabon Potasico con Neem y Canela 250ml</v>
      </c>
      <c r="D418" s="37">
        <f>VLOOKUP(Ventas[[#This Row],[Codigo]],Stock[#Data],4,FALSE)</f>
        <v>1300</v>
      </c>
      <c r="E418" s="33">
        <f>VLOOKUP(Ventas[[#This Row],[Codigo]],Stock[#Data],3,FALSE)</f>
        <v>645</v>
      </c>
      <c r="F418" s="38">
        <v>1</v>
      </c>
      <c r="G418">
        <v>570</v>
      </c>
      <c r="H418" s="36">
        <f>Ventas[[#This Row],[Precio Venta]]*Ventas[[#This Row],[Cantidad]]-Ventas[[#This Row],[Descuento]]</f>
        <v>1300</v>
      </c>
      <c r="I418" s="34">
        <f>Ventas[[#This Row],[Total]]-Ventas[[#This Row],[Precio compra]]*Ventas[[#This Row],[Cantidad]]</f>
        <v>655</v>
      </c>
      <c r="J418" s="34"/>
      <c r="K418" s="34">
        <f>Ventas[[#This Row],[Total]]*Ventas[[#This Row],[Total 3]]</f>
        <v>0</v>
      </c>
      <c r="L418" s="34"/>
      <c r="M418" s="34"/>
    </row>
    <row r="419" spans="1:13" ht="21.75" customHeight="1">
      <c r="A419" s="16"/>
      <c r="B419" s="39">
        <v>45009</v>
      </c>
      <c r="C419" s="32" t="str">
        <f>VLOOKUP(Ventas[[#This Row],[Codigo]],Stock[#Data],2,FALSE)</f>
        <v>Trichodermas Cultivate</v>
      </c>
      <c r="D419" s="37">
        <f>VLOOKUP(Ventas[[#This Row],[Codigo]],Stock[#Data],4,FALSE)</f>
        <v>1900</v>
      </c>
      <c r="E419" s="33">
        <f>VLOOKUP(Ventas[[#This Row],[Codigo]],Stock[#Data],3,FALSE)</f>
        <v>957</v>
      </c>
      <c r="F419" s="38">
        <v>1</v>
      </c>
      <c r="G419">
        <v>578</v>
      </c>
      <c r="H419" s="36">
        <f>Ventas[[#This Row],[Precio Venta]]*Ventas[[#This Row],[Cantidad]]-Ventas[[#This Row],[Descuento]]</f>
        <v>1900</v>
      </c>
      <c r="I419" s="34">
        <f>Ventas[[#This Row],[Total]]-Ventas[[#This Row],[Precio compra]]*Ventas[[#This Row],[Cantidad]]</f>
        <v>943</v>
      </c>
      <c r="J419" s="34"/>
      <c r="K419" s="34">
        <f>Ventas[[#This Row],[Total]]*Ventas[[#This Row],[Total 3]]</f>
        <v>0</v>
      </c>
      <c r="L419" s="34"/>
      <c r="M419" s="34"/>
    </row>
    <row r="420" spans="1:13" ht="21.75" customHeight="1">
      <c r="A420" s="16"/>
      <c r="B420" s="39">
        <v>45010</v>
      </c>
      <c r="C420" s="32" t="str">
        <f>VLOOKUP(Ventas[[#This Row],[Codigo]],Stock[#Data],2,FALSE)</f>
        <v>Picador Mini D&amp;K</v>
      </c>
      <c r="D420" s="37">
        <f>VLOOKUP(Ventas[[#This Row],[Codigo]],Stock[#Data],4,FALSE)</f>
        <v>2100</v>
      </c>
      <c r="E420" s="33">
        <f>VLOOKUP(Ventas[[#This Row],[Codigo]],Stock[#Data],3,FALSE)</f>
        <v>1046</v>
      </c>
      <c r="F420" s="38">
        <v>1</v>
      </c>
      <c r="G420">
        <v>588</v>
      </c>
      <c r="H420" s="36">
        <f>Ventas[[#This Row],[Precio Venta]]*Ventas[[#This Row],[Cantidad]]-Ventas[[#This Row],[Descuento]]</f>
        <v>2100</v>
      </c>
      <c r="I420" s="34">
        <f>Ventas[[#This Row],[Total]]-Ventas[[#This Row],[Precio compra]]*Ventas[[#This Row],[Cantidad]]</f>
        <v>1054</v>
      </c>
      <c r="J420" s="34"/>
      <c r="K420" s="34">
        <f>Ventas[[#This Row],[Total]]*Ventas[[#This Row],[Total 3]]</f>
        <v>0</v>
      </c>
      <c r="L420" s="34"/>
      <c r="M420" s="34"/>
    </row>
    <row r="421" spans="1:13" ht="21.75" customHeight="1">
      <c r="A421" s="16"/>
      <c r="B421" s="39">
        <v>45010</v>
      </c>
      <c r="C421" s="32" t="str">
        <f>VLOOKUP(Ventas[[#This Row],[Codigo]],Stock[#Data],2,FALSE)</f>
        <v>OCB Cañamo Organico</v>
      </c>
      <c r="D421" s="37">
        <f>VLOOKUP(Ventas[[#This Row],[Codigo]],Stock[#Data],4,FALSE)</f>
        <v>300</v>
      </c>
      <c r="E421" s="33">
        <f>VLOOKUP(Ventas[[#This Row],[Codigo]],Stock[#Data],3,FALSE)</f>
        <v>165</v>
      </c>
      <c r="F421" s="38">
        <v>2</v>
      </c>
      <c r="G421">
        <v>593</v>
      </c>
      <c r="H421" s="36">
        <f>Ventas[[#This Row],[Precio Venta]]*Ventas[[#This Row],[Cantidad]]-Ventas[[#This Row],[Descuento]]</f>
        <v>600</v>
      </c>
      <c r="I421" s="34">
        <f>Ventas[[#This Row],[Total]]-Ventas[[#This Row],[Precio compra]]*Ventas[[#This Row],[Cantidad]]</f>
        <v>270</v>
      </c>
      <c r="J421" s="34"/>
      <c r="K421" s="34">
        <f>Ventas[[#This Row],[Total]]*Ventas[[#This Row],[Total 3]]</f>
        <v>0</v>
      </c>
      <c r="L421" s="34"/>
      <c r="M421" s="34"/>
    </row>
    <row r="422" spans="1:13" ht="21.75" customHeight="1">
      <c r="A422" s="16"/>
      <c r="B422" s="39">
        <v>45010</v>
      </c>
      <c r="C422" s="32" t="str">
        <f>VLOOKUP(Ventas[[#This Row],[Codigo]],Stock[#Data],2,FALSE)</f>
        <v>OCB premium</v>
      </c>
      <c r="D422" s="37">
        <f>VLOOKUP(Ventas[[#This Row],[Codigo]],Stock[#Data],4,FALSE)</f>
        <v>300</v>
      </c>
      <c r="E422" s="33">
        <f>VLOOKUP(Ventas[[#This Row],[Codigo]],Stock[#Data],3,FALSE)</f>
        <v>165</v>
      </c>
      <c r="F422" s="38">
        <v>1</v>
      </c>
      <c r="G422">
        <v>594</v>
      </c>
      <c r="H422" s="36">
        <f>Ventas[[#This Row],[Precio Venta]]*Ventas[[#This Row],[Cantidad]]-Ventas[[#This Row],[Descuento]]</f>
        <v>300</v>
      </c>
      <c r="I422" s="34">
        <f>Ventas[[#This Row],[Total]]-Ventas[[#This Row],[Precio compra]]*Ventas[[#This Row],[Cantidad]]</f>
        <v>135</v>
      </c>
      <c r="J422" s="34"/>
      <c r="K422" s="34">
        <f>Ventas[[#This Row],[Total]]*Ventas[[#This Row],[Total 3]]</f>
        <v>0</v>
      </c>
      <c r="L422" s="34"/>
      <c r="M422" s="34"/>
    </row>
    <row r="423" spans="1:13" ht="21.75" customHeight="1">
      <c r="A423" s="16"/>
      <c r="B423" s="39">
        <v>45012</v>
      </c>
      <c r="C423" s="32" t="str">
        <f>VLOOKUP(Ventas[[#This Row],[Codigo]],Stock[#Data],2,FALSE)</f>
        <v>Encendedor Candela soplete</v>
      </c>
      <c r="D423" s="37">
        <f>VLOOKUP(Ventas[[#This Row],[Codigo]],Stock[#Data],4,FALSE)</f>
        <v>2000</v>
      </c>
      <c r="E423" s="33">
        <f>VLOOKUP(Ventas[[#This Row],[Codigo]],Stock[#Data],3,FALSE)</f>
        <v>1060</v>
      </c>
      <c r="F423" s="38">
        <v>1</v>
      </c>
      <c r="G423">
        <v>62</v>
      </c>
      <c r="H423" s="36">
        <f>Ventas[[#This Row],[Precio Venta]]*Ventas[[#This Row],[Cantidad]]-Ventas[[#This Row],[Descuento]]</f>
        <v>2000</v>
      </c>
      <c r="I423" s="34">
        <f>Ventas[[#This Row],[Total]]-Ventas[[#This Row],[Precio compra]]*Ventas[[#This Row],[Cantidad]]</f>
        <v>940</v>
      </c>
      <c r="J423" s="34"/>
      <c r="K423" s="34">
        <f>Ventas[[#This Row],[Total]]*Ventas[[#This Row],[Total 3]]</f>
        <v>0</v>
      </c>
      <c r="L423" s="34"/>
      <c r="M423" s="34"/>
    </row>
    <row r="424" spans="1:13" ht="21.75" customHeight="1">
      <c r="A424" s="16"/>
      <c r="B424" s="39">
        <v>45012</v>
      </c>
      <c r="C424" s="32" t="str">
        <f>VLOOKUP(Ventas[[#This Row],[Codigo]],Stock[#Data],2,FALSE)</f>
        <v>Pipa India</v>
      </c>
      <c r="D424" s="37">
        <f>VLOOKUP(Ventas[[#This Row],[Codigo]],Stock[#Data],4,FALSE)</f>
        <v>2000</v>
      </c>
      <c r="E424" s="33">
        <f>VLOOKUP(Ventas[[#This Row],[Codigo]],Stock[#Data],3,FALSE)</f>
        <v>910</v>
      </c>
      <c r="F424" s="38">
        <v>1</v>
      </c>
      <c r="G424">
        <v>158</v>
      </c>
      <c r="H424" s="36">
        <f>Ventas[[#This Row],[Precio Venta]]*Ventas[[#This Row],[Cantidad]]-Ventas[[#This Row],[Descuento]]</f>
        <v>2000</v>
      </c>
      <c r="I424" s="34">
        <f>Ventas[[#This Row],[Total]]-Ventas[[#This Row],[Precio compra]]*Ventas[[#This Row],[Cantidad]]</f>
        <v>1090</v>
      </c>
      <c r="J424" s="34"/>
      <c r="K424" s="34">
        <f>Ventas[[#This Row],[Total]]*Ventas[[#This Row],[Total 3]]</f>
        <v>0</v>
      </c>
      <c r="L424" s="34"/>
      <c r="M424" s="34"/>
    </row>
    <row r="425" spans="1:13" ht="21.75" customHeight="1">
      <c r="A425" s="16"/>
      <c r="B425" s="39">
        <v>45012</v>
      </c>
      <c r="C425" s="32" t="str">
        <f>VLOOKUP(Ventas[[#This Row],[Codigo]],Stock[#Data],2,FALSE)</f>
        <v>Pipas Dk Vidrio cortas</v>
      </c>
      <c r="D425" s="37">
        <f>VLOOKUP(Ventas[[#This Row],[Codigo]],Stock[#Data],4,FALSE)</f>
        <v>2400</v>
      </c>
      <c r="E425" s="33">
        <f>VLOOKUP(Ventas[[#This Row],[Codigo]],Stock[#Data],3,FALSE)</f>
        <v>1192</v>
      </c>
      <c r="F425" s="38">
        <v>1</v>
      </c>
      <c r="G425">
        <v>431</v>
      </c>
      <c r="H425" s="36">
        <f>Ventas[[#This Row],[Precio Venta]]*Ventas[[#This Row],[Cantidad]]-Ventas[[#This Row],[Descuento]]</f>
        <v>2400</v>
      </c>
      <c r="I425" s="34">
        <f>Ventas[[#This Row],[Total]]-Ventas[[#This Row],[Precio compra]]*Ventas[[#This Row],[Cantidad]]</f>
        <v>1208</v>
      </c>
      <c r="J425" s="34"/>
      <c r="K425" s="34">
        <f>Ventas[[#This Row],[Total]]*Ventas[[#This Row],[Total 3]]</f>
        <v>0</v>
      </c>
      <c r="L425" s="34"/>
      <c r="M425" s="34"/>
    </row>
    <row r="426" spans="1:13" ht="21.75" customHeight="1">
      <c r="A426" s="16"/>
      <c r="B426" s="39">
        <v>45012</v>
      </c>
      <c r="C426" s="32" t="str">
        <f>VLOOKUP(Ventas[[#This Row],[Codigo]],Stock[#Data],2,FALSE)</f>
        <v>Cenicero Bull Dog</v>
      </c>
      <c r="D426" s="37">
        <f>VLOOKUP(Ventas[[#This Row],[Codigo]],Stock[#Data],4,FALSE)</f>
        <v>700</v>
      </c>
      <c r="E426" s="33">
        <f>VLOOKUP(Ventas[[#This Row],[Codigo]],Stock[#Data],3,FALSE)</f>
        <v>354</v>
      </c>
      <c r="F426" s="38">
        <v>1</v>
      </c>
      <c r="G426">
        <v>140</v>
      </c>
      <c r="H426" s="36">
        <f>Ventas[[#This Row],[Precio Venta]]*Ventas[[#This Row],[Cantidad]]-Ventas[[#This Row],[Descuento]]</f>
        <v>700</v>
      </c>
      <c r="I426" s="34">
        <f>Ventas[[#This Row],[Total]]-Ventas[[#This Row],[Precio compra]]*Ventas[[#This Row],[Cantidad]]</f>
        <v>346</v>
      </c>
      <c r="J426" s="34"/>
      <c r="K426" s="34">
        <f>Ventas[[#This Row],[Total]]*Ventas[[#This Row],[Total 3]]</f>
        <v>0</v>
      </c>
      <c r="L426" s="34"/>
      <c r="M426" s="34"/>
    </row>
    <row r="427" spans="1:13" ht="21.75" customHeight="1">
      <c r="A427" s="16"/>
      <c r="B427" s="39">
        <v>45012</v>
      </c>
      <c r="C427" s="32" t="str">
        <f>VLOOKUP(Ventas[[#This Row],[Codigo]],Stock[#Data],2,FALSE)</f>
        <v>Bandeja ZEUS 18x7 con tapa</v>
      </c>
      <c r="D427" s="37">
        <f>VLOOKUP(Ventas[[#This Row],[Codigo]],Stock[#Data],4,FALSE)</f>
        <v>1650</v>
      </c>
      <c r="E427" s="33">
        <f>VLOOKUP(Ventas[[#This Row],[Codigo]],Stock[#Data],3,FALSE)</f>
        <v>816</v>
      </c>
      <c r="F427" s="38">
        <v>1</v>
      </c>
      <c r="G427">
        <v>137</v>
      </c>
      <c r="H427" s="36">
        <f>Ventas[[#This Row],[Precio Venta]]*Ventas[[#This Row],[Cantidad]]-Ventas[[#This Row],[Descuento]]</f>
        <v>1650</v>
      </c>
      <c r="I427" s="34">
        <f>Ventas[[#This Row],[Total]]-Ventas[[#This Row],[Precio compra]]*Ventas[[#This Row],[Cantidad]]</f>
        <v>834</v>
      </c>
      <c r="J427" s="34"/>
      <c r="K427" s="34">
        <f>Ventas[[#This Row],[Total]]*Ventas[[#This Row],[Total 3]]</f>
        <v>0</v>
      </c>
      <c r="L427" s="34"/>
      <c r="M427" s="34"/>
    </row>
    <row r="428" spans="1:13" ht="21.75" customHeight="1">
      <c r="A428" s="16"/>
      <c r="B428" s="39">
        <v>45010</v>
      </c>
      <c r="C428" s="32" t="str">
        <f>VLOOKUP(Ventas[[#This Row],[Codigo]],Stock[#Data],2,FALSE)</f>
        <v>VAMP Guano de murcielago Flora</v>
      </c>
      <c r="D428" s="37">
        <f>VLOOKUP(Ventas[[#This Row],[Codigo]],Stock[#Data],4,FALSE)</f>
        <v>1000</v>
      </c>
      <c r="E428" s="33">
        <f>VLOOKUP(Ventas[[#This Row],[Codigo]],Stock[#Data],3,FALSE)</f>
        <v>510</v>
      </c>
      <c r="F428" s="38">
        <v>1</v>
      </c>
      <c r="G428">
        <v>38</v>
      </c>
      <c r="H428" s="36">
        <f>Ventas[[#This Row],[Precio Venta]]*Ventas[[#This Row],[Cantidad]]-Ventas[[#This Row],[Descuento]]</f>
        <v>1000</v>
      </c>
      <c r="I428" s="34">
        <f>Ventas[[#This Row],[Total]]-Ventas[[#This Row],[Precio compra]]*Ventas[[#This Row],[Cantidad]]</f>
        <v>490</v>
      </c>
      <c r="J428" s="34"/>
      <c r="K428" s="34">
        <f>Ventas[[#This Row],[Total]]*Ventas[[#This Row],[Total 3]]</f>
        <v>0</v>
      </c>
      <c r="L428" s="34"/>
      <c r="M428" s="34"/>
    </row>
    <row r="429" spans="1:13" ht="21.75" customHeight="1">
      <c r="A429" s="16"/>
      <c r="B429" s="39">
        <v>45010</v>
      </c>
      <c r="C429" s="32" t="str">
        <f>VLOOKUP(Ventas[[#This Row],[Codigo]],Stock[#Data],2,FALSE)</f>
        <v>VAMP Supermelaza</v>
      </c>
      <c r="D429" s="37">
        <f>VLOOKUP(Ventas[[#This Row],[Codigo]],Stock[#Data],4,FALSE)</f>
        <v>1800</v>
      </c>
      <c r="E429" s="33">
        <f>VLOOKUP(Ventas[[#This Row],[Codigo]],Stock[#Data],3,FALSE)</f>
        <v>908</v>
      </c>
      <c r="F429" s="38">
        <v>1</v>
      </c>
      <c r="G429">
        <v>36</v>
      </c>
      <c r="H429" s="36">
        <f>Ventas[[#This Row],[Precio Venta]]*Ventas[[#This Row],[Cantidad]]-Ventas[[#This Row],[Descuento]]</f>
        <v>1800</v>
      </c>
      <c r="I429" s="34">
        <f>Ventas[[#This Row],[Total]]-Ventas[[#This Row],[Precio compra]]*Ventas[[#This Row],[Cantidad]]</f>
        <v>892</v>
      </c>
      <c r="J429" s="34"/>
      <c r="K429" s="34">
        <f>Ventas[[#This Row],[Total]]*Ventas[[#This Row],[Total 3]]</f>
        <v>0</v>
      </c>
      <c r="L429" s="34"/>
      <c r="M429" s="34"/>
    </row>
    <row r="430" spans="1:13" ht="21.75" customHeight="1">
      <c r="A430" s="16"/>
      <c r="B430" s="39" t="s">
        <v>750</v>
      </c>
      <c r="C430" s="32" t="str">
        <f>VLOOKUP(Ventas[[#This Row],[Codigo]],Stock[#Data],2,FALSE)</f>
        <v>Sedas STAMPS Celulosa x300</v>
      </c>
      <c r="D430" s="37">
        <f>VLOOKUP(Ventas[[#This Row],[Codigo]],Stock[#Data],4,FALSE)</f>
        <v>900</v>
      </c>
      <c r="E430" s="33">
        <f>VLOOKUP(Ventas[[#This Row],[Codigo]],Stock[#Data],3,FALSE)</f>
        <v>444</v>
      </c>
      <c r="F430" s="38">
        <v>4</v>
      </c>
      <c r="G430">
        <v>595</v>
      </c>
      <c r="H430" s="36">
        <f>Ventas[[#This Row],[Precio Venta]]*Ventas[[#This Row],[Cantidad]]-Ventas[[#This Row],[Descuento]]</f>
        <v>3600</v>
      </c>
      <c r="I430" s="34">
        <f>Ventas[[#This Row],[Total]]-Ventas[[#This Row],[Precio compra]]*Ventas[[#This Row],[Cantidad]]</f>
        <v>1824</v>
      </c>
      <c r="J430" s="34"/>
      <c r="K430" s="34">
        <f>Ventas[[#This Row],[Total]]*Ventas[[#This Row],[Total 3]]</f>
        <v>0</v>
      </c>
      <c r="L430" s="34"/>
      <c r="M430" s="34"/>
    </row>
    <row r="431" spans="1:13" ht="21.75" customHeight="1">
      <c r="A431" s="16"/>
      <c r="B431" s="39" t="s">
        <v>750</v>
      </c>
      <c r="C431" s="32" t="str">
        <f>VLOOKUP(Ventas[[#This Row],[Codigo]],Stock[#Data],2,FALSE)</f>
        <v>Sedas RAW 1/4 +tips BROWN</v>
      </c>
      <c r="D431" s="37">
        <f>VLOOKUP(Ventas[[#This Row],[Codigo]],Stock[#Data],4,FALSE)</f>
        <v>1150</v>
      </c>
      <c r="E431" s="33">
        <f>VLOOKUP(Ventas[[#This Row],[Codigo]],Stock[#Data],3,FALSE)</f>
        <v>568</v>
      </c>
      <c r="F431" s="38">
        <v>1</v>
      </c>
      <c r="G431">
        <v>80</v>
      </c>
      <c r="H431" s="36">
        <f>Ventas[[#This Row],[Precio Venta]]*Ventas[[#This Row],[Cantidad]]-Ventas[[#This Row],[Descuento]]</f>
        <v>1150</v>
      </c>
      <c r="I431" s="34">
        <f>Ventas[[#This Row],[Total]]-Ventas[[#This Row],[Precio compra]]*Ventas[[#This Row],[Cantidad]]</f>
        <v>582</v>
      </c>
      <c r="J431" s="34"/>
      <c r="K431" s="34">
        <f>Ventas[[#This Row],[Total]]*Ventas[[#This Row],[Total 3]]</f>
        <v>0</v>
      </c>
      <c r="L431" s="34"/>
      <c r="M431" s="34"/>
    </row>
    <row r="432" spans="1:13" ht="21.75" customHeight="1">
      <c r="A432" s="16"/>
      <c r="B432" s="39" t="s">
        <v>750</v>
      </c>
      <c r="C432" s="32" t="str">
        <f>VLOOKUP(Ventas[[#This Row],[Codigo]],Stock[#Data],2,FALSE)</f>
        <v>Picador Pikachu</v>
      </c>
      <c r="D432" s="37">
        <f>VLOOKUP(Ventas[[#This Row],[Codigo]],Stock[#Data],4,FALSE)</f>
        <v>5500</v>
      </c>
      <c r="E432" s="33">
        <f>VLOOKUP(Ventas[[#This Row],[Codigo]],Stock[#Data],3,FALSE)</f>
        <v>2727</v>
      </c>
      <c r="F432" s="38">
        <v>1</v>
      </c>
      <c r="G432">
        <v>460</v>
      </c>
      <c r="H432" s="36">
        <f>Ventas[[#This Row],[Precio Venta]]*Ventas[[#This Row],[Cantidad]]-Ventas[[#This Row],[Descuento]]</f>
        <v>5500</v>
      </c>
      <c r="I432" s="34">
        <f>Ventas[[#This Row],[Total]]-Ventas[[#This Row],[Precio compra]]*Ventas[[#This Row],[Cantidad]]</f>
        <v>2773</v>
      </c>
      <c r="J432" s="34"/>
      <c r="K432" s="34">
        <f>Ventas[[#This Row],[Total]]*Ventas[[#This Row],[Total 3]]</f>
        <v>0</v>
      </c>
      <c r="L432" s="34"/>
      <c r="M432" s="34"/>
    </row>
    <row r="433" spans="1:13" ht="21.75" customHeight="1">
      <c r="A433" s="16"/>
      <c r="B433" s="39" t="s">
        <v>750</v>
      </c>
      <c r="C433" s="32" t="str">
        <f>VLOOKUP(Ventas[[#This Row],[Codigo]],Stock[#Data],2,FALSE)</f>
        <v>Namaste Oro Negro 100ml</v>
      </c>
      <c r="D433" s="37">
        <f>VLOOKUP(Ventas[[#This Row],[Codigo]],Stock[#Data],4,FALSE)</f>
        <v>1000</v>
      </c>
      <c r="E433" s="33">
        <f>VLOOKUP(Ventas[[#This Row],[Codigo]],Stock[#Data],3,FALSE)</f>
        <v>515</v>
      </c>
      <c r="F433" s="38">
        <v>1</v>
      </c>
      <c r="G433">
        <v>478</v>
      </c>
      <c r="H433" s="36">
        <f>Ventas[[#This Row],[Precio Venta]]*Ventas[[#This Row],[Cantidad]]-Ventas[[#This Row],[Descuento]]</f>
        <v>1000</v>
      </c>
      <c r="I433" s="34">
        <f>Ventas[[#This Row],[Total]]-Ventas[[#This Row],[Precio compra]]*Ventas[[#This Row],[Cantidad]]</f>
        <v>485</v>
      </c>
      <c r="J433" s="34"/>
      <c r="K433" s="34">
        <f>Ventas[[#This Row],[Total]]*Ventas[[#This Row],[Total 3]]</f>
        <v>0</v>
      </c>
      <c r="L433" s="34"/>
      <c r="M433" s="34"/>
    </row>
    <row r="434" spans="1:13" ht="21.75" customHeight="1">
      <c r="A434" s="16"/>
      <c r="B434" s="39" t="s">
        <v>750</v>
      </c>
      <c r="C434" s="32" t="str">
        <f>VLOOKUP(Ventas[[#This Row],[Codigo]],Stock[#Data],2,FALSE)</f>
        <v>Pipa India</v>
      </c>
      <c r="D434" s="37">
        <f>VLOOKUP(Ventas[[#This Row],[Codigo]],Stock[#Data],4,FALSE)</f>
        <v>2000</v>
      </c>
      <c r="E434" s="33">
        <f>VLOOKUP(Ventas[[#This Row],[Codigo]],Stock[#Data],3,FALSE)</f>
        <v>910</v>
      </c>
      <c r="F434" s="38">
        <v>1</v>
      </c>
      <c r="G434">
        <v>158</v>
      </c>
      <c r="H434" s="36">
        <f>Ventas[[#This Row],[Precio Venta]]*Ventas[[#This Row],[Cantidad]]-Ventas[[#This Row],[Descuento]]</f>
        <v>2000</v>
      </c>
      <c r="I434" s="34">
        <f>Ventas[[#This Row],[Total]]-Ventas[[#This Row],[Precio compra]]*Ventas[[#This Row],[Cantidad]]</f>
        <v>1090</v>
      </c>
      <c r="J434" s="34"/>
      <c r="K434" s="34">
        <f>Ventas[[#This Row],[Total]]*Ventas[[#This Row],[Total 3]]</f>
        <v>0</v>
      </c>
      <c r="L434" s="34"/>
      <c r="M434" s="34"/>
    </row>
    <row r="435" spans="1:13" ht="21.75" customHeight="1">
      <c r="A435" s="16"/>
      <c r="B435" s="39" t="s">
        <v>750</v>
      </c>
      <c r="C435" s="32" t="str">
        <f>VLOOKUP(Ventas[[#This Row],[Codigo]],Stock[#Data],2,FALSE)</f>
        <v>Sedas Blunt Rey 1/4 celulosa Orange</v>
      </c>
      <c r="D435" s="37">
        <f>VLOOKUP(Ventas[[#This Row],[Codigo]],Stock[#Data],4,FALSE)</f>
        <v>300</v>
      </c>
      <c r="E435" s="33">
        <f>VLOOKUP(Ventas[[#This Row],[Codigo]],Stock[#Data],3,FALSE)</f>
        <v>143</v>
      </c>
      <c r="F435" s="38">
        <v>1</v>
      </c>
      <c r="G435">
        <v>71</v>
      </c>
      <c r="H435" s="36">
        <f>Ventas[[#This Row],[Precio Venta]]*Ventas[[#This Row],[Cantidad]]-Ventas[[#This Row],[Descuento]]</f>
        <v>300</v>
      </c>
      <c r="I435" s="34">
        <f>Ventas[[#This Row],[Total]]-Ventas[[#This Row],[Precio compra]]*Ventas[[#This Row],[Cantidad]]</f>
        <v>157</v>
      </c>
      <c r="J435" s="34"/>
      <c r="K435" s="34">
        <f>Ventas[[#This Row],[Total]]*Ventas[[#This Row],[Total 3]]</f>
        <v>0</v>
      </c>
      <c r="L435" s="34"/>
      <c r="M435" s="34"/>
    </row>
    <row r="436" spans="1:13" ht="21.75" customHeight="1">
      <c r="A436" s="16"/>
      <c r="B436" s="39" t="s">
        <v>750</v>
      </c>
      <c r="C436" s="32" t="str">
        <f>VLOOKUP(Ventas[[#This Row],[Codigo]],Stock[#Data],2,FALSE)</f>
        <v>Piedra para encendedor</v>
      </c>
      <c r="D436" s="37">
        <f>VLOOKUP(Ventas[[#This Row],[Codigo]],Stock[#Data],4,FALSE)</f>
        <v>450</v>
      </c>
      <c r="E436" s="33">
        <f>VLOOKUP(Ventas[[#This Row],[Codigo]],Stock[#Data],3,FALSE)</f>
        <v>223</v>
      </c>
      <c r="F436" s="38">
        <v>1</v>
      </c>
      <c r="G436">
        <v>201</v>
      </c>
      <c r="H436" s="36">
        <f>Ventas[[#This Row],[Precio Venta]]*Ventas[[#This Row],[Cantidad]]-Ventas[[#This Row],[Descuento]]</f>
        <v>450</v>
      </c>
      <c r="I436" s="34">
        <f>Ventas[[#This Row],[Total]]-Ventas[[#This Row],[Precio compra]]*Ventas[[#This Row],[Cantidad]]</f>
        <v>227</v>
      </c>
      <c r="J436" s="34"/>
      <c r="K436" s="34">
        <f>Ventas[[#This Row],[Total]]*Ventas[[#This Row],[Total 3]]</f>
        <v>0</v>
      </c>
      <c r="L436" s="34"/>
      <c r="M436" s="34"/>
    </row>
    <row r="437" spans="1:13" ht="21.75" customHeight="1">
      <c r="A437" s="16"/>
      <c r="B437" s="39" t="s">
        <v>750</v>
      </c>
      <c r="C437" s="32" t="str">
        <f>VLOOKUP(Ventas[[#This Row],[Codigo]],Stock[#Data],2,FALSE)</f>
        <v>Lata Lion Rolling Circus</v>
      </c>
      <c r="D437" s="37">
        <f>VLOOKUP(Ventas[[#This Row],[Codigo]],Stock[#Data],4,FALSE)</f>
        <v>1200</v>
      </c>
      <c r="E437" s="33">
        <f>VLOOKUP(Ventas[[#This Row],[Codigo]],Stock[#Data],3,FALSE)</f>
        <v>580</v>
      </c>
      <c r="F437" s="38">
        <v>2</v>
      </c>
      <c r="G437">
        <v>145</v>
      </c>
      <c r="H437" s="36">
        <f>Ventas[[#This Row],[Precio Venta]]*Ventas[[#This Row],[Cantidad]]-Ventas[[#This Row],[Descuento]]</f>
        <v>2400</v>
      </c>
      <c r="I437" s="34">
        <f>Ventas[[#This Row],[Total]]-Ventas[[#This Row],[Precio compra]]*Ventas[[#This Row],[Cantidad]]</f>
        <v>1240</v>
      </c>
      <c r="J437" s="34"/>
      <c r="K437" s="34">
        <f>Ventas[[#This Row],[Total]]*Ventas[[#This Row],[Total 3]]</f>
        <v>0</v>
      </c>
      <c r="L437" s="34"/>
      <c r="M437" s="34"/>
    </row>
    <row r="438" spans="1:13" ht="21.75" customHeight="1">
      <c r="A438" s="16"/>
      <c r="B438" s="39" t="s">
        <v>750</v>
      </c>
      <c r="C438" s="32" t="str">
        <f>VLOOKUP(Ventas[[#This Row],[Codigo]],Stock[#Data],2,FALSE)</f>
        <v>Sedas Lion Rolling Circus 1/4 alfalfa</v>
      </c>
      <c r="D438" s="37">
        <f>VLOOKUP(Ventas[[#This Row],[Codigo]],Stock[#Data],4,FALSE)</f>
        <v>300</v>
      </c>
      <c r="E438" s="33">
        <f>VLOOKUP(Ventas[[#This Row],[Codigo]],Stock[#Data],3,FALSE)</f>
        <v>150</v>
      </c>
      <c r="F438" s="38">
        <v>1</v>
      </c>
      <c r="G438">
        <v>63</v>
      </c>
      <c r="H438" s="36">
        <f>Ventas[[#This Row],[Precio Venta]]*Ventas[[#This Row],[Cantidad]]-Ventas[[#This Row],[Descuento]]</f>
        <v>300</v>
      </c>
      <c r="I438" s="34">
        <f>Ventas[[#This Row],[Total]]-Ventas[[#This Row],[Precio compra]]*Ventas[[#This Row],[Cantidad]]</f>
        <v>150</v>
      </c>
      <c r="J438" s="34"/>
      <c r="K438" s="34">
        <f>Ventas[[#This Row],[Total]]*Ventas[[#This Row],[Total 3]]</f>
        <v>0</v>
      </c>
      <c r="L438" s="34"/>
      <c r="M438" s="34"/>
    </row>
    <row r="439" spans="1:13" ht="21.75" customHeight="1">
      <c r="A439" s="16"/>
      <c r="B439" s="39" t="s">
        <v>750</v>
      </c>
      <c r="C439" s="32" t="str">
        <f>VLOOKUP(Ventas[[#This Row],[Codigo]],Stock[#Data],2,FALSE)</f>
        <v>Sedas OCB 1/4 Organic  Bamboo</v>
      </c>
      <c r="D439" s="37">
        <f>VLOOKUP(Ventas[[#This Row],[Codigo]],Stock[#Data],4,FALSE)</f>
        <v>300</v>
      </c>
      <c r="E439" s="33">
        <f>VLOOKUP(Ventas[[#This Row],[Codigo]],Stock[#Data],3,FALSE)</f>
        <v>165</v>
      </c>
      <c r="F439" s="38">
        <v>3</v>
      </c>
      <c r="G439">
        <v>77</v>
      </c>
      <c r="H439" s="36">
        <f>Ventas[[#This Row],[Precio Venta]]*Ventas[[#This Row],[Cantidad]]-Ventas[[#This Row],[Descuento]]</f>
        <v>900</v>
      </c>
      <c r="I439" s="34">
        <f>Ventas[[#This Row],[Total]]-Ventas[[#This Row],[Precio compra]]*Ventas[[#This Row],[Cantidad]]</f>
        <v>405</v>
      </c>
      <c r="J439" s="34"/>
      <c r="K439" s="34">
        <f>Ventas[[#This Row],[Total]]*Ventas[[#This Row],[Total 3]]</f>
        <v>0</v>
      </c>
      <c r="L439" s="34"/>
      <c r="M439" s="34"/>
    </row>
    <row r="440" spans="1:13" ht="21.75" customHeight="1">
      <c r="A440" s="16"/>
      <c r="B440" s="39" t="s">
        <v>750</v>
      </c>
      <c r="C440" s="32" t="str">
        <f>VLOOKUP(Ventas[[#This Row],[Codigo]],Stock[#Data],2,FALSE)</f>
        <v>Tuqueros</v>
      </c>
      <c r="D440" s="37">
        <f>VLOOKUP(Ventas[[#This Row],[Codigo]],Stock[#Data],4,FALSE)</f>
        <v>50</v>
      </c>
      <c r="E440" s="33">
        <f>VLOOKUP(Ventas[[#This Row],[Codigo]],Stock[#Data],3,FALSE)</f>
        <v>12</v>
      </c>
      <c r="F440" s="38">
        <v>1</v>
      </c>
      <c r="G440">
        <v>307</v>
      </c>
      <c r="H440" s="36">
        <f>Ventas[[#This Row],[Precio Venta]]*Ventas[[#This Row],[Cantidad]]-Ventas[[#This Row],[Descuento]]</f>
        <v>50</v>
      </c>
      <c r="I440" s="34">
        <f>Ventas[[#This Row],[Total]]-Ventas[[#This Row],[Precio compra]]*Ventas[[#This Row],[Cantidad]]</f>
        <v>38</v>
      </c>
      <c r="J440" s="34"/>
      <c r="K440" s="34">
        <f>Ventas[[#This Row],[Total]]*Ventas[[#This Row],[Total 3]]</f>
        <v>0</v>
      </c>
      <c r="L440" s="34"/>
      <c r="M440" s="34"/>
    </row>
    <row r="441" spans="1:13" ht="21.75" customHeight="1">
      <c r="A441" s="16"/>
      <c r="B441" s="39" t="s">
        <v>750</v>
      </c>
      <c r="C441" s="32" t="str">
        <f>VLOOKUP(Ventas[[#This Row],[Codigo]],Stock[#Data],2,FALSE)</f>
        <v>JIFFY moneda turba</v>
      </c>
      <c r="D441" s="37">
        <f>VLOOKUP(Ventas[[#This Row],[Codigo]],Stock[#Data],4,FALSE)</f>
        <v>150</v>
      </c>
      <c r="E441" s="33">
        <f>VLOOKUP(Ventas[[#This Row],[Codigo]],Stock[#Data],3,FALSE)</f>
        <v>70</v>
      </c>
      <c r="F441" s="38">
        <v>9</v>
      </c>
      <c r="G441">
        <v>50</v>
      </c>
      <c r="H441" s="36">
        <f>Ventas[[#This Row],[Precio Venta]]*Ventas[[#This Row],[Cantidad]]-Ventas[[#This Row],[Descuento]]</f>
        <v>1350</v>
      </c>
      <c r="I441" s="34">
        <f>Ventas[[#This Row],[Total]]-Ventas[[#This Row],[Precio compra]]*Ventas[[#This Row],[Cantidad]]</f>
        <v>720</v>
      </c>
      <c r="J441" s="34"/>
      <c r="K441" s="34">
        <f>Ventas[[#This Row],[Total]]*Ventas[[#This Row],[Total 3]]</f>
        <v>0</v>
      </c>
      <c r="L441" s="34"/>
      <c r="M441" s="34"/>
    </row>
    <row r="442" spans="1:13" ht="21.75" customHeight="1">
      <c r="A442" s="16"/>
      <c r="B442" s="39" t="s">
        <v>750</v>
      </c>
      <c r="C442" s="32" t="str">
        <f>VLOOKUP(Ventas[[#This Row],[Codigo]],Stock[#Data],2,FALSE)</f>
        <v>Pipa de Ceramica Grande</v>
      </c>
      <c r="D442" s="37">
        <f>VLOOKUP(Ventas[[#This Row],[Codigo]],Stock[#Data],4,FALSE)</f>
        <v>3000</v>
      </c>
      <c r="E442" s="33">
        <f>VLOOKUP(Ventas[[#This Row],[Codigo]],Stock[#Data],3,FALSE)</f>
        <v>1500</v>
      </c>
      <c r="F442" s="38">
        <v>1</v>
      </c>
      <c r="G442">
        <v>584</v>
      </c>
      <c r="H442" s="36">
        <f>Ventas[[#This Row],[Precio Venta]]*Ventas[[#This Row],[Cantidad]]-Ventas[[#This Row],[Descuento]]</f>
        <v>3000</v>
      </c>
      <c r="I442" s="34">
        <f>Ventas[[#This Row],[Total]]-Ventas[[#This Row],[Precio compra]]*Ventas[[#This Row],[Cantidad]]</f>
        <v>1500</v>
      </c>
      <c r="J442" s="34"/>
      <c r="K442" s="34">
        <f>Ventas[[#This Row],[Total]]*Ventas[[#This Row],[Total 3]]</f>
        <v>0</v>
      </c>
      <c r="L442" s="34"/>
      <c r="M442" s="34"/>
    </row>
    <row r="443" spans="1:13" ht="21.75" customHeight="1">
      <c r="A443" s="16"/>
      <c r="B443" s="39" t="s">
        <v>750</v>
      </c>
      <c r="C443" s="32" t="str">
        <f>VLOOKUP(Ventas[[#This Row],[Codigo]],Stock[#Data],2,FALSE)</f>
        <v>Tuquero Acrílico</v>
      </c>
      <c r="D443" s="37">
        <f>VLOOKUP(Ventas[[#This Row],[Codigo]],Stock[#Data],4,FALSE)</f>
        <v>600</v>
      </c>
      <c r="E443" s="33">
        <f>VLOOKUP(Ventas[[#This Row],[Codigo]],Stock[#Data],3,FALSE)</f>
        <v>300</v>
      </c>
      <c r="F443" s="38">
        <v>1</v>
      </c>
      <c r="G443">
        <v>508</v>
      </c>
      <c r="H443" s="36">
        <f>Ventas[[#This Row],[Precio Venta]]*Ventas[[#This Row],[Cantidad]]-Ventas[[#This Row],[Descuento]]</f>
        <v>600</v>
      </c>
      <c r="I443" s="34">
        <f>Ventas[[#This Row],[Total]]-Ventas[[#This Row],[Precio compra]]*Ventas[[#This Row],[Cantidad]]</f>
        <v>300</v>
      </c>
      <c r="J443" s="34"/>
      <c r="K443" s="34">
        <f>Ventas[[#This Row],[Total]]*Ventas[[#This Row],[Total 3]]</f>
        <v>0</v>
      </c>
      <c r="L443" s="34"/>
      <c r="M443" s="34"/>
    </row>
    <row r="444" spans="1:13" ht="21.75" customHeight="1">
      <c r="A444" s="16"/>
      <c r="B444" s="39" t="s">
        <v>750</v>
      </c>
      <c r="C444" s="32" t="str">
        <f>VLOOKUP(Ventas[[#This Row],[Codigo]],Stock[#Data],2,FALSE)</f>
        <v>Namaste Flora Booster 100ml</v>
      </c>
      <c r="D444" s="37">
        <f>VLOOKUP(Ventas[[#This Row],[Codigo]],Stock[#Data],4,FALSE)</f>
        <v>1000</v>
      </c>
      <c r="E444" s="33">
        <f>VLOOKUP(Ventas[[#This Row],[Codigo]],Stock[#Data],3,FALSE)</f>
        <v>517</v>
      </c>
      <c r="F444" s="38">
        <v>1</v>
      </c>
      <c r="G444">
        <v>480</v>
      </c>
      <c r="H444" s="36">
        <f>Ventas[[#This Row],[Precio Venta]]*Ventas[[#This Row],[Cantidad]]-Ventas[[#This Row],[Descuento]]</f>
        <v>1000</v>
      </c>
      <c r="I444" s="34">
        <f>Ventas[[#This Row],[Total]]-Ventas[[#This Row],[Precio compra]]*Ventas[[#This Row],[Cantidad]]</f>
        <v>483</v>
      </c>
      <c r="J444" s="34"/>
      <c r="K444" s="34">
        <f>Ventas[[#This Row],[Total]]*Ventas[[#This Row],[Total 3]]</f>
        <v>0</v>
      </c>
      <c r="L444" s="34"/>
      <c r="M444" s="34"/>
    </row>
    <row r="445" spans="1:13" ht="21.75" customHeight="1">
      <c r="A445" s="16"/>
      <c r="B445" s="39" t="s">
        <v>750</v>
      </c>
      <c r="C445" s="32" t="str">
        <f>VLOOKUP(Ventas[[#This Row],[Codigo]],Stock[#Data],2,FALSE)</f>
        <v>Namaste Trico+ 100gr</v>
      </c>
      <c r="D445" s="37">
        <f>VLOOKUP(Ventas[[#This Row],[Codigo]],Stock[#Data],4,FALSE)</f>
        <v>1000</v>
      </c>
      <c r="E445" s="33">
        <f>VLOOKUP(Ventas[[#This Row],[Codigo]],Stock[#Data],3,FALSE)</f>
        <v>541</v>
      </c>
      <c r="F445" s="38">
        <v>1</v>
      </c>
      <c r="G445">
        <v>479</v>
      </c>
      <c r="H445" s="36">
        <f>Ventas[[#This Row],[Precio Venta]]*Ventas[[#This Row],[Cantidad]]-Ventas[[#This Row],[Descuento]]</f>
        <v>1000</v>
      </c>
      <c r="I445" s="34">
        <f>Ventas[[#This Row],[Total]]-Ventas[[#This Row],[Precio compra]]*Ventas[[#This Row],[Cantidad]]</f>
        <v>459</v>
      </c>
      <c r="J445" s="34"/>
      <c r="K445" s="34">
        <f>Ventas[[#This Row],[Total]]*Ventas[[#This Row],[Total 3]]</f>
        <v>0</v>
      </c>
      <c r="L445" s="34"/>
      <c r="M445" s="34"/>
    </row>
    <row r="446" spans="1:13" ht="21.75" customHeight="1">
      <c r="A446" s="16"/>
      <c r="B446" s="39" t="s">
        <v>750</v>
      </c>
      <c r="C446" s="32" t="str">
        <f>VLOOKUP(Ventas[[#This Row],[Codigo]],Stock[#Data],2,FALSE)</f>
        <v>Namaste Shanti 100ml</v>
      </c>
      <c r="D446" s="37">
        <f>VLOOKUP(Ventas[[#This Row],[Codigo]],Stock[#Data],4,FALSE)</f>
        <v>2000</v>
      </c>
      <c r="E446" s="33">
        <f>VLOOKUP(Ventas[[#This Row],[Codigo]],Stock[#Data],3,FALSE)</f>
        <v>932</v>
      </c>
      <c r="F446" s="38">
        <v>1</v>
      </c>
      <c r="G446">
        <v>569</v>
      </c>
      <c r="H446" s="36">
        <f>Ventas[[#This Row],[Precio Venta]]*Ventas[[#This Row],[Cantidad]]-Ventas[[#This Row],[Descuento]]</f>
        <v>2000</v>
      </c>
      <c r="I446" s="34">
        <f>Ventas[[#This Row],[Total]]-Ventas[[#This Row],[Precio compra]]*Ventas[[#This Row],[Cantidad]]</f>
        <v>1068</v>
      </c>
      <c r="J446" s="34"/>
      <c r="K446" s="34">
        <f>Ventas[[#This Row],[Total]]*Ventas[[#This Row],[Total 3]]</f>
        <v>0</v>
      </c>
      <c r="L446" s="34"/>
      <c r="M446" s="34"/>
    </row>
    <row r="447" spans="1:13" ht="21.75" customHeight="1">
      <c r="A447" s="16"/>
      <c r="B447" s="39" t="s">
        <v>746</v>
      </c>
      <c r="C447" s="32" t="str">
        <f>VLOOKUP(Ventas[[#This Row],[Codigo]],Stock[#Data],2,FALSE)</f>
        <v>JIFFY moneda turba</v>
      </c>
      <c r="D447" s="37">
        <f>VLOOKUP(Ventas[[#This Row],[Codigo]],Stock[#Data],4,FALSE)</f>
        <v>150</v>
      </c>
      <c r="E447" s="33">
        <f>VLOOKUP(Ventas[[#This Row],[Codigo]],Stock[#Data],3,FALSE)</f>
        <v>70</v>
      </c>
      <c r="F447" s="38">
        <v>15</v>
      </c>
      <c r="G447">
        <v>50</v>
      </c>
      <c r="H447" s="36">
        <f>Ventas[[#This Row],[Precio Venta]]*Ventas[[#This Row],[Cantidad]]-Ventas[[#This Row],[Descuento]]</f>
        <v>2250</v>
      </c>
      <c r="I447" s="34">
        <f>Ventas[[#This Row],[Total]]-Ventas[[#This Row],[Precio compra]]*Ventas[[#This Row],[Cantidad]]</f>
        <v>1200</v>
      </c>
      <c r="J447" s="34"/>
      <c r="K447" s="34">
        <f>Ventas[[#This Row],[Total]]*Ventas[[#This Row],[Total 3]]</f>
        <v>0</v>
      </c>
      <c r="L447" s="34"/>
      <c r="M447" s="34"/>
    </row>
    <row r="448" spans="1:13" ht="21.75" customHeight="1">
      <c r="A448" s="16"/>
      <c r="B448" s="39" t="s">
        <v>746</v>
      </c>
      <c r="C448" s="32" t="str">
        <f>VLOOKUP(Ventas[[#This Row],[Codigo]],Stock[#Data],2,FALSE)</f>
        <v xml:space="preserve">Clipper Raw </v>
      </c>
      <c r="D448" s="37">
        <f>VLOOKUP(Ventas[[#This Row],[Codigo]],Stock[#Data],4,FALSE)</f>
        <v>550</v>
      </c>
      <c r="E448" s="33">
        <f>VLOOKUP(Ventas[[#This Row],[Codigo]],Stock[#Data],3,FALSE)</f>
        <v>276</v>
      </c>
      <c r="F448" s="38">
        <v>1</v>
      </c>
      <c r="G448">
        <v>502</v>
      </c>
      <c r="H448" s="36">
        <f>Ventas[[#This Row],[Precio Venta]]*Ventas[[#This Row],[Cantidad]]-Ventas[[#This Row],[Descuento]]</f>
        <v>550</v>
      </c>
      <c r="I448" s="34">
        <f>Ventas[[#This Row],[Total]]-Ventas[[#This Row],[Precio compra]]*Ventas[[#This Row],[Cantidad]]</f>
        <v>274</v>
      </c>
      <c r="J448" s="34"/>
      <c r="K448" s="34">
        <f>Ventas[[#This Row],[Total]]*Ventas[[#This Row],[Total 3]]</f>
        <v>0</v>
      </c>
      <c r="L448" s="34"/>
      <c r="M448" s="34"/>
    </row>
    <row r="449" spans="1:13" ht="21.75" customHeight="1">
      <c r="A449" s="16"/>
      <c r="B449" s="39" t="s">
        <v>746</v>
      </c>
      <c r="C449" s="32" t="str">
        <f>VLOOKUP(Ventas[[#This Row],[Codigo]],Stock[#Data],2,FALSE)</f>
        <v>4 en 1 250ml Green Leaf Insumos</v>
      </c>
      <c r="D449" s="37">
        <f>VLOOKUP(Ventas[[#This Row],[Codigo]],Stock[#Data],4,FALSE)</f>
        <v>2300</v>
      </c>
      <c r="E449" s="33">
        <f>VLOOKUP(Ventas[[#This Row],[Codigo]],Stock[#Data],3,FALSE)</f>
        <v>1179</v>
      </c>
      <c r="F449" s="38">
        <v>1</v>
      </c>
      <c r="G449">
        <v>576</v>
      </c>
      <c r="H449" s="36">
        <f>Ventas[[#This Row],[Precio Venta]]*Ventas[[#This Row],[Cantidad]]-Ventas[[#This Row],[Descuento]]</f>
        <v>2300</v>
      </c>
      <c r="I449" s="34">
        <f>Ventas[[#This Row],[Total]]-Ventas[[#This Row],[Precio compra]]*Ventas[[#This Row],[Cantidad]]</f>
        <v>1121</v>
      </c>
      <c r="J449" s="34"/>
      <c r="K449" s="34">
        <f>Ventas[[#This Row],[Total]]*Ventas[[#This Row],[Total 3]]</f>
        <v>0</v>
      </c>
      <c r="L449" s="34"/>
      <c r="M449" s="34"/>
    </row>
    <row r="450" spans="1:13" ht="21.75" customHeight="1">
      <c r="A450" s="16"/>
      <c r="B450" s="39" t="s">
        <v>746</v>
      </c>
      <c r="C450" s="32" t="str">
        <f>VLOOKUP(Ventas[[#This Row],[Codigo]],Stock[#Data],2,FALSE)</f>
        <v>4 en 1 100ml Green Leaf Insumos</v>
      </c>
      <c r="D450" s="37">
        <f>VLOOKUP(Ventas[[#This Row],[Codigo]],Stock[#Data],4,FALSE)</f>
        <v>1000</v>
      </c>
      <c r="E450" s="33">
        <f>VLOOKUP(Ventas[[#This Row],[Codigo]],Stock[#Data],3,FALSE)</f>
        <v>498</v>
      </c>
      <c r="F450" s="38">
        <v>1</v>
      </c>
      <c r="G450">
        <v>575</v>
      </c>
      <c r="H450" s="36">
        <f>Ventas[[#This Row],[Precio Venta]]*Ventas[[#This Row],[Cantidad]]-Ventas[[#This Row],[Descuento]]</f>
        <v>1000</v>
      </c>
      <c r="I450" s="34">
        <f>Ventas[[#This Row],[Total]]-Ventas[[#This Row],[Precio compra]]*Ventas[[#This Row],[Cantidad]]</f>
        <v>502</v>
      </c>
      <c r="J450" s="34"/>
      <c r="K450" s="34">
        <f>Ventas[[#This Row],[Total]]*Ventas[[#This Row],[Total 3]]</f>
        <v>0</v>
      </c>
      <c r="L450" s="34"/>
      <c r="M450" s="34"/>
    </row>
    <row r="451" spans="1:13" ht="21.75" customHeight="1">
      <c r="A451" s="16"/>
      <c r="B451" s="39" t="s">
        <v>746</v>
      </c>
      <c r="C451" s="32" t="str">
        <f>VLOOKUP(Ventas[[#This Row],[Codigo]],Stock[#Data],2,FALSE)</f>
        <v>Medidor de PH</v>
      </c>
      <c r="D451" s="37">
        <f>VLOOKUP(Ventas[[#This Row],[Codigo]],Stock[#Data],4,FALSE)</f>
        <v>4000</v>
      </c>
      <c r="E451" s="33">
        <f>VLOOKUP(Ventas[[#This Row],[Codigo]],Stock[#Data],3,FALSE)</f>
        <v>2000</v>
      </c>
      <c r="F451" s="38">
        <v>1</v>
      </c>
      <c r="G451">
        <v>185</v>
      </c>
      <c r="H451" s="36">
        <f>Ventas[[#This Row],[Precio Venta]]*Ventas[[#This Row],[Cantidad]]-Ventas[[#This Row],[Descuento]]</f>
        <v>4000</v>
      </c>
      <c r="I451" s="34">
        <f>Ventas[[#This Row],[Total]]-Ventas[[#This Row],[Precio compra]]*Ventas[[#This Row],[Cantidad]]</f>
        <v>2000</v>
      </c>
      <c r="J451" s="34"/>
      <c r="K451" s="34">
        <f>Ventas[[#This Row],[Total]]*Ventas[[#This Row],[Total 3]]</f>
        <v>0</v>
      </c>
      <c r="L451" s="34"/>
      <c r="M451" s="34"/>
    </row>
    <row r="452" spans="1:13" ht="21.75" customHeight="1">
      <c r="A452" s="16"/>
      <c r="B452" s="39" t="s">
        <v>746</v>
      </c>
      <c r="C452" s="32" t="str">
        <f>VLOOKUP(Ventas[[#This Row],[Codigo]],Stock[#Data],2,FALSE)</f>
        <v>Bong Atrapa Hielo</v>
      </c>
      <c r="D452" s="37">
        <f>VLOOKUP(Ventas[[#This Row],[Codigo]],Stock[#Data],4,FALSE)</f>
        <v>10000</v>
      </c>
      <c r="E452" s="33">
        <f>VLOOKUP(Ventas[[#This Row],[Codigo]],Stock[#Data],3,FALSE)</f>
        <v>5365</v>
      </c>
      <c r="F452" s="38">
        <v>1</v>
      </c>
      <c r="G452">
        <v>362</v>
      </c>
      <c r="H452" s="36">
        <f>Ventas[[#This Row],[Precio Venta]]*Ventas[[#This Row],[Cantidad]]-Ventas[[#This Row],[Descuento]]</f>
        <v>10000</v>
      </c>
      <c r="I452" s="34">
        <f>Ventas[[#This Row],[Total]]-Ventas[[#This Row],[Precio compra]]*Ventas[[#This Row],[Cantidad]]</f>
        <v>4635</v>
      </c>
      <c r="J452" s="34"/>
      <c r="K452" s="34">
        <f>Ventas[[#This Row],[Total]]*Ventas[[#This Row],[Total 3]]</f>
        <v>0</v>
      </c>
      <c r="L452" s="34"/>
      <c r="M452" s="34"/>
    </row>
    <row r="453" spans="1:13" ht="21.75" customHeight="1">
      <c r="A453" s="16"/>
      <c r="B453" s="39" t="s">
        <v>746</v>
      </c>
      <c r="C453" s="32" t="str">
        <f>VLOOKUP(Ventas[[#This Row],[Codigo]],Stock[#Data],2,FALSE)</f>
        <v>Tips STAMPS ECO</v>
      </c>
      <c r="D453" s="37">
        <f>VLOOKUP(Ventas[[#This Row],[Codigo]],Stock[#Data],4,FALSE)</f>
        <v>150</v>
      </c>
      <c r="E453" s="33">
        <f>VLOOKUP(Ventas[[#This Row],[Codigo]],Stock[#Data],3,FALSE)</f>
        <v>73</v>
      </c>
      <c r="F453" s="38">
        <v>1</v>
      </c>
      <c r="G453">
        <v>308</v>
      </c>
      <c r="H453" s="36">
        <f>Ventas[[#This Row],[Precio Venta]]*Ventas[[#This Row],[Cantidad]]-Ventas[[#This Row],[Descuento]]</f>
        <v>150</v>
      </c>
      <c r="I453" s="34">
        <f>Ventas[[#This Row],[Total]]-Ventas[[#This Row],[Precio compra]]*Ventas[[#This Row],[Cantidad]]</f>
        <v>77</v>
      </c>
      <c r="J453" s="34"/>
      <c r="K453" s="34">
        <f>Ventas[[#This Row],[Total]]*Ventas[[#This Row],[Total 3]]</f>
        <v>0</v>
      </c>
      <c r="L453" s="34"/>
      <c r="M453" s="34"/>
    </row>
    <row r="454" spans="1:13" ht="21.75" customHeight="1">
      <c r="A454" s="16"/>
      <c r="B454" s="39" t="s">
        <v>746</v>
      </c>
      <c r="C454" s="32" t="str">
        <f>VLOOKUP(Ventas[[#This Row],[Codigo]],Stock[#Data],2,FALSE)</f>
        <v>Sedas Blunt Rey 1/4 celulosa Verde</v>
      </c>
      <c r="D454" s="37">
        <f>VLOOKUP(Ventas[[#This Row],[Codigo]],Stock[#Data],4,FALSE)</f>
        <v>300</v>
      </c>
      <c r="E454" s="33">
        <f>VLOOKUP(Ventas[[#This Row],[Codigo]],Stock[#Data],3,FALSE)</f>
        <v>135</v>
      </c>
      <c r="F454" s="38">
        <v>1</v>
      </c>
      <c r="G454">
        <v>72</v>
      </c>
      <c r="H454" s="36">
        <f>Ventas[[#This Row],[Precio Venta]]*Ventas[[#This Row],[Cantidad]]-Ventas[[#This Row],[Descuento]]</f>
        <v>300</v>
      </c>
      <c r="I454" s="34">
        <f>Ventas[[#This Row],[Total]]-Ventas[[#This Row],[Precio compra]]*Ventas[[#This Row],[Cantidad]]</f>
        <v>165</v>
      </c>
      <c r="J454" s="34"/>
      <c r="K454" s="34">
        <f>Ventas[[#This Row],[Total]]*Ventas[[#This Row],[Total 3]]</f>
        <v>0</v>
      </c>
      <c r="L454" s="34"/>
      <c r="M454" s="34"/>
    </row>
    <row r="455" spans="1:13" ht="21.75" customHeight="1">
      <c r="A455" s="16"/>
      <c r="B455" s="39" t="s">
        <v>746</v>
      </c>
      <c r="C455" s="32" t="str">
        <f>VLOOKUP(Ventas[[#This Row],[Codigo]],Stock[#Data],2,FALSE)</f>
        <v>Namaste Flora Booster 100ml</v>
      </c>
      <c r="D455" s="37">
        <f>VLOOKUP(Ventas[[#This Row],[Codigo]],Stock[#Data],4,FALSE)</f>
        <v>1000</v>
      </c>
      <c r="E455" s="33">
        <f>VLOOKUP(Ventas[[#This Row],[Codigo]],Stock[#Data],3,FALSE)</f>
        <v>517</v>
      </c>
      <c r="F455" s="38">
        <v>1</v>
      </c>
      <c r="G455">
        <v>480</v>
      </c>
      <c r="H455" s="36">
        <f>Ventas[[#This Row],[Precio Venta]]*Ventas[[#This Row],[Cantidad]]-Ventas[[#This Row],[Descuento]]</f>
        <v>1000</v>
      </c>
      <c r="I455" s="34">
        <f>Ventas[[#This Row],[Total]]-Ventas[[#This Row],[Precio compra]]*Ventas[[#This Row],[Cantidad]]</f>
        <v>483</v>
      </c>
      <c r="J455" s="34"/>
      <c r="K455" s="34">
        <f>Ventas[[#This Row],[Total]]*Ventas[[#This Row],[Total 3]]</f>
        <v>0</v>
      </c>
      <c r="L455" s="34"/>
      <c r="M455" s="34"/>
    </row>
    <row r="456" spans="1:13" ht="21.75" customHeight="1">
      <c r="A456" s="16"/>
      <c r="B456" s="39" t="s">
        <v>746</v>
      </c>
      <c r="C456" s="32" t="str">
        <f>VLOOKUP(Ventas[[#This Row],[Codigo]],Stock[#Data],2,FALSE)</f>
        <v>Namaste Trico+ 100gr</v>
      </c>
      <c r="D456" s="37">
        <f>VLOOKUP(Ventas[[#This Row],[Codigo]],Stock[#Data],4,FALSE)</f>
        <v>1000</v>
      </c>
      <c r="E456" s="33">
        <f>VLOOKUP(Ventas[[#This Row],[Codigo]],Stock[#Data],3,FALSE)</f>
        <v>541</v>
      </c>
      <c r="F456" s="38">
        <v>1</v>
      </c>
      <c r="G456">
        <v>479</v>
      </c>
      <c r="H456" s="36">
        <f>Ventas[[#This Row],[Precio Venta]]*Ventas[[#This Row],[Cantidad]]-Ventas[[#This Row],[Descuento]]</f>
        <v>1000</v>
      </c>
      <c r="I456" s="34">
        <f>Ventas[[#This Row],[Total]]-Ventas[[#This Row],[Precio compra]]*Ventas[[#This Row],[Cantidad]]</f>
        <v>459</v>
      </c>
      <c r="J456" s="34"/>
      <c r="K456" s="34">
        <f>Ventas[[#This Row],[Total]]*Ventas[[#This Row],[Total 3]]</f>
        <v>0</v>
      </c>
      <c r="L456" s="34"/>
      <c r="M456" s="34"/>
    </row>
    <row r="457" spans="1:13" ht="21.75" customHeight="1">
      <c r="A457" s="16"/>
      <c r="B457" s="39" t="s">
        <v>746</v>
      </c>
      <c r="C457" s="32" t="str">
        <f>VLOOKUP(Ventas[[#This Row],[Codigo]],Stock[#Data],2,FALSE)</f>
        <v>Namaste Shanti 100ml</v>
      </c>
      <c r="D457" s="37">
        <f>VLOOKUP(Ventas[[#This Row],[Codigo]],Stock[#Data],4,FALSE)</f>
        <v>2000</v>
      </c>
      <c r="E457" s="33">
        <f>VLOOKUP(Ventas[[#This Row],[Codigo]],Stock[#Data],3,FALSE)</f>
        <v>932</v>
      </c>
      <c r="F457" s="38">
        <v>1</v>
      </c>
      <c r="G457">
        <v>569</v>
      </c>
      <c r="H457" s="36">
        <f>Ventas[[#This Row],[Precio Venta]]*Ventas[[#This Row],[Cantidad]]-Ventas[[#This Row],[Descuento]]</f>
        <v>2000</v>
      </c>
      <c r="I457" s="34">
        <f>Ventas[[#This Row],[Total]]-Ventas[[#This Row],[Precio compra]]*Ventas[[#This Row],[Cantidad]]</f>
        <v>1068</v>
      </c>
      <c r="J457" s="34"/>
      <c r="K457" s="34">
        <f>Ventas[[#This Row],[Total]]*Ventas[[#This Row],[Total 3]]</f>
        <v>0</v>
      </c>
      <c r="L457" s="34"/>
      <c r="M457" s="34"/>
    </row>
    <row r="458" spans="1:13" ht="21.75" customHeight="1">
      <c r="A458" s="16"/>
      <c r="B458" s="39" t="s">
        <v>746</v>
      </c>
      <c r="C458" s="32" t="str">
        <f>VLOOKUP(Ventas[[#This Row],[Codigo]],Stock[#Data],2,FALSE)</f>
        <v>Sedas STAMPS Celulosa x300</v>
      </c>
      <c r="D458" s="37">
        <f>VLOOKUP(Ventas[[#This Row],[Codigo]],Stock[#Data],4,FALSE)</f>
        <v>900</v>
      </c>
      <c r="E458" s="33">
        <f>VLOOKUP(Ventas[[#This Row],[Codigo]],Stock[#Data],3,FALSE)</f>
        <v>444</v>
      </c>
      <c r="F458" s="38">
        <v>2</v>
      </c>
      <c r="G458">
        <v>595</v>
      </c>
      <c r="H458" s="36">
        <f>Ventas[[#This Row],[Precio Venta]]*Ventas[[#This Row],[Cantidad]]-Ventas[[#This Row],[Descuento]]</f>
        <v>1800</v>
      </c>
      <c r="I458" s="34">
        <f>Ventas[[#This Row],[Total]]-Ventas[[#This Row],[Precio compra]]*Ventas[[#This Row],[Cantidad]]</f>
        <v>912</v>
      </c>
      <c r="J458" s="34"/>
      <c r="K458" s="34">
        <f>Ventas[[#This Row],[Total]]*Ventas[[#This Row],[Total 3]]</f>
        <v>0</v>
      </c>
      <c r="L458" s="34"/>
      <c r="M458" s="34"/>
    </row>
    <row r="459" spans="1:13" ht="21.75" customHeight="1">
      <c r="A459" s="16"/>
      <c r="B459" s="39" t="s">
        <v>746</v>
      </c>
      <c r="C459" s="32" t="str">
        <f>VLOOKUP(Ventas[[#This Row],[Codigo]],Stock[#Data],2,FALSE)</f>
        <v>Sedas ABADIE x 100</v>
      </c>
      <c r="D459" s="37">
        <f>VLOOKUP(Ventas[[#This Row],[Codigo]],Stock[#Data],4,FALSE)</f>
        <v>300</v>
      </c>
      <c r="E459" s="33">
        <f>VLOOKUP(Ventas[[#This Row],[Codigo]],Stock[#Data],3,FALSE)</f>
        <v>150</v>
      </c>
      <c r="F459" s="38">
        <v>1</v>
      </c>
      <c r="G459">
        <v>84</v>
      </c>
      <c r="H459" s="36">
        <f>Ventas[[#This Row],[Precio Venta]]*Ventas[[#This Row],[Cantidad]]-Ventas[[#This Row],[Descuento]]</f>
        <v>300</v>
      </c>
      <c r="I459" s="34">
        <f>Ventas[[#This Row],[Total]]-Ventas[[#This Row],[Precio compra]]*Ventas[[#This Row],[Cantidad]]</f>
        <v>150</v>
      </c>
      <c r="J459" s="34"/>
      <c r="K459" s="34">
        <f>Ventas[[#This Row],[Total]]*Ventas[[#This Row],[Total 3]]</f>
        <v>0</v>
      </c>
      <c r="L459" s="34"/>
      <c r="M459" s="34"/>
    </row>
    <row r="460" spans="1:13" ht="21.75" customHeight="1">
      <c r="A460" s="16"/>
      <c r="B460" s="39" t="s">
        <v>743</v>
      </c>
      <c r="C460" s="32" t="str">
        <f>VLOOKUP(Ventas[[#This Row],[Codigo]],Stock[#Data],2,FALSE)</f>
        <v>Sedas OCB 1/4 Organic  Bamboo</v>
      </c>
      <c r="D460" s="37">
        <f>VLOOKUP(Ventas[[#This Row],[Codigo]],Stock[#Data],4,FALSE)</f>
        <v>300</v>
      </c>
      <c r="E460" s="33">
        <f>VLOOKUP(Ventas[[#This Row],[Codigo]],Stock[#Data],3,FALSE)</f>
        <v>165</v>
      </c>
      <c r="F460" s="38">
        <v>1</v>
      </c>
      <c r="G460">
        <v>77</v>
      </c>
      <c r="H460" s="36">
        <f>Ventas[[#This Row],[Precio Venta]]*Ventas[[#This Row],[Cantidad]]-Ventas[[#This Row],[Descuento]]</f>
        <v>300</v>
      </c>
      <c r="I460" s="34">
        <f>Ventas[[#This Row],[Total]]-Ventas[[#This Row],[Precio compra]]*Ventas[[#This Row],[Cantidad]]</f>
        <v>135</v>
      </c>
      <c r="J460" s="34"/>
      <c r="K460" s="34">
        <f>Ventas[[#This Row],[Total]]*Ventas[[#This Row],[Total 3]]</f>
        <v>0</v>
      </c>
      <c r="L460" s="34"/>
      <c r="M460" s="34"/>
    </row>
    <row r="461" spans="1:13" ht="21.75" customHeight="1">
      <c r="A461" s="16"/>
      <c r="B461" s="39" t="s">
        <v>743</v>
      </c>
      <c r="C461" s="32" t="str">
        <f>VLOOKUP(Ventas[[#This Row],[Codigo]],Stock[#Data],2,FALSE)</f>
        <v>Piedra para encendedor</v>
      </c>
      <c r="D461" s="37">
        <f>VLOOKUP(Ventas[[#This Row],[Codigo]],Stock[#Data],4,FALSE)</f>
        <v>450</v>
      </c>
      <c r="E461" s="33">
        <f>VLOOKUP(Ventas[[#This Row],[Codigo]],Stock[#Data],3,FALSE)</f>
        <v>223</v>
      </c>
      <c r="F461" s="38">
        <v>1</v>
      </c>
      <c r="G461">
        <v>201</v>
      </c>
      <c r="H461" s="36">
        <f>Ventas[[#This Row],[Precio Venta]]*Ventas[[#This Row],[Cantidad]]-Ventas[[#This Row],[Descuento]]</f>
        <v>450</v>
      </c>
      <c r="I461" s="34">
        <f>Ventas[[#This Row],[Total]]-Ventas[[#This Row],[Precio compra]]*Ventas[[#This Row],[Cantidad]]</f>
        <v>227</v>
      </c>
      <c r="J461" s="34"/>
      <c r="K461" s="34">
        <f>Ventas[[#This Row],[Total]]*Ventas[[#This Row],[Total 3]]</f>
        <v>0</v>
      </c>
      <c r="L461" s="34"/>
      <c r="M461" s="34"/>
    </row>
    <row r="462" spans="1:13" ht="21.75" customHeight="1">
      <c r="A462" s="16"/>
      <c r="B462" s="39" t="s">
        <v>743</v>
      </c>
      <c r="C462" s="32" t="str">
        <f>VLOOKUP(Ventas[[#This Row],[Codigo]],Stock[#Data],2,FALSE)</f>
        <v>Sedas OCB 1/4 Organic  Bamboo</v>
      </c>
      <c r="D462" s="37">
        <f>VLOOKUP(Ventas[[#This Row],[Codigo]],Stock[#Data],4,FALSE)</f>
        <v>300</v>
      </c>
      <c r="E462" s="33">
        <f>VLOOKUP(Ventas[[#This Row],[Codigo]],Stock[#Data],3,FALSE)</f>
        <v>165</v>
      </c>
      <c r="F462" s="38">
        <v>1</v>
      </c>
      <c r="G462">
        <v>77</v>
      </c>
      <c r="H462" s="36">
        <f>Ventas[[#This Row],[Precio Venta]]*Ventas[[#This Row],[Cantidad]]-Ventas[[#This Row],[Descuento]]</f>
        <v>300</v>
      </c>
      <c r="I462" s="34">
        <f>Ventas[[#This Row],[Total]]-Ventas[[#This Row],[Precio compra]]*Ventas[[#This Row],[Cantidad]]</f>
        <v>135</v>
      </c>
      <c r="J462" s="34"/>
      <c r="K462" s="34">
        <f>Ventas[[#This Row],[Total]]*Ventas[[#This Row],[Total 3]]</f>
        <v>0</v>
      </c>
      <c r="L462" s="34"/>
      <c r="M462" s="34"/>
    </row>
    <row r="463" spans="1:13" ht="21.75" customHeight="1">
      <c r="A463" s="16"/>
      <c r="B463" s="39" t="s">
        <v>743</v>
      </c>
      <c r="C463" s="32" t="str">
        <f>VLOOKUP(Ventas[[#This Row],[Codigo]],Stock[#Data],2,FALSE)</f>
        <v xml:space="preserve">Tabaco Van Kiff American Blend </v>
      </c>
      <c r="D463" s="37">
        <f>VLOOKUP(Ventas[[#This Row],[Codigo]],Stock[#Data],4,FALSE)</f>
        <v>850</v>
      </c>
      <c r="E463" s="33">
        <f>VLOOKUP(Ventas[[#This Row],[Codigo]],Stock[#Data],3,FALSE)</f>
        <v>580</v>
      </c>
      <c r="F463" s="38">
        <v>1</v>
      </c>
      <c r="G463">
        <v>348</v>
      </c>
      <c r="H463" s="36">
        <f>Ventas[[#This Row],[Precio Venta]]*Ventas[[#This Row],[Cantidad]]-Ventas[[#This Row],[Descuento]]</f>
        <v>850</v>
      </c>
      <c r="I463" s="34">
        <f>Ventas[[#This Row],[Total]]-Ventas[[#This Row],[Precio compra]]*Ventas[[#This Row],[Cantidad]]</f>
        <v>270</v>
      </c>
      <c r="J463" s="34"/>
      <c r="K463" s="34">
        <f>Ventas[[#This Row],[Total]]*Ventas[[#This Row],[Total 3]]</f>
        <v>0</v>
      </c>
      <c r="L463" s="34"/>
      <c r="M463" s="34"/>
    </row>
    <row r="464" spans="1:13" ht="21.75" customHeight="1">
      <c r="A464" s="16"/>
      <c r="B464" s="39" t="s">
        <v>743</v>
      </c>
      <c r="C464" s="32" t="str">
        <f>VLOOKUP(Ventas[[#This Row],[Codigo]],Stock[#Data],2,FALSE)</f>
        <v>Maca Brew 500cc</v>
      </c>
      <c r="D464" s="37">
        <f>VLOOKUP(Ventas[[#This Row],[Codigo]],Stock[#Data],4,FALSE)</f>
        <v>1000</v>
      </c>
      <c r="E464" s="33">
        <f>VLOOKUP(Ventas[[#This Row],[Codigo]],Stock[#Data],3,FALSE)</f>
        <v>470</v>
      </c>
      <c r="F464" s="38">
        <v>1</v>
      </c>
      <c r="G464">
        <v>12</v>
      </c>
      <c r="H464" s="36">
        <f>Ventas[[#This Row],[Precio Venta]]*Ventas[[#This Row],[Cantidad]]-Ventas[[#This Row],[Descuento]]</f>
        <v>1000</v>
      </c>
      <c r="I464" s="34">
        <f>Ventas[[#This Row],[Total]]-Ventas[[#This Row],[Precio compra]]*Ventas[[#This Row],[Cantidad]]</f>
        <v>530</v>
      </c>
      <c r="J464" s="34"/>
      <c r="K464" s="34">
        <f>Ventas[[#This Row],[Total]]*Ventas[[#This Row],[Total 3]]</f>
        <v>0</v>
      </c>
      <c r="L464" s="34"/>
      <c r="M464" s="34"/>
    </row>
    <row r="465" spans="1:13" ht="21.75" customHeight="1">
      <c r="A465" s="16"/>
      <c r="B465" s="39" t="s">
        <v>743</v>
      </c>
      <c r="C465" s="32" t="str">
        <f>VLOOKUP(Ventas[[#This Row],[Codigo]],Stock[#Data],2,FALSE)</f>
        <v>Macetas Sopladas 7 litros</v>
      </c>
      <c r="D465" s="37">
        <f>VLOOKUP(Ventas[[#This Row],[Codigo]],Stock[#Data],4,FALSE)</f>
        <v>200</v>
      </c>
      <c r="E465" s="33">
        <f>VLOOKUP(Ventas[[#This Row],[Codigo]],Stock[#Data],3,FALSE)</f>
        <v>100</v>
      </c>
      <c r="F465" s="38">
        <v>8</v>
      </c>
      <c r="G465">
        <v>247</v>
      </c>
      <c r="H465" s="36">
        <f>Ventas[[#This Row],[Precio Venta]]*Ventas[[#This Row],[Cantidad]]-Ventas[[#This Row],[Descuento]]</f>
        <v>1600</v>
      </c>
      <c r="I465" s="34">
        <f>Ventas[[#This Row],[Total]]-Ventas[[#This Row],[Precio compra]]*Ventas[[#This Row],[Cantidad]]</f>
        <v>800</v>
      </c>
      <c r="J465" s="34"/>
      <c r="K465" s="34">
        <f>Ventas[[#This Row],[Total]]*Ventas[[#This Row],[Total 3]]</f>
        <v>0</v>
      </c>
      <c r="L465" s="34"/>
      <c r="M465" s="34"/>
    </row>
    <row r="466" spans="1:13" ht="21.75" customHeight="1">
      <c r="A466" s="16"/>
      <c r="B466" s="39" t="s">
        <v>743</v>
      </c>
      <c r="C466" s="32" t="str">
        <f>VLOOKUP(Ventas[[#This Row],[Codigo]],Stock[#Data],2,FALSE)</f>
        <v>Sustrato Perlita</v>
      </c>
      <c r="D466" s="37">
        <f>VLOOKUP(Ventas[[#This Row],[Codigo]],Stock[#Data],4,FALSE)</f>
        <v>800</v>
      </c>
      <c r="E466" s="33">
        <f>VLOOKUP(Ventas[[#This Row],[Codigo]],Stock[#Data],3,FALSE)</f>
        <v>400</v>
      </c>
      <c r="F466" s="38">
        <v>2</v>
      </c>
      <c r="G466">
        <v>52</v>
      </c>
      <c r="H466" s="36">
        <f>Ventas[[#This Row],[Precio Venta]]*Ventas[[#This Row],[Cantidad]]-Ventas[[#This Row],[Descuento]]</f>
        <v>1600</v>
      </c>
      <c r="I466" s="34">
        <f>Ventas[[#This Row],[Total]]-Ventas[[#This Row],[Precio compra]]*Ventas[[#This Row],[Cantidad]]</f>
        <v>800</v>
      </c>
      <c r="J466" s="34"/>
      <c r="K466" s="34">
        <f>Ventas[[#This Row],[Total]]*Ventas[[#This Row],[Total 3]]</f>
        <v>0</v>
      </c>
      <c r="L466" s="34"/>
      <c r="M466" s="34"/>
    </row>
    <row r="467" spans="1:13" ht="21.75" customHeight="1">
      <c r="A467" s="16"/>
      <c r="B467" s="39" t="s">
        <v>743</v>
      </c>
      <c r="C467" s="32" t="str">
        <f>VLOOKUP(Ventas[[#This Row],[Codigo]],Stock[#Data],2,FALSE)</f>
        <v>CropSecret 250ml Automatic Crop</v>
      </c>
      <c r="D467" s="37">
        <f>VLOOKUP(Ventas[[#This Row],[Codigo]],Stock[#Data],4,FALSE)</f>
        <v>2000</v>
      </c>
      <c r="E467" s="33">
        <f>VLOOKUP(Ventas[[#This Row],[Codigo]],Stock[#Data],3,FALSE)</f>
        <v>1094</v>
      </c>
      <c r="F467" s="38">
        <v>1</v>
      </c>
      <c r="G467">
        <v>3</v>
      </c>
      <c r="H467" s="36">
        <f>Ventas[[#This Row],[Precio Venta]]*Ventas[[#This Row],[Cantidad]]-Ventas[[#This Row],[Descuento]]</f>
        <v>2000</v>
      </c>
      <c r="I467" s="34">
        <f>Ventas[[#This Row],[Total]]-Ventas[[#This Row],[Precio compra]]*Ventas[[#This Row],[Cantidad]]</f>
        <v>906</v>
      </c>
      <c r="J467" s="34"/>
      <c r="K467" s="34">
        <f>Ventas[[#This Row],[Total]]*Ventas[[#This Row],[Total 3]]</f>
        <v>0</v>
      </c>
      <c r="L467" s="34"/>
      <c r="M467" s="34"/>
    </row>
    <row r="468" spans="1:13" ht="21.75" customHeight="1">
      <c r="A468" s="16"/>
      <c r="B468" s="39" t="s">
        <v>743</v>
      </c>
      <c r="C468" s="32" t="str">
        <f>VLOOKUP(Ventas[[#This Row],[Codigo]],Stock[#Data],2,FALSE)</f>
        <v>TreeMIX PRO 200ml</v>
      </c>
      <c r="D468" s="37">
        <f>VLOOKUP(Ventas[[#This Row],[Codigo]],Stock[#Data],4,FALSE)</f>
        <v>1500</v>
      </c>
      <c r="E468" s="33">
        <f>VLOOKUP(Ventas[[#This Row],[Codigo]],Stock[#Data],3,FALSE)</f>
        <v>700</v>
      </c>
      <c r="F468" s="38">
        <v>2</v>
      </c>
      <c r="G468">
        <v>30</v>
      </c>
      <c r="H468" s="36">
        <f>Ventas[[#This Row],[Precio Venta]]*Ventas[[#This Row],[Cantidad]]-Ventas[[#This Row],[Descuento]]</f>
        <v>3000</v>
      </c>
      <c r="I468" s="34">
        <f>Ventas[[#This Row],[Total]]-Ventas[[#This Row],[Precio compra]]*Ventas[[#This Row],[Cantidad]]</f>
        <v>1600</v>
      </c>
      <c r="J468" s="34"/>
      <c r="K468" s="34">
        <f>Ventas[[#This Row],[Total]]*Ventas[[#This Row],[Total 3]]</f>
        <v>0</v>
      </c>
      <c r="L468" s="34"/>
      <c r="M468" s="34"/>
    </row>
    <row r="469" spans="1:13" ht="21.75" customHeight="1">
      <c r="A469" s="16"/>
      <c r="B469" s="39" t="s">
        <v>743</v>
      </c>
      <c r="C469" s="32" t="str">
        <f>VLOOKUP(Ventas[[#This Row],[Codigo]],Stock[#Data],2,FALSE)</f>
        <v>Maceta Mad Rocket 16L</v>
      </c>
      <c r="D469" s="37">
        <f>VLOOKUP(Ventas[[#This Row],[Codigo]],Stock[#Data],4,FALSE)</f>
        <v>1500</v>
      </c>
      <c r="E469" s="33">
        <f>VLOOKUP(Ventas[[#This Row],[Codigo]],Stock[#Data],3,FALSE)</f>
        <v>820</v>
      </c>
      <c r="F469" s="38">
        <v>3</v>
      </c>
      <c r="G469">
        <v>438</v>
      </c>
      <c r="H469" s="36">
        <f>Ventas[[#This Row],[Precio Venta]]*Ventas[[#This Row],[Cantidad]]-Ventas[[#This Row],[Descuento]]</f>
        <v>4500</v>
      </c>
      <c r="I469" s="34">
        <f>Ventas[[#This Row],[Total]]-Ventas[[#This Row],[Precio compra]]*Ventas[[#This Row],[Cantidad]]</f>
        <v>2040</v>
      </c>
      <c r="J469" s="34"/>
      <c r="K469" s="34">
        <f>Ventas[[#This Row],[Total]]*Ventas[[#This Row],[Total 3]]</f>
        <v>0</v>
      </c>
      <c r="L469" s="34"/>
      <c r="M469" s="34"/>
    </row>
    <row r="470" spans="1:13" ht="21.75" customHeight="1">
      <c r="A470" s="16"/>
      <c r="B470" s="39" t="s">
        <v>739</v>
      </c>
      <c r="C470" s="35" t="str">
        <f>VLOOKUP(Ventas[[#This Row],[Codigo]],Stock[#Data],2,FALSE)</f>
        <v>Namaste Shanti 100ml</v>
      </c>
      <c r="D470" s="37">
        <f>VLOOKUP(Ventas[[#This Row],[Codigo]],Stock[#Data],4,FALSE)</f>
        <v>2000</v>
      </c>
      <c r="E470" s="33">
        <f>VLOOKUP(Ventas[[#This Row],[Codigo]],Stock[#Data],3,FALSE)</f>
        <v>932</v>
      </c>
      <c r="F470" s="38">
        <v>1</v>
      </c>
      <c r="G470">
        <v>569</v>
      </c>
      <c r="H470" s="36">
        <f>Ventas[[#This Row],[Precio Venta]]*Ventas[[#This Row],[Cantidad]]-Ventas[[#This Row],[Descuento]]</f>
        <v>2000</v>
      </c>
      <c r="I470" s="34">
        <f>Ventas[[#This Row],[Total]]-Ventas[[#This Row],[Precio compra]]*Ventas[[#This Row],[Cantidad]]</f>
        <v>1068</v>
      </c>
      <c r="J470" s="34"/>
      <c r="K470" s="34">
        <f>Ventas[[#This Row],[Total]]*Ventas[[#This Row],[Total 3]]</f>
        <v>0</v>
      </c>
      <c r="L470" s="34"/>
      <c r="M470" s="34"/>
    </row>
    <row r="471" spans="1:13" ht="21.75" customHeight="1">
      <c r="A471" s="16"/>
      <c r="B471" s="39" t="s">
        <v>739</v>
      </c>
      <c r="C471" s="35" t="str">
        <f>VLOOKUP(Ventas[[#This Row],[Codigo]],Stock[#Data],2,FALSE)</f>
        <v>Namaste Flora Booster 100ml</v>
      </c>
      <c r="D471" s="37">
        <f>VLOOKUP(Ventas[[#This Row],[Codigo]],Stock[#Data],4,FALSE)</f>
        <v>1000</v>
      </c>
      <c r="E471" s="33">
        <f>VLOOKUP(Ventas[[#This Row],[Codigo]],Stock[#Data],3,FALSE)</f>
        <v>517</v>
      </c>
      <c r="F471" s="38">
        <v>1</v>
      </c>
      <c r="G471">
        <v>480</v>
      </c>
      <c r="H471" s="36">
        <f>Ventas[[#This Row],[Precio Venta]]*Ventas[[#This Row],[Cantidad]]-Ventas[[#This Row],[Descuento]]</f>
        <v>1000</v>
      </c>
      <c r="I471" s="34">
        <f>Ventas[[#This Row],[Total]]-Ventas[[#This Row],[Precio compra]]*Ventas[[#This Row],[Cantidad]]</f>
        <v>483</v>
      </c>
      <c r="J471" s="34"/>
      <c r="K471" s="34">
        <f>Ventas[[#This Row],[Total]]*Ventas[[#This Row],[Total 3]]</f>
        <v>0</v>
      </c>
      <c r="L471" s="34"/>
      <c r="M471" s="34"/>
    </row>
    <row r="472" spans="1:13" ht="21.75" customHeight="1">
      <c r="A472" s="16"/>
      <c r="B472" s="39" t="s">
        <v>739</v>
      </c>
      <c r="C472" s="35" t="str">
        <f>VLOOKUP(Ventas[[#This Row],[Codigo]],Stock[#Data],2,FALSE)</f>
        <v>Namaste Trico+ 100gr</v>
      </c>
      <c r="D472" s="37">
        <f>VLOOKUP(Ventas[[#This Row],[Codigo]],Stock[#Data],4,FALSE)</f>
        <v>1000</v>
      </c>
      <c r="E472" s="33">
        <f>VLOOKUP(Ventas[[#This Row],[Codigo]],Stock[#Data],3,FALSE)</f>
        <v>541</v>
      </c>
      <c r="F472" s="38">
        <v>1</v>
      </c>
      <c r="G472">
        <v>479</v>
      </c>
      <c r="H472" s="36">
        <f>Ventas[[#This Row],[Precio Venta]]*Ventas[[#This Row],[Cantidad]]-Ventas[[#This Row],[Descuento]]</f>
        <v>1000</v>
      </c>
      <c r="I472" s="34">
        <f>Ventas[[#This Row],[Total]]-Ventas[[#This Row],[Precio compra]]*Ventas[[#This Row],[Cantidad]]</f>
        <v>459</v>
      </c>
      <c r="J472" s="34"/>
      <c r="K472" s="34">
        <f>Ventas[[#This Row],[Total]]*Ventas[[#This Row],[Total 3]]</f>
        <v>0</v>
      </c>
      <c r="L472" s="34"/>
      <c r="M472" s="34"/>
    </row>
    <row r="473" spans="1:13" ht="21.75" customHeight="1">
      <c r="A473" s="16"/>
      <c r="B473" s="39" t="s">
        <v>739</v>
      </c>
      <c r="C473" s="35" t="str">
        <f>VLOOKUP(Ventas[[#This Row],[Codigo]],Stock[#Data],2,FALSE)</f>
        <v>Piedra para encendedor</v>
      </c>
      <c r="D473" s="37">
        <f>VLOOKUP(Ventas[[#This Row],[Codigo]],Stock[#Data],4,FALSE)</f>
        <v>450</v>
      </c>
      <c r="E473" s="33">
        <f>VLOOKUP(Ventas[[#This Row],[Codigo]],Stock[#Data],3,FALSE)</f>
        <v>223</v>
      </c>
      <c r="F473" s="38">
        <v>1</v>
      </c>
      <c r="G473">
        <v>201</v>
      </c>
      <c r="H473" s="36">
        <f>Ventas[[#This Row],[Precio Venta]]*Ventas[[#This Row],[Cantidad]]-Ventas[[#This Row],[Descuento]]</f>
        <v>450</v>
      </c>
      <c r="I473" s="34">
        <f>Ventas[[#This Row],[Total]]-Ventas[[#This Row],[Precio compra]]*Ventas[[#This Row],[Cantidad]]</f>
        <v>227</v>
      </c>
      <c r="J473" s="34"/>
      <c r="K473" s="34">
        <f>Ventas[[#This Row],[Total]]*Ventas[[#This Row],[Total 3]]</f>
        <v>0</v>
      </c>
      <c r="L473" s="34"/>
      <c r="M473" s="34"/>
    </row>
    <row r="474" spans="1:13" ht="21.75" customHeight="1">
      <c r="A474" s="16"/>
      <c r="B474" s="39" t="s">
        <v>739</v>
      </c>
      <c r="C474" s="35" t="str">
        <f>VLOOKUP(Ventas[[#This Row],[Codigo]],Stock[#Data],2,FALSE)</f>
        <v>Bandeja Blunt Rey chicas m/v</v>
      </c>
      <c r="D474" s="37">
        <f>VLOOKUP(Ventas[[#This Row],[Codigo]],Stock[#Data],4,FALSE)</f>
        <v>2100</v>
      </c>
      <c r="E474" s="33">
        <f>VLOOKUP(Ventas[[#This Row],[Codigo]],Stock[#Data],3,FALSE)</f>
        <v>1047</v>
      </c>
      <c r="F474" s="38">
        <v>1</v>
      </c>
      <c r="G474">
        <v>128</v>
      </c>
      <c r="H474" s="36">
        <f>Ventas[[#This Row],[Precio Venta]]*Ventas[[#This Row],[Cantidad]]-Ventas[[#This Row],[Descuento]]</f>
        <v>2100</v>
      </c>
      <c r="I474" s="34">
        <f>Ventas[[#This Row],[Total]]-Ventas[[#This Row],[Precio compra]]*Ventas[[#This Row],[Cantidad]]</f>
        <v>1053</v>
      </c>
      <c r="J474" s="34"/>
      <c r="K474" s="34">
        <f>Ventas[[#This Row],[Total]]*Ventas[[#This Row],[Total 3]]</f>
        <v>0</v>
      </c>
      <c r="L474" s="34"/>
      <c r="M474" s="34"/>
    </row>
    <row r="475" spans="1:13" ht="21.75" customHeight="1">
      <c r="A475" s="16"/>
      <c r="B475" s="39" t="s">
        <v>739</v>
      </c>
      <c r="C475" s="35" t="str">
        <f>VLOOKUP(Ventas[[#This Row],[Codigo]],Stock[#Data],2,FALSE)</f>
        <v>Bandeja Keep it Fresh Chica c/tapa</v>
      </c>
      <c r="D475" s="37">
        <f>VLOOKUP(Ventas[[#This Row],[Codigo]],Stock[#Data],4,FALSE)</f>
        <v>3400</v>
      </c>
      <c r="E475" s="33">
        <f>VLOOKUP(Ventas[[#This Row],[Codigo]],Stock[#Data],3,FALSE)</f>
        <v>1685</v>
      </c>
      <c r="F475" s="38">
        <v>1</v>
      </c>
      <c r="G475">
        <v>567</v>
      </c>
      <c r="H475" s="36">
        <f>Ventas[[#This Row],[Precio Venta]]*Ventas[[#This Row],[Cantidad]]-Ventas[[#This Row],[Descuento]]</f>
        <v>3400</v>
      </c>
      <c r="I475" s="34">
        <f>Ventas[[#This Row],[Total]]-Ventas[[#This Row],[Precio compra]]*Ventas[[#This Row],[Cantidad]]</f>
        <v>1715</v>
      </c>
      <c r="J475" s="34"/>
      <c r="K475" s="34">
        <f>Ventas[[#This Row],[Total]]*Ventas[[#This Row],[Total 3]]</f>
        <v>0</v>
      </c>
      <c r="L475" s="34"/>
      <c r="M475" s="34"/>
    </row>
    <row r="476" spans="1:13" ht="21.75" customHeight="1">
      <c r="A476" s="16"/>
      <c r="B476" s="39" t="s">
        <v>739</v>
      </c>
      <c r="C476" s="35" t="str">
        <f>VLOOKUP(Ventas[[#This Row],[Codigo]],Stock[#Data],2,FALSE)</f>
        <v>Sedas PRISMA 1/4 Blue</v>
      </c>
      <c r="D476" s="37">
        <f>VLOOKUP(Ventas[[#This Row],[Codigo]],Stock[#Data],4,FALSE)</f>
        <v>200</v>
      </c>
      <c r="E476" s="33">
        <f>VLOOKUP(Ventas[[#This Row],[Codigo]],Stock[#Data],3,FALSE)</f>
        <v>100</v>
      </c>
      <c r="F476" s="38">
        <v>1</v>
      </c>
      <c r="G476">
        <v>91</v>
      </c>
      <c r="H476" s="36">
        <f>Ventas[[#This Row],[Precio Venta]]*Ventas[[#This Row],[Cantidad]]-Ventas[[#This Row],[Descuento]]</f>
        <v>200</v>
      </c>
      <c r="I476" s="34">
        <f>Ventas[[#This Row],[Total]]-Ventas[[#This Row],[Precio compra]]*Ventas[[#This Row],[Cantidad]]</f>
        <v>100</v>
      </c>
      <c r="J476" s="34"/>
      <c r="K476" s="34">
        <f>Ventas[[#This Row],[Total]]*Ventas[[#This Row],[Total 3]]</f>
        <v>0</v>
      </c>
      <c r="L476" s="34"/>
      <c r="M476" s="34"/>
    </row>
    <row r="477" spans="1:13" ht="21.75" customHeight="1">
      <c r="A477" s="16"/>
      <c r="B477" s="39" t="s">
        <v>739</v>
      </c>
      <c r="C477" s="35" t="str">
        <f>VLOOKUP(Ventas[[#This Row],[Codigo]],Stock[#Data],2,FALSE)</f>
        <v>Sedas Zeus Celulosa</v>
      </c>
      <c r="D477" s="37">
        <f>VLOOKUP(Ventas[[#This Row],[Codigo]],Stock[#Data],4,FALSE)</f>
        <v>350</v>
      </c>
      <c r="E477" s="33">
        <f>VLOOKUP(Ventas[[#This Row],[Codigo]],Stock[#Data],3,FALSE)</f>
        <v>175</v>
      </c>
      <c r="F477" s="38">
        <v>1</v>
      </c>
      <c r="G477">
        <v>589</v>
      </c>
      <c r="H477" s="36">
        <f>Ventas[[#This Row],[Precio Venta]]*Ventas[[#This Row],[Cantidad]]-Ventas[[#This Row],[Descuento]]</f>
        <v>350</v>
      </c>
      <c r="I477" s="34">
        <f>Ventas[[#This Row],[Total]]-Ventas[[#This Row],[Precio compra]]*Ventas[[#This Row],[Cantidad]]</f>
        <v>175</v>
      </c>
      <c r="J477" s="34"/>
      <c r="K477" s="34">
        <f>Ventas[[#This Row],[Total]]*Ventas[[#This Row],[Total 3]]</f>
        <v>0</v>
      </c>
      <c r="L477" s="34"/>
      <c r="M477" s="34"/>
    </row>
    <row r="478" spans="1:13" ht="21.75" customHeight="1">
      <c r="A478" s="16"/>
      <c r="B478" s="39" t="s">
        <v>739</v>
      </c>
      <c r="C478" s="32" t="str">
        <f>VLOOKUP(Ventas[[#This Row],[Codigo]],Stock[#Data],2,FALSE)</f>
        <v xml:space="preserve">Van kiff Menta </v>
      </c>
      <c r="D478" s="37">
        <f>VLOOKUP(Ventas[[#This Row],[Codigo]],Stock[#Data],4,FALSE)</f>
        <v>850</v>
      </c>
      <c r="E478" s="33">
        <f>VLOOKUP(Ventas[[#This Row],[Codigo]],Stock[#Data],3,FALSE)</f>
        <v>580</v>
      </c>
      <c r="F478" s="38">
        <v>1</v>
      </c>
      <c r="G478">
        <v>400</v>
      </c>
      <c r="H478" s="36">
        <f>Ventas[[#This Row],[Precio Venta]]*Ventas[[#This Row],[Cantidad]]-Ventas[[#This Row],[Descuento]]</f>
        <v>850</v>
      </c>
      <c r="I478" s="34">
        <f>Ventas[[#This Row],[Total]]-Ventas[[#This Row],[Precio compra]]*Ventas[[#This Row],[Cantidad]]</f>
        <v>270</v>
      </c>
      <c r="J478" s="34"/>
      <c r="K478" s="34">
        <f>Ventas[[#This Row],[Total]]*Ventas[[#This Row],[Total 3]]</f>
        <v>0</v>
      </c>
      <c r="L478" s="34"/>
      <c r="M478" s="34"/>
    </row>
    <row r="479" spans="1:13" ht="21.75" customHeight="1">
      <c r="A479" s="16"/>
      <c r="B479" s="39" t="s">
        <v>739</v>
      </c>
      <c r="C479" s="32" t="str">
        <f>VLOOKUP(Ventas[[#This Row],[Codigo]],Stock[#Data],2,FALSE)</f>
        <v>Sedas OCB 1/4 Organic  Bamboo</v>
      </c>
      <c r="D479" s="37">
        <f>VLOOKUP(Ventas[[#This Row],[Codigo]],Stock[#Data],4,FALSE)</f>
        <v>300</v>
      </c>
      <c r="E479" s="33">
        <f>VLOOKUP(Ventas[[#This Row],[Codigo]],Stock[#Data],3,FALSE)</f>
        <v>165</v>
      </c>
      <c r="F479" s="38">
        <v>1</v>
      </c>
      <c r="G479">
        <v>77</v>
      </c>
      <c r="H479" s="36">
        <f>Ventas[[#This Row],[Precio Venta]]*Ventas[[#This Row],[Cantidad]]-Ventas[[#This Row],[Descuento]]</f>
        <v>300</v>
      </c>
      <c r="I479" s="34">
        <f>Ventas[[#This Row],[Total]]-Ventas[[#This Row],[Precio compra]]*Ventas[[#This Row],[Cantidad]]</f>
        <v>135</v>
      </c>
      <c r="J479" s="34"/>
      <c r="K479" s="34">
        <f>Ventas[[#This Row],[Total]]*Ventas[[#This Row],[Total 3]]</f>
        <v>0</v>
      </c>
      <c r="L479" s="34"/>
      <c r="M479" s="34"/>
    </row>
    <row r="480" spans="1:13" ht="21.75" customHeight="1">
      <c r="A480" s="16"/>
      <c r="B480" s="39" t="s">
        <v>739</v>
      </c>
      <c r="C480" s="32" t="str">
        <f>VLOOKUP(Ventas[[#This Row],[Codigo]],Stock[#Data],2,FALSE)</f>
        <v>OCB Cañamo Organico</v>
      </c>
      <c r="D480" s="37">
        <f>VLOOKUP(Ventas[[#This Row],[Codigo]],Stock[#Data],4,FALSE)</f>
        <v>300</v>
      </c>
      <c r="E480" s="33">
        <f>VLOOKUP(Ventas[[#This Row],[Codigo]],Stock[#Data],3,FALSE)</f>
        <v>165</v>
      </c>
      <c r="F480" s="38">
        <v>1</v>
      </c>
      <c r="G480">
        <v>593</v>
      </c>
      <c r="H480" s="36">
        <f>Ventas[[#This Row],[Precio Venta]]*Ventas[[#This Row],[Cantidad]]-Ventas[[#This Row],[Descuento]]</f>
        <v>300</v>
      </c>
      <c r="I480" s="34">
        <f>Ventas[[#This Row],[Total]]-Ventas[[#This Row],[Precio compra]]*Ventas[[#This Row],[Cantidad]]</f>
        <v>135</v>
      </c>
      <c r="J480" s="34"/>
      <c r="K480" s="34">
        <f>Ventas[[#This Row],[Total]]*Ventas[[#This Row],[Total 3]]</f>
        <v>0</v>
      </c>
      <c r="L480" s="34"/>
      <c r="M480" s="34"/>
    </row>
    <row r="481" spans="1:13" ht="21.75" customHeight="1">
      <c r="A481" s="16"/>
      <c r="B481" s="39" t="s">
        <v>739</v>
      </c>
      <c r="C481" s="32" t="str">
        <f>VLOOKUP(Ventas[[#This Row],[Codigo]],Stock[#Data],2,FALSE)</f>
        <v xml:space="preserve">Tabaco Van Kiff American Blend </v>
      </c>
      <c r="D481" s="37">
        <f>VLOOKUP(Ventas[[#This Row],[Codigo]],Stock[#Data],4,FALSE)</f>
        <v>850</v>
      </c>
      <c r="E481" s="33">
        <f>VLOOKUP(Ventas[[#This Row],[Codigo]],Stock[#Data],3,FALSE)</f>
        <v>580</v>
      </c>
      <c r="F481" s="38">
        <v>1</v>
      </c>
      <c r="G481">
        <v>348</v>
      </c>
      <c r="H481" s="36">
        <f>Ventas[[#This Row],[Precio Venta]]*Ventas[[#This Row],[Cantidad]]-Ventas[[#This Row],[Descuento]]</f>
        <v>850</v>
      </c>
      <c r="I481" s="34">
        <f>Ventas[[#This Row],[Total]]-Ventas[[#This Row],[Precio compra]]*Ventas[[#This Row],[Cantidad]]</f>
        <v>270</v>
      </c>
      <c r="J481" s="34"/>
      <c r="K481" s="34">
        <f>Ventas[[#This Row],[Total]]*Ventas[[#This Row],[Total 3]]</f>
        <v>0</v>
      </c>
      <c r="L481" s="34"/>
      <c r="M481" s="34"/>
    </row>
    <row r="482" spans="1:13" ht="21.75" customHeight="1">
      <c r="A482" s="16"/>
      <c r="B482" s="39" t="s">
        <v>739</v>
      </c>
      <c r="C482" s="32" t="str">
        <f>VLOOKUP(Ventas[[#This Row],[Codigo]],Stock[#Data],2,FALSE)</f>
        <v xml:space="preserve">Clipper Raw </v>
      </c>
      <c r="D482" s="37">
        <f>VLOOKUP(Ventas[[#This Row],[Codigo]],Stock[#Data],4,FALSE)</f>
        <v>550</v>
      </c>
      <c r="E482" s="33">
        <f>VLOOKUP(Ventas[[#This Row],[Codigo]],Stock[#Data],3,FALSE)</f>
        <v>276</v>
      </c>
      <c r="F482" s="38">
        <v>1</v>
      </c>
      <c r="G482">
        <v>502</v>
      </c>
      <c r="H482" s="36">
        <f>Ventas[[#This Row],[Precio Venta]]*Ventas[[#This Row],[Cantidad]]-Ventas[[#This Row],[Descuento]]</f>
        <v>550</v>
      </c>
      <c r="I482" s="34">
        <f>Ventas[[#This Row],[Total]]-Ventas[[#This Row],[Precio compra]]*Ventas[[#This Row],[Cantidad]]</f>
        <v>274</v>
      </c>
      <c r="J482" s="34"/>
      <c r="K482" s="34">
        <f>Ventas[[#This Row],[Total]]*Ventas[[#This Row],[Total 3]]</f>
        <v>0</v>
      </c>
      <c r="L482" s="34"/>
      <c r="M482" s="34"/>
    </row>
    <row r="483" spans="1:13" ht="21.75" customHeight="1">
      <c r="A483" s="16"/>
      <c r="B483" s="39" t="s">
        <v>739</v>
      </c>
      <c r="C483" s="32" t="str">
        <f>VLOOKUP(Ventas[[#This Row],[Codigo]],Stock[#Data],2,FALSE)</f>
        <v>Filtros GIZEH biodegradable</v>
      </c>
      <c r="D483" s="37">
        <f>VLOOKUP(Ventas[[#This Row],[Codigo]],Stock[#Data],4,FALSE)</f>
        <v>450</v>
      </c>
      <c r="E483" s="33">
        <f>VLOOKUP(Ventas[[#This Row],[Codigo]],Stock[#Data],3,FALSE)</f>
        <v>280</v>
      </c>
      <c r="F483" s="38">
        <v>1</v>
      </c>
      <c r="G483">
        <v>107</v>
      </c>
      <c r="H483" s="36">
        <f>Ventas[[#This Row],[Precio Venta]]*Ventas[[#This Row],[Cantidad]]-Ventas[[#This Row],[Descuento]]</f>
        <v>450</v>
      </c>
      <c r="I483" s="34">
        <f>Ventas[[#This Row],[Total]]-Ventas[[#This Row],[Precio compra]]*Ventas[[#This Row],[Cantidad]]</f>
        <v>170</v>
      </c>
      <c r="J483" s="34"/>
      <c r="K483" s="34">
        <f>Ventas[[#This Row],[Total]]*Ventas[[#This Row],[Total 3]]</f>
        <v>0</v>
      </c>
      <c r="L483" s="34"/>
      <c r="M483" s="34"/>
    </row>
    <row r="484" spans="1:13" ht="21.75" customHeight="1">
      <c r="A484" s="16"/>
      <c r="B484" s="39" t="s">
        <v>739</v>
      </c>
      <c r="C484" s="32" t="str">
        <f>VLOOKUP(Ventas[[#This Row],[Codigo]],Stock[#Data],2,FALSE)</f>
        <v>Sedas PRISMA 1/4 Purple</v>
      </c>
      <c r="D484" s="37">
        <f>VLOOKUP(Ventas[[#This Row],[Codigo]],Stock[#Data],4,FALSE)</f>
        <v>200</v>
      </c>
      <c r="E484" s="33">
        <f>VLOOKUP(Ventas[[#This Row],[Codigo]],Stock[#Data],3,FALSE)</f>
        <v>100</v>
      </c>
      <c r="F484" s="38">
        <v>1</v>
      </c>
      <c r="G484">
        <v>90</v>
      </c>
      <c r="H484" s="36">
        <f>Ventas[[#This Row],[Precio Venta]]*Ventas[[#This Row],[Cantidad]]-Ventas[[#This Row],[Descuento]]</f>
        <v>200</v>
      </c>
      <c r="I484" s="34">
        <f>Ventas[[#This Row],[Total]]-Ventas[[#This Row],[Precio compra]]*Ventas[[#This Row],[Cantidad]]</f>
        <v>100</v>
      </c>
      <c r="J484" s="34"/>
      <c r="K484" s="34">
        <f>Ventas[[#This Row],[Total]]*Ventas[[#This Row],[Total 3]]</f>
        <v>0</v>
      </c>
      <c r="L484" s="34"/>
      <c r="M484" s="34"/>
    </row>
    <row r="485" spans="1:13" ht="21.75" customHeight="1">
      <c r="A485" s="16"/>
      <c r="B485" s="39" t="s">
        <v>739</v>
      </c>
      <c r="C485" s="35" t="str">
        <f>VLOOKUP(Ventas[[#This Row],[Codigo]],Stock[#Data],2,FALSE)</f>
        <v>VAMP Supermelaza</v>
      </c>
      <c r="D485" s="37">
        <f>VLOOKUP(Ventas[[#This Row],[Codigo]],Stock[#Data],4,FALSE)</f>
        <v>1800</v>
      </c>
      <c r="E485" s="33">
        <f>VLOOKUP(Ventas[[#This Row],[Codigo]],Stock[#Data],3,FALSE)</f>
        <v>908</v>
      </c>
      <c r="F485" s="38">
        <v>1</v>
      </c>
      <c r="G485">
        <v>36</v>
      </c>
      <c r="H485" s="36">
        <f>Ventas[[#This Row],[Precio Venta]]*Ventas[[#This Row],[Cantidad]]-Ventas[[#This Row],[Descuento]]</f>
        <v>1800</v>
      </c>
      <c r="I485" s="34">
        <f>Ventas[[#This Row],[Total]]-Ventas[[#This Row],[Precio compra]]*Ventas[[#This Row],[Cantidad]]</f>
        <v>892</v>
      </c>
      <c r="J485" s="34"/>
      <c r="K485" s="34">
        <f>Ventas[[#This Row],[Total]]*Ventas[[#This Row],[Total 3]]</f>
        <v>0</v>
      </c>
      <c r="L485" s="34"/>
      <c r="M485" s="34"/>
    </row>
    <row r="486" spans="1:13" ht="21.75" customHeight="1">
      <c r="A486" s="16"/>
      <c r="B486" s="39" t="s">
        <v>739</v>
      </c>
      <c r="C486" s="35" t="str">
        <f>VLOOKUP(Ventas[[#This Row],[Codigo]],Stock[#Data],2,FALSE)</f>
        <v>Namaste Flora Booster 500ml</v>
      </c>
      <c r="D486" s="37">
        <f>VLOOKUP(Ventas[[#This Row],[Codigo]],Stock[#Data],4,FALSE)</f>
        <v>2500</v>
      </c>
      <c r="E486" s="33">
        <f>VLOOKUP(Ventas[[#This Row],[Codigo]],Stock[#Data],3,FALSE)</f>
        <v>1377</v>
      </c>
      <c r="F486" s="38">
        <v>2</v>
      </c>
      <c r="G486">
        <v>496</v>
      </c>
      <c r="H486" s="36">
        <f>Ventas[[#This Row],[Precio Venta]]*Ventas[[#This Row],[Cantidad]]-Ventas[[#This Row],[Descuento]]</f>
        <v>5000</v>
      </c>
      <c r="I486" s="34">
        <f>Ventas[[#This Row],[Total]]-Ventas[[#This Row],[Precio compra]]*Ventas[[#This Row],[Cantidad]]</f>
        <v>2246</v>
      </c>
      <c r="J486" s="34"/>
      <c r="K486" s="34">
        <f>Ventas[[#This Row],[Total]]*Ventas[[#This Row],[Total 3]]</f>
        <v>0</v>
      </c>
      <c r="L486" s="34"/>
      <c r="M486" s="34"/>
    </row>
    <row r="487" spans="1:13" ht="21.75" customHeight="1">
      <c r="A487" s="16"/>
      <c r="B487" s="39" t="s">
        <v>739</v>
      </c>
      <c r="C487" s="35" t="str">
        <f>VLOOKUP(Ventas[[#This Row],[Codigo]],Stock[#Data],2,FALSE)</f>
        <v>Cultivate Melaza 250ml</v>
      </c>
      <c r="D487" s="37">
        <f>VLOOKUP(Ventas[[#This Row],[Codigo]],Stock[#Data],4,FALSE)</f>
        <v>1300</v>
      </c>
      <c r="E487" s="33">
        <f>VLOOKUP(Ventas[[#This Row],[Codigo]],Stock[#Data],3,FALSE)</f>
        <v>650</v>
      </c>
      <c r="F487" s="38">
        <v>1</v>
      </c>
      <c r="G487">
        <v>543</v>
      </c>
      <c r="H487" s="36">
        <f>Ventas[[#This Row],[Precio Venta]]*Ventas[[#This Row],[Cantidad]]-Ventas[[#This Row],[Descuento]]</f>
        <v>1300</v>
      </c>
      <c r="I487" s="34">
        <f>Ventas[[#This Row],[Total]]-Ventas[[#This Row],[Precio compra]]*Ventas[[#This Row],[Cantidad]]</f>
        <v>650</v>
      </c>
      <c r="J487" s="34"/>
      <c r="K487" s="34">
        <f>Ventas[[#This Row],[Total]]*Ventas[[#This Row],[Total 3]]</f>
        <v>0</v>
      </c>
      <c r="L487" s="34"/>
      <c r="M487" s="34"/>
    </row>
    <row r="488" spans="1:13" ht="21.75" customHeight="1">
      <c r="A488" s="16"/>
      <c r="B488" s="39" t="s">
        <v>739</v>
      </c>
      <c r="C488" s="35" t="str">
        <f>VLOOKUP(Ventas[[#This Row],[Codigo]],Stock[#Data],2,FALSE)</f>
        <v>4 en 1 250ml Green Leaf Insumos</v>
      </c>
      <c r="D488" s="37">
        <f>VLOOKUP(Ventas[[#This Row],[Codigo]],Stock[#Data],4,FALSE)</f>
        <v>2300</v>
      </c>
      <c r="E488" s="33">
        <f>VLOOKUP(Ventas[[#This Row],[Codigo]],Stock[#Data],3,FALSE)</f>
        <v>1179</v>
      </c>
      <c r="F488" s="38">
        <v>1</v>
      </c>
      <c r="G488">
        <v>576</v>
      </c>
      <c r="H488" s="36">
        <f>Ventas[[#This Row],[Precio Venta]]*Ventas[[#This Row],[Cantidad]]-Ventas[[#This Row],[Descuento]]</f>
        <v>2300</v>
      </c>
      <c r="I488" s="34">
        <f>Ventas[[#This Row],[Total]]-Ventas[[#This Row],[Precio compra]]*Ventas[[#This Row],[Cantidad]]</f>
        <v>1121</v>
      </c>
      <c r="J488" s="34"/>
      <c r="K488" s="34">
        <f>Ventas[[#This Row],[Total]]*Ventas[[#This Row],[Total 3]]</f>
        <v>0</v>
      </c>
      <c r="L488" s="34"/>
      <c r="M488" s="34"/>
    </row>
    <row r="489" spans="1:13" ht="21.75" customHeight="1">
      <c r="A489" s="16"/>
      <c r="B489" s="39" t="s">
        <v>739</v>
      </c>
      <c r="C489" s="35" t="str">
        <f>VLOOKUP(Ventas[[#This Row],[Codigo]],Stock[#Data],2,FALSE)</f>
        <v>Vapor Nice Strawberry Cake</v>
      </c>
      <c r="D489" s="37">
        <f>VLOOKUP(Ventas[[#This Row],[Codigo]],Stock[#Data],4,FALSE)</f>
        <v>2000</v>
      </c>
      <c r="E489" s="33">
        <f>VLOOKUP(Ventas[[#This Row],[Codigo]],Stock[#Data],3,FALSE)</f>
        <v>924</v>
      </c>
      <c r="F489" s="38">
        <v>1</v>
      </c>
      <c r="G489">
        <v>527</v>
      </c>
      <c r="H489" s="36">
        <f>Ventas[[#This Row],[Precio Venta]]*Ventas[[#This Row],[Cantidad]]-Ventas[[#This Row],[Descuento]]</f>
        <v>2000</v>
      </c>
      <c r="I489" s="34">
        <f>Ventas[[#This Row],[Total]]-Ventas[[#This Row],[Precio compra]]*Ventas[[#This Row],[Cantidad]]</f>
        <v>1076</v>
      </c>
      <c r="J489" s="34"/>
      <c r="K489" s="34">
        <f>Ventas[[#This Row],[Total]]*Ventas[[#This Row],[Total 3]]</f>
        <v>0</v>
      </c>
      <c r="L489" s="34"/>
      <c r="M489" s="34"/>
    </row>
    <row r="490" spans="1:13" ht="21.75" customHeight="1">
      <c r="A490" s="16"/>
      <c r="B490" s="39" t="s">
        <v>739</v>
      </c>
      <c r="C490" s="35" t="str">
        <f>VLOOKUP(Ventas[[#This Row],[Codigo]],Stock[#Data],2,FALSE)</f>
        <v xml:space="preserve">Aceite de Cannabis 30 ml </v>
      </c>
      <c r="D490" s="37">
        <f>VLOOKUP(Ventas[[#This Row],[Codigo]],Stock[#Data],4,FALSE)</f>
        <v>7500</v>
      </c>
      <c r="E490" s="33">
        <f>VLOOKUP(Ventas[[#This Row],[Codigo]],Stock[#Data],3,FALSE)</f>
        <v>5500</v>
      </c>
      <c r="F490" s="38">
        <v>1</v>
      </c>
      <c r="G490">
        <v>525</v>
      </c>
      <c r="H490" s="36">
        <f>Ventas[[#This Row],[Precio Venta]]*Ventas[[#This Row],[Cantidad]]-Ventas[[#This Row],[Descuento]]</f>
        <v>7500</v>
      </c>
      <c r="I490" s="34">
        <f>Ventas[[#This Row],[Total]]-Ventas[[#This Row],[Precio compra]]*Ventas[[#This Row],[Cantidad]]</f>
        <v>2000</v>
      </c>
      <c r="J490" s="34"/>
      <c r="K490" s="34">
        <f>Ventas[[#This Row],[Total]]*Ventas[[#This Row],[Total 3]]</f>
        <v>0</v>
      </c>
      <c r="L490" s="34"/>
      <c r="M490" s="34"/>
    </row>
    <row r="491" spans="1:13" ht="21.75" customHeight="1">
      <c r="A491" s="16"/>
      <c r="B491" s="39" t="s">
        <v>739</v>
      </c>
      <c r="C491" s="35" t="str">
        <f>VLOOKUP(Ventas[[#This Row],[Codigo]],Stock[#Data],2,FALSE)</f>
        <v>Sauver XL</v>
      </c>
      <c r="D491" s="37">
        <f>VLOOKUP(Ventas[[#This Row],[Codigo]],Stock[#Data],4,FALSE)</f>
        <v>200</v>
      </c>
      <c r="E491" s="33">
        <f>VLOOKUP(Ventas[[#This Row],[Codigo]],Stock[#Data],3,FALSE)</f>
        <v>65</v>
      </c>
      <c r="F491" s="38">
        <v>1</v>
      </c>
      <c r="G491">
        <v>529</v>
      </c>
      <c r="H491" s="36">
        <f>Ventas[[#This Row],[Precio Venta]]*Ventas[[#This Row],[Cantidad]]-Ventas[[#This Row],[Descuento]]</f>
        <v>200</v>
      </c>
      <c r="I491" s="34">
        <f>Ventas[[#This Row],[Total]]-Ventas[[#This Row],[Precio compra]]*Ventas[[#This Row],[Cantidad]]</f>
        <v>135</v>
      </c>
      <c r="J491" s="34"/>
      <c r="K491" s="34">
        <f>Ventas[[#This Row],[Total]]*Ventas[[#This Row],[Total 3]]</f>
        <v>0</v>
      </c>
      <c r="L491" s="34"/>
      <c r="M491" s="34"/>
    </row>
    <row r="492" spans="1:13" ht="21.75" customHeight="1">
      <c r="A492" s="16"/>
      <c r="B492" s="39" t="s">
        <v>739</v>
      </c>
      <c r="C492" s="35" t="str">
        <f>VLOOKUP(Ventas[[#This Row],[Codigo]],Stock[#Data],2,FALSE)</f>
        <v xml:space="preserve">Turbina Bujia </v>
      </c>
      <c r="D492" s="37">
        <f>VLOOKUP(Ventas[[#This Row],[Codigo]],Stock[#Data],4,FALSE)</f>
        <v>2000</v>
      </c>
      <c r="E492" s="33">
        <f>VLOOKUP(Ventas[[#This Row],[Codigo]],Stock[#Data],3,FALSE)</f>
        <v>525</v>
      </c>
      <c r="F492" s="38">
        <v>1</v>
      </c>
      <c r="G492">
        <v>432</v>
      </c>
      <c r="H492" s="36">
        <f>Ventas[[#This Row],[Precio Venta]]*Ventas[[#This Row],[Cantidad]]-Ventas[[#This Row],[Descuento]]</f>
        <v>2000</v>
      </c>
      <c r="I492" s="34">
        <f>Ventas[[#This Row],[Total]]-Ventas[[#This Row],[Precio compra]]*Ventas[[#This Row],[Cantidad]]</f>
        <v>1475</v>
      </c>
      <c r="J492" s="34"/>
      <c r="K492" s="34">
        <f>Ventas[[#This Row],[Total]]*Ventas[[#This Row],[Total 3]]</f>
        <v>0</v>
      </c>
      <c r="L492" s="34"/>
      <c r="M492" s="34"/>
    </row>
    <row r="493" spans="1:13" ht="21.75" customHeight="1">
      <c r="A493" s="16"/>
      <c r="B493" s="39" t="s">
        <v>738</v>
      </c>
      <c r="C493" s="32" t="str">
        <f>VLOOKUP(Ventas[[#This Row],[Codigo]],Stock[#Data],2,FALSE)</f>
        <v xml:space="preserve">Limpia Pipa Organic Life </v>
      </c>
      <c r="D493" s="37">
        <f>VLOOKUP(Ventas[[#This Row],[Codigo]],Stock[#Data],4,FALSE)</f>
        <v>500</v>
      </c>
      <c r="E493" s="33">
        <f>VLOOKUP(Ventas[[#This Row],[Codigo]],Stock[#Data],3,FALSE)</f>
        <v>250</v>
      </c>
      <c r="F493" s="38">
        <v>1</v>
      </c>
      <c r="G493">
        <v>492</v>
      </c>
      <c r="H493" s="36">
        <f>Ventas[[#This Row],[Precio Venta]]*Ventas[[#This Row],[Cantidad]]-Ventas[[#This Row],[Descuento]]</f>
        <v>500</v>
      </c>
      <c r="I493" s="34">
        <f>Ventas[[#This Row],[Total]]-Ventas[[#This Row],[Precio compra]]*Ventas[[#This Row],[Cantidad]]</f>
        <v>250</v>
      </c>
      <c r="J493" s="34"/>
      <c r="K493" s="34">
        <f>Ventas[[#This Row],[Total]]*Ventas[[#This Row],[Total 3]]</f>
        <v>0</v>
      </c>
      <c r="L493" s="34"/>
      <c r="M493" s="34"/>
    </row>
    <row r="494" spans="1:13" ht="21.75" customHeight="1">
      <c r="A494" s="16"/>
      <c r="B494" s="39" t="s">
        <v>738</v>
      </c>
      <c r="C494" s="32" t="str">
        <f>VLOOKUP(Ventas[[#This Row],[Codigo]],Stock[#Data],2,FALSE)</f>
        <v>Sedas Blunt Rey 1/4 saborizadas Durazno</v>
      </c>
      <c r="D494" s="37">
        <f>VLOOKUP(Ventas[[#This Row],[Codigo]],Stock[#Data],4,FALSE)</f>
        <v>250</v>
      </c>
      <c r="E494" s="33">
        <f>VLOOKUP(Ventas[[#This Row],[Codigo]],Stock[#Data],3,FALSE)</f>
        <v>126</v>
      </c>
      <c r="F494" s="38">
        <v>1</v>
      </c>
      <c r="G494">
        <v>73</v>
      </c>
      <c r="H494" s="36">
        <f>Ventas[[#This Row],[Precio Venta]]*Ventas[[#This Row],[Cantidad]]-Ventas[[#This Row],[Descuento]]</f>
        <v>250</v>
      </c>
      <c r="I494" s="34">
        <f>Ventas[[#This Row],[Total]]-Ventas[[#This Row],[Precio compra]]*Ventas[[#This Row],[Cantidad]]</f>
        <v>124</v>
      </c>
      <c r="J494" s="34"/>
      <c r="K494" s="34">
        <f>Ventas[[#This Row],[Total]]*Ventas[[#This Row],[Total 3]]</f>
        <v>0</v>
      </c>
      <c r="L494" s="34"/>
      <c r="M494" s="34"/>
    </row>
    <row r="495" spans="1:13" ht="21.75" customHeight="1">
      <c r="A495" s="16"/>
      <c r="B495" s="39" t="s">
        <v>738</v>
      </c>
      <c r="C495" s="32" t="str">
        <f>VLOOKUP(Ventas[[#This Row],[Codigo]],Stock[#Data],2,FALSE)</f>
        <v>4 en 1 250ml Green Leaf Insumos</v>
      </c>
      <c r="D495" s="37">
        <f>VLOOKUP(Ventas[[#This Row],[Codigo]],Stock[#Data],4,FALSE)</f>
        <v>2300</v>
      </c>
      <c r="E495" s="33">
        <f>VLOOKUP(Ventas[[#This Row],[Codigo]],Stock[#Data],3,FALSE)</f>
        <v>1179</v>
      </c>
      <c r="F495" s="38">
        <v>1</v>
      </c>
      <c r="G495">
        <v>576</v>
      </c>
      <c r="H495" s="36">
        <f>Ventas[[#This Row],[Precio Venta]]*Ventas[[#This Row],[Cantidad]]-Ventas[[#This Row],[Descuento]]</f>
        <v>2300</v>
      </c>
      <c r="I495" s="34">
        <f>Ventas[[#This Row],[Total]]-Ventas[[#This Row],[Precio compra]]*Ventas[[#This Row],[Cantidad]]</f>
        <v>1121</v>
      </c>
      <c r="J495" s="34"/>
      <c r="K495" s="34">
        <f>Ventas[[#This Row],[Total]]*Ventas[[#This Row],[Total 3]]</f>
        <v>0</v>
      </c>
      <c r="L495" s="34"/>
      <c r="M495" s="34"/>
    </row>
    <row r="496" spans="1:13" ht="21.75" customHeight="1">
      <c r="A496" s="16"/>
      <c r="B496" s="39" t="s">
        <v>738</v>
      </c>
      <c r="C496" s="32" t="str">
        <f>VLOOKUP(Ventas[[#This Row],[Codigo]],Stock[#Data],2,FALSE)</f>
        <v>CropSecret 250ml Booster Potion</v>
      </c>
      <c r="D496" s="37">
        <f>VLOOKUP(Ventas[[#This Row],[Codigo]],Stock[#Data],4,FALSE)</f>
        <v>2000</v>
      </c>
      <c r="E496" s="33">
        <f>VLOOKUP(Ventas[[#This Row],[Codigo]],Stock[#Data],3,FALSE)</f>
        <v>836</v>
      </c>
      <c r="F496" s="38">
        <v>1</v>
      </c>
      <c r="G496">
        <v>4</v>
      </c>
      <c r="H496" s="36">
        <f>Ventas[[#This Row],[Precio Venta]]*Ventas[[#This Row],[Cantidad]]-Ventas[[#This Row],[Descuento]]</f>
        <v>2000</v>
      </c>
      <c r="I496" s="34">
        <f>Ventas[[#This Row],[Total]]-Ventas[[#This Row],[Precio compra]]*Ventas[[#This Row],[Cantidad]]</f>
        <v>1164</v>
      </c>
      <c r="J496" s="34"/>
      <c r="K496" s="34">
        <f>Ventas[[#This Row],[Total]]*Ventas[[#This Row],[Total 3]]</f>
        <v>0</v>
      </c>
      <c r="L496" s="34"/>
      <c r="M496" s="34"/>
    </row>
    <row r="497" spans="1:13" ht="21.75" customHeight="1">
      <c r="A497" s="16"/>
      <c r="B497" s="39" t="s">
        <v>738</v>
      </c>
      <c r="C497" s="32" t="str">
        <f>VLOOKUP(Ventas[[#This Row],[Codigo]],Stock[#Data],2,FALSE)</f>
        <v>Bandeja de Almacidos 25</v>
      </c>
      <c r="D497" s="37">
        <f>VLOOKUP(Ventas[[#This Row],[Codigo]],Stock[#Data],4,FALSE)</f>
        <v>400</v>
      </c>
      <c r="E497" s="33">
        <f>VLOOKUP(Ventas[[#This Row],[Codigo]],Stock[#Data],3,FALSE)</f>
        <v>198</v>
      </c>
      <c r="F497" s="38">
        <v>1</v>
      </c>
      <c r="G497">
        <v>245</v>
      </c>
      <c r="H497" s="36">
        <f>Ventas[[#This Row],[Precio Venta]]*Ventas[[#This Row],[Cantidad]]-Ventas[[#This Row],[Descuento]]</f>
        <v>400</v>
      </c>
      <c r="I497" s="34">
        <f>Ventas[[#This Row],[Total]]-Ventas[[#This Row],[Precio compra]]*Ventas[[#This Row],[Cantidad]]</f>
        <v>202</v>
      </c>
      <c r="J497" s="34"/>
      <c r="K497" s="34">
        <f>Ventas[[#This Row],[Total]]*Ventas[[#This Row],[Total 3]]</f>
        <v>0</v>
      </c>
      <c r="L497" s="34"/>
      <c r="M497" s="34"/>
    </row>
    <row r="498" spans="1:13" ht="21.75" customHeight="1">
      <c r="A498" s="16"/>
      <c r="B498" s="39" t="s">
        <v>738</v>
      </c>
      <c r="C498" s="32" t="str">
        <f>VLOOKUP(Ventas[[#This Row],[Codigo]],Stock[#Data],2,FALSE)</f>
        <v>Landiner Turba 10l</v>
      </c>
      <c r="D498" s="37">
        <f>VLOOKUP(Ventas[[#This Row],[Codigo]],Stock[#Data],4,FALSE)</f>
        <v>1700</v>
      </c>
      <c r="E498" s="33">
        <f>VLOOKUP(Ventas[[#This Row],[Codigo]],Stock[#Data],3,FALSE)</f>
        <v>845</v>
      </c>
      <c r="F498" s="38">
        <v>1</v>
      </c>
      <c r="G498">
        <v>51</v>
      </c>
      <c r="H498" s="36">
        <f>Ventas[[#This Row],[Precio Venta]]*Ventas[[#This Row],[Cantidad]]-Ventas[[#This Row],[Descuento]]</f>
        <v>1700</v>
      </c>
      <c r="I498" s="34">
        <f>Ventas[[#This Row],[Total]]-Ventas[[#This Row],[Precio compra]]*Ventas[[#This Row],[Cantidad]]</f>
        <v>855</v>
      </c>
      <c r="J498" s="34"/>
      <c r="K498" s="34">
        <f>Ventas[[#This Row],[Total]]*Ventas[[#This Row],[Total 3]]</f>
        <v>0</v>
      </c>
      <c r="L498" s="34"/>
      <c r="M498" s="34"/>
    </row>
    <row r="499" spans="1:13" ht="21.75" customHeight="1">
      <c r="A499" s="16"/>
      <c r="B499" s="39" t="s">
        <v>738</v>
      </c>
      <c r="C499" s="32" t="str">
        <f>VLOOKUP(Ventas[[#This Row],[Codigo]],Stock[#Data],2,FALSE)</f>
        <v>Vermiculita</v>
      </c>
      <c r="D499" s="37">
        <f>VLOOKUP(Ventas[[#This Row],[Codigo]],Stock[#Data],4,FALSE)</f>
        <v>1200</v>
      </c>
      <c r="E499" s="33">
        <f>VLOOKUP(Ventas[[#This Row],[Codigo]],Stock[#Data],3,FALSE)</f>
        <v>844</v>
      </c>
      <c r="F499" s="38">
        <v>1</v>
      </c>
      <c r="G499">
        <v>451</v>
      </c>
      <c r="H499" s="36">
        <f>Ventas[[#This Row],[Precio Venta]]*Ventas[[#This Row],[Cantidad]]-Ventas[[#This Row],[Descuento]]</f>
        <v>1200</v>
      </c>
      <c r="I499" s="34">
        <f>Ventas[[#This Row],[Total]]-Ventas[[#This Row],[Precio compra]]*Ventas[[#This Row],[Cantidad]]</f>
        <v>356</v>
      </c>
      <c r="J499" s="34"/>
      <c r="K499" s="34">
        <f>Ventas[[#This Row],[Total]]*Ventas[[#This Row],[Total 3]]</f>
        <v>0</v>
      </c>
      <c r="L499" s="34"/>
      <c r="M499" s="34"/>
    </row>
    <row r="500" spans="1:13" ht="21.75" customHeight="1">
      <c r="A500" s="16"/>
      <c r="B500" s="39" t="s">
        <v>738</v>
      </c>
      <c r="C500" s="32" t="str">
        <f>VLOOKUP(Ventas[[#This Row],[Codigo]],Stock[#Data],2,FALSE)</f>
        <v>Tijeras Garden High Pro curva</v>
      </c>
      <c r="D500" s="37">
        <f>VLOOKUP(Ventas[[#This Row],[Codigo]],Stock[#Data],4,FALSE)</f>
        <v>4000</v>
      </c>
      <c r="E500" s="33">
        <f>VLOOKUP(Ventas[[#This Row],[Codigo]],Stock[#Data],3,FALSE)</f>
        <v>1926</v>
      </c>
      <c r="F500" s="38">
        <v>1</v>
      </c>
      <c r="G500">
        <v>306</v>
      </c>
      <c r="H500" s="36">
        <f>Ventas[[#This Row],[Precio Venta]]*Ventas[[#This Row],[Cantidad]]-Ventas[[#This Row],[Descuento]]</f>
        <v>4000</v>
      </c>
      <c r="I500" s="34">
        <f>Ventas[[#This Row],[Total]]-Ventas[[#This Row],[Precio compra]]*Ventas[[#This Row],[Cantidad]]</f>
        <v>2074</v>
      </c>
      <c r="J500" s="34"/>
      <c r="K500" s="34">
        <f>Ventas[[#This Row],[Total]]*Ventas[[#This Row],[Total 3]]</f>
        <v>0</v>
      </c>
      <c r="L500" s="34"/>
      <c r="M500" s="34"/>
    </row>
    <row r="501" spans="1:13" ht="21.75" customHeight="1">
      <c r="A501" s="16"/>
      <c r="B501" s="39" t="s">
        <v>738</v>
      </c>
      <c r="C501" s="32" t="str">
        <f>VLOOKUP(Ventas[[#This Row],[Codigo]],Stock[#Data],2,FALSE)</f>
        <v>CropSecret 250ml Candy Maker</v>
      </c>
      <c r="D501" s="37">
        <f>VLOOKUP(Ventas[[#This Row],[Codigo]],Stock[#Data],4,FALSE)</f>
        <v>2000</v>
      </c>
      <c r="E501" s="33">
        <f>VLOOKUP(Ventas[[#This Row],[Codigo]],Stock[#Data],3,FALSE)</f>
        <v>707</v>
      </c>
      <c r="F501" s="38">
        <v>1</v>
      </c>
      <c r="G501">
        <v>5</v>
      </c>
      <c r="H501" s="36">
        <f>Ventas[[#This Row],[Precio Venta]]*Ventas[[#This Row],[Cantidad]]-Ventas[[#This Row],[Descuento]]</f>
        <v>2000</v>
      </c>
      <c r="I501" s="34">
        <f>Ventas[[#This Row],[Total]]-Ventas[[#This Row],[Precio compra]]*Ventas[[#This Row],[Cantidad]]</f>
        <v>1293</v>
      </c>
      <c r="J501" s="34"/>
      <c r="K501" s="34">
        <f>Ventas[[#This Row],[Total]]*Ventas[[#This Row],[Total 3]]</f>
        <v>0</v>
      </c>
      <c r="L501" s="34"/>
      <c r="M501" s="34"/>
    </row>
    <row r="502" spans="1:13" ht="21.75" customHeight="1">
      <c r="A502" s="16"/>
      <c r="B502" s="39" t="s">
        <v>738</v>
      </c>
      <c r="C502" s="32" t="str">
        <f>VLOOKUP(Ventas[[#This Row],[Codigo]],Stock[#Data],2,FALSE)</f>
        <v>Portaseda RAW 1/4</v>
      </c>
      <c r="D502" s="37">
        <f>VLOOKUP(Ventas[[#This Row],[Codigo]],Stock[#Data],4,FALSE)</f>
        <v>1200</v>
      </c>
      <c r="E502" s="33">
        <f>VLOOKUP(Ventas[[#This Row],[Codigo]],Stock[#Data],3,FALSE)</f>
        <v>580</v>
      </c>
      <c r="F502" s="38">
        <v>1</v>
      </c>
      <c r="G502">
        <v>150</v>
      </c>
      <c r="H502" s="36">
        <f>Ventas[[#This Row],[Precio Venta]]*Ventas[[#This Row],[Cantidad]]-Ventas[[#This Row],[Descuento]]</f>
        <v>1200</v>
      </c>
      <c r="I502" s="34">
        <f>Ventas[[#This Row],[Total]]-Ventas[[#This Row],[Precio compra]]*Ventas[[#This Row],[Cantidad]]</f>
        <v>620</v>
      </c>
      <c r="J502" s="34"/>
      <c r="K502" s="34">
        <f>Ventas[[#This Row],[Total]]*Ventas[[#This Row],[Total 3]]</f>
        <v>0</v>
      </c>
      <c r="L502" s="34"/>
      <c r="M502" s="34"/>
    </row>
    <row r="503" spans="1:13" ht="21.75" customHeight="1">
      <c r="A503" s="16"/>
      <c r="B503" s="39" t="s">
        <v>738</v>
      </c>
      <c r="C503" s="32" t="str">
        <f>VLOOKUP(Ventas[[#This Row],[Codigo]],Stock[#Data],2,FALSE)</f>
        <v xml:space="preserve">ocb ultimate </v>
      </c>
      <c r="D503" s="37">
        <f>VLOOKUP(Ventas[[#This Row],[Codigo]],Stock[#Data],4,FALSE)</f>
        <v>300</v>
      </c>
      <c r="E503" s="33">
        <f>VLOOKUP(Ventas[[#This Row],[Codigo]],Stock[#Data],3,FALSE)</f>
        <v>165</v>
      </c>
      <c r="F503" s="38">
        <v>1</v>
      </c>
      <c r="G503">
        <v>354</v>
      </c>
      <c r="H503" s="36">
        <f>Ventas[[#This Row],[Precio Venta]]*Ventas[[#This Row],[Cantidad]]-Ventas[[#This Row],[Descuento]]</f>
        <v>300</v>
      </c>
      <c r="I503" s="34">
        <f>Ventas[[#This Row],[Total]]-Ventas[[#This Row],[Precio compra]]*Ventas[[#This Row],[Cantidad]]</f>
        <v>135</v>
      </c>
      <c r="J503" s="34"/>
      <c r="K503" s="34">
        <f>Ventas[[#This Row],[Total]]*Ventas[[#This Row],[Total 3]]</f>
        <v>0</v>
      </c>
      <c r="L503" s="34"/>
      <c r="M503" s="34"/>
    </row>
    <row r="504" spans="1:13" ht="21.75" customHeight="1">
      <c r="A504" s="16"/>
      <c r="B504" s="39" t="s">
        <v>738</v>
      </c>
      <c r="C504" s="32" t="str">
        <f>VLOOKUP(Ventas[[#This Row],[Codigo]],Stock[#Data],2,FALSE)</f>
        <v>Sedas Blunt Rey Kz celulosa Orange</v>
      </c>
      <c r="D504" s="37">
        <f>VLOOKUP(Ventas[[#This Row],[Codigo]],Stock[#Data],4,FALSE)</f>
        <v>400</v>
      </c>
      <c r="E504" s="33">
        <f>VLOOKUP(Ventas[[#This Row],[Codigo]],Stock[#Data],3,FALSE)</f>
        <v>167</v>
      </c>
      <c r="F504" s="38">
        <v>1</v>
      </c>
      <c r="G504">
        <v>68</v>
      </c>
      <c r="H504" s="36">
        <f>Ventas[[#This Row],[Precio Venta]]*Ventas[[#This Row],[Cantidad]]-Ventas[[#This Row],[Descuento]]</f>
        <v>400</v>
      </c>
      <c r="I504" s="34">
        <f>Ventas[[#This Row],[Total]]-Ventas[[#This Row],[Precio compra]]*Ventas[[#This Row],[Cantidad]]</f>
        <v>233</v>
      </c>
      <c r="J504" s="34"/>
      <c r="K504" s="34">
        <f>Ventas[[#This Row],[Total]]*Ventas[[#This Row],[Total 3]]</f>
        <v>0</v>
      </c>
      <c r="L504" s="34"/>
      <c r="M504" s="34"/>
    </row>
    <row r="505" spans="1:13" ht="21.75" customHeight="1">
      <c r="A505" s="16"/>
      <c r="B505" s="39" t="s">
        <v>738</v>
      </c>
      <c r="C505" s="32" t="str">
        <f>VLOOKUP(Ventas[[#This Row],[Codigo]],Stock[#Data],2,FALSE)</f>
        <v>Sedas Blunt Rey 1/4 celulosa Orange</v>
      </c>
      <c r="D505" s="37">
        <f>VLOOKUP(Ventas[[#This Row],[Codigo]],Stock[#Data],4,FALSE)</f>
        <v>300</v>
      </c>
      <c r="E505" s="33">
        <f>VLOOKUP(Ventas[[#This Row],[Codigo]],Stock[#Data],3,FALSE)</f>
        <v>143</v>
      </c>
      <c r="F505" s="38">
        <v>1</v>
      </c>
      <c r="G505">
        <v>71</v>
      </c>
      <c r="H505" s="36">
        <f>Ventas[[#This Row],[Precio Venta]]*Ventas[[#This Row],[Cantidad]]-Ventas[[#This Row],[Descuento]]</f>
        <v>300</v>
      </c>
      <c r="I505" s="34">
        <f>Ventas[[#This Row],[Total]]-Ventas[[#This Row],[Precio compra]]*Ventas[[#This Row],[Cantidad]]</f>
        <v>157</v>
      </c>
      <c r="J505" s="34"/>
      <c r="K505" s="34">
        <f>Ventas[[#This Row],[Total]]*Ventas[[#This Row],[Total 3]]</f>
        <v>0</v>
      </c>
      <c r="L505" s="34"/>
      <c r="M505" s="34"/>
    </row>
    <row r="506" spans="1:13" ht="21.75" customHeight="1">
      <c r="A506" s="16"/>
      <c r="B506" s="39" t="s">
        <v>738</v>
      </c>
      <c r="C506" s="32" t="str">
        <f>VLOOKUP(Ventas[[#This Row],[Codigo]],Stock[#Data],2,FALSE)</f>
        <v>Power Buffer PH7</v>
      </c>
      <c r="D506" s="37">
        <f>VLOOKUP(Ventas[[#This Row],[Codigo]],Stock[#Data],4,FALSE)</f>
        <v>600</v>
      </c>
      <c r="E506" s="33">
        <f>VLOOKUP(Ventas[[#This Row],[Codigo]],Stock[#Data],3,FALSE)</f>
        <v>310</v>
      </c>
      <c r="F506" s="38">
        <v>1</v>
      </c>
      <c r="G506">
        <v>56</v>
      </c>
      <c r="H506" s="36">
        <f>Ventas[[#This Row],[Precio Venta]]*Ventas[[#This Row],[Cantidad]]-Ventas[[#This Row],[Descuento]]</f>
        <v>600</v>
      </c>
      <c r="I506" s="34">
        <f>Ventas[[#This Row],[Total]]-Ventas[[#This Row],[Precio compra]]*Ventas[[#This Row],[Cantidad]]</f>
        <v>290</v>
      </c>
      <c r="J506" s="34"/>
      <c r="K506" s="34">
        <f>Ventas[[#This Row],[Total]]*Ventas[[#This Row],[Total 3]]</f>
        <v>0</v>
      </c>
      <c r="L506" s="34"/>
      <c r="M506" s="34"/>
    </row>
    <row r="507" spans="1:13" ht="21.75" customHeight="1">
      <c r="A507" s="16"/>
      <c r="B507" s="39" t="s">
        <v>738</v>
      </c>
      <c r="C507" s="32" t="str">
        <f>VLOOKUP(Ventas[[#This Row],[Codigo]],Stock[#Data],2,FALSE)</f>
        <v>Power Buffer PH4</v>
      </c>
      <c r="D507" s="37">
        <f>VLOOKUP(Ventas[[#This Row],[Codigo]],Stock[#Data],4,FALSE)</f>
        <v>600</v>
      </c>
      <c r="E507" s="33">
        <f>VLOOKUP(Ventas[[#This Row],[Codigo]],Stock[#Data],3,FALSE)</f>
        <v>310</v>
      </c>
      <c r="F507" s="38">
        <v>1</v>
      </c>
      <c r="G507">
        <v>57</v>
      </c>
      <c r="H507" s="36">
        <f>Ventas[[#This Row],[Precio Venta]]*Ventas[[#This Row],[Cantidad]]-Ventas[[#This Row],[Descuento]]</f>
        <v>600</v>
      </c>
      <c r="I507" s="34">
        <f>Ventas[[#This Row],[Total]]-Ventas[[#This Row],[Precio compra]]*Ventas[[#This Row],[Cantidad]]</f>
        <v>290</v>
      </c>
      <c r="J507" s="34"/>
      <c r="K507" s="34">
        <f>Ventas[[#This Row],[Total]]*Ventas[[#This Row],[Total 3]]</f>
        <v>0</v>
      </c>
      <c r="L507" s="34"/>
      <c r="M507" s="34"/>
    </row>
    <row r="508" spans="1:13" ht="21.75" customHeight="1">
      <c r="A508" s="16"/>
      <c r="B508" s="39" t="s">
        <v>738</v>
      </c>
      <c r="C508" s="32" t="str">
        <f>VLOOKUP(Ventas[[#This Row],[Codigo]],Stock[#Data],2,FALSE)</f>
        <v xml:space="preserve">Clipper Raw </v>
      </c>
      <c r="D508" s="37">
        <f>VLOOKUP(Ventas[[#This Row],[Codigo]],Stock[#Data],4,FALSE)</f>
        <v>550</v>
      </c>
      <c r="E508" s="33">
        <f>VLOOKUP(Ventas[[#This Row],[Codigo]],Stock[#Data],3,FALSE)</f>
        <v>276</v>
      </c>
      <c r="F508" s="38">
        <v>1</v>
      </c>
      <c r="G508">
        <v>502</v>
      </c>
      <c r="H508" s="36">
        <f>Ventas[[#This Row],[Precio Venta]]*Ventas[[#This Row],[Cantidad]]-Ventas[[#This Row],[Descuento]]</f>
        <v>550</v>
      </c>
      <c r="I508" s="34">
        <f>Ventas[[#This Row],[Total]]-Ventas[[#This Row],[Precio compra]]*Ventas[[#This Row],[Cantidad]]</f>
        <v>274</v>
      </c>
      <c r="J508" s="34"/>
      <c r="K508" s="34">
        <f>Ventas[[#This Row],[Total]]*Ventas[[#This Row],[Total 3]]</f>
        <v>0</v>
      </c>
      <c r="L508" s="34"/>
      <c r="M508" s="34"/>
    </row>
    <row r="509" spans="1:13" ht="21.75" customHeight="1">
      <c r="A509" s="16"/>
      <c r="B509" s="39" t="s">
        <v>738</v>
      </c>
      <c r="C509" s="32" t="str">
        <f>VLOOKUP(Ventas[[#This Row],[Codigo]],Stock[#Data],2,FALSE)</f>
        <v>JIFFY moneda turba</v>
      </c>
      <c r="D509" s="37">
        <f>VLOOKUP(Ventas[[#This Row],[Codigo]],Stock[#Data],4,FALSE)</f>
        <v>150</v>
      </c>
      <c r="E509" s="33">
        <f>VLOOKUP(Ventas[[#This Row],[Codigo]],Stock[#Data],3,FALSE)</f>
        <v>70</v>
      </c>
      <c r="F509" s="38">
        <v>1</v>
      </c>
      <c r="G509">
        <v>50</v>
      </c>
      <c r="H509" s="36">
        <f>Ventas[[#This Row],[Precio Venta]]*Ventas[[#This Row],[Cantidad]]-Ventas[[#This Row],[Descuento]]</f>
        <v>150</v>
      </c>
      <c r="I509" s="34">
        <f>Ventas[[#This Row],[Total]]-Ventas[[#This Row],[Precio compra]]*Ventas[[#This Row],[Cantidad]]</f>
        <v>80</v>
      </c>
      <c r="J509" s="34"/>
      <c r="K509" s="34">
        <f>Ventas[[#This Row],[Total]]*Ventas[[#This Row],[Total 3]]</f>
        <v>0</v>
      </c>
      <c r="L509" s="34"/>
      <c r="M509" s="34"/>
    </row>
    <row r="510" spans="1:13" ht="21.75" customHeight="1">
      <c r="A510" s="16"/>
      <c r="B510" s="39" t="s">
        <v>738</v>
      </c>
      <c r="C510" s="32" t="str">
        <f>VLOOKUP(Ventas[[#This Row],[Codigo]],Stock[#Data],2,FALSE)</f>
        <v>Sedas Blunt Rey 1/4 organic</v>
      </c>
      <c r="D510" s="37">
        <f>VLOOKUP(Ventas[[#This Row],[Codigo]],Stock[#Data],4,FALSE)</f>
        <v>250</v>
      </c>
      <c r="E510" s="33">
        <f>VLOOKUP(Ventas[[#This Row],[Codigo]],Stock[#Data],3,FALSE)</f>
        <v>109</v>
      </c>
      <c r="F510" s="38">
        <v>1</v>
      </c>
      <c r="G510">
        <v>67</v>
      </c>
      <c r="H510" s="36">
        <f>Ventas[[#This Row],[Precio Venta]]*Ventas[[#This Row],[Cantidad]]-Ventas[[#This Row],[Descuento]]</f>
        <v>250</v>
      </c>
      <c r="I510" s="34">
        <f>Ventas[[#This Row],[Total]]-Ventas[[#This Row],[Precio compra]]*Ventas[[#This Row],[Cantidad]]</f>
        <v>141</v>
      </c>
      <c r="J510" s="34"/>
      <c r="K510" s="34">
        <f>Ventas[[#This Row],[Total]]*Ventas[[#This Row],[Total 3]]</f>
        <v>0</v>
      </c>
      <c r="L510" s="34"/>
      <c r="M510" s="34"/>
    </row>
    <row r="511" spans="1:13" ht="21.75" customHeight="1">
      <c r="A511" s="16"/>
      <c r="B511" s="39" t="s">
        <v>738</v>
      </c>
      <c r="C511" s="32" t="str">
        <f>VLOOKUP(Ventas[[#This Row],[Codigo]],Stock[#Data],2,FALSE)</f>
        <v>Tabaco Van Kiff Natural</v>
      </c>
      <c r="D511" s="37">
        <f>VLOOKUP(Ventas[[#This Row],[Codigo]],Stock[#Data],4,FALSE)</f>
        <v>850</v>
      </c>
      <c r="E511" s="33">
        <f>VLOOKUP(Ventas[[#This Row],[Codigo]],Stock[#Data],3,FALSE)</f>
        <v>580</v>
      </c>
      <c r="F511" s="38">
        <v>2</v>
      </c>
      <c r="G511">
        <v>117</v>
      </c>
      <c r="H511" s="36">
        <f>Ventas[[#This Row],[Precio Venta]]*Ventas[[#This Row],[Cantidad]]-Ventas[[#This Row],[Descuento]]</f>
        <v>1700</v>
      </c>
      <c r="I511" s="34">
        <f>Ventas[[#This Row],[Total]]-Ventas[[#This Row],[Precio compra]]*Ventas[[#This Row],[Cantidad]]</f>
        <v>540</v>
      </c>
      <c r="J511" s="34"/>
      <c r="K511" s="34">
        <f>Ventas[[#This Row],[Total]]*Ventas[[#This Row],[Total 3]]</f>
        <v>0</v>
      </c>
      <c r="L511" s="34"/>
      <c r="M511" s="34"/>
    </row>
    <row r="512" spans="1:13" ht="21.75" customHeight="1">
      <c r="A512" s="16"/>
      <c r="B512" s="39" t="s">
        <v>738</v>
      </c>
      <c r="C512" s="32" t="str">
        <f>VLOOKUP(Ventas[[#This Row],[Codigo]],Stock[#Data],2,FALSE)</f>
        <v xml:space="preserve">Encendedor Clipper </v>
      </c>
      <c r="D512" s="37">
        <f>VLOOKUP(Ventas[[#This Row],[Codigo]],Stock[#Data],4,FALSE)</f>
        <v>600</v>
      </c>
      <c r="E512" s="33">
        <f>VLOOKUP(Ventas[[#This Row],[Codigo]],Stock[#Data],3,FALSE)</f>
        <v>378</v>
      </c>
      <c r="F512" s="38">
        <v>1</v>
      </c>
      <c r="G512">
        <v>58</v>
      </c>
      <c r="H512" s="36">
        <f>Ventas[[#This Row],[Precio Venta]]*Ventas[[#This Row],[Cantidad]]-Ventas[[#This Row],[Descuento]]</f>
        <v>600</v>
      </c>
      <c r="I512" s="34">
        <f>Ventas[[#This Row],[Total]]-Ventas[[#This Row],[Precio compra]]*Ventas[[#This Row],[Cantidad]]</f>
        <v>222</v>
      </c>
      <c r="J512" s="34"/>
      <c r="K512" s="34">
        <f>Ventas[[#This Row],[Total]]*Ventas[[#This Row],[Total 3]]</f>
        <v>0</v>
      </c>
      <c r="L512" s="34"/>
      <c r="M512" s="34"/>
    </row>
    <row r="513" spans="1:13" ht="21.75" customHeight="1">
      <c r="A513" s="16"/>
      <c r="B513" s="39" t="s">
        <v>738</v>
      </c>
      <c r="C513" s="32" t="str">
        <f>VLOOKUP(Ventas[[#This Row],[Codigo]],Stock[#Data],2,FALSE)</f>
        <v>4 en 1 100ml Green Leaf Insumos</v>
      </c>
      <c r="D513" s="37">
        <f>VLOOKUP(Ventas[[#This Row],[Codigo]],Stock[#Data],4,FALSE)</f>
        <v>1000</v>
      </c>
      <c r="E513" s="33">
        <f>VLOOKUP(Ventas[[#This Row],[Codigo]],Stock[#Data],3,FALSE)</f>
        <v>498</v>
      </c>
      <c r="F513" s="38">
        <v>1</v>
      </c>
      <c r="G513">
        <v>575</v>
      </c>
      <c r="H513" s="36">
        <f>Ventas[[#This Row],[Precio Venta]]*Ventas[[#This Row],[Cantidad]]-Ventas[[#This Row],[Descuento]]</f>
        <v>1000</v>
      </c>
      <c r="I513" s="34">
        <f>Ventas[[#This Row],[Total]]-Ventas[[#This Row],[Precio compra]]*Ventas[[#This Row],[Cantidad]]</f>
        <v>502</v>
      </c>
      <c r="J513" s="34"/>
      <c r="K513" s="34">
        <f>Ventas[[#This Row],[Total]]*Ventas[[#This Row],[Total 3]]</f>
        <v>0</v>
      </c>
      <c r="L513" s="34"/>
      <c r="M513" s="34"/>
    </row>
    <row r="514" spans="1:13" ht="21.75" customHeight="1">
      <c r="A514" s="16"/>
      <c r="B514" s="39" t="s">
        <v>738</v>
      </c>
      <c r="C514" s="32" t="str">
        <f>VLOOKUP(Ventas[[#This Row],[Codigo]],Stock[#Data],2,FALSE)</f>
        <v>CropSecret 250ml Candy Maker</v>
      </c>
      <c r="D514" s="37">
        <f>VLOOKUP(Ventas[[#This Row],[Codigo]],Stock[#Data],4,FALSE)</f>
        <v>2000</v>
      </c>
      <c r="E514" s="33">
        <f>VLOOKUP(Ventas[[#This Row],[Codigo]],Stock[#Data],3,FALSE)</f>
        <v>707</v>
      </c>
      <c r="F514" s="38">
        <v>1</v>
      </c>
      <c r="G514">
        <v>5</v>
      </c>
      <c r="H514" s="36">
        <f>Ventas[[#This Row],[Precio Venta]]*Ventas[[#This Row],[Cantidad]]-Ventas[[#This Row],[Descuento]]</f>
        <v>2000</v>
      </c>
      <c r="I514" s="34">
        <f>Ventas[[#This Row],[Total]]-Ventas[[#This Row],[Precio compra]]*Ventas[[#This Row],[Cantidad]]</f>
        <v>1293</v>
      </c>
      <c r="J514" s="34"/>
      <c r="K514" s="34">
        <f>Ventas[[#This Row],[Total]]*Ventas[[#This Row],[Total 3]]</f>
        <v>0</v>
      </c>
      <c r="L514" s="34"/>
      <c r="M514" s="34"/>
    </row>
    <row r="515" spans="1:13" ht="21.75" customHeight="1">
      <c r="A515" s="16"/>
      <c r="B515" s="39" t="s">
        <v>738</v>
      </c>
      <c r="C515" s="32" t="str">
        <f>VLOOKUP(Ventas[[#This Row],[Codigo]],Stock[#Data],2,FALSE)</f>
        <v>CropSecret 250ml Floral Session</v>
      </c>
      <c r="D515" s="37">
        <f>VLOOKUP(Ventas[[#This Row],[Codigo]],Stock[#Data],4,FALSE)</f>
        <v>2000</v>
      </c>
      <c r="E515" s="33">
        <f>VLOOKUP(Ventas[[#This Row],[Codigo]],Stock[#Data],3,FALSE)</f>
        <v>836</v>
      </c>
      <c r="F515" s="38">
        <v>3</v>
      </c>
      <c r="G515">
        <v>6</v>
      </c>
      <c r="H515" s="36">
        <f>Ventas[[#This Row],[Precio Venta]]*Ventas[[#This Row],[Cantidad]]-Ventas[[#This Row],[Descuento]]</f>
        <v>6000</v>
      </c>
      <c r="I515" s="34">
        <f>Ventas[[#This Row],[Total]]-Ventas[[#This Row],[Precio compra]]*Ventas[[#This Row],[Cantidad]]</f>
        <v>3492</v>
      </c>
      <c r="J515" s="34"/>
      <c r="K515" s="34">
        <f>Ventas[[#This Row],[Total]]*Ventas[[#This Row],[Total 3]]</f>
        <v>0</v>
      </c>
      <c r="L515" s="34"/>
      <c r="M515" s="34"/>
    </row>
    <row r="516" spans="1:13" ht="21.75" customHeight="1">
      <c r="A516" s="16"/>
      <c r="B516" s="39" t="s">
        <v>737</v>
      </c>
      <c r="C516" s="32" t="str">
        <f>VLOOKUP(Ventas[[#This Row],[Codigo]],Stock[#Data],2,FALSE)</f>
        <v xml:space="preserve">Tabaquera GB </v>
      </c>
      <c r="D516" s="37">
        <f>VLOOKUP(Ventas[[#This Row],[Codigo]],Stock[#Data],4,FALSE)</f>
        <v>1000</v>
      </c>
      <c r="E516" s="33">
        <f>VLOOKUP(Ventas[[#This Row],[Codigo]],Stock[#Data],3,FALSE)</f>
        <v>500</v>
      </c>
      <c r="F516" s="38">
        <v>1</v>
      </c>
      <c r="G516">
        <v>411</v>
      </c>
      <c r="H516" s="36">
        <f>Ventas[[#This Row],[Precio Venta]]*Ventas[[#This Row],[Cantidad]]-Ventas[[#This Row],[Descuento]]</f>
        <v>1000</v>
      </c>
      <c r="I516" s="34">
        <f>Ventas[[#This Row],[Total]]-Ventas[[#This Row],[Precio compra]]*Ventas[[#This Row],[Cantidad]]</f>
        <v>500</v>
      </c>
      <c r="J516" s="34"/>
      <c r="K516" s="34">
        <f>Ventas[[#This Row],[Total]]*Ventas[[#This Row],[Total 3]]</f>
        <v>0</v>
      </c>
      <c r="L516" s="34"/>
      <c r="M516" s="34"/>
    </row>
    <row r="517" spans="1:13" ht="21.75" customHeight="1">
      <c r="A517" s="16"/>
      <c r="B517" s="39" t="s">
        <v>737</v>
      </c>
      <c r="C517" s="32" t="str">
        <f>VLOOKUP(Ventas[[#This Row],[Codigo]],Stock[#Data],2,FALSE)</f>
        <v>Lata Cigarrera RAW</v>
      </c>
      <c r="D517" s="37">
        <f>VLOOKUP(Ventas[[#This Row],[Codigo]],Stock[#Data],4,FALSE)</f>
        <v>2500</v>
      </c>
      <c r="E517" s="33">
        <f>VLOOKUP(Ventas[[#This Row],[Codigo]],Stock[#Data],3,FALSE)</f>
        <v>1252</v>
      </c>
      <c r="F517" s="38">
        <v>1</v>
      </c>
      <c r="G517">
        <v>552</v>
      </c>
      <c r="H517" s="36">
        <f>Ventas[[#This Row],[Precio Venta]]*Ventas[[#This Row],[Cantidad]]-Ventas[[#This Row],[Descuento]]</f>
        <v>2500</v>
      </c>
      <c r="I517" s="34">
        <f>Ventas[[#This Row],[Total]]-Ventas[[#This Row],[Precio compra]]*Ventas[[#This Row],[Cantidad]]</f>
        <v>1248</v>
      </c>
      <c r="J517" s="34"/>
      <c r="K517" s="34">
        <f>Ventas[[#This Row],[Total]]*Ventas[[#This Row],[Total 3]]</f>
        <v>0</v>
      </c>
      <c r="L517" s="34"/>
      <c r="M517" s="34"/>
    </row>
    <row r="518" spans="1:13" ht="21.75" customHeight="1">
      <c r="A518" s="16"/>
      <c r="B518" s="39" t="s">
        <v>737</v>
      </c>
      <c r="C518" s="32" t="str">
        <f>VLOOKUP(Ventas[[#This Row],[Codigo]],Stock[#Data],2,FALSE)</f>
        <v>TreeMIX KILL MIX 45ml</v>
      </c>
      <c r="D518" s="37">
        <f>VLOOKUP(Ventas[[#This Row],[Codigo]],Stock[#Data],4,FALSE)</f>
        <v>650</v>
      </c>
      <c r="E518" s="33">
        <f>VLOOKUP(Ventas[[#This Row],[Codigo]],Stock[#Data],3,FALSE)</f>
        <v>320</v>
      </c>
      <c r="F518" s="38">
        <v>2</v>
      </c>
      <c r="G518">
        <v>27</v>
      </c>
      <c r="H518" s="36">
        <f>Ventas[[#This Row],[Precio Venta]]*Ventas[[#This Row],[Cantidad]]-Ventas[[#This Row],[Descuento]]</f>
        <v>1300</v>
      </c>
      <c r="I518" s="34">
        <f>Ventas[[#This Row],[Total]]-Ventas[[#This Row],[Precio compra]]*Ventas[[#This Row],[Cantidad]]</f>
        <v>660</v>
      </c>
      <c r="J518" s="34"/>
      <c r="K518" s="34">
        <f>Ventas[[#This Row],[Total]]*Ventas[[#This Row],[Total 3]]</f>
        <v>0</v>
      </c>
      <c r="L518" s="34"/>
      <c r="M518" s="34"/>
    </row>
    <row r="519" spans="1:13" ht="21.75" customHeight="1">
      <c r="A519" s="16"/>
      <c r="B519" s="39" t="s">
        <v>737</v>
      </c>
      <c r="C519" s="32" t="str">
        <f>VLOOKUP(Ventas[[#This Row],[Codigo]],Stock[#Data],2,FALSE)</f>
        <v>Maca Brew 500cc</v>
      </c>
      <c r="D519" s="37">
        <f>VLOOKUP(Ventas[[#This Row],[Codigo]],Stock[#Data],4,FALSE)</f>
        <v>1000</v>
      </c>
      <c r="E519" s="33">
        <f>VLOOKUP(Ventas[[#This Row],[Codigo]],Stock[#Data],3,FALSE)</f>
        <v>470</v>
      </c>
      <c r="F519" s="38">
        <v>2</v>
      </c>
      <c r="G519">
        <v>12</v>
      </c>
      <c r="H519" s="36">
        <f>Ventas[[#This Row],[Precio Venta]]*Ventas[[#This Row],[Cantidad]]-Ventas[[#This Row],[Descuento]]</f>
        <v>2000</v>
      </c>
      <c r="I519" s="34">
        <f>Ventas[[#This Row],[Total]]-Ventas[[#This Row],[Precio compra]]*Ventas[[#This Row],[Cantidad]]</f>
        <v>1060</v>
      </c>
      <c r="J519" s="34"/>
      <c r="K519" s="34">
        <f>Ventas[[#This Row],[Total]]*Ventas[[#This Row],[Total 3]]</f>
        <v>0</v>
      </c>
      <c r="L519" s="34"/>
      <c r="M519" s="34"/>
    </row>
    <row r="520" spans="1:13" ht="21.75" customHeight="1">
      <c r="A520" s="16"/>
      <c r="B520" s="39" t="s">
        <v>737</v>
      </c>
      <c r="C520" s="32" t="str">
        <f>VLOOKUP(Ventas[[#This Row],[Codigo]],Stock[#Data],2,FALSE)</f>
        <v>Sedas Blunt Rey Kz celulosa Orange</v>
      </c>
      <c r="D520" s="37">
        <f>VLOOKUP(Ventas[[#This Row],[Codigo]],Stock[#Data],4,FALSE)</f>
        <v>400</v>
      </c>
      <c r="E520" s="33">
        <f>VLOOKUP(Ventas[[#This Row],[Codigo]],Stock[#Data],3,FALSE)</f>
        <v>167</v>
      </c>
      <c r="F520" s="38">
        <v>1</v>
      </c>
      <c r="G520">
        <v>68</v>
      </c>
      <c r="H520" s="36">
        <f>Ventas[[#This Row],[Precio Venta]]*Ventas[[#This Row],[Cantidad]]-Ventas[[#This Row],[Descuento]]</f>
        <v>400</v>
      </c>
      <c r="I520" s="34">
        <f>Ventas[[#This Row],[Total]]-Ventas[[#This Row],[Precio compra]]*Ventas[[#This Row],[Cantidad]]</f>
        <v>233</v>
      </c>
      <c r="J520" s="34"/>
      <c r="K520" s="34">
        <f>Ventas[[#This Row],[Total]]*Ventas[[#This Row],[Total 3]]</f>
        <v>0</v>
      </c>
      <c r="L520" s="34"/>
      <c r="M520" s="34"/>
    </row>
    <row r="521" spans="1:13" ht="21.75" customHeight="1">
      <c r="A521" s="16"/>
      <c r="B521" s="39" t="s">
        <v>737</v>
      </c>
      <c r="C521" s="32" t="str">
        <f>VLOOKUP(Ventas[[#This Row],[Codigo]],Stock[#Data],2,FALSE)</f>
        <v>Pulverizador 1,5 litros</v>
      </c>
      <c r="D521" s="37">
        <f>VLOOKUP(Ventas[[#This Row],[Codigo]],Stock[#Data],4,FALSE)</f>
        <v>2500</v>
      </c>
      <c r="E521" s="33">
        <f>VLOOKUP(Ventas[[#This Row],[Codigo]],Stock[#Data],3,FALSE)</f>
        <v>1250</v>
      </c>
      <c r="F521" s="38">
        <v>1</v>
      </c>
      <c r="G521">
        <v>571</v>
      </c>
      <c r="H521" s="36">
        <f>Ventas[[#This Row],[Precio Venta]]*Ventas[[#This Row],[Cantidad]]-Ventas[[#This Row],[Descuento]]</f>
        <v>2500</v>
      </c>
      <c r="I521" s="34">
        <f>Ventas[[#This Row],[Total]]-Ventas[[#This Row],[Precio compra]]*Ventas[[#This Row],[Cantidad]]</f>
        <v>1250</v>
      </c>
      <c r="J521" s="34"/>
      <c r="K521" s="34">
        <f>Ventas[[#This Row],[Total]]*Ventas[[#This Row],[Total 3]]</f>
        <v>0</v>
      </c>
      <c r="L521" s="34"/>
      <c r="M521" s="34"/>
    </row>
    <row r="522" spans="1:13" ht="21.75" customHeight="1">
      <c r="A522" s="16"/>
      <c r="B522" s="39" t="s">
        <v>737</v>
      </c>
      <c r="C522" s="32" t="str">
        <f>VLOOKUP(Ventas[[#This Row],[Codigo]],Stock[#Data],2,FALSE)</f>
        <v xml:space="preserve">Beauveria Bassiana Organic Life </v>
      </c>
      <c r="D522" s="37">
        <f>VLOOKUP(Ventas[[#This Row],[Codigo]],Stock[#Data],4,FALSE)</f>
        <v>1000</v>
      </c>
      <c r="E522" s="33">
        <f>VLOOKUP(Ventas[[#This Row],[Codigo]],Stock[#Data],3,FALSE)</f>
        <v>490</v>
      </c>
      <c r="F522" s="38">
        <v>4</v>
      </c>
      <c r="G522">
        <v>598</v>
      </c>
      <c r="H522" s="36">
        <f>Ventas[[#This Row],[Precio Venta]]*Ventas[[#This Row],[Cantidad]]-Ventas[[#This Row],[Descuento]]</f>
        <v>4000</v>
      </c>
      <c r="I522" s="34">
        <f>Ventas[[#This Row],[Total]]-Ventas[[#This Row],[Precio compra]]*Ventas[[#This Row],[Cantidad]]</f>
        <v>2040</v>
      </c>
      <c r="J522" s="34"/>
      <c r="K522" s="34">
        <f>Ventas[[#This Row],[Total]]*Ventas[[#This Row],[Total 3]]</f>
        <v>0</v>
      </c>
      <c r="L522" s="34"/>
      <c r="M522" s="34"/>
    </row>
    <row r="523" spans="1:13" ht="21.75" customHeight="1">
      <c r="A523" s="16"/>
      <c r="B523" s="39" t="s">
        <v>736</v>
      </c>
      <c r="C523" s="32" t="str">
        <f>VLOOKUP(Ventas[[#This Row],[Codigo]],Stock[#Data],2,FALSE)</f>
        <v>TreeMIX KILL MIX 45ml</v>
      </c>
      <c r="D523" s="37">
        <f>VLOOKUP(Ventas[[#This Row],[Codigo]],Stock[#Data],4,FALSE)</f>
        <v>650</v>
      </c>
      <c r="E523" s="33">
        <f>VLOOKUP(Ventas[[#This Row],[Codigo]],Stock[#Data],3,FALSE)</f>
        <v>320</v>
      </c>
      <c r="F523" s="38">
        <v>1</v>
      </c>
      <c r="G523">
        <v>27</v>
      </c>
      <c r="H523" s="36">
        <f>Ventas[[#This Row],[Precio Venta]]*Ventas[[#This Row],[Cantidad]]-Ventas[[#This Row],[Descuento]]</f>
        <v>650</v>
      </c>
      <c r="I523" s="34">
        <f>Ventas[[#This Row],[Total]]-Ventas[[#This Row],[Precio compra]]*Ventas[[#This Row],[Cantidad]]</f>
        <v>330</v>
      </c>
      <c r="J523" s="34"/>
      <c r="K523" s="34">
        <f>Ventas[[#This Row],[Total]]*Ventas[[#This Row],[Total 3]]</f>
        <v>0</v>
      </c>
      <c r="L523" s="34"/>
      <c r="M523" s="34"/>
    </row>
    <row r="524" spans="1:13" ht="21.75" customHeight="1">
      <c r="A524" s="16"/>
      <c r="B524" s="39" t="s">
        <v>736</v>
      </c>
      <c r="C524" s="32" t="str">
        <f>VLOOKUP(Ventas[[#This Row],[Codigo]],Stock[#Data],2,FALSE)</f>
        <v>Sedas Blunt Rey 1/4 celulosa Verde</v>
      </c>
      <c r="D524" s="37">
        <f>VLOOKUP(Ventas[[#This Row],[Codigo]],Stock[#Data],4,FALSE)</f>
        <v>300</v>
      </c>
      <c r="E524" s="33">
        <f>VLOOKUP(Ventas[[#This Row],[Codigo]],Stock[#Data],3,FALSE)</f>
        <v>135</v>
      </c>
      <c r="F524" s="38">
        <v>1</v>
      </c>
      <c r="G524">
        <v>72</v>
      </c>
      <c r="H524" s="36">
        <f>Ventas[[#This Row],[Precio Venta]]*Ventas[[#This Row],[Cantidad]]-Ventas[[#This Row],[Descuento]]</f>
        <v>300</v>
      </c>
      <c r="I524" s="34">
        <f>Ventas[[#This Row],[Total]]-Ventas[[#This Row],[Precio compra]]*Ventas[[#This Row],[Cantidad]]</f>
        <v>165</v>
      </c>
      <c r="J524" s="34"/>
      <c r="K524" s="34">
        <f>Ventas[[#This Row],[Total]]*Ventas[[#This Row],[Total 3]]</f>
        <v>0</v>
      </c>
      <c r="L524" s="34"/>
      <c r="M524" s="34"/>
    </row>
    <row r="525" spans="1:13" ht="21.75" customHeight="1">
      <c r="A525" s="16"/>
      <c r="B525" s="39" t="s">
        <v>736</v>
      </c>
      <c r="C525" s="32" t="str">
        <f>VLOOKUP(Ventas[[#This Row],[Codigo]],Stock[#Data],2,FALSE)</f>
        <v>Filtros GIZEH biodegradable</v>
      </c>
      <c r="D525" s="37">
        <f>VLOOKUP(Ventas[[#This Row],[Codigo]],Stock[#Data],4,FALSE)</f>
        <v>450</v>
      </c>
      <c r="E525" s="33">
        <f>VLOOKUP(Ventas[[#This Row],[Codigo]],Stock[#Data],3,FALSE)</f>
        <v>280</v>
      </c>
      <c r="F525" s="38">
        <v>1</v>
      </c>
      <c r="G525">
        <v>107</v>
      </c>
      <c r="H525" s="36">
        <f>Ventas[[#This Row],[Precio Venta]]*Ventas[[#This Row],[Cantidad]]-Ventas[[#This Row],[Descuento]]</f>
        <v>450</v>
      </c>
      <c r="I525" s="34">
        <f>Ventas[[#This Row],[Total]]-Ventas[[#This Row],[Precio compra]]*Ventas[[#This Row],[Cantidad]]</f>
        <v>170</v>
      </c>
      <c r="J525" s="34"/>
      <c r="K525" s="34">
        <f>Ventas[[#This Row],[Total]]*Ventas[[#This Row],[Total 3]]</f>
        <v>0</v>
      </c>
      <c r="L525" s="34"/>
      <c r="M525" s="34"/>
    </row>
    <row r="526" spans="1:13" ht="21.75" customHeight="1">
      <c r="A526" s="16"/>
      <c r="B526" s="39" t="s">
        <v>736</v>
      </c>
      <c r="C526" s="32" t="str">
        <f>VLOOKUP(Ventas[[#This Row],[Codigo]],Stock[#Data],2,FALSE)</f>
        <v>Tips STAMPS ECO</v>
      </c>
      <c r="D526" s="37">
        <f>VLOOKUP(Ventas[[#This Row],[Codigo]],Stock[#Data],4,FALSE)</f>
        <v>150</v>
      </c>
      <c r="E526" s="33">
        <f>VLOOKUP(Ventas[[#This Row],[Codigo]],Stock[#Data],3,FALSE)</f>
        <v>73</v>
      </c>
      <c r="F526" s="38">
        <v>1</v>
      </c>
      <c r="G526">
        <v>308</v>
      </c>
      <c r="H526" s="36">
        <f>Ventas[[#This Row],[Precio Venta]]*Ventas[[#This Row],[Cantidad]]-Ventas[[#This Row],[Descuento]]</f>
        <v>150</v>
      </c>
      <c r="I526" s="34">
        <f>Ventas[[#This Row],[Total]]-Ventas[[#This Row],[Precio compra]]*Ventas[[#This Row],[Cantidad]]</f>
        <v>77</v>
      </c>
      <c r="J526" s="34"/>
      <c r="K526" s="34">
        <f>Ventas[[#This Row],[Total]]*Ventas[[#This Row],[Total 3]]</f>
        <v>0</v>
      </c>
      <c r="L526" s="34"/>
      <c r="M526" s="34"/>
    </row>
    <row r="527" spans="1:13" ht="21.75" customHeight="1">
      <c r="A527" s="16"/>
      <c r="B527" s="39" t="s">
        <v>736</v>
      </c>
      <c r="C527" s="32" t="str">
        <f>VLOOKUP(Ventas[[#This Row],[Codigo]],Stock[#Data],2,FALSE)</f>
        <v>Bong Vidrio Chico Multicolor DK8552A</v>
      </c>
      <c r="D527" s="37">
        <f>VLOOKUP(Ventas[[#This Row],[Codigo]],Stock[#Data],4,FALSE)</f>
        <v>3000</v>
      </c>
      <c r="E527" s="33">
        <f>VLOOKUP(Ventas[[#This Row],[Codigo]],Stock[#Data],3,FALSE)</f>
        <v>1490</v>
      </c>
      <c r="F527" s="38">
        <v>1</v>
      </c>
      <c r="G527">
        <v>531</v>
      </c>
      <c r="H527" s="36">
        <f>Ventas[[#This Row],[Precio Venta]]*Ventas[[#This Row],[Cantidad]]-Ventas[[#This Row],[Descuento]]</f>
        <v>3000</v>
      </c>
      <c r="I527" s="34">
        <f>Ventas[[#This Row],[Total]]-Ventas[[#This Row],[Precio compra]]*Ventas[[#This Row],[Cantidad]]</f>
        <v>1510</v>
      </c>
      <c r="J527" s="34"/>
      <c r="K527" s="34">
        <f>Ventas[[#This Row],[Total]]*Ventas[[#This Row],[Total 3]]</f>
        <v>0</v>
      </c>
      <c r="L527" s="34"/>
      <c r="M527" s="34"/>
    </row>
    <row r="528" spans="1:13" ht="21.75" customHeight="1">
      <c r="A528" s="16"/>
      <c r="B528" s="39" t="s">
        <v>736</v>
      </c>
      <c r="C528" s="32" t="str">
        <f>VLOOKUP(Ventas[[#This Row],[Codigo]],Stock[#Data],2,FALSE)</f>
        <v>Sedas Blunt Rey 1/4 celulosa Orange</v>
      </c>
      <c r="D528" s="37">
        <f>VLOOKUP(Ventas[[#This Row],[Codigo]],Stock[#Data],4,FALSE)</f>
        <v>300</v>
      </c>
      <c r="E528" s="33">
        <f>VLOOKUP(Ventas[[#This Row],[Codigo]],Stock[#Data],3,FALSE)</f>
        <v>143</v>
      </c>
      <c r="F528" s="38">
        <v>1</v>
      </c>
      <c r="G528">
        <v>71</v>
      </c>
      <c r="H528" s="36">
        <f>Ventas[[#This Row],[Precio Venta]]*Ventas[[#This Row],[Cantidad]]-Ventas[[#This Row],[Descuento]]</f>
        <v>300</v>
      </c>
      <c r="I528" s="34">
        <f>Ventas[[#This Row],[Total]]-Ventas[[#This Row],[Precio compra]]*Ventas[[#This Row],[Cantidad]]</f>
        <v>157</v>
      </c>
      <c r="J528" s="34"/>
      <c r="K528" s="34">
        <f>Ventas[[#This Row],[Total]]*Ventas[[#This Row],[Total 3]]</f>
        <v>0</v>
      </c>
      <c r="L528" s="34"/>
      <c r="M528" s="34"/>
    </row>
    <row r="529" spans="1:13" ht="21.75" customHeight="1">
      <c r="A529" s="16"/>
      <c r="B529" s="39" t="s">
        <v>736</v>
      </c>
      <c r="C529" s="32" t="str">
        <f>VLOOKUP(Ventas[[#This Row],[Codigo]],Stock[#Data],2,FALSE)</f>
        <v xml:space="preserve"> Blunt Wrap Chocolate</v>
      </c>
      <c r="D529" s="37">
        <f>VLOOKUP(Ventas[[#This Row],[Codigo]],Stock[#Data],4,FALSE)</f>
        <v>500</v>
      </c>
      <c r="E529" s="33">
        <f>VLOOKUP(Ventas[[#This Row],[Codigo]],Stock[#Data],3,FALSE)</f>
        <v>225</v>
      </c>
      <c r="F529" s="38">
        <v>1</v>
      </c>
      <c r="G529">
        <v>100</v>
      </c>
      <c r="H529" s="36">
        <f>Ventas[[#This Row],[Precio Venta]]*Ventas[[#This Row],[Cantidad]]-Ventas[[#This Row],[Descuento]]</f>
        <v>500</v>
      </c>
      <c r="I529" s="34">
        <f>Ventas[[#This Row],[Total]]-Ventas[[#This Row],[Precio compra]]*Ventas[[#This Row],[Cantidad]]</f>
        <v>275</v>
      </c>
      <c r="J529" s="34"/>
      <c r="K529" s="34">
        <f>Ventas[[#This Row],[Total]]*Ventas[[#This Row],[Total 3]]</f>
        <v>0</v>
      </c>
      <c r="L529" s="34"/>
      <c r="M529" s="34"/>
    </row>
    <row r="530" spans="1:13" ht="21.75" customHeight="1">
      <c r="A530" s="16"/>
      <c r="B530" s="39" t="s">
        <v>736</v>
      </c>
      <c r="C530" s="32" t="str">
        <f>VLOOKUP(Ventas[[#This Row],[Codigo]],Stock[#Data],2,FALSE)</f>
        <v xml:space="preserve"> Blunt Wrap Purple</v>
      </c>
      <c r="D530" s="37">
        <f>VLOOKUP(Ventas[[#This Row],[Codigo]],Stock[#Data],4,FALSE)</f>
        <v>500</v>
      </c>
      <c r="E530" s="33">
        <f>VLOOKUP(Ventas[[#This Row],[Codigo]],Stock[#Data],3,FALSE)</f>
        <v>225</v>
      </c>
      <c r="F530" s="38">
        <v>2</v>
      </c>
      <c r="G530">
        <v>101</v>
      </c>
      <c r="H530" s="36">
        <f>Ventas[[#This Row],[Precio Venta]]*Ventas[[#This Row],[Cantidad]]-Ventas[[#This Row],[Descuento]]</f>
        <v>1000</v>
      </c>
      <c r="I530" s="34">
        <f>Ventas[[#This Row],[Total]]-Ventas[[#This Row],[Precio compra]]*Ventas[[#This Row],[Cantidad]]</f>
        <v>550</v>
      </c>
      <c r="J530" s="34"/>
      <c r="K530" s="34">
        <f>Ventas[[#This Row],[Total]]*Ventas[[#This Row],[Total 3]]</f>
        <v>0</v>
      </c>
      <c r="L530" s="34"/>
      <c r="M530" s="34"/>
    </row>
    <row r="531" spans="1:13" ht="21.75" customHeight="1">
      <c r="A531" s="16"/>
      <c r="B531" s="39" t="s">
        <v>736</v>
      </c>
      <c r="C531" s="32" t="str">
        <f>VLOOKUP(Ventas[[#This Row],[Codigo]],Stock[#Data],2,FALSE)</f>
        <v>OCB Cañamo Organico</v>
      </c>
      <c r="D531" s="37">
        <f>VLOOKUP(Ventas[[#This Row],[Codigo]],Stock[#Data],4,FALSE)</f>
        <v>300</v>
      </c>
      <c r="E531" s="33">
        <f>VLOOKUP(Ventas[[#This Row],[Codigo]],Stock[#Data],3,FALSE)</f>
        <v>165</v>
      </c>
      <c r="F531" s="38">
        <v>2</v>
      </c>
      <c r="G531">
        <v>593</v>
      </c>
      <c r="H531" s="36">
        <f>Ventas[[#This Row],[Precio Venta]]*Ventas[[#This Row],[Cantidad]]-Ventas[[#This Row],[Descuento]]</f>
        <v>600</v>
      </c>
      <c r="I531" s="34">
        <f>Ventas[[#This Row],[Total]]-Ventas[[#This Row],[Precio compra]]*Ventas[[#This Row],[Cantidad]]</f>
        <v>270</v>
      </c>
      <c r="J531" s="34"/>
      <c r="K531" s="34">
        <f>Ventas[[#This Row],[Total]]*Ventas[[#This Row],[Total 3]]</f>
        <v>0</v>
      </c>
      <c r="L531" s="34"/>
      <c r="M531" s="34"/>
    </row>
    <row r="532" spans="1:13" ht="21.75" customHeight="1">
      <c r="A532" s="16"/>
      <c r="B532" s="39" t="s">
        <v>736</v>
      </c>
      <c r="C532" s="32" t="str">
        <f>VLOOKUP(Ventas[[#This Row],[Codigo]],Stock[#Data],2,FALSE)</f>
        <v>Sedas Lion Rolling Circus Ultra Thin</v>
      </c>
      <c r="D532" s="37">
        <f>VLOOKUP(Ventas[[#This Row],[Codigo]],Stock[#Data],4,FALSE)</f>
        <v>250</v>
      </c>
      <c r="E532" s="33">
        <f>VLOOKUP(Ventas[[#This Row],[Codigo]],Stock[#Data],3,FALSE)</f>
        <v>123</v>
      </c>
      <c r="F532" s="38">
        <v>1</v>
      </c>
      <c r="G532">
        <v>309</v>
      </c>
      <c r="H532" s="36">
        <f>Ventas[[#This Row],[Precio Venta]]*Ventas[[#This Row],[Cantidad]]-Ventas[[#This Row],[Descuento]]</f>
        <v>250</v>
      </c>
      <c r="I532" s="34">
        <f>Ventas[[#This Row],[Total]]-Ventas[[#This Row],[Precio compra]]*Ventas[[#This Row],[Cantidad]]</f>
        <v>127</v>
      </c>
      <c r="J532" s="34"/>
      <c r="K532" s="34">
        <f>Ventas[[#This Row],[Total]]*Ventas[[#This Row],[Total 3]]</f>
        <v>0</v>
      </c>
      <c r="L532" s="34"/>
      <c r="M532" s="34"/>
    </row>
    <row r="533" spans="1:13" ht="21.75" customHeight="1">
      <c r="A533" s="16"/>
      <c r="B533" s="39" t="s">
        <v>736</v>
      </c>
      <c r="C533" s="32" t="str">
        <f>VLOOKUP(Ventas[[#This Row],[Codigo]],Stock[#Data],2,FALSE)</f>
        <v>Tips Lion Unbleached</v>
      </c>
      <c r="D533" s="37">
        <f>VLOOKUP(Ventas[[#This Row],[Codigo]],Stock[#Data],4,FALSE)</f>
        <v>250</v>
      </c>
      <c r="E533" s="33">
        <f>VLOOKUP(Ventas[[#This Row],[Codigo]],Stock[#Data],3,FALSE)</f>
        <v>137</v>
      </c>
      <c r="F533" s="38">
        <v>2</v>
      </c>
      <c r="G533">
        <v>458</v>
      </c>
      <c r="H533" s="36">
        <f>Ventas[[#This Row],[Precio Venta]]*Ventas[[#This Row],[Cantidad]]-Ventas[[#This Row],[Descuento]]</f>
        <v>500</v>
      </c>
      <c r="I533" s="34">
        <f>Ventas[[#This Row],[Total]]-Ventas[[#This Row],[Precio compra]]*Ventas[[#This Row],[Cantidad]]</f>
        <v>226</v>
      </c>
      <c r="J533" s="34"/>
      <c r="K533" s="34">
        <f>Ventas[[#This Row],[Total]]*Ventas[[#This Row],[Total 3]]</f>
        <v>0</v>
      </c>
      <c r="L533" s="34"/>
      <c r="M533" s="34"/>
    </row>
    <row r="534" spans="1:13" ht="21.75" customHeight="1">
      <c r="A534" s="16"/>
      <c r="B534" s="39" t="s">
        <v>736</v>
      </c>
      <c r="C534" s="32" t="str">
        <f>VLOOKUP(Ventas[[#This Row],[Codigo]],Stock[#Data],2,FALSE)</f>
        <v>VAMP Guano de murcielago Flora</v>
      </c>
      <c r="D534" s="37">
        <f>VLOOKUP(Ventas[[#This Row],[Codigo]],Stock[#Data],4,FALSE)</f>
        <v>1000</v>
      </c>
      <c r="E534" s="33">
        <f>VLOOKUP(Ventas[[#This Row],[Codigo]],Stock[#Data],3,FALSE)</f>
        <v>510</v>
      </c>
      <c r="F534" s="38">
        <v>1</v>
      </c>
      <c r="G534">
        <v>38</v>
      </c>
      <c r="H534" s="36">
        <f>Ventas[[#This Row],[Precio Venta]]*Ventas[[#This Row],[Cantidad]]-Ventas[[#This Row],[Descuento]]</f>
        <v>1000</v>
      </c>
      <c r="I534" s="34">
        <f>Ventas[[#This Row],[Total]]-Ventas[[#This Row],[Precio compra]]*Ventas[[#This Row],[Cantidad]]</f>
        <v>490</v>
      </c>
      <c r="J534" s="34"/>
      <c r="K534" s="34">
        <f>Ventas[[#This Row],[Total]]*Ventas[[#This Row],[Total 3]]</f>
        <v>0</v>
      </c>
      <c r="L534" s="34"/>
      <c r="M534" s="34"/>
    </row>
    <row r="535" spans="1:13" ht="21.75" customHeight="1">
      <c r="A535" s="16"/>
      <c r="B535" s="39" t="s">
        <v>736</v>
      </c>
      <c r="C535" s="32" t="str">
        <f>VLOOKUP(Ventas[[#This Row],[Codigo]],Stock[#Data],2,FALSE)</f>
        <v>VAMP Supermelaza</v>
      </c>
      <c r="D535" s="37">
        <f>VLOOKUP(Ventas[[#This Row],[Codigo]],Stock[#Data],4,FALSE)</f>
        <v>1800</v>
      </c>
      <c r="E535" s="33">
        <f>VLOOKUP(Ventas[[#This Row],[Codigo]],Stock[#Data],3,FALSE)</f>
        <v>908</v>
      </c>
      <c r="F535" s="38">
        <v>1</v>
      </c>
      <c r="G535">
        <v>36</v>
      </c>
      <c r="H535" s="36">
        <f>Ventas[[#This Row],[Precio Venta]]*Ventas[[#This Row],[Cantidad]]-Ventas[[#This Row],[Descuento]]</f>
        <v>1800</v>
      </c>
      <c r="I535" s="34">
        <f>Ventas[[#This Row],[Total]]-Ventas[[#This Row],[Precio compra]]*Ventas[[#This Row],[Cantidad]]</f>
        <v>892</v>
      </c>
      <c r="J535" s="34"/>
      <c r="K535" s="34">
        <f>Ventas[[#This Row],[Total]]*Ventas[[#This Row],[Total 3]]</f>
        <v>0</v>
      </c>
      <c r="L535" s="34"/>
      <c r="M535" s="34"/>
    </row>
    <row r="536" spans="1:13" ht="21.75" customHeight="1">
      <c r="A536" s="16"/>
      <c r="B536" s="39" t="s">
        <v>736</v>
      </c>
      <c r="C536" s="32" t="str">
        <f>VLOOKUP(Ventas[[#This Row],[Codigo]],Stock[#Data],2,FALSE)</f>
        <v>Sedas Lion Rolling Circus Kz alfalfa</v>
      </c>
      <c r="D536" s="37">
        <f>VLOOKUP(Ventas[[#This Row],[Codigo]],Stock[#Data],4,FALSE)</f>
        <v>550</v>
      </c>
      <c r="E536" s="33">
        <f>VLOOKUP(Ventas[[#This Row],[Codigo]],Stock[#Data],3,FALSE)</f>
        <v>259</v>
      </c>
      <c r="F536" s="38">
        <v>1</v>
      </c>
      <c r="G536">
        <v>64</v>
      </c>
      <c r="H536" s="36">
        <f>Ventas[[#This Row],[Precio Venta]]*Ventas[[#This Row],[Cantidad]]-Ventas[[#This Row],[Descuento]]</f>
        <v>550</v>
      </c>
      <c r="I536" s="34">
        <f>Ventas[[#This Row],[Total]]-Ventas[[#This Row],[Precio compra]]*Ventas[[#This Row],[Cantidad]]</f>
        <v>291</v>
      </c>
      <c r="J536" s="34"/>
      <c r="K536" s="34">
        <f>Ventas[[#This Row],[Total]]*Ventas[[#This Row],[Total 3]]</f>
        <v>0</v>
      </c>
      <c r="L536" s="34"/>
      <c r="M536" s="34"/>
    </row>
    <row r="537" spans="1:13" ht="21.75" customHeight="1">
      <c r="A537" s="16"/>
      <c r="B537" s="39" t="s">
        <v>736</v>
      </c>
      <c r="C537" s="32" t="str">
        <f>VLOOKUP(Ventas[[#This Row],[Codigo]],Stock[#Data],2,FALSE)</f>
        <v>VAMP Supermelaza</v>
      </c>
      <c r="D537" s="37">
        <f>VLOOKUP(Ventas[[#This Row],[Codigo]],Stock[#Data],4,FALSE)</f>
        <v>1800</v>
      </c>
      <c r="E537" s="33">
        <f>VLOOKUP(Ventas[[#This Row],[Codigo]],Stock[#Data],3,FALSE)</f>
        <v>908</v>
      </c>
      <c r="F537" s="38">
        <v>1</v>
      </c>
      <c r="G537">
        <v>36</v>
      </c>
      <c r="H537" s="36">
        <f>Ventas[[#This Row],[Precio Venta]]*Ventas[[#This Row],[Cantidad]]-Ventas[[#This Row],[Descuento]]</f>
        <v>1800</v>
      </c>
      <c r="I537" s="34">
        <f>Ventas[[#This Row],[Total]]-Ventas[[#This Row],[Precio compra]]*Ventas[[#This Row],[Cantidad]]</f>
        <v>892</v>
      </c>
      <c r="J537" s="34"/>
      <c r="K537" s="34">
        <f>Ventas[[#This Row],[Total]]*Ventas[[#This Row],[Total 3]]</f>
        <v>0</v>
      </c>
      <c r="L537" s="34"/>
      <c r="M537" s="34"/>
    </row>
    <row r="538" spans="1:13" ht="21.75" customHeight="1">
      <c r="A538" s="16"/>
      <c r="B538" s="39" t="s">
        <v>736</v>
      </c>
      <c r="C538" s="32" t="str">
        <f>VLOOKUP(Ventas[[#This Row],[Codigo]],Stock[#Data],2,FALSE)</f>
        <v>Maca Brew 500cc</v>
      </c>
      <c r="D538" s="37">
        <f>VLOOKUP(Ventas[[#This Row],[Codigo]],Stock[#Data],4,FALSE)</f>
        <v>1000</v>
      </c>
      <c r="E538" s="33">
        <f>VLOOKUP(Ventas[[#This Row],[Codigo]],Stock[#Data],3,FALSE)</f>
        <v>470</v>
      </c>
      <c r="F538" s="38">
        <v>1</v>
      </c>
      <c r="G538">
        <v>12</v>
      </c>
      <c r="H538" s="36">
        <f>Ventas[[#This Row],[Precio Venta]]*Ventas[[#This Row],[Cantidad]]-Ventas[[#This Row],[Descuento]]</f>
        <v>1000</v>
      </c>
      <c r="I538" s="34">
        <f>Ventas[[#This Row],[Total]]-Ventas[[#This Row],[Precio compra]]*Ventas[[#This Row],[Cantidad]]</f>
        <v>530</v>
      </c>
      <c r="J538" s="34"/>
      <c r="K538" s="34">
        <f>Ventas[[#This Row],[Total]]*Ventas[[#This Row],[Total 3]]</f>
        <v>0</v>
      </c>
      <c r="L538" s="34"/>
      <c r="M538" s="34"/>
    </row>
    <row r="539" spans="1:13" ht="21.75" customHeight="1">
      <c r="A539" s="16"/>
      <c r="B539" s="39" t="s">
        <v>736</v>
      </c>
      <c r="C539" s="32" t="str">
        <f>VLOOKUP(Ventas[[#This Row],[Codigo]],Stock[#Data],2,FALSE)</f>
        <v xml:space="preserve">Timer SICA </v>
      </c>
      <c r="D539" s="37">
        <f>VLOOKUP(Ventas[[#This Row],[Codigo]],Stock[#Data],4,FALSE)</f>
        <v>3000</v>
      </c>
      <c r="E539" s="33">
        <f>VLOOKUP(Ventas[[#This Row],[Codigo]],Stock[#Data],3,FALSE)</f>
        <v>1786</v>
      </c>
      <c r="F539" s="38">
        <v>1</v>
      </c>
      <c r="G539">
        <v>574</v>
      </c>
      <c r="H539" s="36">
        <f>Ventas[[#This Row],[Precio Venta]]*Ventas[[#This Row],[Cantidad]]-Ventas[[#This Row],[Descuento]]</f>
        <v>3000</v>
      </c>
      <c r="I539" s="34">
        <f>Ventas[[#This Row],[Total]]-Ventas[[#This Row],[Precio compra]]*Ventas[[#This Row],[Cantidad]]</f>
        <v>1214</v>
      </c>
      <c r="J539" s="34"/>
      <c r="K539" s="34">
        <f>Ventas[[#This Row],[Total]]*Ventas[[#This Row],[Total 3]]</f>
        <v>0</v>
      </c>
      <c r="L539" s="34"/>
      <c r="M539" s="34"/>
    </row>
    <row r="540" spans="1:13" ht="21.75" customHeight="1">
      <c r="A540" s="16"/>
      <c r="B540" s="39" t="s">
        <v>736</v>
      </c>
      <c r="C540" s="32" t="str">
        <f>VLOOKUP(Ventas[[#This Row],[Codigo]],Stock[#Data],2,FALSE)</f>
        <v>4 en 1 250ml Green Leaf Insumos</v>
      </c>
      <c r="D540" s="37">
        <f>VLOOKUP(Ventas[[#This Row],[Codigo]],Stock[#Data],4,FALSE)</f>
        <v>2300</v>
      </c>
      <c r="E540" s="33">
        <f>VLOOKUP(Ventas[[#This Row],[Codigo]],Stock[#Data],3,FALSE)</f>
        <v>1179</v>
      </c>
      <c r="F540" s="38">
        <v>2</v>
      </c>
      <c r="G540">
        <v>576</v>
      </c>
      <c r="H540" s="36">
        <f>Ventas[[#This Row],[Precio Venta]]*Ventas[[#This Row],[Cantidad]]-Ventas[[#This Row],[Descuento]]</f>
        <v>4600</v>
      </c>
      <c r="I540" s="34">
        <f>Ventas[[#This Row],[Total]]-Ventas[[#This Row],[Precio compra]]*Ventas[[#This Row],[Cantidad]]</f>
        <v>2242</v>
      </c>
      <c r="J540" s="34"/>
      <c r="K540" s="34">
        <f>Ventas[[#This Row],[Total]]*Ventas[[#This Row],[Total 3]]</f>
        <v>0</v>
      </c>
      <c r="L540" s="34"/>
      <c r="M540" s="34"/>
    </row>
    <row r="541" spans="1:13" ht="21.75" customHeight="1">
      <c r="A541" s="16"/>
      <c r="B541" s="39" t="s">
        <v>736</v>
      </c>
      <c r="C541" s="32" t="str">
        <f>VLOOKUP(Ventas[[#This Row],[Codigo]],Stock[#Data],2,FALSE)</f>
        <v>Tijeras Garden High Pro curva</v>
      </c>
      <c r="D541" s="37">
        <f>VLOOKUP(Ventas[[#This Row],[Codigo]],Stock[#Data],4,FALSE)</f>
        <v>4000</v>
      </c>
      <c r="E541" s="33">
        <f>VLOOKUP(Ventas[[#This Row],[Codigo]],Stock[#Data],3,FALSE)</f>
        <v>1926</v>
      </c>
      <c r="F541" s="38">
        <v>1</v>
      </c>
      <c r="G541">
        <v>306</v>
      </c>
      <c r="H541" s="36">
        <f>Ventas[[#This Row],[Precio Venta]]*Ventas[[#This Row],[Cantidad]]-Ventas[[#This Row],[Descuento]]</f>
        <v>4000</v>
      </c>
      <c r="I541" s="34">
        <f>Ventas[[#This Row],[Total]]-Ventas[[#This Row],[Precio compra]]*Ventas[[#This Row],[Cantidad]]</f>
        <v>2074</v>
      </c>
      <c r="J541" s="34"/>
      <c r="K541" s="34">
        <f>Ventas[[#This Row],[Total]]*Ventas[[#This Row],[Total 3]]</f>
        <v>0</v>
      </c>
      <c r="L541" s="34"/>
      <c r="M541" s="34"/>
    </row>
    <row r="542" spans="1:13" ht="21.75" customHeight="1">
      <c r="A542" s="16"/>
      <c r="B542" s="39" t="s">
        <v>733</v>
      </c>
      <c r="C542" s="32" t="str">
        <f>VLOOKUP(Ventas[[#This Row],[Codigo]],Stock[#Data],2,FALSE)</f>
        <v>VAMP Guano de murcielago Flora</v>
      </c>
      <c r="D542" s="37">
        <f>VLOOKUP(Ventas[[#This Row],[Codigo]],Stock[#Data],4,FALSE)</f>
        <v>1000</v>
      </c>
      <c r="E542" s="33">
        <f>VLOOKUP(Ventas[[#This Row],[Codigo]],Stock[#Data],3,FALSE)</f>
        <v>510</v>
      </c>
      <c r="F542" s="38">
        <v>1</v>
      </c>
      <c r="G542">
        <v>38</v>
      </c>
      <c r="H542" s="36">
        <f>Ventas[[#This Row],[Precio Venta]]*Ventas[[#This Row],[Cantidad]]-Ventas[[#This Row],[Descuento]]</f>
        <v>1000</v>
      </c>
      <c r="I542" s="34">
        <f>Ventas[[#This Row],[Total]]-Ventas[[#This Row],[Precio compra]]*Ventas[[#This Row],[Cantidad]]</f>
        <v>490</v>
      </c>
      <c r="J542" s="34"/>
      <c r="K542" s="34">
        <f>Ventas[[#This Row],[Total]]*Ventas[[#This Row],[Total 3]]</f>
        <v>0</v>
      </c>
      <c r="L542" s="34"/>
      <c r="M542" s="34"/>
    </row>
    <row r="543" spans="1:13" ht="21.75" customHeight="1">
      <c r="A543" s="16"/>
      <c r="B543" s="39" t="s">
        <v>733</v>
      </c>
      <c r="C543" s="32" t="str">
        <f>VLOOKUP(Ventas[[#This Row],[Codigo]],Stock[#Data],2,FALSE)</f>
        <v>VAMP Supermelaza</v>
      </c>
      <c r="D543" s="37">
        <f>VLOOKUP(Ventas[[#This Row],[Codigo]],Stock[#Data],4,FALSE)</f>
        <v>1800</v>
      </c>
      <c r="E543" s="33">
        <f>VLOOKUP(Ventas[[#This Row],[Codigo]],Stock[#Data],3,FALSE)</f>
        <v>908</v>
      </c>
      <c r="F543" s="38">
        <v>1</v>
      </c>
      <c r="G543">
        <v>36</v>
      </c>
      <c r="H543" s="36">
        <f>Ventas[[#This Row],[Precio Venta]]*Ventas[[#This Row],[Cantidad]]-Ventas[[#This Row],[Descuento]]</f>
        <v>1800</v>
      </c>
      <c r="I543" s="34">
        <f>Ventas[[#This Row],[Total]]-Ventas[[#This Row],[Precio compra]]*Ventas[[#This Row],[Cantidad]]</f>
        <v>892</v>
      </c>
      <c r="J543" s="34"/>
      <c r="K543" s="34">
        <f>Ventas[[#This Row],[Total]]*Ventas[[#This Row],[Total 3]]</f>
        <v>0</v>
      </c>
      <c r="L543" s="34"/>
      <c r="M543" s="34"/>
    </row>
    <row r="544" spans="1:13" ht="21.75" customHeight="1">
      <c r="A544" s="16"/>
      <c r="B544" s="39" t="s">
        <v>733</v>
      </c>
      <c r="C544" s="32" t="str">
        <f>VLOOKUP(Ventas[[#This Row],[Codigo]],Stock[#Data],2,FALSE)</f>
        <v>CropSecret 250ml Candy Maker</v>
      </c>
      <c r="D544" s="37">
        <f>VLOOKUP(Ventas[[#This Row],[Codigo]],Stock[#Data],4,FALSE)</f>
        <v>2000</v>
      </c>
      <c r="E544" s="33">
        <f>VLOOKUP(Ventas[[#This Row],[Codigo]],Stock[#Data],3,FALSE)</f>
        <v>707</v>
      </c>
      <c r="F544" s="38">
        <v>1</v>
      </c>
      <c r="G544">
        <v>5</v>
      </c>
      <c r="H544" s="36">
        <f>Ventas[[#This Row],[Precio Venta]]*Ventas[[#This Row],[Cantidad]]-Ventas[[#This Row],[Descuento]]</f>
        <v>2000</v>
      </c>
      <c r="I544" s="34">
        <f>Ventas[[#This Row],[Total]]-Ventas[[#This Row],[Precio compra]]*Ventas[[#This Row],[Cantidad]]</f>
        <v>1293</v>
      </c>
      <c r="J544" s="34"/>
      <c r="K544" s="34">
        <f>Ventas[[#This Row],[Total]]*Ventas[[#This Row],[Total 3]]</f>
        <v>0</v>
      </c>
      <c r="L544" s="34"/>
      <c r="M544" s="34"/>
    </row>
    <row r="545" spans="1:13" ht="21.75" customHeight="1">
      <c r="A545" s="16"/>
      <c r="B545" s="39" t="s">
        <v>733</v>
      </c>
      <c r="C545" s="32" t="str">
        <f>VLOOKUP(Ventas[[#This Row],[Codigo]],Stock[#Data],2,FALSE)</f>
        <v>CropSecret 250ml Floral Session</v>
      </c>
      <c r="D545" s="37">
        <f>VLOOKUP(Ventas[[#This Row],[Codigo]],Stock[#Data],4,FALSE)</f>
        <v>2000</v>
      </c>
      <c r="E545" s="33">
        <f>VLOOKUP(Ventas[[#This Row],[Codigo]],Stock[#Data],3,FALSE)</f>
        <v>836</v>
      </c>
      <c r="F545" s="38">
        <v>1</v>
      </c>
      <c r="G545">
        <v>6</v>
      </c>
      <c r="H545" s="36">
        <f>Ventas[[#This Row],[Precio Venta]]*Ventas[[#This Row],[Cantidad]]-Ventas[[#This Row],[Descuento]]</f>
        <v>2000</v>
      </c>
      <c r="I545" s="34">
        <f>Ventas[[#This Row],[Total]]-Ventas[[#This Row],[Precio compra]]*Ventas[[#This Row],[Cantidad]]</f>
        <v>1164</v>
      </c>
      <c r="J545" s="34"/>
      <c r="K545" s="34">
        <f>Ventas[[#This Row],[Total]]*Ventas[[#This Row],[Total 3]]</f>
        <v>0</v>
      </c>
      <c r="L545" s="34"/>
      <c r="M545" s="34"/>
    </row>
    <row r="546" spans="1:13" ht="21.75" customHeight="1">
      <c r="A546" s="16"/>
      <c r="B546" s="39" t="s">
        <v>733</v>
      </c>
      <c r="C546" s="32" t="str">
        <f>VLOOKUP(Ventas[[#This Row],[Codigo]],Stock[#Data],2,FALSE)</f>
        <v>CropSecret 250ml Booster Potion</v>
      </c>
      <c r="D546" s="37">
        <f>VLOOKUP(Ventas[[#This Row],[Codigo]],Stock[#Data],4,FALSE)</f>
        <v>2000</v>
      </c>
      <c r="E546" s="33">
        <f>VLOOKUP(Ventas[[#This Row],[Codigo]],Stock[#Data],3,FALSE)</f>
        <v>836</v>
      </c>
      <c r="F546" s="38">
        <v>1</v>
      </c>
      <c r="G546">
        <v>4</v>
      </c>
      <c r="H546" s="36">
        <f>Ventas[[#This Row],[Precio Venta]]*Ventas[[#This Row],[Cantidad]]-Ventas[[#This Row],[Descuento]]</f>
        <v>2000</v>
      </c>
      <c r="I546" s="34">
        <f>Ventas[[#This Row],[Total]]-Ventas[[#This Row],[Precio compra]]*Ventas[[#This Row],[Cantidad]]</f>
        <v>1164</v>
      </c>
      <c r="J546" s="34"/>
      <c r="K546" s="34">
        <f>Ventas[[#This Row],[Total]]*Ventas[[#This Row],[Total 3]]</f>
        <v>0</v>
      </c>
      <c r="L546" s="34"/>
      <c r="M546" s="34"/>
    </row>
    <row r="547" spans="1:13" ht="21.75" customHeight="1">
      <c r="A547" s="16"/>
      <c r="B547" s="39" t="s">
        <v>733</v>
      </c>
      <c r="C547" s="32" t="str">
        <f>VLOOKUP(Ventas[[#This Row],[Codigo]],Stock[#Data],2,FALSE)</f>
        <v>TreeMIX KILL MIX 45ml</v>
      </c>
      <c r="D547" s="37">
        <f>VLOOKUP(Ventas[[#This Row],[Codigo]],Stock[#Data],4,FALSE)</f>
        <v>650</v>
      </c>
      <c r="E547" s="33">
        <f>VLOOKUP(Ventas[[#This Row],[Codigo]],Stock[#Data],3,FALSE)</f>
        <v>320</v>
      </c>
      <c r="F547" s="38">
        <v>1</v>
      </c>
      <c r="G547">
        <v>27</v>
      </c>
      <c r="H547" s="36">
        <f>Ventas[[#This Row],[Precio Venta]]*Ventas[[#This Row],[Cantidad]]-Ventas[[#This Row],[Descuento]]</f>
        <v>650</v>
      </c>
      <c r="I547" s="34">
        <f>Ventas[[#This Row],[Total]]-Ventas[[#This Row],[Precio compra]]*Ventas[[#This Row],[Cantidad]]</f>
        <v>330</v>
      </c>
      <c r="J547" s="34"/>
      <c r="K547" s="34">
        <f>Ventas[[#This Row],[Total]]*Ventas[[#This Row],[Total 3]]</f>
        <v>0</v>
      </c>
      <c r="L547" s="34"/>
      <c r="M547" s="34"/>
    </row>
    <row r="548" spans="1:13" ht="21.75" customHeight="1">
      <c r="A548" s="16"/>
      <c r="B548" s="39" t="s">
        <v>733</v>
      </c>
      <c r="C548" s="32" t="str">
        <f>VLOOKUP(Ventas[[#This Row],[Codigo]],Stock[#Data],2,FALSE)</f>
        <v>4 en 1 100ml Green Leaf Insumos</v>
      </c>
      <c r="D548" s="37">
        <f>VLOOKUP(Ventas[[#This Row],[Codigo]],Stock[#Data],4,FALSE)</f>
        <v>1000</v>
      </c>
      <c r="E548" s="33">
        <f>VLOOKUP(Ventas[[#This Row],[Codigo]],Stock[#Data],3,FALSE)</f>
        <v>498</v>
      </c>
      <c r="F548" s="38">
        <v>1</v>
      </c>
      <c r="G548">
        <v>575</v>
      </c>
      <c r="H548" s="36">
        <f>Ventas[[#This Row],[Precio Venta]]*Ventas[[#This Row],[Cantidad]]-Ventas[[#This Row],[Descuento]]</f>
        <v>1000</v>
      </c>
      <c r="I548" s="34">
        <f>Ventas[[#This Row],[Total]]-Ventas[[#This Row],[Precio compra]]*Ventas[[#This Row],[Cantidad]]</f>
        <v>502</v>
      </c>
      <c r="J548" s="34"/>
      <c r="K548" s="34">
        <f>Ventas[[#This Row],[Total]]*Ventas[[#This Row],[Total 3]]</f>
        <v>0</v>
      </c>
      <c r="L548" s="34"/>
      <c r="M548" s="34"/>
    </row>
    <row r="549" spans="1:13" ht="21.75" customHeight="1">
      <c r="A549" s="16"/>
      <c r="B549" s="39" t="s">
        <v>734</v>
      </c>
      <c r="C549" s="35" t="str">
        <f>VLOOKUP(Ventas[[#This Row],[Codigo]],Stock[#Data],2,FALSE)</f>
        <v>TreeMIX PRO 45ml</v>
      </c>
      <c r="D549" s="37">
        <f>VLOOKUP(Ventas[[#This Row],[Codigo]],Stock[#Data],4,FALSE)</f>
        <v>700</v>
      </c>
      <c r="E549" s="33">
        <f>VLOOKUP(Ventas[[#This Row],[Codigo]],Stock[#Data],3,FALSE)</f>
        <v>345</v>
      </c>
      <c r="F549" s="38">
        <v>1</v>
      </c>
      <c r="G549">
        <v>25</v>
      </c>
      <c r="H549" s="36">
        <f>Ventas[[#This Row],[Precio Venta]]*Ventas[[#This Row],[Cantidad]]-Ventas[[#This Row],[Descuento]]</f>
        <v>700</v>
      </c>
      <c r="I549" s="34">
        <f>Ventas[[#This Row],[Total]]-Ventas[[#This Row],[Precio compra]]*Ventas[[#This Row],[Cantidad]]</f>
        <v>355</v>
      </c>
      <c r="J549" s="34"/>
      <c r="K549" s="34">
        <f>Ventas[[#This Row],[Total]]*Ventas[[#This Row],[Total 3]]</f>
        <v>0</v>
      </c>
      <c r="L549" s="34"/>
      <c r="M549" s="34"/>
    </row>
    <row r="550" spans="1:13" ht="21.75" customHeight="1">
      <c r="A550" s="16"/>
      <c r="B550" s="39" t="s">
        <v>733</v>
      </c>
      <c r="C550" s="35" t="str">
        <f>VLOOKUP(Ventas[[#This Row],[Codigo]],Stock[#Data],2,FALSE)</f>
        <v>Carpa 120x120x200</v>
      </c>
      <c r="D550" s="37">
        <f>VLOOKUP(Ventas[[#This Row],[Codigo]],Stock[#Data],4,FALSE)</f>
        <v>60000</v>
      </c>
      <c r="E550" s="33">
        <f>VLOOKUP(Ventas[[#This Row],[Codigo]],Stock[#Data],3,FALSE)</f>
        <v>47532</v>
      </c>
      <c r="F550" s="38">
        <v>1</v>
      </c>
      <c r="G550">
        <v>602</v>
      </c>
      <c r="H550" s="36">
        <f>Ventas[[#This Row],[Precio Venta]]*Ventas[[#This Row],[Cantidad]]-Ventas[[#This Row],[Descuento]]</f>
        <v>60000</v>
      </c>
      <c r="I550" s="34">
        <f>Ventas[[#This Row],[Total]]-Ventas[[#This Row],[Precio compra]]*Ventas[[#This Row],[Cantidad]]</f>
        <v>12468</v>
      </c>
      <c r="J550" s="34"/>
      <c r="K550" s="34">
        <f>Ventas[[#This Row],[Total]]*Ventas[[#This Row],[Total 3]]</f>
        <v>0</v>
      </c>
      <c r="L550" s="34"/>
      <c r="M550" s="34"/>
    </row>
    <row r="551" spans="1:13" ht="21.75" customHeight="1">
      <c r="A551" s="16"/>
      <c r="B551" s="39" t="s">
        <v>732</v>
      </c>
      <c r="C551" s="35" t="str">
        <f>VLOOKUP(Ventas[[#This Row],[Codigo]],Stock[#Data],2,FALSE)</f>
        <v>VAMP Guano de murcielago Flora</v>
      </c>
      <c r="D551" s="37">
        <f>VLOOKUP(Ventas[[#This Row],[Codigo]],Stock[#Data],4,FALSE)</f>
        <v>1000</v>
      </c>
      <c r="E551" s="33">
        <f>VLOOKUP(Ventas[[#This Row],[Codigo]],Stock[#Data],3,FALSE)</f>
        <v>510</v>
      </c>
      <c r="F551" s="38">
        <v>1</v>
      </c>
      <c r="G551">
        <v>38</v>
      </c>
      <c r="H551" s="36">
        <f>Ventas[[#This Row],[Precio Venta]]*Ventas[[#This Row],[Cantidad]]-Ventas[[#This Row],[Descuento]]</f>
        <v>1000</v>
      </c>
      <c r="I551" s="34">
        <f>Ventas[[#This Row],[Total]]-Ventas[[#This Row],[Precio compra]]*Ventas[[#This Row],[Cantidad]]</f>
        <v>490</v>
      </c>
      <c r="J551" s="34"/>
      <c r="K551" s="34">
        <f>Ventas[[#This Row],[Total]]*Ventas[[#This Row],[Total 3]]</f>
        <v>0</v>
      </c>
      <c r="L551" s="34"/>
      <c r="M551" s="34"/>
    </row>
    <row r="552" spans="1:13" ht="21.75" customHeight="1">
      <c r="A552" s="16"/>
      <c r="B552" s="39" t="s">
        <v>732</v>
      </c>
      <c r="C552" s="35" t="str">
        <f>VLOOKUP(Ventas[[#This Row],[Codigo]],Stock[#Data],2,FALSE)</f>
        <v>VAMP Supermelaza</v>
      </c>
      <c r="D552" s="37">
        <f>VLOOKUP(Ventas[[#This Row],[Codigo]],Stock[#Data],4,FALSE)</f>
        <v>1800</v>
      </c>
      <c r="E552" s="33">
        <f>VLOOKUP(Ventas[[#This Row],[Codigo]],Stock[#Data],3,FALSE)</f>
        <v>908</v>
      </c>
      <c r="F552" s="38">
        <v>1</v>
      </c>
      <c r="G552">
        <v>36</v>
      </c>
      <c r="H552" s="36">
        <f>Ventas[[#This Row],[Precio Venta]]*Ventas[[#This Row],[Cantidad]]-Ventas[[#This Row],[Descuento]]</f>
        <v>1800</v>
      </c>
      <c r="I552" s="34">
        <f>Ventas[[#This Row],[Total]]-Ventas[[#This Row],[Precio compra]]*Ventas[[#This Row],[Cantidad]]</f>
        <v>892</v>
      </c>
      <c r="J552" s="34"/>
      <c r="K552" s="34">
        <f>Ventas[[#This Row],[Total]]*Ventas[[#This Row],[Total 3]]</f>
        <v>0</v>
      </c>
      <c r="L552" s="34"/>
      <c r="M552" s="34"/>
    </row>
    <row r="553" spans="1:13" ht="21.75" customHeight="1">
      <c r="A553" s="16"/>
      <c r="B553" s="39" t="s">
        <v>732</v>
      </c>
      <c r="C553" s="35" t="str">
        <f>VLOOKUP(Ventas[[#This Row],[Codigo]],Stock[#Data],2,FALSE)</f>
        <v xml:space="preserve">Aceite de Cannabis 30 ml </v>
      </c>
      <c r="D553" s="37">
        <f>VLOOKUP(Ventas[[#This Row],[Codigo]],Stock[#Data],4,FALSE)</f>
        <v>7500</v>
      </c>
      <c r="E553" s="33">
        <f>VLOOKUP(Ventas[[#This Row],[Codigo]],Stock[#Data],3,FALSE)</f>
        <v>5500</v>
      </c>
      <c r="F553" s="38">
        <v>1</v>
      </c>
      <c r="G553">
        <v>525</v>
      </c>
      <c r="H553" s="36">
        <f>Ventas[[#This Row],[Precio Venta]]*Ventas[[#This Row],[Cantidad]]-Ventas[[#This Row],[Descuento]]</f>
        <v>7500</v>
      </c>
      <c r="I553" s="34">
        <f>Ventas[[#This Row],[Total]]-Ventas[[#This Row],[Precio compra]]*Ventas[[#This Row],[Cantidad]]</f>
        <v>2000</v>
      </c>
      <c r="J553" s="34"/>
      <c r="K553" s="34">
        <f>Ventas[[#This Row],[Total]]*Ventas[[#This Row],[Total 3]]</f>
        <v>0</v>
      </c>
      <c r="L553" s="34"/>
      <c r="M553" s="34"/>
    </row>
    <row r="554" spans="1:13" ht="21.75" customHeight="1">
      <c r="A554" s="16"/>
      <c r="B554" s="39" t="s">
        <v>732</v>
      </c>
      <c r="C554" s="35" t="str">
        <f>VLOOKUP(Ventas[[#This Row],[Codigo]],Stock[#Data],2,FALSE)</f>
        <v>Cultivate Jabon Potasico 250ml</v>
      </c>
      <c r="D554" s="37">
        <f>VLOOKUP(Ventas[[#This Row],[Codigo]],Stock[#Data],4,FALSE)</f>
        <v>1600</v>
      </c>
      <c r="E554" s="33">
        <f>VLOOKUP(Ventas[[#This Row],[Codigo]],Stock[#Data],3,FALSE)</f>
        <v>810</v>
      </c>
      <c r="F554" s="38">
        <v>1</v>
      </c>
      <c r="G554">
        <v>542</v>
      </c>
      <c r="H554" s="36">
        <f>Ventas[[#This Row],[Precio Venta]]*Ventas[[#This Row],[Cantidad]]-Ventas[[#This Row],[Descuento]]</f>
        <v>1600</v>
      </c>
      <c r="I554" s="34">
        <f>Ventas[[#This Row],[Total]]-Ventas[[#This Row],[Precio compra]]*Ventas[[#This Row],[Cantidad]]</f>
        <v>790</v>
      </c>
      <c r="J554" s="34"/>
      <c r="K554" s="34">
        <f>Ventas[[#This Row],[Total]]*Ventas[[#This Row],[Total 3]]</f>
        <v>0</v>
      </c>
      <c r="L554" s="34"/>
      <c r="M554" s="34"/>
    </row>
    <row r="555" spans="1:13" ht="21.75" customHeight="1">
      <c r="A555" s="16"/>
      <c r="B555" s="39" t="s">
        <v>730</v>
      </c>
      <c r="C555" s="35" t="str">
        <f>VLOOKUP(Ventas[[#This Row],[Codigo]],Stock[#Data],2,FALSE)</f>
        <v>Sedas Lion Rolling Circus 1/4 alfalfa</v>
      </c>
      <c r="D555" s="37">
        <f>VLOOKUP(Ventas[[#This Row],[Codigo]],Stock[#Data],4,FALSE)</f>
        <v>300</v>
      </c>
      <c r="E555" s="33">
        <f>VLOOKUP(Ventas[[#This Row],[Codigo]],Stock[#Data],3,FALSE)</f>
        <v>150</v>
      </c>
      <c r="F555" s="38">
        <v>2</v>
      </c>
      <c r="G555">
        <v>63</v>
      </c>
      <c r="H555" s="36">
        <f>Ventas[[#This Row],[Precio Venta]]*Ventas[[#This Row],[Cantidad]]-Ventas[[#This Row],[Descuento]]</f>
        <v>600</v>
      </c>
      <c r="I555" s="34">
        <f>Ventas[[#This Row],[Total]]-Ventas[[#This Row],[Precio compra]]*Ventas[[#This Row],[Cantidad]]</f>
        <v>300</v>
      </c>
      <c r="J555" s="34"/>
      <c r="K555" s="34">
        <f>Ventas[[#This Row],[Total]]*Ventas[[#This Row],[Total 3]]</f>
        <v>0</v>
      </c>
      <c r="L555" s="34"/>
      <c r="M555" s="34"/>
    </row>
    <row r="556" spans="1:13" ht="21.75" customHeight="1">
      <c r="A556" s="16"/>
      <c r="B556" s="39" t="s">
        <v>730</v>
      </c>
      <c r="C556" s="35" t="str">
        <f>VLOOKUP(Ventas[[#This Row],[Codigo]],Stock[#Data],2,FALSE)</f>
        <v>Turbina Pico de Silicona</v>
      </c>
      <c r="D556" s="37">
        <f>VLOOKUP(Ventas[[#This Row],[Codigo]],Stock[#Data],4,FALSE)</f>
        <v>2200</v>
      </c>
      <c r="E556" s="33">
        <f>VLOOKUP(Ventas[[#This Row],[Codigo]],Stock[#Data],3,FALSE)</f>
        <v>1076</v>
      </c>
      <c r="F556" s="38">
        <v>1</v>
      </c>
      <c r="G556">
        <v>164</v>
      </c>
      <c r="H556" s="36">
        <f>Ventas[[#This Row],[Precio Venta]]*Ventas[[#This Row],[Cantidad]]-Ventas[[#This Row],[Descuento]]</f>
        <v>2200</v>
      </c>
      <c r="I556" s="34">
        <f>Ventas[[#This Row],[Total]]-Ventas[[#This Row],[Precio compra]]*Ventas[[#This Row],[Cantidad]]</f>
        <v>1124</v>
      </c>
      <c r="J556" s="34"/>
      <c r="K556" s="34">
        <f>Ventas[[#This Row],[Total]]*Ventas[[#This Row],[Total 3]]</f>
        <v>0</v>
      </c>
      <c r="L556" s="34"/>
      <c r="M556" s="34"/>
    </row>
    <row r="557" spans="1:13" ht="21.75" customHeight="1">
      <c r="A557" s="16"/>
      <c r="B557" s="39" t="s">
        <v>730</v>
      </c>
      <c r="C557" s="35" t="str">
        <f>VLOOKUP(Ventas[[#This Row],[Codigo]],Stock[#Data],2,FALSE)</f>
        <v>Tips STAMPS ECO</v>
      </c>
      <c r="D557" s="37">
        <f>VLOOKUP(Ventas[[#This Row],[Codigo]],Stock[#Data],4,FALSE)</f>
        <v>150</v>
      </c>
      <c r="E557" s="33">
        <f>VLOOKUP(Ventas[[#This Row],[Codigo]],Stock[#Data],3,FALSE)</f>
        <v>73</v>
      </c>
      <c r="F557" s="38">
        <v>1</v>
      </c>
      <c r="G557">
        <v>308</v>
      </c>
      <c r="H557" s="36">
        <f>Ventas[[#This Row],[Precio Venta]]*Ventas[[#This Row],[Cantidad]]-Ventas[[#This Row],[Descuento]]</f>
        <v>150</v>
      </c>
      <c r="I557" s="34">
        <f>Ventas[[#This Row],[Total]]-Ventas[[#This Row],[Precio compra]]*Ventas[[#This Row],[Cantidad]]</f>
        <v>77</v>
      </c>
      <c r="J557" s="34"/>
      <c r="K557" s="34">
        <f>Ventas[[#This Row],[Total]]*Ventas[[#This Row],[Total 3]]</f>
        <v>0</v>
      </c>
      <c r="L557" s="34"/>
      <c r="M557" s="34"/>
    </row>
    <row r="558" spans="1:13" ht="21.75" customHeight="1">
      <c r="A558" s="16"/>
      <c r="B558" s="39" t="s">
        <v>730</v>
      </c>
      <c r="C558" s="35" t="str">
        <f>VLOOKUP(Ventas[[#This Row],[Codigo]],Stock[#Data],2,FALSE)</f>
        <v>Tree Mix  Candy 200ml</v>
      </c>
      <c r="D558" s="37">
        <f>VLOOKUP(Ventas[[#This Row],[Codigo]],Stock[#Data],4,FALSE)</f>
        <v>1000</v>
      </c>
      <c r="E558" s="33">
        <f>VLOOKUP(Ventas[[#This Row],[Codigo]],Stock[#Data],3,FALSE)</f>
        <v>520</v>
      </c>
      <c r="F558" s="38">
        <v>1</v>
      </c>
      <c r="G558">
        <v>450</v>
      </c>
      <c r="H558" s="36">
        <f>Ventas[[#This Row],[Precio Venta]]*Ventas[[#This Row],[Cantidad]]-Ventas[[#This Row],[Descuento]]</f>
        <v>1000</v>
      </c>
      <c r="I558" s="34">
        <f>Ventas[[#This Row],[Total]]-Ventas[[#This Row],[Precio compra]]*Ventas[[#This Row],[Cantidad]]</f>
        <v>480</v>
      </c>
      <c r="J558" s="34"/>
      <c r="K558" s="34">
        <f>Ventas[[#This Row],[Total]]*Ventas[[#This Row],[Total 3]]</f>
        <v>0</v>
      </c>
      <c r="L558" s="34"/>
      <c r="M558" s="34"/>
    </row>
    <row r="559" spans="1:13" ht="21.75" customHeight="1">
      <c r="A559" s="16"/>
      <c r="B559" s="39" t="s">
        <v>730</v>
      </c>
      <c r="C559" s="35" t="str">
        <f>VLOOKUP(Ventas[[#This Row],[Codigo]],Stock[#Data],2,FALSE)</f>
        <v>Blunt Lion Rolling Circus TERPENES GELATO</v>
      </c>
      <c r="D559" s="37">
        <f>VLOOKUP(Ventas[[#This Row],[Codigo]],Stock[#Data],4,FALSE)</f>
        <v>850</v>
      </c>
      <c r="E559" s="33">
        <f>VLOOKUP(Ventas[[#This Row],[Codigo]],Stock[#Data],3,FALSE)</f>
        <v>422</v>
      </c>
      <c r="F559" s="38">
        <v>1</v>
      </c>
      <c r="G559">
        <v>99</v>
      </c>
      <c r="H559" s="36">
        <f>Ventas[[#This Row],[Precio Venta]]*Ventas[[#This Row],[Cantidad]]-Ventas[[#This Row],[Descuento]]</f>
        <v>850</v>
      </c>
      <c r="I559" s="34">
        <f>Ventas[[#This Row],[Total]]-Ventas[[#This Row],[Precio compra]]*Ventas[[#This Row],[Cantidad]]</f>
        <v>428</v>
      </c>
      <c r="J559" s="34"/>
      <c r="K559" s="34">
        <f>Ventas[[#This Row],[Total]]*Ventas[[#This Row],[Total 3]]</f>
        <v>0</v>
      </c>
      <c r="L559" s="34"/>
      <c r="M559" s="34"/>
    </row>
    <row r="560" spans="1:13" ht="21.75" customHeight="1">
      <c r="A560" s="16"/>
      <c r="B560" s="39" t="s">
        <v>730</v>
      </c>
      <c r="C560" s="35" t="str">
        <f>VLOOKUP(Ventas[[#This Row],[Codigo]],Stock[#Data],2,FALSE)</f>
        <v>TreeMIX PRO 200ml</v>
      </c>
      <c r="D560" s="37">
        <f>VLOOKUP(Ventas[[#This Row],[Codigo]],Stock[#Data],4,FALSE)</f>
        <v>1500</v>
      </c>
      <c r="E560" s="33">
        <f>VLOOKUP(Ventas[[#This Row],[Codigo]],Stock[#Data],3,FALSE)</f>
        <v>700</v>
      </c>
      <c r="F560" s="38">
        <v>1</v>
      </c>
      <c r="G560">
        <v>30</v>
      </c>
      <c r="H560" s="36">
        <f>Ventas[[#This Row],[Precio Venta]]*Ventas[[#This Row],[Cantidad]]-Ventas[[#This Row],[Descuento]]</f>
        <v>1500</v>
      </c>
      <c r="I560" s="34">
        <f>Ventas[[#This Row],[Total]]-Ventas[[#This Row],[Precio compra]]*Ventas[[#This Row],[Cantidad]]</f>
        <v>800</v>
      </c>
      <c r="J560" s="34"/>
      <c r="K560" s="34">
        <f>Ventas[[#This Row],[Total]]*Ventas[[#This Row],[Total 3]]</f>
        <v>0</v>
      </c>
      <c r="L560" s="34"/>
      <c r="M560" s="34"/>
    </row>
    <row r="561" spans="1:13" ht="21.75" customHeight="1">
      <c r="A561" s="16"/>
      <c r="B561" s="39" t="s">
        <v>730</v>
      </c>
      <c r="C561" s="35" t="str">
        <f>VLOOKUP(Ventas[[#This Row],[Codigo]],Stock[#Data],2,FALSE)</f>
        <v>TreeMIX CANDY 45 ml</v>
      </c>
      <c r="D561" s="37">
        <f>VLOOKUP(Ventas[[#This Row],[Codigo]],Stock[#Data],4,FALSE)</f>
        <v>500</v>
      </c>
      <c r="E561" s="33">
        <f>VLOOKUP(Ventas[[#This Row],[Codigo]],Stock[#Data],3,FALSE)</f>
        <v>220</v>
      </c>
      <c r="F561" s="38">
        <v>1</v>
      </c>
      <c r="G561">
        <v>26</v>
      </c>
      <c r="H561" s="36">
        <f>Ventas[[#This Row],[Precio Venta]]*Ventas[[#This Row],[Cantidad]]-Ventas[[#This Row],[Descuento]]</f>
        <v>500</v>
      </c>
      <c r="I561" s="34">
        <f>Ventas[[#This Row],[Total]]-Ventas[[#This Row],[Precio compra]]*Ventas[[#This Row],[Cantidad]]</f>
        <v>280</v>
      </c>
      <c r="J561" s="34"/>
      <c r="K561" s="34">
        <f>Ventas[[#This Row],[Total]]*Ventas[[#This Row],[Total 3]]</f>
        <v>0</v>
      </c>
      <c r="L561" s="34"/>
      <c r="M561" s="34"/>
    </row>
    <row r="562" spans="1:13" ht="21.75" customHeight="1">
      <c r="A562" s="16"/>
      <c r="B562" s="39" t="s">
        <v>730</v>
      </c>
      <c r="C562" s="35" t="str">
        <f>VLOOKUP(Ventas[[#This Row],[Codigo]],Stock[#Data],2,FALSE)</f>
        <v>Picador Metálico 4p Blanco</v>
      </c>
      <c r="D562" s="37">
        <f>VLOOKUP(Ventas[[#This Row],[Codigo]],Stock[#Data],4,FALSE)</f>
        <v>5000</v>
      </c>
      <c r="E562" s="33">
        <f>VLOOKUP(Ventas[[#This Row],[Codigo]],Stock[#Data],3,FALSE)</f>
        <v>2500</v>
      </c>
      <c r="F562" s="38">
        <v>1</v>
      </c>
      <c r="G562">
        <v>536</v>
      </c>
      <c r="H562" s="36">
        <f>Ventas[[#This Row],[Precio Venta]]*Ventas[[#This Row],[Cantidad]]-Ventas[[#This Row],[Descuento]]</f>
        <v>5000</v>
      </c>
      <c r="I562" s="34">
        <f>Ventas[[#This Row],[Total]]-Ventas[[#This Row],[Precio compra]]*Ventas[[#This Row],[Cantidad]]</f>
        <v>2500</v>
      </c>
      <c r="J562" s="34"/>
      <c r="K562" s="34">
        <f>Ventas[[#This Row],[Total]]*Ventas[[#This Row],[Total 3]]</f>
        <v>0</v>
      </c>
      <c r="L562" s="34"/>
      <c r="M562" s="34"/>
    </row>
    <row r="563" spans="1:13" ht="21.75" customHeight="1">
      <c r="A563" s="16"/>
      <c r="B563" s="39" t="s">
        <v>730</v>
      </c>
      <c r="C563" s="35" t="str">
        <f>VLOOKUP(Ventas[[#This Row],[Codigo]],Stock[#Data],2,FALSE)</f>
        <v>Crop Secret Floral session 500ml</v>
      </c>
      <c r="D563" s="37">
        <f>VLOOKUP(Ventas[[#This Row],[Codigo]],Stock[#Data],4,FALSE)</f>
        <v>2700</v>
      </c>
      <c r="E563" s="33">
        <f>VLOOKUP(Ventas[[#This Row],[Codigo]],Stock[#Data],3,FALSE)</f>
        <v>1350</v>
      </c>
      <c r="F563" s="38">
        <v>1</v>
      </c>
      <c r="G563">
        <v>364</v>
      </c>
      <c r="H563" s="36">
        <f>Ventas[[#This Row],[Precio Venta]]*Ventas[[#This Row],[Cantidad]]-Ventas[[#This Row],[Descuento]]</f>
        <v>2700</v>
      </c>
      <c r="I563" s="34">
        <f>Ventas[[#This Row],[Total]]-Ventas[[#This Row],[Precio compra]]*Ventas[[#This Row],[Cantidad]]</f>
        <v>1350</v>
      </c>
      <c r="J563" s="34"/>
      <c r="K563" s="34">
        <f>Ventas[[#This Row],[Total]]*Ventas[[#This Row],[Total 3]]</f>
        <v>0</v>
      </c>
      <c r="L563" s="34"/>
      <c r="M563" s="34"/>
    </row>
    <row r="564" spans="1:13" ht="21.75" customHeight="1">
      <c r="A564" s="16"/>
      <c r="B564" s="39" t="s">
        <v>730</v>
      </c>
      <c r="C564" s="35" t="str">
        <f>VLOOKUP(Ventas[[#This Row],[Codigo]],Stock[#Data],2,FALSE)</f>
        <v>CropSecret 250ml Booster Potion</v>
      </c>
      <c r="D564" s="37">
        <f>VLOOKUP(Ventas[[#This Row],[Codigo]],Stock[#Data],4,FALSE)</f>
        <v>2000</v>
      </c>
      <c r="E564" s="33">
        <f>VLOOKUP(Ventas[[#This Row],[Codigo]],Stock[#Data],3,FALSE)</f>
        <v>836</v>
      </c>
      <c r="F564" s="38">
        <v>1</v>
      </c>
      <c r="G564">
        <v>4</v>
      </c>
      <c r="H564" s="36">
        <f>Ventas[[#This Row],[Precio Venta]]*Ventas[[#This Row],[Cantidad]]-Ventas[[#This Row],[Descuento]]</f>
        <v>2000</v>
      </c>
      <c r="I564" s="34">
        <f>Ventas[[#This Row],[Total]]-Ventas[[#This Row],[Precio compra]]*Ventas[[#This Row],[Cantidad]]</f>
        <v>1164</v>
      </c>
      <c r="J564" s="34"/>
      <c r="K564" s="34">
        <f>Ventas[[#This Row],[Total]]*Ventas[[#This Row],[Total 3]]</f>
        <v>0</v>
      </c>
      <c r="L564" s="34"/>
      <c r="M564" s="34"/>
    </row>
    <row r="565" spans="1:13" ht="21.75" customHeight="1">
      <c r="A565" s="16"/>
      <c r="B565" s="39" t="s">
        <v>730</v>
      </c>
      <c r="C565" s="35" t="str">
        <f>VLOOKUP(Ventas[[#This Row],[Codigo]],Stock[#Data],2,FALSE)</f>
        <v>Tips Lion Unbleached</v>
      </c>
      <c r="D565" s="37">
        <f>VLOOKUP(Ventas[[#This Row],[Codigo]],Stock[#Data],4,FALSE)</f>
        <v>250</v>
      </c>
      <c r="E565" s="33">
        <f>VLOOKUP(Ventas[[#This Row],[Codigo]],Stock[#Data],3,FALSE)</f>
        <v>137</v>
      </c>
      <c r="F565" s="38">
        <v>1</v>
      </c>
      <c r="G565">
        <v>458</v>
      </c>
      <c r="H565" s="36">
        <f>Ventas[[#This Row],[Precio Venta]]*Ventas[[#This Row],[Cantidad]]-Ventas[[#This Row],[Descuento]]</f>
        <v>250</v>
      </c>
      <c r="I565" s="34">
        <f>Ventas[[#This Row],[Total]]-Ventas[[#This Row],[Precio compra]]*Ventas[[#This Row],[Cantidad]]</f>
        <v>113</v>
      </c>
      <c r="J565" s="34"/>
      <c r="K565" s="34">
        <f>Ventas[[#This Row],[Total]]*Ventas[[#This Row],[Total 3]]</f>
        <v>0</v>
      </c>
      <c r="L565" s="34"/>
      <c r="M565" s="34"/>
    </row>
    <row r="566" spans="1:13" ht="21.75" customHeight="1">
      <c r="A566" s="16"/>
      <c r="B566" s="39" t="s">
        <v>730</v>
      </c>
      <c r="C566" s="35" t="str">
        <f>VLOOKUP(Ventas[[#This Row],[Codigo]],Stock[#Data],2,FALSE)</f>
        <v>Sedas GIZEH Kz Pink</v>
      </c>
      <c r="D566" s="37">
        <f>VLOOKUP(Ventas[[#This Row],[Codigo]],Stock[#Data],4,FALSE)</f>
        <v>600</v>
      </c>
      <c r="E566" s="33">
        <f>VLOOKUP(Ventas[[#This Row],[Codigo]],Stock[#Data],3,FALSE)</f>
        <v>298</v>
      </c>
      <c r="F566" s="38">
        <v>1</v>
      </c>
      <c r="G566">
        <v>86</v>
      </c>
      <c r="H566" s="36">
        <f>Ventas[[#This Row],[Precio Venta]]*Ventas[[#This Row],[Cantidad]]-Ventas[[#This Row],[Descuento]]</f>
        <v>600</v>
      </c>
      <c r="I566" s="34">
        <f>Ventas[[#This Row],[Total]]-Ventas[[#This Row],[Precio compra]]*Ventas[[#This Row],[Cantidad]]</f>
        <v>302</v>
      </c>
      <c r="J566" s="34"/>
      <c r="K566" s="34">
        <f>Ventas[[#This Row],[Total]]*Ventas[[#This Row],[Total 3]]</f>
        <v>0</v>
      </c>
      <c r="L566" s="34"/>
      <c r="M566" s="34"/>
    </row>
    <row r="567" spans="1:13" ht="21.75" customHeight="1">
      <c r="A567" s="16"/>
      <c r="B567" s="39" t="s">
        <v>730</v>
      </c>
      <c r="C567" s="35" t="str">
        <f>VLOOKUP(Ventas[[#This Row],[Codigo]],Stock[#Data],2,FALSE)</f>
        <v xml:space="preserve">Tabaquera GB </v>
      </c>
      <c r="D567" s="37">
        <f>VLOOKUP(Ventas[[#This Row],[Codigo]],Stock[#Data],4,FALSE)</f>
        <v>1000</v>
      </c>
      <c r="E567" s="33">
        <f>VLOOKUP(Ventas[[#This Row],[Codigo]],Stock[#Data],3,FALSE)</f>
        <v>500</v>
      </c>
      <c r="F567" s="38">
        <v>1</v>
      </c>
      <c r="G567">
        <v>411</v>
      </c>
      <c r="H567" s="36">
        <f>Ventas[[#This Row],[Precio Venta]]*Ventas[[#This Row],[Cantidad]]-Ventas[[#This Row],[Descuento]]</f>
        <v>1000</v>
      </c>
      <c r="I567" s="34">
        <f>Ventas[[#This Row],[Total]]-Ventas[[#This Row],[Precio compra]]*Ventas[[#This Row],[Cantidad]]</f>
        <v>500</v>
      </c>
      <c r="J567" s="34"/>
      <c r="K567" s="34">
        <f>Ventas[[#This Row],[Total]]*Ventas[[#This Row],[Total 3]]</f>
        <v>0</v>
      </c>
      <c r="L567" s="34"/>
      <c r="M567" s="34"/>
    </row>
    <row r="568" spans="1:13" ht="21.75" customHeight="1">
      <c r="A568" s="16"/>
      <c r="B568" s="39" t="s">
        <v>730</v>
      </c>
      <c r="C568" s="35" t="str">
        <f>VLOOKUP(Ventas[[#This Row],[Codigo]],Stock[#Data],2,FALSE)</f>
        <v>Sauver XL</v>
      </c>
      <c r="D568" s="37">
        <f>VLOOKUP(Ventas[[#This Row],[Codigo]],Stock[#Data],4,FALSE)</f>
        <v>200</v>
      </c>
      <c r="E568" s="33">
        <f>VLOOKUP(Ventas[[#This Row],[Codigo]],Stock[#Data],3,FALSE)</f>
        <v>65</v>
      </c>
      <c r="F568" s="38">
        <v>1</v>
      </c>
      <c r="G568">
        <v>529</v>
      </c>
      <c r="H568" s="36">
        <f>Ventas[[#This Row],[Precio Venta]]*Ventas[[#This Row],[Cantidad]]-Ventas[[#This Row],[Descuento]]</f>
        <v>200</v>
      </c>
      <c r="I568" s="34">
        <f>Ventas[[#This Row],[Total]]-Ventas[[#This Row],[Precio compra]]*Ventas[[#This Row],[Cantidad]]</f>
        <v>135</v>
      </c>
      <c r="J568" s="34"/>
      <c r="K568" s="34">
        <f>Ventas[[#This Row],[Total]]*Ventas[[#This Row],[Total 3]]</f>
        <v>0</v>
      </c>
      <c r="L568" s="34"/>
      <c r="M568" s="34"/>
    </row>
    <row r="569" spans="1:13" ht="21.75" customHeight="1">
      <c r="A569" s="16"/>
      <c r="B569" s="39" t="s">
        <v>730</v>
      </c>
      <c r="C569" s="35" t="str">
        <f>VLOOKUP(Ventas[[#This Row],[Codigo]],Stock[#Data],2,FALSE)</f>
        <v>Bandeja Blunt Rey chicas m/v</v>
      </c>
      <c r="D569" s="37">
        <f>VLOOKUP(Ventas[[#This Row],[Codigo]],Stock[#Data],4,FALSE)</f>
        <v>2100</v>
      </c>
      <c r="E569" s="33">
        <f>VLOOKUP(Ventas[[#This Row],[Codigo]],Stock[#Data],3,FALSE)</f>
        <v>1047</v>
      </c>
      <c r="F569" s="38">
        <v>1</v>
      </c>
      <c r="G569">
        <v>128</v>
      </c>
      <c r="H569" s="36">
        <f>Ventas[[#This Row],[Precio Venta]]*Ventas[[#This Row],[Cantidad]]-Ventas[[#This Row],[Descuento]]</f>
        <v>2100</v>
      </c>
      <c r="I569" s="34">
        <f>Ventas[[#This Row],[Total]]-Ventas[[#This Row],[Precio compra]]*Ventas[[#This Row],[Cantidad]]</f>
        <v>1053</v>
      </c>
      <c r="J569" s="34"/>
      <c r="K569" s="34">
        <f>Ventas[[#This Row],[Total]]*Ventas[[#This Row],[Total 3]]</f>
        <v>0</v>
      </c>
      <c r="L569" s="34"/>
      <c r="M569" s="34"/>
    </row>
    <row r="570" spans="1:13" ht="21.75" customHeight="1">
      <c r="A570" s="16"/>
      <c r="B570" s="39" t="s">
        <v>730</v>
      </c>
      <c r="C570" s="35" t="str">
        <f>VLOOKUP(Ventas[[#This Row],[Codigo]],Stock[#Data],2,FALSE)</f>
        <v>VAMP Supermelaza</v>
      </c>
      <c r="D570" s="37">
        <f>VLOOKUP(Ventas[[#This Row],[Codigo]],Stock[#Data],4,FALSE)</f>
        <v>1800</v>
      </c>
      <c r="E570" s="33">
        <f>VLOOKUP(Ventas[[#This Row],[Codigo]],Stock[#Data],3,FALSE)</f>
        <v>908</v>
      </c>
      <c r="F570" s="38">
        <v>1</v>
      </c>
      <c r="G570">
        <v>36</v>
      </c>
      <c r="H570" s="36">
        <f>Ventas[[#This Row],[Precio Venta]]*Ventas[[#This Row],[Cantidad]]-Ventas[[#This Row],[Descuento]]</f>
        <v>1800</v>
      </c>
      <c r="I570" s="34">
        <f>Ventas[[#This Row],[Total]]-Ventas[[#This Row],[Precio compra]]*Ventas[[#This Row],[Cantidad]]</f>
        <v>892</v>
      </c>
      <c r="J570" s="34"/>
      <c r="K570" s="34">
        <f>Ventas[[#This Row],[Total]]*Ventas[[#This Row],[Total 3]]</f>
        <v>0</v>
      </c>
      <c r="L570" s="34"/>
      <c r="M570" s="34"/>
    </row>
    <row r="571" spans="1:13" ht="21.75" customHeight="1">
      <c r="A571" s="16"/>
      <c r="B571" s="39" t="s">
        <v>730</v>
      </c>
      <c r="C571" s="35" t="str">
        <f>VLOOKUP(Ventas[[#This Row],[Codigo]],Stock[#Data],2,FALSE)</f>
        <v>VAMP Guano de murcielago Flora</v>
      </c>
      <c r="D571" s="37">
        <f>VLOOKUP(Ventas[[#This Row],[Codigo]],Stock[#Data],4,FALSE)</f>
        <v>1000</v>
      </c>
      <c r="E571" s="33">
        <f>VLOOKUP(Ventas[[#This Row],[Codigo]],Stock[#Data],3,FALSE)</f>
        <v>510</v>
      </c>
      <c r="F571" s="38">
        <v>1</v>
      </c>
      <c r="G571">
        <v>38</v>
      </c>
      <c r="H571" s="36">
        <f>Ventas[[#This Row],[Precio Venta]]*Ventas[[#This Row],[Cantidad]]-Ventas[[#This Row],[Descuento]]</f>
        <v>1000</v>
      </c>
      <c r="I571" s="34">
        <f>Ventas[[#This Row],[Total]]-Ventas[[#This Row],[Precio compra]]*Ventas[[#This Row],[Cantidad]]</f>
        <v>490</v>
      </c>
      <c r="J571" s="34"/>
      <c r="K571" s="34">
        <f>Ventas[[#This Row],[Total]]*Ventas[[#This Row],[Total 3]]</f>
        <v>0</v>
      </c>
      <c r="L571" s="34"/>
      <c r="M571" s="34"/>
    </row>
    <row r="572" spans="1:13" ht="21.75" customHeight="1">
      <c r="A572" s="16"/>
      <c r="B572" s="39" t="s">
        <v>725</v>
      </c>
      <c r="C572" s="35" t="str">
        <f>VLOOKUP(Ventas[[#This Row],[Codigo]],Stock[#Data],2,FALSE)</f>
        <v>Sedas Lion Rolling Circus 1/4 alfalfa</v>
      </c>
      <c r="D572" s="37">
        <f>VLOOKUP(Ventas[[#This Row],[Codigo]],Stock[#Data],4,FALSE)</f>
        <v>300</v>
      </c>
      <c r="E572" s="33">
        <f>VLOOKUP(Ventas[[#This Row],[Codigo]],Stock[#Data],3,FALSE)</f>
        <v>150</v>
      </c>
      <c r="F572" s="38">
        <v>1</v>
      </c>
      <c r="G572">
        <v>63</v>
      </c>
      <c r="H572" s="36">
        <f>Ventas[[#This Row],[Precio Venta]]*Ventas[[#This Row],[Cantidad]]-Ventas[[#This Row],[Descuento]]</f>
        <v>300</v>
      </c>
      <c r="I572" s="34">
        <f>Ventas[[#This Row],[Total]]-Ventas[[#This Row],[Precio compra]]*Ventas[[#This Row],[Cantidad]]</f>
        <v>150</v>
      </c>
      <c r="J572" s="34"/>
      <c r="K572" s="34">
        <f>Ventas[[#This Row],[Total]]*Ventas[[#This Row],[Total 3]]</f>
        <v>0</v>
      </c>
      <c r="L572" s="34"/>
      <c r="M572" s="34"/>
    </row>
    <row r="573" spans="1:13" ht="21.75" customHeight="1">
      <c r="A573" s="16"/>
      <c r="B573" s="39" t="s">
        <v>725</v>
      </c>
      <c r="C573" s="35" t="str">
        <f>VLOOKUP(Ventas[[#This Row],[Codigo]],Stock[#Data],2,FALSE)</f>
        <v>Sedas OCB 1/4 Virgin Papers</v>
      </c>
      <c r="D573" s="37">
        <f>VLOOKUP(Ventas[[#This Row],[Codigo]],Stock[#Data],4,FALSE)</f>
        <v>300</v>
      </c>
      <c r="E573" s="33">
        <f>VLOOKUP(Ventas[[#This Row],[Codigo]],Stock[#Data],3,FALSE)</f>
        <v>165</v>
      </c>
      <c r="F573" s="38">
        <v>1</v>
      </c>
      <c r="G573">
        <v>76</v>
      </c>
      <c r="H573" s="36">
        <f>Ventas[[#This Row],[Precio Venta]]*Ventas[[#This Row],[Cantidad]]-Ventas[[#This Row],[Descuento]]</f>
        <v>300</v>
      </c>
      <c r="I573" s="34">
        <f>Ventas[[#This Row],[Total]]-Ventas[[#This Row],[Precio compra]]*Ventas[[#This Row],[Cantidad]]</f>
        <v>135</v>
      </c>
      <c r="J573" s="34"/>
      <c r="K573" s="34">
        <f>Ventas[[#This Row],[Total]]*Ventas[[#This Row],[Total 3]]</f>
        <v>0</v>
      </c>
      <c r="L573" s="34"/>
      <c r="M573" s="34"/>
    </row>
    <row r="574" spans="1:13" ht="21.75" customHeight="1">
      <c r="A574" s="16"/>
      <c r="B574" s="39" t="s">
        <v>725</v>
      </c>
      <c r="C574" s="35" t="str">
        <f>VLOOKUP(Ventas[[#This Row],[Codigo]],Stock[#Data],2,FALSE)</f>
        <v>Namaste Shanti 100ml</v>
      </c>
      <c r="D574" s="37">
        <f>VLOOKUP(Ventas[[#This Row],[Codigo]],Stock[#Data],4,FALSE)</f>
        <v>2000</v>
      </c>
      <c r="E574" s="33">
        <f>VLOOKUP(Ventas[[#This Row],[Codigo]],Stock[#Data],3,FALSE)</f>
        <v>932</v>
      </c>
      <c r="F574" s="38">
        <v>1</v>
      </c>
      <c r="G574">
        <v>569</v>
      </c>
      <c r="H574" s="36">
        <f>Ventas[[#This Row],[Precio Venta]]*Ventas[[#This Row],[Cantidad]]-Ventas[[#This Row],[Descuento]]</f>
        <v>2000</v>
      </c>
      <c r="I574" s="34">
        <f>Ventas[[#This Row],[Total]]-Ventas[[#This Row],[Precio compra]]*Ventas[[#This Row],[Cantidad]]</f>
        <v>1068</v>
      </c>
      <c r="J574" s="34"/>
      <c r="K574" s="34">
        <f>Ventas[[#This Row],[Total]]*Ventas[[#This Row],[Total 3]]</f>
        <v>0</v>
      </c>
      <c r="L574" s="34"/>
      <c r="M574" s="34"/>
    </row>
    <row r="575" spans="1:13" ht="21.75" customHeight="1">
      <c r="A575" s="16"/>
      <c r="B575" s="39" t="s">
        <v>725</v>
      </c>
      <c r="C575" s="35" t="str">
        <f>VLOOKUP(Ventas[[#This Row],[Codigo]],Stock[#Data],2,FALSE)</f>
        <v>Led Growtech 200w</v>
      </c>
      <c r="D575" s="37">
        <f>VLOOKUP(Ventas[[#This Row],[Codigo]],Stock[#Data],4,FALSE)</f>
        <v>36000</v>
      </c>
      <c r="E575" s="33">
        <f>VLOOKUP(Ventas[[#This Row],[Codigo]],Stock[#Data],3,FALSE)</f>
        <v>27360</v>
      </c>
      <c r="F575" s="38">
        <v>1</v>
      </c>
      <c r="G575">
        <v>603</v>
      </c>
      <c r="H575" s="36">
        <f>Ventas[[#This Row],[Precio Venta]]*Ventas[[#This Row],[Cantidad]]-Ventas[[#This Row],[Descuento]]</f>
        <v>36000</v>
      </c>
      <c r="I575" s="34">
        <f>Ventas[[#This Row],[Total]]-Ventas[[#This Row],[Precio compra]]*Ventas[[#This Row],[Cantidad]]</f>
        <v>8640</v>
      </c>
      <c r="J575" s="34"/>
      <c r="K575" s="34">
        <f>Ventas[[#This Row],[Total]]*Ventas[[#This Row],[Total 3]]</f>
        <v>0</v>
      </c>
      <c r="L575" s="34"/>
      <c r="M575" s="34"/>
    </row>
    <row r="576" spans="1:13" ht="21.75" customHeight="1">
      <c r="A576" s="16"/>
      <c r="B576" s="39" t="s">
        <v>727</v>
      </c>
      <c r="C576" s="35" t="str">
        <f>VLOOKUP(Ventas[[#This Row],[Codigo]],Stock[#Data],2,FALSE)</f>
        <v>Led Growtech 300watts</v>
      </c>
      <c r="D576" s="37">
        <f>VLOOKUP(Ventas[[#This Row],[Codigo]],Stock[#Data],4,FALSE)</f>
        <v>37000</v>
      </c>
      <c r="E576" s="33">
        <f>VLOOKUP(Ventas[[#This Row],[Codigo]],Stock[#Data],3,FALSE)</f>
        <v>30960</v>
      </c>
      <c r="F576" s="38">
        <v>1</v>
      </c>
      <c r="G576">
        <v>353</v>
      </c>
      <c r="H576" s="36">
        <f>Ventas[[#This Row],[Precio Venta]]*Ventas[[#This Row],[Cantidad]]-Ventas[[#This Row],[Descuento]]</f>
        <v>37000</v>
      </c>
      <c r="I576" s="34">
        <f>Ventas[[#This Row],[Total]]-Ventas[[#This Row],[Precio compra]]*Ventas[[#This Row],[Cantidad]]</f>
        <v>6040</v>
      </c>
      <c r="J576" s="34"/>
      <c r="K576" s="34">
        <f>Ventas[[#This Row],[Total]]*Ventas[[#This Row],[Total 3]]</f>
        <v>0</v>
      </c>
      <c r="L576" s="34"/>
      <c r="M576" s="34"/>
    </row>
    <row r="577" spans="1:13" ht="21.75" customHeight="1">
      <c r="A577" s="16"/>
      <c r="B577" s="39" t="s">
        <v>725</v>
      </c>
      <c r="C577" s="35" t="str">
        <f>VLOOKUP(Ventas[[#This Row],[Codigo]],Stock[#Data],2,FALSE)</f>
        <v>Sedas Smoking x 300</v>
      </c>
      <c r="D577" s="37">
        <f>VLOOKUP(Ventas[[#This Row],[Codigo]],Stock[#Data],4,FALSE)</f>
        <v>450</v>
      </c>
      <c r="E577" s="33">
        <f>VLOOKUP(Ventas[[#This Row],[Codigo]],Stock[#Data],3,FALSE)</f>
        <v>223</v>
      </c>
      <c r="F577" s="38">
        <v>1</v>
      </c>
      <c r="G577">
        <v>83</v>
      </c>
      <c r="H577" s="36">
        <f>Ventas[[#This Row],[Precio Venta]]*Ventas[[#This Row],[Cantidad]]-Ventas[[#This Row],[Descuento]]</f>
        <v>450</v>
      </c>
      <c r="I577" s="34">
        <f>Ventas[[#This Row],[Total]]-Ventas[[#This Row],[Precio compra]]*Ventas[[#This Row],[Cantidad]]</f>
        <v>227</v>
      </c>
      <c r="J577" s="34"/>
      <c r="K577" s="34">
        <f>Ventas[[#This Row],[Total]]*Ventas[[#This Row],[Total 3]]</f>
        <v>0</v>
      </c>
      <c r="L577" s="34"/>
      <c r="M577" s="34"/>
    </row>
    <row r="578" spans="1:13" ht="21.75" customHeight="1">
      <c r="A578" s="16"/>
      <c r="B578" s="39" t="s">
        <v>725</v>
      </c>
      <c r="C578" s="35" t="str">
        <f>VLOOKUP(Ventas[[#This Row],[Codigo]],Stock[#Data],2,FALSE)</f>
        <v>Tips STAMPS ECO</v>
      </c>
      <c r="D578" s="37">
        <f>VLOOKUP(Ventas[[#This Row],[Codigo]],Stock[#Data],4,FALSE)</f>
        <v>150</v>
      </c>
      <c r="E578" s="33">
        <f>VLOOKUP(Ventas[[#This Row],[Codigo]],Stock[#Data],3,FALSE)</f>
        <v>73</v>
      </c>
      <c r="F578" s="38">
        <v>1</v>
      </c>
      <c r="G578">
        <v>308</v>
      </c>
      <c r="H578" s="36">
        <f>Ventas[[#This Row],[Precio Venta]]*Ventas[[#This Row],[Cantidad]]-Ventas[[#This Row],[Descuento]]</f>
        <v>150</v>
      </c>
      <c r="I578" s="34">
        <f>Ventas[[#This Row],[Total]]-Ventas[[#This Row],[Precio compra]]*Ventas[[#This Row],[Cantidad]]</f>
        <v>77</v>
      </c>
      <c r="J578" s="34"/>
      <c r="K578" s="34">
        <f>Ventas[[#This Row],[Total]]*Ventas[[#This Row],[Total 3]]</f>
        <v>0</v>
      </c>
      <c r="L578" s="34"/>
      <c r="M578" s="34"/>
    </row>
    <row r="579" spans="1:13" ht="21.75" customHeight="1">
      <c r="A579" s="16"/>
      <c r="B579" s="39" t="s">
        <v>725</v>
      </c>
      <c r="C579" s="35" t="str">
        <f>VLOOKUP(Ventas[[#This Row],[Codigo]],Stock[#Data],2,FALSE)</f>
        <v>Namaste Flora Booster 100ml</v>
      </c>
      <c r="D579" s="37">
        <f>VLOOKUP(Ventas[[#This Row],[Codigo]],Stock[#Data],4,FALSE)</f>
        <v>1000</v>
      </c>
      <c r="E579" s="33">
        <f>VLOOKUP(Ventas[[#This Row],[Codigo]],Stock[#Data],3,FALSE)</f>
        <v>517</v>
      </c>
      <c r="F579" s="38">
        <v>1</v>
      </c>
      <c r="G579">
        <v>480</v>
      </c>
      <c r="H579" s="36">
        <f>Ventas[[#This Row],[Precio Venta]]*Ventas[[#This Row],[Cantidad]]-Ventas[[#This Row],[Descuento]]</f>
        <v>1000</v>
      </c>
      <c r="I579" s="34">
        <f>Ventas[[#This Row],[Total]]-Ventas[[#This Row],[Precio compra]]*Ventas[[#This Row],[Cantidad]]</f>
        <v>483</v>
      </c>
      <c r="J579" s="34"/>
      <c r="K579" s="34">
        <f>Ventas[[#This Row],[Total]]*Ventas[[#This Row],[Total 3]]</f>
        <v>0</v>
      </c>
      <c r="L579" s="34"/>
      <c r="M579" s="34"/>
    </row>
    <row r="580" spans="1:13" ht="21.75" customHeight="1">
      <c r="A580" s="16"/>
      <c r="B580" s="39" t="s">
        <v>725</v>
      </c>
      <c r="C580" s="35" t="str">
        <f>VLOOKUP(Ventas[[#This Row],[Codigo]],Stock[#Data],2,FALSE)</f>
        <v>VAMP Supermelaza</v>
      </c>
      <c r="D580" s="37">
        <f>VLOOKUP(Ventas[[#This Row],[Codigo]],Stock[#Data],4,FALSE)</f>
        <v>1800</v>
      </c>
      <c r="E580" s="33">
        <f>VLOOKUP(Ventas[[#This Row],[Codigo]],Stock[#Data],3,FALSE)</f>
        <v>908</v>
      </c>
      <c r="F580" s="38">
        <v>1</v>
      </c>
      <c r="G580">
        <v>36</v>
      </c>
      <c r="H580" s="36">
        <f>Ventas[[#This Row],[Precio Venta]]*Ventas[[#This Row],[Cantidad]]-Ventas[[#This Row],[Descuento]]</f>
        <v>1800</v>
      </c>
      <c r="I580" s="34">
        <f>Ventas[[#This Row],[Total]]-Ventas[[#This Row],[Precio compra]]*Ventas[[#This Row],[Cantidad]]</f>
        <v>892</v>
      </c>
      <c r="J580" s="34"/>
      <c r="K580" s="34">
        <f>Ventas[[#This Row],[Total]]*Ventas[[#This Row],[Total 3]]</f>
        <v>0</v>
      </c>
      <c r="L580" s="34"/>
      <c r="M580" s="34"/>
    </row>
    <row r="581" spans="1:13" ht="21.75" customHeight="1">
      <c r="A581" s="16"/>
      <c r="B581" s="39" t="s">
        <v>726</v>
      </c>
      <c r="C581" s="35" t="str">
        <f>VLOOKUP(Ventas[[#This Row],[Codigo]],Stock[#Data],2,FALSE)</f>
        <v>Sedas Blunt Rey 1/4 celulosa Orange</v>
      </c>
      <c r="D581" s="37">
        <f>VLOOKUP(Ventas[[#This Row],[Codigo]],Stock[#Data],4,FALSE)</f>
        <v>300</v>
      </c>
      <c r="E581" s="33">
        <f>VLOOKUP(Ventas[[#This Row],[Codigo]],Stock[#Data],3,FALSE)</f>
        <v>143</v>
      </c>
      <c r="F581" s="38">
        <v>1</v>
      </c>
      <c r="G581">
        <v>71</v>
      </c>
      <c r="H581" s="36">
        <f>Ventas[[#This Row],[Precio Venta]]*Ventas[[#This Row],[Cantidad]]-Ventas[[#This Row],[Descuento]]</f>
        <v>300</v>
      </c>
      <c r="I581" s="34">
        <f>Ventas[[#This Row],[Total]]-Ventas[[#This Row],[Precio compra]]*Ventas[[#This Row],[Cantidad]]</f>
        <v>157</v>
      </c>
      <c r="J581" s="34"/>
      <c r="K581" s="34">
        <f>Ventas[[#This Row],[Total]]*Ventas[[#This Row],[Total 3]]</f>
        <v>0</v>
      </c>
      <c r="L581" s="34"/>
      <c r="M581" s="34"/>
    </row>
    <row r="582" spans="1:13" ht="21.75" customHeight="1">
      <c r="A582" s="16"/>
      <c r="B582" s="39" t="s">
        <v>726</v>
      </c>
      <c r="C582" s="35" t="str">
        <f>VLOOKUP(Ventas[[#This Row],[Codigo]],Stock[#Data],2,FALSE)</f>
        <v>Bandeja Blunt Rey chicas m/v</v>
      </c>
      <c r="D582" s="37">
        <f>VLOOKUP(Ventas[[#This Row],[Codigo]],Stock[#Data],4,FALSE)</f>
        <v>2100</v>
      </c>
      <c r="E582" s="33">
        <f>VLOOKUP(Ventas[[#This Row],[Codigo]],Stock[#Data],3,FALSE)</f>
        <v>1047</v>
      </c>
      <c r="F582" s="38">
        <v>1</v>
      </c>
      <c r="G582">
        <v>128</v>
      </c>
      <c r="H582" s="36">
        <f>Ventas[[#This Row],[Precio Venta]]*Ventas[[#This Row],[Cantidad]]-Ventas[[#This Row],[Descuento]]</f>
        <v>2100</v>
      </c>
      <c r="I582" s="34">
        <f>Ventas[[#This Row],[Total]]-Ventas[[#This Row],[Precio compra]]*Ventas[[#This Row],[Cantidad]]</f>
        <v>1053</v>
      </c>
      <c r="J582" s="34"/>
      <c r="K582" s="34">
        <f>Ventas[[#This Row],[Total]]*Ventas[[#This Row],[Total 3]]</f>
        <v>0</v>
      </c>
      <c r="L582" s="34"/>
      <c r="M582" s="34"/>
    </row>
    <row r="583" spans="1:13" ht="21.75" customHeight="1">
      <c r="A583" s="16"/>
      <c r="B583" s="39" t="s">
        <v>726</v>
      </c>
      <c r="C583" s="35" t="str">
        <f>VLOOKUP(Ventas[[#This Row],[Codigo]],Stock[#Data],2,FALSE)</f>
        <v>Namaste Flora Booster 100ml</v>
      </c>
      <c r="D583" s="37">
        <f>VLOOKUP(Ventas[[#This Row],[Codigo]],Stock[#Data],4,FALSE)</f>
        <v>1000</v>
      </c>
      <c r="E583" s="33">
        <f>VLOOKUP(Ventas[[#This Row],[Codigo]],Stock[#Data],3,FALSE)</f>
        <v>517</v>
      </c>
      <c r="F583" s="38">
        <v>1</v>
      </c>
      <c r="G583">
        <v>480</v>
      </c>
      <c r="H583" s="36">
        <f>Ventas[[#This Row],[Precio Venta]]*Ventas[[#This Row],[Cantidad]]-Ventas[[#This Row],[Descuento]]</f>
        <v>1000</v>
      </c>
      <c r="I583" s="34">
        <f>Ventas[[#This Row],[Total]]-Ventas[[#This Row],[Precio compra]]*Ventas[[#This Row],[Cantidad]]</f>
        <v>483</v>
      </c>
      <c r="J583" s="34"/>
      <c r="K583" s="34">
        <f>Ventas[[#This Row],[Total]]*Ventas[[#This Row],[Total 3]]</f>
        <v>0</v>
      </c>
      <c r="L583" s="34"/>
      <c r="M583" s="34"/>
    </row>
    <row r="584" spans="1:13" ht="21.75" customHeight="1">
      <c r="A584" s="16"/>
      <c r="B584" s="39" t="s">
        <v>726</v>
      </c>
      <c r="C584" s="35" t="str">
        <f>VLOOKUP(Ventas[[#This Row],[Codigo]],Stock[#Data],2,FALSE)</f>
        <v>Namaste Trico+ 100gr</v>
      </c>
      <c r="D584" s="37">
        <f>VLOOKUP(Ventas[[#This Row],[Codigo]],Stock[#Data],4,FALSE)</f>
        <v>1000</v>
      </c>
      <c r="E584" s="33">
        <f>VLOOKUP(Ventas[[#This Row],[Codigo]],Stock[#Data],3,FALSE)</f>
        <v>541</v>
      </c>
      <c r="F584" s="38">
        <v>1</v>
      </c>
      <c r="G584">
        <v>479</v>
      </c>
      <c r="H584" s="36">
        <f>Ventas[[#This Row],[Precio Venta]]*Ventas[[#This Row],[Cantidad]]-Ventas[[#This Row],[Descuento]]</f>
        <v>1000</v>
      </c>
      <c r="I584" s="34">
        <f>Ventas[[#This Row],[Total]]-Ventas[[#This Row],[Precio compra]]*Ventas[[#This Row],[Cantidad]]</f>
        <v>459</v>
      </c>
      <c r="J584" s="34"/>
      <c r="K584" s="34">
        <f>Ventas[[#This Row],[Total]]*Ventas[[#This Row],[Total 3]]</f>
        <v>0</v>
      </c>
      <c r="L584" s="34"/>
      <c r="M584" s="34"/>
    </row>
    <row r="585" spans="1:13" ht="21.75" customHeight="1">
      <c r="A585" s="16"/>
      <c r="B585" s="39" t="s">
        <v>725</v>
      </c>
      <c r="C585" s="35" t="str">
        <f>VLOOKUP(Ventas[[#This Row],[Codigo]],Stock[#Data],2,FALSE)</f>
        <v xml:space="preserve">pilas </v>
      </c>
      <c r="D585" s="37">
        <f>VLOOKUP(Ventas[[#This Row],[Codigo]],Stock[#Data],4,FALSE)</f>
        <v>100</v>
      </c>
      <c r="E585" s="33">
        <f>VLOOKUP(Ventas[[#This Row],[Codigo]],Stock[#Data],3,FALSE)</f>
        <v>29</v>
      </c>
      <c r="F585" s="38">
        <v>4</v>
      </c>
      <c r="G585">
        <v>261</v>
      </c>
      <c r="H585" s="36">
        <f>Ventas[[#This Row],[Precio Venta]]*Ventas[[#This Row],[Cantidad]]-Ventas[[#This Row],[Descuento]]</f>
        <v>400</v>
      </c>
      <c r="I585" s="34">
        <f>Ventas[[#This Row],[Total]]-Ventas[[#This Row],[Precio compra]]*Ventas[[#This Row],[Cantidad]]</f>
        <v>284</v>
      </c>
      <c r="J585" s="34"/>
      <c r="K585" s="34">
        <f>Ventas[[#This Row],[Total]]*Ventas[[#This Row],[Total 3]]</f>
        <v>0</v>
      </c>
      <c r="L585" s="34"/>
      <c r="M585" s="34"/>
    </row>
    <row r="586" spans="1:13" ht="21.75" customHeight="1">
      <c r="A586" s="16"/>
      <c r="B586" s="39" t="s">
        <v>725</v>
      </c>
      <c r="C586" s="35" t="str">
        <f>VLOOKUP(Ventas[[#This Row],[Codigo]],Stock[#Data],2,FALSE)</f>
        <v>Filtros GIZEH biodegradable</v>
      </c>
      <c r="D586" s="37">
        <f>VLOOKUP(Ventas[[#This Row],[Codigo]],Stock[#Data],4,FALSE)</f>
        <v>450</v>
      </c>
      <c r="E586" s="33">
        <f>VLOOKUP(Ventas[[#This Row],[Codigo]],Stock[#Data],3,FALSE)</f>
        <v>280</v>
      </c>
      <c r="F586" s="38">
        <v>2</v>
      </c>
      <c r="G586">
        <v>107</v>
      </c>
      <c r="H586" s="36">
        <f>Ventas[[#This Row],[Precio Venta]]*Ventas[[#This Row],[Cantidad]]-Ventas[[#This Row],[Descuento]]</f>
        <v>900</v>
      </c>
      <c r="I586" s="34">
        <f>Ventas[[#This Row],[Total]]-Ventas[[#This Row],[Precio compra]]*Ventas[[#This Row],[Cantidad]]</f>
        <v>340</v>
      </c>
      <c r="J586" s="34"/>
      <c r="K586" s="34">
        <f>Ventas[[#This Row],[Total]]*Ventas[[#This Row],[Total 3]]</f>
        <v>0</v>
      </c>
      <c r="L586" s="34"/>
      <c r="M586" s="34"/>
    </row>
    <row r="587" spans="1:13" ht="21.75" customHeight="1">
      <c r="A587" s="16"/>
      <c r="B587" s="39" t="s">
        <v>725</v>
      </c>
      <c r="C587" s="35" t="str">
        <f>VLOOKUP(Ventas[[#This Row],[Codigo]],Stock[#Data],2,FALSE)</f>
        <v>4 en 1 250ml Green Leaf Insumos</v>
      </c>
      <c r="D587" s="37">
        <f>VLOOKUP(Ventas[[#This Row],[Codigo]],Stock[#Data],4,FALSE)</f>
        <v>2300</v>
      </c>
      <c r="E587" s="33">
        <f>VLOOKUP(Ventas[[#This Row],[Codigo]],Stock[#Data],3,FALSE)</f>
        <v>1179</v>
      </c>
      <c r="F587" s="38">
        <v>1</v>
      </c>
      <c r="G587">
        <v>576</v>
      </c>
      <c r="H587" s="36">
        <f>Ventas[[#This Row],[Precio Venta]]*Ventas[[#This Row],[Cantidad]]-Ventas[[#This Row],[Descuento]]</f>
        <v>2300</v>
      </c>
      <c r="I587" s="34">
        <f>Ventas[[#This Row],[Total]]-Ventas[[#This Row],[Precio compra]]*Ventas[[#This Row],[Cantidad]]</f>
        <v>1121</v>
      </c>
      <c r="J587" s="34"/>
      <c r="K587" s="34">
        <f>Ventas[[#This Row],[Total]]*Ventas[[#This Row],[Total 3]]</f>
        <v>0</v>
      </c>
      <c r="L587" s="34"/>
      <c r="M587" s="34"/>
    </row>
    <row r="588" spans="1:13" ht="21.75" customHeight="1">
      <c r="A588" s="16"/>
      <c r="B588" s="39" t="s">
        <v>725</v>
      </c>
      <c r="C588" s="35" t="str">
        <f>VLOOKUP(Ventas[[#This Row],[Codigo]],Stock[#Data],2,FALSE)</f>
        <v>Termohidrógeno</v>
      </c>
      <c r="D588" s="37">
        <f>VLOOKUP(Ventas[[#This Row],[Codigo]],Stock[#Data],4,FALSE)</f>
        <v>4000</v>
      </c>
      <c r="E588" s="33">
        <f>VLOOKUP(Ventas[[#This Row],[Codigo]],Stock[#Data],3,FALSE)</f>
        <v>2000</v>
      </c>
      <c r="F588" s="38">
        <v>1</v>
      </c>
      <c r="G588">
        <v>187</v>
      </c>
      <c r="H588" s="36">
        <f>Ventas[[#This Row],[Precio Venta]]*Ventas[[#This Row],[Cantidad]]-Ventas[[#This Row],[Descuento]]</f>
        <v>4000</v>
      </c>
      <c r="I588" s="34">
        <f>Ventas[[#This Row],[Total]]-Ventas[[#This Row],[Precio compra]]*Ventas[[#This Row],[Cantidad]]</f>
        <v>2000</v>
      </c>
      <c r="J588" s="34"/>
      <c r="K588" s="34">
        <f>Ventas[[#This Row],[Total]]*Ventas[[#This Row],[Total 3]]</f>
        <v>0</v>
      </c>
      <c r="L588" s="34"/>
      <c r="M588" s="34"/>
    </row>
    <row r="589" spans="1:13" ht="21.75" customHeight="1">
      <c r="A589" s="16"/>
      <c r="B589" s="39" t="s">
        <v>725</v>
      </c>
      <c r="C589" s="35" t="str">
        <f>VLOOKUP(Ventas[[#This Row],[Codigo]],Stock[#Data],2,FALSE)</f>
        <v>TreeMIX CANDY 45 ml</v>
      </c>
      <c r="D589" s="37">
        <f>VLOOKUP(Ventas[[#This Row],[Codigo]],Stock[#Data],4,FALSE)</f>
        <v>500</v>
      </c>
      <c r="E589" s="33">
        <f>VLOOKUP(Ventas[[#This Row],[Codigo]],Stock[#Data],3,FALSE)</f>
        <v>220</v>
      </c>
      <c r="F589" s="38">
        <v>1</v>
      </c>
      <c r="G589">
        <v>26</v>
      </c>
      <c r="H589" s="36">
        <f>Ventas[[#This Row],[Precio Venta]]*Ventas[[#This Row],[Cantidad]]-Ventas[[#This Row],[Descuento]]</f>
        <v>500</v>
      </c>
      <c r="I589" s="34">
        <f>Ventas[[#This Row],[Total]]-Ventas[[#This Row],[Precio compra]]*Ventas[[#This Row],[Cantidad]]</f>
        <v>280</v>
      </c>
      <c r="J589" s="34"/>
      <c r="K589" s="34">
        <f>Ventas[[#This Row],[Total]]*Ventas[[#This Row],[Total 3]]</f>
        <v>0</v>
      </c>
      <c r="L589" s="34"/>
      <c r="M589" s="34"/>
    </row>
    <row r="590" spans="1:13" ht="21.75" customHeight="1">
      <c r="A590" s="16"/>
      <c r="B590" s="39" t="s">
        <v>725</v>
      </c>
      <c r="C590" s="35" t="str">
        <f>VLOOKUP(Ventas[[#This Row],[Codigo]],Stock[#Data],2,FALSE)</f>
        <v>Maceta Cultivate 25L</v>
      </c>
      <c r="D590" s="37">
        <f>VLOOKUP(Ventas[[#This Row],[Codigo]],Stock[#Data],4,FALSE)</f>
        <v>850</v>
      </c>
      <c r="E590" s="33">
        <f>VLOOKUP(Ventas[[#This Row],[Codigo]],Stock[#Data],3,FALSE)</f>
        <v>380</v>
      </c>
      <c r="F590" s="38">
        <v>1</v>
      </c>
      <c r="G590">
        <v>499</v>
      </c>
      <c r="H590" s="36">
        <f>Ventas[[#This Row],[Precio Venta]]*Ventas[[#This Row],[Cantidad]]-Ventas[[#This Row],[Descuento]]</f>
        <v>850</v>
      </c>
      <c r="I590" s="34">
        <f>Ventas[[#This Row],[Total]]-Ventas[[#This Row],[Precio compra]]*Ventas[[#This Row],[Cantidad]]</f>
        <v>470</v>
      </c>
      <c r="J590" s="34"/>
      <c r="K590" s="34">
        <f>Ventas[[#This Row],[Total]]*Ventas[[#This Row],[Total 3]]</f>
        <v>0</v>
      </c>
      <c r="L590" s="34"/>
      <c r="M590" s="34"/>
    </row>
    <row r="591" spans="1:13" ht="21.75" customHeight="1">
      <c r="A591" s="16"/>
      <c r="B591" s="39" t="s">
        <v>725</v>
      </c>
      <c r="C591" s="35" t="str">
        <f>VLOOKUP(Ventas[[#This Row],[Codigo]],Stock[#Data],2,FALSE)</f>
        <v>Maceta Geotextil Pochita 12,5L</v>
      </c>
      <c r="D591" s="37">
        <f>VLOOKUP(Ventas[[#This Row],[Codigo]],Stock[#Data],4,FALSE)</f>
        <v>650</v>
      </c>
      <c r="E591" s="33">
        <f>VLOOKUP(Ventas[[#This Row],[Codigo]],Stock[#Data],3,FALSE)</f>
        <v>325</v>
      </c>
      <c r="F591" s="38">
        <v>1</v>
      </c>
      <c r="G591">
        <v>489</v>
      </c>
      <c r="H591" s="36">
        <f>Ventas[[#This Row],[Precio Venta]]*Ventas[[#This Row],[Cantidad]]-Ventas[[#This Row],[Descuento]]</f>
        <v>650</v>
      </c>
      <c r="I591" s="34">
        <f>Ventas[[#This Row],[Total]]-Ventas[[#This Row],[Precio compra]]*Ventas[[#This Row],[Cantidad]]</f>
        <v>325</v>
      </c>
      <c r="J591" s="34"/>
      <c r="K591" s="34">
        <f>Ventas[[#This Row],[Total]]*Ventas[[#This Row],[Total 3]]</f>
        <v>0</v>
      </c>
      <c r="L591" s="34"/>
      <c r="M591" s="34"/>
    </row>
    <row r="592" spans="1:13" ht="21.75" customHeight="1">
      <c r="A592" s="16"/>
      <c r="B592" s="39" t="s">
        <v>725</v>
      </c>
      <c r="C592" s="35" t="str">
        <f>VLOOKUP(Ventas[[#This Row],[Codigo]],Stock[#Data],2,FALSE)</f>
        <v>Sustrato Perlita</v>
      </c>
      <c r="D592" s="37">
        <f>VLOOKUP(Ventas[[#This Row],[Codigo]],Stock[#Data],4,FALSE)</f>
        <v>800</v>
      </c>
      <c r="E592" s="33">
        <f>VLOOKUP(Ventas[[#This Row],[Codigo]],Stock[#Data],3,FALSE)</f>
        <v>400</v>
      </c>
      <c r="F592" s="38">
        <v>6</v>
      </c>
      <c r="G592">
        <v>52</v>
      </c>
      <c r="H592" s="36">
        <f>Ventas[[#This Row],[Precio Venta]]*Ventas[[#This Row],[Cantidad]]-Ventas[[#This Row],[Descuento]]</f>
        <v>4800</v>
      </c>
      <c r="I592" s="34">
        <f>Ventas[[#This Row],[Total]]-Ventas[[#This Row],[Precio compra]]*Ventas[[#This Row],[Cantidad]]</f>
        <v>2400</v>
      </c>
      <c r="J592" s="34"/>
      <c r="K592" s="34">
        <f>Ventas[[#This Row],[Total]]*Ventas[[#This Row],[Total 3]]</f>
        <v>0</v>
      </c>
      <c r="L592" s="34"/>
      <c r="M592" s="34"/>
    </row>
    <row r="593" spans="1:13" ht="21.75" customHeight="1">
      <c r="A593" s="16"/>
      <c r="B593" s="39" t="s">
        <v>725</v>
      </c>
      <c r="C593" s="35" t="str">
        <f>VLOOKUP(Ventas[[#This Row],[Codigo]],Stock[#Data],2,FALSE)</f>
        <v>JIFFY moneda turba</v>
      </c>
      <c r="D593" s="37">
        <f>VLOOKUP(Ventas[[#This Row],[Codigo]],Stock[#Data],4,FALSE)</f>
        <v>150</v>
      </c>
      <c r="E593" s="33">
        <f>VLOOKUP(Ventas[[#This Row],[Codigo]],Stock[#Data],3,FALSE)</f>
        <v>70</v>
      </c>
      <c r="F593" s="38">
        <v>4</v>
      </c>
      <c r="G593">
        <v>50</v>
      </c>
      <c r="H593" s="36">
        <f>Ventas[[#This Row],[Precio Venta]]*Ventas[[#This Row],[Cantidad]]-Ventas[[#This Row],[Descuento]]</f>
        <v>600</v>
      </c>
      <c r="I593" s="34">
        <f>Ventas[[#This Row],[Total]]-Ventas[[#This Row],[Precio compra]]*Ventas[[#This Row],[Cantidad]]</f>
        <v>320</v>
      </c>
      <c r="J593" s="34"/>
      <c r="K593" s="34">
        <f>Ventas[[#This Row],[Total]]*Ventas[[#This Row],[Total 3]]</f>
        <v>0</v>
      </c>
      <c r="L593" s="34"/>
      <c r="M593" s="34"/>
    </row>
    <row r="594" spans="1:13" ht="21.75" customHeight="1">
      <c r="A594" s="16"/>
      <c r="B594" s="39" t="s">
        <v>725</v>
      </c>
      <c r="C594" s="35" t="str">
        <f>VLOOKUP(Ventas[[#This Row],[Codigo]],Stock[#Data],2,FALSE)</f>
        <v>TreeMIX N 45ml</v>
      </c>
      <c r="D594" s="37">
        <f>VLOOKUP(Ventas[[#This Row],[Codigo]],Stock[#Data],4,FALSE)</f>
        <v>500</v>
      </c>
      <c r="E594" s="33">
        <f>VLOOKUP(Ventas[[#This Row],[Codigo]],Stock[#Data],3,FALSE)</f>
        <v>260</v>
      </c>
      <c r="F594" s="38">
        <v>2</v>
      </c>
      <c r="G594">
        <v>23</v>
      </c>
      <c r="H594" s="36">
        <f>Ventas[[#This Row],[Precio Venta]]*Ventas[[#This Row],[Cantidad]]-Ventas[[#This Row],[Descuento]]</f>
        <v>1000</v>
      </c>
      <c r="I594" s="34">
        <f>Ventas[[#This Row],[Total]]-Ventas[[#This Row],[Precio compra]]*Ventas[[#This Row],[Cantidad]]</f>
        <v>480</v>
      </c>
      <c r="J594" s="34"/>
      <c r="K594" s="34">
        <f>Ventas[[#This Row],[Total]]*Ventas[[#This Row],[Total 3]]</f>
        <v>0</v>
      </c>
      <c r="L594" s="34"/>
      <c r="M594" s="34"/>
    </row>
    <row r="595" spans="1:13" ht="21.75" customHeight="1">
      <c r="A595" s="16"/>
      <c r="B595" s="39" t="s">
        <v>725</v>
      </c>
      <c r="C595" s="35" t="str">
        <f>VLOOKUP(Ventas[[#This Row],[Codigo]],Stock[#Data],2,FALSE)</f>
        <v>TreeMIX PRO 45ml</v>
      </c>
      <c r="D595" s="37">
        <f>VLOOKUP(Ventas[[#This Row],[Codigo]],Stock[#Data],4,FALSE)</f>
        <v>700</v>
      </c>
      <c r="E595" s="33">
        <f>VLOOKUP(Ventas[[#This Row],[Codigo]],Stock[#Data],3,FALSE)</f>
        <v>345</v>
      </c>
      <c r="F595" s="38">
        <v>3</v>
      </c>
      <c r="G595">
        <v>25</v>
      </c>
      <c r="H595" s="36">
        <f>Ventas[[#This Row],[Precio Venta]]*Ventas[[#This Row],[Cantidad]]-Ventas[[#This Row],[Descuento]]</f>
        <v>2100</v>
      </c>
      <c r="I595" s="34">
        <f>Ventas[[#This Row],[Total]]-Ventas[[#This Row],[Precio compra]]*Ventas[[#This Row],[Cantidad]]</f>
        <v>1065</v>
      </c>
      <c r="J595" s="34"/>
      <c r="K595" s="34">
        <f>Ventas[[#This Row],[Total]]*Ventas[[#This Row],[Total 3]]</f>
        <v>0</v>
      </c>
      <c r="L595" s="34"/>
      <c r="M595" s="34"/>
    </row>
    <row r="596" spans="1:13" ht="21.75" customHeight="1">
      <c r="A596" s="16"/>
      <c r="B596" s="39" t="s">
        <v>725</v>
      </c>
      <c r="C596" s="35" t="str">
        <f>VLOOKUP(Ventas[[#This Row],[Codigo]],Stock[#Data],2,FALSE)</f>
        <v>TreeMIX A 45ml</v>
      </c>
      <c r="D596" s="37">
        <f>VLOOKUP(Ventas[[#This Row],[Codigo]],Stock[#Data],4,FALSE)</f>
        <v>500</v>
      </c>
      <c r="E596" s="33">
        <f>VLOOKUP(Ventas[[#This Row],[Codigo]],Stock[#Data],3,FALSE)</f>
        <v>260</v>
      </c>
      <c r="F596" s="38">
        <v>2</v>
      </c>
      <c r="G596">
        <v>21</v>
      </c>
      <c r="H596" s="36">
        <f>Ventas[[#This Row],[Precio Venta]]*Ventas[[#This Row],[Cantidad]]-Ventas[[#This Row],[Descuento]]</f>
        <v>1000</v>
      </c>
      <c r="I596" s="34">
        <f>Ventas[[#This Row],[Total]]-Ventas[[#This Row],[Precio compra]]*Ventas[[#This Row],[Cantidad]]</f>
        <v>480</v>
      </c>
      <c r="J596" s="34"/>
      <c r="K596" s="34">
        <f>Ventas[[#This Row],[Total]]*Ventas[[#This Row],[Total 3]]</f>
        <v>0</v>
      </c>
      <c r="L596" s="34"/>
      <c r="M596" s="34"/>
    </row>
    <row r="597" spans="1:13" ht="21.75" customHeight="1">
      <c r="A597" s="16"/>
      <c r="B597" s="39" t="s">
        <v>721</v>
      </c>
      <c r="C597" s="35" t="str">
        <f>VLOOKUP(Ventas[[#This Row],[Codigo]],Stock[#Data],2,FALSE)</f>
        <v>Sedas Lion Rolling Circus 1/4 Saborizadas Uva</v>
      </c>
      <c r="D597" s="37">
        <f>VLOOKUP(Ventas[[#This Row],[Codigo]],Stock[#Data],4,FALSE)</f>
        <v>350</v>
      </c>
      <c r="E597" s="33">
        <f>VLOOKUP(Ventas[[#This Row],[Codigo]],Stock[#Data],3,FALSE)</f>
        <v>178</v>
      </c>
      <c r="F597" s="38">
        <v>1</v>
      </c>
      <c r="G597">
        <v>517</v>
      </c>
      <c r="H597" s="36">
        <f>Ventas[[#This Row],[Precio Venta]]*Ventas[[#This Row],[Cantidad]]-Ventas[[#This Row],[Descuento]]</f>
        <v>350</v>
      </c>
      <c r="I597" s="34">
        <f>Ventas[[#This Row],[Total]]-Ventas[[#This Row],[Precio compra]]*Ventas[[#This Row],[Cantidad]]</f>
        <v>172</v>
      </c>
      <c r="J597" s="34"/>
      <c r="K597" s="34">
        <f>Ventas[[#This Row],[Total]]*Ventas[[#This Row],[Total 3]]</f>
        <v>0</v>
      </c>
      <c r="L597" s="34"/>
      <c r="M597" s="34"/>
    </row>
    <row r="598" spans="1:13" ht="21.75" customHeight="1">
      <c r="A598" s="16"/>
      <c r="B598" s="39" t="s">
        <v>721</v>
      </c>
      <c r="C598" s="35" t="str">
        <f>VLOOKUP(Ventas[[#This Row],[Codigo]],Stock[#Data],2,FALSE)</f>
        <v xml:space="preserve">Tabaco Van Kiff American Blend </v>
      </c>
      <c r="D598" s="37">
        <f>VLOOKUP(Ventas[[#This Row],[Codigo]],Stock[#Data],4,FALSE)</f>
        <v>850</v>
      </c>
      <c r="E598" s="33">
        <f>VLOOKUP(Ventas[[#This Row],[Codigo]],Stock[#Data],3,FALSE)</f>
        <v>580</v>
      </c>
      <c r="F598" s="38">
        <v>1</v>
      </c>
      <c r="G598">
        <v>348</v>
      </c>
      <c r="H598" s="36">
        <f>Ventas[[#This Row],[Precio Venta]]*Ventas[[#This Row],[Cantidad]]-Ventas[[#This Row],[Descuento]]</f>
        <v>850</v>
      </c>
      <c r="I598" s="34">
        <f>Ventas[[#This Row],[Total]]-Ventas[[#This Row],[Precio compra]]*Ventas[[#This Row],[Cantidad]]</f>
        <v>270</v>
      </c>
      <c r="J598" s="34"/>
      <c r="K598" s="34">
        <f>Ventas[[#This Row],[Total]]*Ventas[[#This Row],[Total 3]]</f>
        <v>0</v>
      </c>
      <c r="L598" s="34"/>
      <c r="M598" s="34"/>
    </row>
    <row r="599" spans="1:13" ht="21.75" customHeight="1">
      <c r="A599" s="16"/>
      <c r="B599" s="39">
        <v>44986</v>
      </c>
      <c r="C599" s="35" t="str">
        <f>VLOOKUP(Ventas[[#This Row],[Codigo]],Stock[#Data],2,FALSE)</f>
        <v>TreeMIX F 45ml</v>
      </c>
      <c r="D599" s="37">
        <f>VLOOKUP(Ventas[[#This Row],[Codigo]],Stock[#Data],4,FALSE)</f>
        <v>550</v>
      </c>
      <c r="E599" s="33">
        <f>VLOOKUP(Ventas[[#This Row],[Codigo]],Stock[#Data],3,FALSE)</f>
        <v>275</v>
      </c>
      <c r="F599" s="38">
        <v>1</v>
      </c>
      <c r="G599">
        <v>22</v>
      </c>
      <c r="H599" s="36">
        <f>Ventas[[#This Row],[Precio Venta]]*Ventas[[#This Row],[Cantidad]]-Ventas[[#This Row],[Descuento]]</f>
        <v>550</v>
      </c>
      <c r="I599" s="34">
        <f>Ventas[[#This Row],[Total]]-Ventas[[#This Row],[Precio compra]]*Ventas[[#This Row],[Cantidad]]</f>
        <v>275</v>
      </c>
      <c r="J599" s="34"/>
      <c r="K599" s="34">
        <f>Ventas[[#This Row],[Total]]*Ventas[[#This Row],[Total 3]]</f>
        <v>0</v>
      </c>
      <c r="L599" s="34"/>
      <c r="M599" s="34"/>
    </row>
    <row r="600" spans="1:13" ht="21.75" customHeight="1">
      <c r="A600" s="16"/>
      <c r="B600" s="39">
        <v>44986</v>
      </c>
      <c r="C600" s="35" t="str">
        <f>VLOOKUP(Ventas[[#This Row],[Codigo]],Stock[#Data],2,FALSE)</f>
        <v>TreeMIX PRO 45ml</v>
      </c>
      <c r="D600" s="37">
        <f>VLOOKUP(Ventas[[#This Row],[Codigo]],Stock[#Data],4,FALSE)</f>
        <v>700</v>
      </c>
      <c r="E600" s="33">
        <f>VLOOKUP(Ventas[[#This Row],[Codigo]],Stock[#Data],3,FALSE)</f>
        <v>345</v>
      </c>
      <c r="F600" s="38">
        <v>2</v>
      </c>
      <c r="G600">
        <v>25</v>
      </c>
      <c r="H600" s="36">
        <f>Ventas[[#This Row],[Precio Venta]]*Ventas[[#This Row],[Cantidad]]-Ventas[[#This Row],[Descuento]]</f>
        <v>1400</v>
      </c>
      <c r="I600" s="34">
        <f>Ventas[[#This Row],[Total]]-Ventas[[#This Row],[Precio compra]]*Ventas[[#This Row],[Cantidad]]</f>
        <v>710</v>
      </c>
      <c r="J600" s="34"/>
      <c r="K600" s="34">
        <f>Ventas[[#This Row],[Total]]*Ventas[[#This Row],[Total 3]]</f>
        <v>0</v>
      </c>
      <c r="L600" s="34"/>
      <c r="M600" s="34"/>
    </row>
    <row r="601" spans="1:13" ht="21.75" customHeight="1">
      <c r="A601" s="16"/>
      <c r="B601" s="39">
        <v>44986</v>
      </c>
      <c r="C601" s="35" t="str">
        <f>VLOOKUP(Ventas[[#This Row],[Codigo]],Stock[#Data],2,FALSE)</f>
        <v>TreeMIX CANDY 45 ml</v>
      </c>
      <c r="D601" s="37">
        <f>VLOOKUP(Ventas[[#This Row],[Codigo]],Stock[#Data],4,FALSE)</f>
        <v>500</v>
      </c>
      <c r="E601" s="33">
        <f>VLOOKUP(Ventas[[#This Row],[Codigo]],Stock[#Data],3,FALSE)</f>
        <v>220</v>
      </c>
      <c r="F601" s="38">
        <v>1</v>
      </c>
      <c r="G601">
        <v>26</v>
      </c>
      <c r="H601" s="36">
        <f>Ventas[[#This Row],[Precio Venta]]*Ventas[[#This Row],[Cantidad]]-Ventas[[#This Row],[Descuento]]</f>
        <v>500</v>
      </c>
      <c r="I601" s="34">
        <f>Ventas[[#This Row],[Total]]-Ventas[[#This Row],[Precio compra]]*Ventas[[#This Row],[Cantidad]]</f>
        <v>280</v>
      </c>
      <c r="J601" s="34"/>
      <c r="K601" s="34">
        <f>Ventas[[#This Row],[Total]]*Ventas[[#This Row],[Total 3]]</f>
        <v>0</v>
      </c>
      <c r="L601" s="34"/>
      <c r="M601" s="34"/>
    </row>
    <row r="602" spans="1:13" ht="21.75" customHeight="1">
      <c r="A602" s="16"/>
      <c r="B602" s="39">
        <v>44986</v>
      </c>
      <c r="C602" s="35" t="str">
        <f>VLOOKUP(Ventas[[#This Row],[Codigo]],Stock[#Data],2,FALSE)</f>
        <v>VAMP Guano de murcielago Flora</v>
      </c>
      <c r="D602" s="37">
        <f>VLOOKUP(Ventas[[#This Row],[Codigo]],Stock[#Data],4,FALSE)</f>
        <v>1000</v>
      </c>
      <c r="E602" s="33">
        <f>VLOOKUP(Ventas[[#This Row],[Codigo]],Stock[#Data],3,FALSE)</f>
        <v>510</v>
      </c>
      <c r="F602" s="38">
        <v>4</v>
      </c>
      <c r="G602">
        <v>38</v>
      </c>
      <c r="H602" s="36">
        <f>Ventas[[#This Row],[Precio Venta]]*Ventas[[#This Row],[Cantidad]]-Ventas[[#This Row],[Descuento]]</f>
        <v>4000</v>
      </c>
      <c r="I602" s="34">
        <f>Ventas[[#This Row],[Total]]-Ventas[[#This Row],[Precio compra]]*Ventas[[#This Row],[Cantidad]]</f>
        <v>1960</v>
      </c>
      <c r="J602" s="34"/>
      <c r="K602" s="34">
        <f>Ventas[[#This Row],[Total]]*Ventas[[#This Row],[Total 3]]</f>
        <v>0</v>
      </c>
      <c r="L602" s="34"/>
      <c r="M602" s="34"/>
    </row>
    <row r="603" spans="1:13" ht="21.75" customHeight="1">
      <c r="A603" s="16"/>
      <c r="B603" s="39">
        <v>44986</v>
      </c>
      <c r="C603" s="35" t="str">
        <f>VLOOKUP(Ventas[[#This Row],[Codigo]],Stock[#Data],2,FALSE)</f>
        <v>VAMP Pocion INFERNAL</v>
      </c>
      <c r="D603" s="37">
        <f>VLOOKUP(Ventas[[#This Row],[Codigo]],Stock[#Data],4,FALSE)</f>
        <v>1600</v>
      </c>
      <c r="E603" s="33">
        <f>VLOOKUP(Ventas[[#This Row],[Codigo]],Stock[#Data],3,FALSE)</f>
        <v>795</v>
      </c>
      <c r="F603" s="38">
        <v>1</v>
      </c>
      <c r="G603">
        <v>42</v>
      </c>
      <c r="H603" s="36">
        <f>Ventas[[#This Row],[Precio Venta]]*Ventas[[#This Row],[Cantidad]]-Ventas[[#This Row],[Descuento]]</f>
        <v>1600</v>
      </c>
      <c r="I603" s="34">
        <f>Ventas[[#This Row],[Total]]-Ventas[[#This Row],[Precio compra]]*Ventas[[#This Row],[Cantidad]]</f>
        <v>805</v>
      </c>
      <c r="J603" s="34"/>
      <c r="K603" s="34">
        <f>Ventas[[#This Row],[Total]]*Ventas[[#This Row],[Total 3]]</f>
        <v>0</v>
      </c>
      <c r="L603" s="34"/>
      <c r="M603" s="34"/>
    </row>
    <row r="604" spans="1:13" ht="21.75" customHeight="1">
      <c r="A604" s="16"/>
      <c r="B604" s="39">
        <v>44986</v>
      </c>
      <c r="C604" s="35" t="str">
        <f>VLOOKUP(Ventas[[#This Row],[Codigo]],Stock[#Data],2,FALSE)</f>
        <v>VAMP Pocion IMPKBLE</v>
      </c>
      <c r="D604" s="37">
        <f>VLOOKUP(Ventas[[#This Row],[Codigo]],Stock[#Data],4,FALSE)</f>
        <v>1600</v>
      </c>
      <c r="E604" s="33">
        <f>VLOOKUP(Ventas[[#This Row],[Codigo]],Stock[#Data],3,FALSE)</f>
        <v>795</v>
      </c>
      <c r="F604" s="38">
        <v>2</v>
      </c>
      <c r="G604">
        <v>41</v>
      </c>
      <c r="H604" s="36">
        <f>Ventas[[#This Row],[Precio Venta]]*Ventas[[#This Row],[Cantidad]]-Ventas[[#This Row],[Descuento]]</f>
        <v>3200</v>
      </c>
      <c r="I604" s="34">
        <f>Ventas[[#This Row],[Total]]-Ventas[[#This Row],[Precio compra]]*Ventas[[#This Row],[Cantidad]]</f>
        <v>1610</v>
      </c>
      <c r="J604" s="34"/>
      <c r="K604" s="34">
        <f>Ventas[[#This Row],[Total]]*Ventas[[#This Row],[Total 3]]</f>
        <v>0</v>
      </c>
      <c r="L604" s="34"/>
      <c r="M604" s="34"/>
    </row>
    <row r="605" spans="1:13" ht="21.75" customHeight="1">
      <c r="A605" s="16"/>
      <c r="B605" s="39">
        <v>44986</v>
      </c>
      <c r="C605" s="35" t="str">
        <f>VLOOKUP(Ventas[[#This Row],[Codigo]],Stock[#Data],2,FALSE)</f>
        <v>VAMP hechizo BLOOM</v>
      </c>
      <c r="D605" s="37">
        <f>VLOOKUP(Ventas[[#This Row],[Codigo]],Stock[#Data],4,FALSE)</f>
        <v>1200</v>
      </c>
      <c r="E605" s="33">
        <f>VLOOKUP(Ventas[[#This Row],[Codigo]],Stock[#Data],3,FALSE)</f>
        <v>600</v>
      </c>
      <c r="F605" s="38">
        <v>3</v>
      </c>
      <c r="G605">
        <v>40</v>
      </c>
      <c r="H605" s="36">
        <f>Ventas[[#This Row],[Precio Venta]]*Ventas[[#This Row],[Cantidad]]-Ventas[[#This Row],[Descuento]]</f>
        <v>3600</v>
      </c>
      <c r="I605" s="34">
        <f>Ventas[[#This Row],[Total]]-Ventas[[#This Row],[Precio compra]]*Ventas[[#This Row],[Cantidad]]</f>
        <v>1800</v>
      </c>
      <c r="J605" s="34"/>
      <c r="K605" s="34">
        <f>Ventas[[#This Row],[Total]]*Ventas[[#This Row],[Total 3]]</f>
        <v>0</v>
      </c>
      <c r="L605" s="34"/>
      <c r="M605" s="34"/>
    </row>
    <row r="606" spans="1:13" ht="21.75" customHeight="1">
      <c r="A606" s="16"/>
      <c r="B606" s="39">
        <v>44986</v>
      </c>
      <c r="C606" s="35" t="str">
        <f>VLOOKUP(Ventas[[#This Row],[Codigo]],Stock[#Data],2,FALSE)</f>
        <v>VAMP Supermelaza</v>
      </c>
      <c r="D606" s="37">
        <f>VLOOKUP(Ventas[[#This Row],[Codigo]],Stock[#Data],4,FALSE)</f>
        <v>1800</v>
      </c>
      <c r="E606" s="33">
        <f>VLOOKUP(Ventas[[#This Row],[Codigo]],Stock[#Data],3,FALSE)</f>
        <v>908</v>
      </c>
      <c r="F606" s="38">
        <v>4</v>
      </c>
      <c r="G606">
        <v>36</v>
      </c>
      <c r="H606" s="36">
        <f>Ventas[[#This Row],[Precio Venta]]*Ventas[[#This Row],[Cantidad]]-Ventas[[#This Row],[Descuento]]</f>
        <v>7200</v>
      </c>
      <c r="I606" s="34">
        <f>Ventas[[#This Row],[Total]]-Ventas[[#This Row],[Precio compra]]*Ventas[[#This Row],[Cantidad]]</f>
        <v>3568</v>
      </c>
      <c r="J606" s="34"/>
      <c r="K606" s="34">
        <f>Ventas[[#This Row],[Total]]*Ventas[[#This Row],[Total 3]]</f>
        <v>0</v>
      </c>
      <c r="L606" s="34"/>
      <c r="M606" s="34"/>
    </row>
    <row r="607" spans="1:13" ht="21.75" customHeight="1">
      <c r="A607" s="16"/>
      <c r="B607" s="39">
        <v>44986</v>
      </c>
      <c r="C607" s="35" t="str">
        <f>VLOOKUP(Ventas[[#This Row],[Codigo]],Stock[#Data],2,FALSE)</f>
        <v>Tierra de Diatomeas La Pota 500g</v>
      </c>
      <c r="D607" s="37">
        <f>VLOOKUP(Ventas[[#This Row],[Codigo]],Stock[#Data],4,FALSE)</f>
        <v>1500</v>
      </c>
      <c r="E607" s="33">
        <f>VLOOKUP(Ventas[[#This Row],[Codigo]],Stock[#Data],3,FALSE)</f>
        <v>720</v>
      </c>
      <c r="F607" s="38">
        <v>1</v>
      </c>
      <c r="G607">
        <v>468</v>
      </c>
      <c r="H607" s="36">
        <f>Ventas[[#This Row],[Precio Venta]]*Ventas[[#This Row],[Cantidad]]-Ventas[[#This Row],[Descuento]]</f>
        <v>1500</v>
      </c>
      <c r="I607" s="34">
        <f>Ventas[[#This Row],[Total]]-Ventas[[#This Row],[Precio compra]]*Ventas[[#This Row],[Cantidad]]</f>
        <v>780</v>
      </c>
      <c r="J607" s="34"/>
      <c r="K607" s="34">
        <f>Ventas[[#This Row],[Total]]*Ventas[[#This Row],[Total 3]]</f>
        <v>0</v>
      </c>
      <c r="L607" s="34"/>
      <c r="M607" s="34"/>
    </row>
    <row r="608" spans="1:13" ht="21.75" customHeight="1">
      <c r="A608" s="16"/>
      <c r="B608" s="39">
        <v>44986</v>
      </c>
      <c r="C608" s="35" t="str">
        <f>VLOOKUP(Ventas[[#This Row],[Codigo]],Stock[#Data],2,FALSE)</f>
        <v>Power Cleaning H2O</v>
      </c>
      <c r="D608" s="37">
        <f>VLOOKUP(Ventas[[#This Row],[Codigo]],Stock[#Data],4,FALSE)</f>
        <v>800</v>
      </c>
      <c r="E608" s="33">
        <f>VLOOKUP(Ventas[[#This Row],[Codigo]],Stock[#Data],3,FALSE)</f>
        <v>380</v>
      </c>
      <c r="F608" s="38">
        <v>1</v>
      </c>
      <c r="G608">
        <v>54</v>
      </c>
      <c r="H608" s="36">
        <f>Ventas[[#This Row],[Precio Venta]]*Ventas[[#This Row],[Cantidad]]-Ventas[[#This Row],[Descuento]]</f>
        <v>800</v>
      </c>
      <c r="I608" s="34">
        <f>Ventas[[#This Row],[Total]]-Ventas[[#This Row],[Precio compra]]*Ventas[[#This Row],[Cantidad]]</f>
        <v>420</v>
      </c>
      <c r="J608" s="34"/>
      <c r="K608" s="34">
        <f>Ventas[[#This Row],[Total]]*Ventas[[#This Row],[Total 3]]</f>
        <v>0</v>
      </c>
      <c r="L608" s="34"/>
      <c r="M608" s="34"/>
    </row>
    <row r="609" spans="1:13" ht="21.75" customHeight="1">
      <c r="A609" s="16"/>
      <c r="B609" s="39">
        <v>44986</v>
      </c>
      <c r="C609" s="35" t="str">
        <f>VLOOKUP(Ventas[[#This Row],[Codigo]],Stock[#Data],2,FALSE)</f>
        <v>Power Buffer PH7</v>
      </c>
      <c r="D609" s="37">
        <f>VLOOKUP(Ventas[[#This Row],[Codigo]],Stock[#Data],4,FALSE)</f>
        <v>600</v>
      </c>
      <c r="E609" s="33">
        <f>VLOOKUP(Ventas[[#This Row],[Codigo]],Stock[#Data],3,FALSE)</f>
        <v>310</v>
      </c>
      <c r="F609" s="38">
        <v>1</v>
      </c>
      <c r="G609">
        <v>56</v>
      </c>
      <c r="H609" s="36">
        <f>Ventas[[#This Row],[Precio Venta]]*Ventas[[#This Row],[Cantidad]]-Ventas[[#This Row],[Descuento]]</f>
        <v>600</v>
      </c>
      <c r="I609" s="34">
        <f>Ventas[[#This Row],[Total]]-Ventas[[#This Row],[Precio compra]]*Ventas[[#This Row],[Cantidad]]</f>
        <v>290</v>
      </c>
      <c r="J609" s="34"/>
      <c r="K609" s="34">
        <f>Ventas[[#This Row],[Total]]*Ventas[[#This Row],[Total 3]]</f>
        <v>0</v>
      </c>
      <c r="L609" s="34"/>
      <c r="M609" s="34"/>
    </row>
    <row r="610" spans="1:13" ht="21.75" customHeight="1">
      <c r="A610" s="16"/>
      <c r="B610" s="39">
        <v>44986</v>
      </c>
      <c r="C610" s="35" t="str">
        <f>VLOOKUP(Ventas[[#This Row],[Codigo]],Stock[#Data],2,FALSE)</f>
        <v>Power Buffer PH4</v>
      </c>
      <c r="D610" s="37">
        <f>VLOOKUP(Ventas[[#This Row],[Codigo]],Stock[#Data],4,FALSE)</f>
        <v>600</v>
      </c>
      <c r="E610" s="33">
        <f>VLOOKUP(Ventas[[#This Row],[Codigo]],Stock[#Data],3,FALSE)</f>
        <v>310</v>
      </c>
      <c r="F610" s="38">
        <v>1</v>
      </c>
      <c r="G610">
        <v>57</v>
      </c>
      <c r="H610" s="36">
        <f>Ventas[[#This Row],[Precio Venta]]*Ventas[[#This Row],[Cantidad]]-Ventas[[#This Row],[Descuento]]</f>
        <v>600</v>
      </c>
      <c r="I610" s="34">
        <f>Ventas[[#This Row],[Total]]-Ventas[[#This Row],[Precio compra]]*Ventas[[#This Row],[Cantidad]]</f>
        <v>290</v>
      </c>
      <c r="J610" s="34"/>
      <c r="K610" s="34">
        <f>Ventas[[#This Row],[Total]]*Ventas[[#This Row],[Total 3]]</f>
        <v>0</v>
      </c>
      <c r="L610" s="34"/>
      <c r="M610" s="34"/>
    </row>
    <row r="611" spans="1:13" ht="21.75" customHeight="1">
      <c r="A611" s="16"/>
      <c r="B611" s="39">
        <v>44986</v>
      </c>
      <c r="C611" s="35" t="str">
        <f>VLOOKUP(Ventas[[#This Row],[Codigo]],Stock[#Data],2,FALSE)</f>
        <v>POWER TREBOL</v>
      </c>
      <c r="D611" s="37">
        <f>VLOOKUP(Ventas[[#This Row],[Codigo]],Stock[#Data],4,FALSE)</f>
        <v>300</v>
      </c>
      <c r="E611" s="33">
        <f>VLOOKUP(Ventas[[#This Row],[Codigo]],Stock[#Data],3,FALSE)</f>
        <v>140</v>
      </c>
      <c r="F611" s="38">
        <v>2</v>
      </c>
      <c r="G611">
        <v>199</v>
      </c>
      <c r="H611" s="36">
        <f>Ventas[[#This Row],[Precio Venta]]*Ventas[[#This Row],[Cantidad]]-Ventas[[#This Row],[Descuento]]</f>
        <v>600</v>
      </c>
      <c r="I611" s="34">
        <f>Ventas[[#This Row],[Total]]-Ventas[[#This Row],[Precio compra]]*Ventas[[#This Row],[Cantidad]]</f>
        <v>320</v>
      </c>
      <c r="J611" s="34"/>
      <c r="K611" s="34">
        <f>Ventas[[#This Row],[Total]]*Ventas[[#This Row],[Total 3]]</f>
        <v>0</v>
      </c>
      <c r="L611" s="34"/>
      <c r="M611" s="34"/>
    </row>
    <row r="612" spans="1:13" ht="21.75" customHeight="1">
      <c r="A612" s="16"/>
      <c r="B612" s="39">
        <v>44986</v>
      </c>
      <c r="C612" s="35" t="str">
        <f>VLOOKUP(Ventas[[#This Row],[Codigo]],Stock[#Data],2,FALSE)</f>
        <v>Maca Brew 500cc</v>
      </c>
      <c r="D612" s="37">
        <f>VLOOKUP(Ventas[[#This Row],[Codigo]],Stock[#Data],4,FALSE)</f>
        <v>1000</v>
      </c>
      <c r="E612" s="33">
        <f>VLOOKUP(Ventas[[#This Row],[Codigo]],Stock[#Data],3,FALSE)</f>
        <v>470</v>
      </c>
      <c r="F612" s="38">
        <v>1</v>
      </c>
      <c r="G612">
        <v>12</v>
      </c>
      <c r="H612" s="36">
        <f>Ventas[[#This Row],[Precio Venta]]*Ventas[[#This Row],[Cantidad]]-Ventas[[#This Row],[Descuento]]</f>
        <v>1000</v>
      </c>
      <c r="I612" s="34">
        <f>Ventas[[#This Row],[Total]]-Ventas[[#This Row],[Precio compra]]*Ventas[[#This Row],[Cantidad]]</f>
        <v>530</v>
      </c>
      <c r="J612" s="34"/>
      <c r="K612" s="34">
        <f>Ventas[[#This Row],[Total]]*Ventas[[#This Row],[Total 3]]</f>
        <v>0</v>
      </c>
      <c r="L612" s="34"/>
      <c r="M612" s="34"/>
    </row>
    <row r="613" spans="1:13" ht="21.75" customHeight="1">
      <c r="A613" s="16"/>
      <c r="B613" s="39">
        <v>44986</v>
      </c>
      <c r="C613" s="35" t="str">
        <f>VLOOKUP(Ventas[[#This Row],[Codigo]],Stock[#Data],2,FALSE)</f>
        <v>Bio Brew</v>
      </c>
      <c r="D613" s="37">
        <f>VLOOKUP(Ventas[[#This Row],[Codigo]],Stock[#Data],4,FALSE)</f>
        <v>1100</v>
      </c>
      <c r="E613" s="33">
        <f>VLOOKUP(Ventas[[#This Row],[Codigo]],Stock[#Data],3,FALSE)</f>
        <v>530</v>
      </c>
      <c r="F613" s="38">
        <v>1</v>
      </c>
      <c r="G613">
        <v>11</v>
      </c>
      <c r="H613" s="36">
        <f>Ventas[[#This Row],[Precio Venta]]*Ventas[[#This Row],[Cantidad]]-Ventas[[#This Row],[Descuento]]</f>
        <v>1100</v>
      </c>
      <c r="I613" s="34">
        <f>Ventas[[#This Row],[Total]]-Ventas[[#This Row],[Precio compra]]*Ventas[[#This Row],[Cantidad]]</f>
        <v>570</v>
      </c>
      <c r="J613" s="34"/>
      <c r="K613" s="34">
        <f>Ventas[[#This Row],[Total]]*Ventas[[#This Row],[Total 3]]</f>
        <v>0</v>
      </c>
      <c r="L613" s="34"/>
      <c r="M613" s="34"/>
    </row>
    <row r="614" spans="1:13" ht="21.75" customHeight="1">
      <c r="A614" s="16"/>
      <c r="B614" s="39">
        <v>44986</v>
      </c>
      <c r="C614" s="35" t="str">
        <f>VLOOKUP(Ventas[[#This Row],[Codigo]],Stock[#Data],2,FALSE)</f>
        <v>4 en 1 100ml Green Leaf Insumos</v>
      </c>
      <c r="D614" s="37">
        <f>VLOOKUP(Ventas[[#This Row],[Codigo]],Stock[#Data],4,FALSE)</f>
        <v>1000</v>
      </c>
      <c r="E614" s="33">
        <f>VLOOKUP(Ventas[[#This Row],[Codigo]],Stock[#Data],3,FALSE)</f>
        <v>498</v>
      </c>
      <c r="F614" s="38">
        <v>2</v>
      </c>
      <c r="G614">
        <v>575</v>
      </c>
      <c r="H614" s="36">
        <f>Ventas[[#This Row],[Precio Venta]]*Ventas[[#This Row],[Cantidad]]-Ventas[[#This Row],[Descuento]]</f>
        <v>2000</v>
      </c>
      <c r="I614" s="34">
        <f>Ventas[[#This Row],[Total]]-Ventas[[#This Row],[Precio compra]]*Ventas[[#This Row],[Cantidad]]</f>
        <v>1004</v>
      </c>
      <c r="J614" s="34"/>
      <c r="K614" s="34">
        <f>Ventas[[#This Row],[Total]]*Ventas[[#This Row],[Total 3]]</f>
        <v>0</v>
      </c>
      <c r="L614" s="34"/>
      <c r="M614" s="34"/>
    </row>
    <row r="615" spans="1:13" ht="21.75" customHeight="1">
      <c r="A615" s="16"/>
      <c r="B615" s="39">
        <v>44986</v>
      </c>
      <c r="C615" s="35" t="str">
        <f>VLOOKUP(Ventas[[#This Row],[Codigo]],Stock[#Data],2,FALSE)</f>
        <v>4 en 1 250ml Green Leaf Insumos</v>
      </c>
      <c r="D615" s="37">
        <f>VLOOKUP(Ventas[[#This Row],[Codigo]],Stock[#Data],4,FALSE)</f>
        <v>2300</v>
      </c>
      <c r="E615" s="33">
        <f>VLOOKUP(Ventas[[#This Row],[Codigo]],Stock[#Data],3,FALSE)</f>
        <v>1179</v>
      </c>
      <c r="F615" s="38">
        <v>1</v>
      </c>
      <c r="G615">
        <v>576</v>
      </c>
      <c r="H615" s="36">
        <f>Ventas[[#This Row],[Precio Venta]]*Ventas[[#This Row],[Cantidad]]-Ventas[[#This Row],[Descuento]]</f>
        <v>2300</v>
      </c>
      <c r="I615" s="34">
        <f>Ventas[[#This Row],[Total]]-Ventas[[#This Row],[Precio compra]]*Ventas[[#This Row],[Cantidad]]</f>
        <v>1121</v>
      </c>
      <c r="J615" s="34"/>
      <c r="K615" s="34">
        <f>Ventas[[#This Row],[Total]]*Ventas[[#This Row],[Total 3]]</f>
        <v>0</v>
      </c>
      <c r="L615" s="34"/>
      <c r="M615" s="34"/>
    </row>
    <row r="616" spans="1:13" ht="21.75" customHeight="1">
      <c r="A616" s="16"/>
      <c r="B616" s="39">
        <v>44986</v>
      </c>
      <c r="C616" s="35" t="str">
        <f>VLOOKUP(Ventas[[#This Row],[Codigo]],Stock[#Data],2,FALSE)</f>
        <v>Landiner Harina de Hueso</v>
      </c>
      <c r="D616" s="37">
        <f>VLOOKUP(Ventas[[#This Row],[Codigo]],Stock[#Data],4,FALSE)</f>
        <v>850</v>
      </c>
      <c r="E616" s="33">
        <f>VLOOKUP(Ventas[[#This Row],[Codigo]],Stock[#Data],3,FALSE)</f>
        <v>415</v>
      </c>
      <c r="F616" s="38">
        <v>1</v>
      </c>
      <c r="G616">
        <v>285</v>
      </c>
      <c r="H616" s="36">
        <f>Ventas[[#This Row],[Precio Venta]]*Ventas[[#This Row],[Cantidad]]-Ventas[[#This Row],[Descuento]]</f>
        <v>850</v>
      </c>
      <c r="I616" s="34">
        <f>Ventas[[#This Row],[Total]]-Ventas[[#This Row],[Precio compra]]*Ventas[[#This Row],[Cantidad]]</f>
        <v>435</v>
      </c>
      <c r="J616" s="34"/>
      <c r="K616" s="34">
        <f>Ventas[[#This Row],[Total]]*Ventas[[#This Row],[Total 3]]</f>
        <v>0</v>
      </c>
      <c r="L616" s="34"/>
      <c r="M616" s="34"/>
    </row>
    <row r="617" spans="1:13" ht="21.75" customHeight="1">
      <c r="A617" s="16"/>
      <c r="B617" s="39">
        <v>44986</v>
      </c>
      <c r="C617" s="35" t="str">
        <f>VLOOKUP(Ventas[[#This Row],[Codigo]],Stock[#Data],2,FALSE)</f>
        <v>Clonaste Namaste 30gr</v>
      </c>
      <c r="D617" s="37">
        <f>VLOOKUP(Ventas[[#This Row],[Codigo]],Stock[#Data],4,FALSE)</f>
        <v>2000</v>
      </c>
      <c r="E617" s="33">
        <f>VLOOKUP(Ventas[[#This Row],[Codigo]],Stock[#Data],3,FALSE)</f>
        <v>1054</v>
      </c>
      <c r="F617" s="38">
        <v>1</v>
      </c>
      <c r="G617">
        <v>486</v>
      </c>
      <c r="H617" s="36">
        <f>Ventas[[#This Row],[Precio Venta]]*Ventas[[#This Row],[Cantidad]]-Ventas[[#This Row],[Descuento]]</f>
        <v>2000</v>
      </c>
      <c r="I617" s="34">
        <f>Ventas[[#This Row],[Total]]-Ventas[[#This Row],[Precio compra]]*Ventas[[#This Row],[Cantidad]]</f>
        <v>946</v>
      </c>
      <c r="J617" s="34"/>
      <c r="K617" s="34">
        <f>Ventas[[#This Row],[Total]]*Ventas[[#This Row],[Total 3]]</f>
        <v>0</v>
      </c>
      <c r="L617" s="34"/>
      <c r="M617" s="34"/>
    </row>
    <row r="618" spans="1:13" ht="21.75" customHeight="1">
      <c r="A618" s="16"/>
      <c r="B618" s="39">
        <v>44986</v>
      </c>
      <c r="C618" s="35" t="str">
        <f>VLOOKUP(Ventas[[#This Row],[Codigo]],Stock[#Data],2,FALSE)</f>
        <v>Nostress aceite de neem</v>
      </c>
      <c r="D618" s="37">
        <f>VLOOKUP(Ventas[[#This Row],[Codigo]],Stock[#Data],4,FALSE)</f>
        <v>900</v>
      </c>
      <c r="E618" s="33">
        <f>VLOOKUP(Ventas[[#This Row],[Codigo]],Stock[#Data],3,FALSE)</f>
        <v>430</v>
      </c>
      <c r="F618" s="38">
        <v>1</v>
      </c>
      <c r="G618">
        <v>20</v>
      </c>
      <c r="H618" s="36">
        <f>Ventas[[#This Row],[Precio Venta]]*Ventas[[#This Row],[Cantidad]]-Ventas[[#This Row],[Descuento]]</f>
        <v>900</v>
      </c>
      <c r="I618" s="34">
        <f>Ventas[[#This Row],[Total]]-Ventas[[#This Row],[Precio compra]]*Ventas[[#This Row],[Cantidad]]</f>
        <v>470</v>
      </c>
      <c r="J618" s="34"/>
      <c r="K618" s="34">
        <f>Ventas[[#This Row],[Total]]*Ventas[[#This Row],[Total 3]]</f>
        <v>0</v>
      </c>
      <c r="L618" s="34"/>
      <c r="M618" s="34"/>
    </row>
    <row r="619" spans="1:13" ht="21.75" customHeight="1">
      <c r="A619" s="16"/>
      <c r="B619" s="39">
        <v>44986</v>
      </c>
      <c r="C619" s="35" t="str">
        <f>VLOOKUP(Ventas[[#This Row],[Codigo]],Stock[#Data],2,FALSE)</f>
        <v xml:space="preserve">Bio Proyect Ph + 125ml </v>
      </c>
      <c r="D619" s="37">
        <f>VLOOKUP(Ventas[[#This Row],[Codigo]],Stock[#Data],4,FALSE)</f>
        <v>1300</v>
      </c>
      <c r="E619" s="33">
        <f>VLOOKUP(Ventas[[#This Row],[Codigo]],Stock[#Data],3,FALSE)</f>
        <v>631</v>
      </c>
      <c r="F619" s="38">
        <v>1</v>
      </c>
      <c r="G619">
        <v>441</v>
      </c>
      <c r="H619" s="36">
        <f>Ventas[[#This Row],[Precio Venta]]*Ventas[[#This Row],[Cantidad]]-Ventas[[#This Row],[Descuento]]</f>
        <v>1300</v>
      </c>
      <c r="I619" s="34">
        <f>Ventas[[#This Row],[Total]]-Ventas[[#This Row],[Precio compra]]*Ventas[[#This Row],[Cantidad]]</f>
        <v>669</v>
      </c>
      <c r="J619" s="34"/>
      <c r="K619" s="34">
        <f>Ventas[[#This Row],[Total]]*Ventas[[#This Row],[Total 3]]</f>
        <v>0</v>
      </c>
      <c r="L619" s="34"/>
      <c r="M619" s="34"/>
    </row>
    <row r="620" spans="1:13" ht="21.75" customHeight="1">
      <c r="A620" s="16"/>
      <c r="B620" s="39">
        <v>44986</v>
      </c>
      <c r="C620" s="35" t="str">
        <f>VLOOKUP(Ventas[[#This Row],[Codigo]],Stock[#Data],2,FALSE)</f>
        <v xml:space="preserve">Namaste AMAZONIA  300gr </v>
      </c>
      <c r="D620" s="37">
        <f>VLOOKUP(Ventas[[#This Row],[Codigo]],Stock[#Data],4,FALSE)</f>
        <v>4200</v>
      </c>
      <c r="E620" s="33">
        <f>VLOOKUP(Ventas[[#This Row],[Codigo]],Stock[#Data],3,FALSE)</f>
        <v>2347</v>
      </c>
      <c r="F620" s="38">
        <v>1</v>
      </c>
      <c r="G620">
        <v>318</v>
      </c>
      <c r="H620" s="36">
        <f>Ventas[[#This Row],[Precio Venta]]*Ventas[[#This Row],[Cantidad]]-Ventas[[#This Row],[Descuento]]</f>
        <v>4200</v>
      </c>
      <c r="I620" s="34">
        <f>Ventas[[#This Row],[Total]]-Ventas[[#This Row],[Precio compra]]*Ventas[[#This Row],[Cantidad]]</f>
        <v>1853</v>
      </c>
      <c r="J620" s="34"/>
      <c r="K620" s="34">
        <f>Ventas[[#This Row],[Total]]*Ventas[[#This Row],[Total 3]]</f>
        <v>0</v>
      </c>
      <c r="L620" s="34"/>
      <c r="M620" s="34"/>
    </row>
    <row r="621" spans="1:13" ht="21.75" customHeight="1">
      <c r="A621" s="16"/>
      <c r="B621" s="39">
        <v>44986</v>
      </c>
      <c r="C621" s="35" t="str">
        <f>VLOOKUP(Ventas[[#This Row],[Codigo]],Stock[#Data],2,FALSE)</f>
        <v>Namaste Flora Booster 500ml</v>
      </c>
      <c r="D621" s="37">
        <f>VLOOKUP(Ventas[[#This Row],[Codigo]],Stock[#Data],4,FALSE)</f>
        <v>2500</v>
      </c>
      <c r="E621" s="33">
        <f>VLOOKUP(Ventas[[#This Row],[Codigo]],Stock[#Data],3,FALSE)</f>
        <v>1377</v>
      </c>
      <c r="F621" s="38">
        <v>3</v>
      </c>
      <c r="G621">
        <v>496</v>
      </c>
      <c r="H621" s="36">
        <f>Ventas[[#This Row],[Precio Venta]]*Ventas[[#This Row],[Cantidad]]-Ventas[[#This Row],[Descuento]]</f>
        <v>7500</v>
      </c>
      <c r="I621" s="34">
        <f>Ventas[[#This Row],[Total]]-Ventas[[#This Row],[Precio compra]]*Ventas[[#This Row],[Cantidad]]</f>
        <v>3369</v>
      </c>
      <c r="J621" s="34"/>
      <c r="K621" s="34">
        <f>Ventas[[#This Row],[Total]]*Ventas[[#This Row],[Total 3]]</f>
        <v>0</v>
      </c>
      <c r="L621" s="34"/>
      <c r="M621" s="34"/>
    </row>
    <row r="622" spans="1:13" ht="21.75" customHeight="1">
      <c r="A622" s="16"/>
      <c r="B622" s="39">
        <v>44986</v>
      </c>
      <c r="C622" s="35" t="str">
        <f>VLOOKUP(Ventas[[#This Row],[Codigo]],Stock[#Data],2,FALSE)</f>
        <v>Namaste Oro Negro 500ml</v>
      </c>
      <c r="D622" s="37">
        <f>VLOOKUP(Ventas[[#This Row],[Codigo]],Stock[#Data],4,FALSE)</f>
        <v>2500</v>
      </c>
      <c r="E622" s="33">
        <f>VLOOKUP(Ventas[[#This Row],[Codigo]],Stock[#Data],3,FALSE)</f>
        <v>1390</v>
      </c>
      <c r="F622" s="38">
        <v>1</v>
      </c>
      <c r="G622">
        <v>497</v>
      </c>
      <c r="H622" s="36">
        <f>Ventas[[#This Row],[Precio Venta]]*Ventas[[#This Row],[Cantidad]]-Ventas[[#This Row],[Descuento]]</f>
        <v>2500</v>
      </c>
      <c r="I622" s="34">
        <f>Ventas[[#This Row],[Total]]-Ventas[[#This Row],[Precio compra]]*Ventas[[#This Row],[Cantidad]]</f>
        <v>1110</v>
      </c>
      <c r="J622" s="34"/>
      <c r="K622" s="34">
        <f>Ventas[[#This Row],[Total]]*Ventas[[#This Row],[Total 3]]</f>
        <v>0</v>
      </c>
      <c r="L622" s="34"/>
      <c r="M622" s="34"/>
    </row>
    <row r="623" spans="1:13" ht="21.75" customHeight="1">
      <c r="A623" s="16"/>
      <c r="B623" s="39">
        <v>44986</v>
      </c>
      <c r="C623" s="35" t="str">
        <f>VLOOKUP(Ventas[[#This Row],[Codigo]],Stock[#Data],2,FALSE)</f>
        <v xml:space="preserve">Sedas 3 Rayos Celulosa </v>
      </c>
      <c r="D623" s="37">
        <f>VLOOKUP(Ventas[[#This Row],[Codigo]],Stock[#Data],4,FALSE)</f>
        <v>400</v>
      </c>
      <c r="E623" s="33">
        <f>VLOOKUP(Ventas[[#This Row],[Codigo]],Stock[#Data],3,FALSE)</f>
        <v>211</v>
      </c>
      <c r="F623" s="38">
        <v>2</v>
      </c>
      <c r="G623">
        <v>310</v>
      </c>
      <c r="H623" s="36">
        <f>Ventas[[#This Row],[Precio Venta]]*Ventas[[#This Row],[Cantidad]]-Ventas[[#This Row],[Descuento]]</f>
        <v>800</v>
      </c>
      <c r="I623" s="34">
        <f>Ventas[[#This Row],[Total]]-Ventas[[#This Row],[Precio compra]]*Ventas[[#This Row],[Cantidad]]</f>
        <v>378</v>
      </c>
      <c r="J623" s="34"/>
      <c r="K623" s="34">
        <f>Ventas[[#This Row],[Total]]*Ventas[[#This Row],[Total 3]]</f>
        <v>0</v>
      </c>
      <c r="L623" s="34"/>
      <c r="M623" s="34"/>
    </row>
    <row r="624" spans="1:13" ht="21.75" customHeight="1">
      <c r="A624" s="16"/>
      <c r="B624" s="39">
        <v>44986</v>
      </c>
      <c r="C624" s="35" t="str">
        <f>VLOOKUP(Ventas[[#This Row],[Codigo]],Stock[#Data],2,FALSE)</f>
        <v>Namaste Shanti 100ml</v>
      </c>
      <c r="D624" s="37">
        <f>VLOOKUP(Ventas[[#This Row],[Codigo]],Stock[#Data],4,FALSE)</f>
        <v>2000</v>
      </c>
      <c r="E624" s="33">
        <f>VLOOKUP(Ventas[[#This Row],[Codigo]],Stock[#Data],3,FALSE)</f>
        <v>932</v>
      </c>
      <c r="F624" s="38">
        <v>3</v>
      </c>
      <c r="G624">
        <v>569</v>
      </c>
      <c r="H624" s="36">
        <f>Ventas[[#This Row],[Precio Venta]]*Ventas[[#This Row],[Cantidad]]-Ventas[[#This Row],[Descuento]]</f>
        <v>6000</v>
      </c>
      <c r="I624" s="34">
        <f>Ventas[[#This Row],[Total]]-Ventas[[#This Row],[Precio compra]]*Ventas[[#This Row],[Cantidad]]</f>
        <v>3204</v>
      </c>
      <c r="J624" s="34"/>
      <c r="K624" s="34">
        <f>Ventas[[#This Row],[Total]]*Ventas[[#This Row],[Total 3]]</f>
        <v>0</v>
      </c>
      <c r="L624" s="34"/>
      <c r="M624" s="34"/>
    </row>
    <row r="625" spans="1:13" ht="21.75" customHeight="1">
      <c r="A625" s="16"/>
      <c r="B625" s="39">
        <v>44986</v>
      </c>
      <c r="C625" s="35" t="str">
        <f>VLOOKUP(Ventas[[#This Row],[Codigo]],Stock[#Data],2,FALSE)</f>
        <v>Namaste Trico+ 250gr</v>
      </c>
      <c r="D625" s="37">
        <f>VLOOKUP(Ventas[[#This Row],[Codigo]],Stock[#Data],4,FALSE)</f>
        <v>2000</v>
      </c>
      <c r="E625" s="33">
        <f>VLOOKUP(Ventas[[#This Row],[Codigo]],Stock[#Data],3,FALSE)</f>
        <v>1033</v>
      </c>
      <c r="F625" s="38">
        <v>3</v>
      </c>
      <c r="G625">
        <v>500</v>
      </c>
      <c r="H625" s="36">
        <f>Ventas[[#This Row],[Precio Venta]]*Ventas[[#This Row],[Cantidad]]-Ventas[[#This Row],[Descuento]]</f>
        <v>6000</v>
      </c>
      <c r="I625" s="34">
        <f>Ventas[[#This Row],[Total]]-Ventas[[#This Row],[Precio compra]]*Ventas[[#This Row],[Cantidad]]</f>
        <v>2901</v>
      </c>
      <c r="J625" s="34"/>
      <c r="K625" s="34">
        <f>Ventas[[#This Row],[Total]]*Ventas[[#This Row],[Total 3]]</f>
        <v>0</v>
      </c>
      <c r="L625" s="34"/>
      <c r="M625" s="34"/>
    </row>
    <row r="626" spans="1:13" ht="21.75" customHeight="1">
      <c r="A626" s="16"/>
      <c r="B626" s="39">
        <v>44986</v>
      </c>
      <c r="C626" s="35" t="str">
        <f>VLOOKUP(Ventas[[#This Row],[Codigo]],Stock[#Data],2,FALSE)</f>
        <v>Namaste Trico+ 100gr</v>
      </c>
      <c r="D626" s="37">
        <f>VLOOKUP(Ventas[[#This Row],[Codigo]],Stock[#Data],4,FALSE)</f>
        <v>1000</v>
      </c>
      <c r="E626" s="33">
        <f>VLOOKUP(Ventas[[#This Row],[Codigo]],Stock[#Data],3,FALSE)</f>
        <v>541</v>
      </c>
      <c r="F626" s="38">
        <v>1</v>
      </c>
      <c r="G626">
        <v>479</v>
      </c>
      <c r="H626" s="36">
        <f>Ventas[[#This Row],[Precio Venta]]*Ventas[[#This Row],[Cantidad]]-Ventas[[#This Row],[Descuento]]</f>
        <v>1000</v>
      </c>
      <c r="I626" s="34">
        <f>Ventas[[#This Row],[Total]]-Ventas[[#This Row],[Precio compra]]*Ventas[[#This Row],[Cantidad]]</f>
        <v>459</v>
      </c>
      <c r="J626" s="34"/>
      <c r="K626" s="34">
        <f>Ventas[[#This Row],[Total]]*Ventas[[#This Row],[Total 3]]</f>
        <v>0</v>
      </c>
      <c r="L626" s="34"/>
      <c r="M626" s="34"/>
    </row>
    <row r="627" spans="1:13" ht="21.75" customHeight="1">
      <c r="A627" s="16"/>
      <c r="B627" s="39">
        <v>44986</v>
      </c>
      <c r="C627" s="35" t="str">
        <f>VLOOKUP(Ventas[[#This Row],[Codigo]],Stock[#Data],2,FALSE)</f>
        <v>Namaste Flora Booster 100ml</v>
      </c>
      <c r="D627" s="37">
        <f>VLOOKUP(Ventas[[#This Row],[Codigo]],Stock[#Data],4,FALSE)</f>
        <v>1000</v>
      </c>
      <c r="E627" s="33">
        <f>VLOOKUP(Ventas[[#This Row],[Codigo]],Stock[#Data],3,FALSE)</f>
        <v>517</v>
      </c>
      <c r="F627" s="38">
        <v>1</v>
      </c>
      <c r="G627">
        <v>480</v>
      </c>
      <c r="H627" s="36">
        <f>Ventas[[#This Row],[Precio Venta]]*Ventas[[#This Row],[Cantidad]]-Ventas[[#This Row],[Descuento]]</f>
        <v>1000</v>
      </c>
      <c r="I627" s="34">
        <f>Ventas[[#This Row],[Total]]-Ventas[[#This Row],[Precio compra]]*Ventas[[#This Row],[Cantidad]]</f>
        <v>483</v>
      </c>
      <c r="J627" s="34"/>
      <c r="K627" s="34">
        <f>Ventas[[#This Row],[Total]]*Ventas[[#This Row],[Total 3]]</f>
        <v>0</v>
      </c>
      <c r="L627" s="34"/>
      <c r="M627" s="34"/>
    </row>
    <row r="628" spans="1:13" ht="21.75" customHeight="1">
      <c r="A628" s="16"/>
      <c r="B628" s="39">
        <v>44986</v>
      </c>
      <c r="C628" s="35" t="str">
        <f>VLOOKUP(Ventas[[#This Row],[Codigo]],Stock[#Data],2,FALSE)</f>
        <v>Aceite de Cannabis Ned Lud 20ml</v>
      </c>
      <c r="D628" s="37">
        <f>VLOOKUP(Ventas[[#This Row],[Codigo]],Stock[#Data],4,FALSE)</f>
        <v>5500</v>
      </c>
      <c r="E628" s="33">
        <f>VLOOKUP(Ventas[[#This Row],[Codigo]],Stock[#Data],3,FALSE)</f>
        <v>4000</v>
      </c>
      <c r="F628" s="38">
        <v>1</v>
      </c>
      <c r="G628">
        <v>466</v>
      </c>
      <c r="H628" s="36">
        <f>Ventas[[#This Row],[Precio Venta]]*Ventas[[#This Row],[Cantidad]]-Ventas[[#This Row],[Descuento]]</f>
        <v>5500</v>
      </c>
      <c r="I628" s="34">
        <f>Ventas[[#This Row],[Total]]-Ventas[[#This Row],[Precio compra]]*Ventas[[#This Row],[Cantidad]]</f>
        <v>1500</v>
      </c>
      <c r="J628" s="34"/>
      <c r="K628" s="34">
        <f>Ventas[[#This Row],[Total]]*Ventas[[#This Row],[Total 3]]</f>
        <v>0</v>
      </c>
      <c r="L628" s="34"/>
      <c r="M628" s="34"/>
    </row>
    <row r="629" spans="1:13" ht="21.75" customHeight="1">
      <c r="A629" s="16"/>
      <c r="B629" s="39">
        <v>44986</v>
      </c>
      <c r="C629" s="35" t="str">
        <f>VLOOKUP(Ventas[[#This Row],[Codigo]],Stock[#Data],2,FALSE)</f>
        <v>Sauver 1/4</v>
      </c>
      <c r="D629" s="37">
        <f>VLOOKUP(Ventas[[#This Row],[Codigo]],Stock[#Data],4,FALSE)</f>
        <v>200</v>
      </c>
      <c r="E629" s="33">
        <f>VLOOKUP(Ventas[[#This Row],[Codigo]],Stock[#Data],3,FALSE)</f>
        <v>75</v>
      </c>
      <c r="F629" s="38">
        <v>4</v>
      </c>
      <c r="G629">
        <v>149</v>
      </c>
      <c r="H629" s="36">
        <f>Ventas[[#This Row],[Precio Venta]]*Ventas[[#This Row],[Cantidad]]-Ventas[[#This Row],[Descuento]]</f>
        <v>800</v>
      </c>
      <c r="I629" s="34">
        <f>Ventas[[#This Row],[Total]]-Ventas[[#This Row],[Precio compra]]*Ventas[[#This Row],[Cantidad]]</f>
        <v>500</v>
      </c>
      <c r="J629" s="34"/>
      <c r="K629" s="34">
        <f>Ventas[[#This Row],[Total]]*Ventas[[#This Row],[Total 3]]</f>
        <v>0</v>
      </c>
      <c r="L629" s="34"/>
      <c r="M629" s="34"/>
    </row>
    <row r="630" spans="1:13" ht="21.75" customHeight="1">
      <c r="A630" s="16"/>
      <c r="B630" s="39">
        <v>44986</v>
      </c>
      <c r="C630" s="35" t="str">
        <f>VLOOKUP(Ventas[[#This Row],[Codigo]],Stock[#Data],2,FALSE)</f>
        <v>Sauver XL</v>
      </c>
      <c r="D630" s="37">
        <f>VLOOKUP(Ventas[[#This Row],[Codigo]],Stock[#Data],4,FALSE)</f>
        <v>200</v>
      </c>
      <c r="E630" s="33">
        <f>VLOOKUP(Ventas[[#This Row],[Codigo]],Stock[#Data],3,FALSE)</f>
        <v>65</v>
      </c>
      <c r="F630" s="38">
        <v>7</v>
      </c>
      <c r="G630">
        <v>529</v>
      </c>
      <c r="H630" s="36">
        <f>Ventas[[#This Row],[Precio Venta]]*Ventas[[#This Row],[Cantidad]]-Ventas[[#This Row],[Descuento]]</f>
        <v>1400</v>
      </c>
      <c r="I630" s="34">
        <f>Ventas[[#This Row],[Total]]-Ventas[[#This Row],[Precio compra]]*Ventas[[#This Row],[Cantidad]]</f>
        <v>945</v>
      </c>
      <c r="J630" s="34"/>
      <c r="K630" s="34">
        <f>Ventas[[#This Row],[Total]]*Ventas[[#This Row],[Total 3]]</f>
        <v>0</v>
      </c>
      <c r="L630" s="34"/>
      <c r="M630" s="34"/>
    </row>
    <row r="631" spans="1:13" ht="21.75" customHeight="1">
      <c r="A631" s="16"/>
      <c r="B631" s="39">
        <v>44986</v>
      </c>
      <c r="C631" s="35" t="str">
        <f>VLOOKUP(Ventas[[#This Row],[Codigo]],Stock[#Data],2,FALSE)</f>
        <v xml:space="preserve">Encendedor Clipper </v>
      </c>
      <c r="D631" s="37">
        <f>VLOOKUP(Ventas[[#This Row],[Codigo]],Stock[#Data],4,FALSE)</f>
        <v>600</v>
      </c>
      <c r="E631" s="33">
        <f>VLOOKUP(Ventas[[#This Row],[Codigo]],Stock[#Data],3,FALSE)</f>
        <v>378</v>
      </c>
      <c r="F631" s="38">
        <v>2</v>
      </c>
      <c r="G631">
        <v>58</v>
      </c>
      <c r="H631" s="36">
        <f>Ventas[[#This Row],[Precio Venta]]*Ventas[[#This Row],[Cantidad]]-Ventas[[#This Row],[Descuento]]</f>
        <v>1200</v>
      </c>
      <c r="I631" s="34">
        <f>Ventas[[#This Row],[Total]]-Ventas[[#This Row],[Precio compra]]*Ventas[[#This Row],[Cantidad]]</f>
        <v>444</v>
      </c>
      <c r="J631" s="34"/>
      <c r="K631" s="34">
        <f>Ventas[[#This Row],[Total]]*Ventas[[#This Row],[Total 3]]</f>
        <v>0</v>
      </c>
      <c r="L631" s="34"/>
      <c r="M631" s="34"/>
    </row>
    <row r="632" spans="1:13" ht="21.75" customHeight="1">
      <c r="A632" s="16"/>
      <c r="B632" s="39">
        <v>44986</v>
      </c>
      <c r="C632" s="35" t="str">
        <f>VLOOKUP(Ventas[[#This Row],[Codigo]],Stock[#Data],2,FALSE)</f>
        <v xml:space="preserve">Clipper Raw </v>
      </c>
      <c r="D632" s="37">
        <f>VLOOKUP(Ventas[[#This Row],[Codigo]],Stock[#Data],4,FALSE)</f>
        <v>550</v>
      </c>
      <c r="E632" s="33">
        <f>VLOOKUP(Ventas[[#This Row],[Codigo]],Stock[#Data],3,FALSE)</f>
        <v>276</v>
      </c>
      <c r="F632" s="38">
        <v>3</v>
      </c>
      <c r="G632">
        <v>502</v>
      </c>
      <c r="H632" s="36">
        <f>Ventas[[#This Row],[Precio Venta]]*Ventas[[#This Row],[Cantidad]]-Ventas[[#This Row],[Descuento]]</f>
        <v>1650</v>
      </c>
      <c r="I632" s="34">
        <f>Ventas[[#This Row],[Total]]-Ventas[[#This Row],[Precio compra]]*Ventas[[#This Row],[Cantidad]]</f>
        <v>822</v>
      </c>
      <c r="J632" s="34"/>
      <c r="K632" s="34">
        <f>Ventas[[#This Row],[Total]]*Ventas[[#This Row],[Total 3]]</f>
        <v>0</v>
      </c>
      <c r="L632" s="34"/>
      <c r="M632" s="34"/>
    </row>
    <row r="633" spans="1:13" ht="21.75" customHeight="1">
      <c r="A633" s="16"/>
      <c r="B633" s="39">
        <v>44986</v>
      </c>
      <c r="C633" s="35" t="str">
        <f>VLOOKUP(Ventas[[#This Row],[Codigo]],Stock[#Data],2,FALSE)</f>
        <v xml:space="preserve">Filtros Gizhe + Sedas </v>
      </c>
      <c r="D633" s="37">
        <f>VLOOKUP(Ventas[[#This Row],[Codigo]],Stock[#Data],4,FALSE)</f>
        <v>350</v>
      </c>
      <c r="E633" s="33">
        <f>VLOOKUP(Ventas[[#This Row],[Codigo]],Stock[#Data],3,FALSE)</f>
        <v>150</v>
      </c>
      <c r="F633" s="38">
        <v>1</v>
      </c>
      <c r="G633">
        <v>476</v>
      </c>
      <c r="H633" s="36">
        <f>Ventas[[#This Row],[Precio Venta]]*Ventas[[#This Row],[Cantidad]]-Ventas[[#This Row],[Descuento]]</f>
        <v>350</v>
      </c>
      <c r="I633" s="34">
        <f>Ventas[[#This Row],[Total]]-Ventas[[#This Row],[Precio compra]]*Ventas[[#This Row],[Cantidad]]</f>
        <v>200</v>
      </c>
      <c r="J633" s="34"/>
      <c r="K633" s="34">
        <f>Ventas[[#This Row],[Total]]*Ventas[[#This Row],[Total 3]]</f>
        <v>0</v>
      </c>
      <c r="L633" s="34"/>
      <c r="M633" s="34"/>
    </row>
    <row r="634" spans="1:13" ht="21.75" customHeight="1">
      <c r="A634" s="16"/>
      <c r="B634" s="39">
        <v>44986</v>
      </c>
      <c r="C634" s="35" t="str">
        <f>VLOOKUP(Ventas[[#This Row],[Codigo]],Stock[#Data],2,FALSE)</f>
        <v>Filtros GIZEH biodegradable</v>
      </c>
      <c r="D634" s="37">
        <f>VLOOKUP(Ventas[[#This Row],[Codigo]],Stock[#Data],4,FALSE)</f>
        <v>450</v>
      </c>
      <c r="E634" s="33">
        <f>VLOOKUP(Ventas[[#This Row],[Codigo]],Stock[#Data],3,FALSE)</f>
        <v>280</v>
      </c>
      <c r="F634" s="38">
        <v>3</v>
      </c>
      <c r="G634">
        <v>107</v>
      </c>
      <c r="H634" s="36">
        <f>Ventas[[#This Row],[Precio Venta]]*Ventas[[#This Row],[Cantidad]]-Ventas[[#This Row],[Descuento]]</f>
        <v>1350</v>
      </c>
      <c r="I634" s="34">
        <f>Ventas[[#This Row],[Total]]-Ventas[[#This Row],[Precio compra]]*Ventas[[#This Row],[Cantidad]]</f>
        <v>510</v>
      </c>
      <c r="J634" s="34"/>
      <c r="K634" s="34">
        <f>Ventas[[#This Row],[Total]]*Ventas[[#This Row],[Total 3]]</f>
        <v>0</v>
      </c>
      <c r="L634" s="34"/>
      <c r="M634" s="34"/>
    </row>
    <row r="635" spans="1:13" ht="21.75" customHeight="1">
      <c r="A635" s="16"/>
      <c r="B635" s="39">
        <v>44986</v>
      </c>
      <c r="C635" s="35" t="str">
        <f>VLOOKUP(Ventas[[#This Row],[Codigo]],Stock[#Data],2,FALSE)</f>
        <v>Blunt Lion Rolling Circus Straberry</v>
      </c>
      <c r="D635" s="37">
        <f>VLOOKUP(Ventas[[#This Row],[Codigo]],Stock[#Data],4,FALSE)</f>
        <v>750</v>
      </c>
      <c r="E635" s="33">
        <f>VLOOKUP(Ventas[[#This Row],[Codigo]],Stock[#Data],3,FALSE)</f>
        <v>383</v>
      </c>
      <c r="F635" s="38">
        <v>1</v>
      </c>
      <c r="G635">
        <v>405</v>
      </c>
      <c r="H635" s="36">
        <f>Ventas[[#This Row],[Precio Venta]]*Ventas[[#This Row],[Cantidad]]-Ventas[[#This Row],[Descuento]]</f>
        <v>750</v>
      </c>
      <c r="I635" s="34">
        <f>Ventas[[#This Row],[Total]]-Ventas[[#This Row],[Precio compra]]*Ventas[[#This Row],[Cantidad]]</f>
        <v>367</v>
      </c>
      <c r="J635" s="34"/>
      <c r="K635" s="34">
        <f>Ventas[[#This Row],[Total]]*Ventas[[#This Row],[Total 3]]</f>
        <v>0</v>
      </c>
      <c r="L635" s="34"/>
      <c r="M635" s="34"/>
    </row>
    <row r="636" spans="1:13" ht="21.75" customHeight="1">
      <c r="A636" s="16"/>
      <c r="B636" s="39">
        <v>44986</v>
      </c>
      <c r="C636" s="35" t="str">
        <f>VLOOKUP(Ventas[[#This Row],[Codigo]],Stock[#Data],2,FALSE)</f>
        <v>Blunt Wrap Vainilla</v>
      </c>
      <c r="D636" s="37">
        <f>VLOOKUP(Ventas[[#This Row],[Codigo]],Stock[#Data],4,FALSE)</f>
        <v>500</v>
      </c>
      <c r="E636" s="33">
        <f>VLOOKUP(Ventas[[#This Row],[Codigo]],Stock[#Data],3,FALSE)</f>
        <v>225</v>
      </c>
      <c r="F636" s="38">
        <v>1</v>
      </c>
      <c r="G636">
        <v>507</v>
      </c>
      <c r="H636" s="36">
        <f>Ventas[[#This Row],[Precio Venta]]*Ventas[[#This Row],[Cantidad]]-Ventas[[#This Row],[Descuento]]</f>
        <v>500</v>
      </c>
      <c r="I636" s="34">
        <f>Ventas[[#This Row],[Total]]-Ventas[[#This Row],[Precio compra]]*Ventas[[#This Row],[Cantidad]]</f>
        <v>275</v>
      </c>
      <c r="J636" s="34"/>
      <c r="K636" s="34">
        <f>Ventas[[#This Row],[Total]]*Ventas[[#This Row],[Total 3]]</f>
        <v>0</v>
      </c>
      <c r="L636" s="34"/>
      <c r="M636" s="34"/>
    </row>
    <row r="637" spans="1:13" ht="21.75" customHeight="1">
      <c r="A637" s="16"/>
      <c r="B637" s="39">
        <v>44986</v>
      </c>
      <c r="C637" s="35" t="str">
        <f>VLOOKUP(Ventas[[#This Row],[Codigo]],Stock[#Data],2,FALSE)</f>
        <v>Tips Lion silver</v>
      </c>
      <c r="D637" s="37">
        <f>VLOOKUP(Ventas[[#This Row],[Codigo]],Stock[#Data],4,FALSE)</f>
        <v>250</v>
      </c>
      <c r="E637" s="33">
        <f>VLOOKUP(Ventas[[#This Row],[Codigo]],Stock[#Data],3,FALSE)</f>
        <v>137</v>
      </c>
      <c r="F637" s="38">
        <v>1</v>
      </c>
      <c r="G637">
        <v>457</v>
      </c>
      <c r="H637" s="36">
        <f>Ventas[[#This Row],[Precio Venta]]*Ventas[[#This Row],[Cantidad]]-Ventas[[#This Row],[Descuento]]</f>
        <v>250</v>
      </c>
      <c r="I637" s="34">
        <f>Ventas[[#This Row],[Total]]-Ventas[[#This Row],[Precio compra]]*Ventas[[#This Row],[Cantidad]]</f>
        <v>113</v>
      </c>
      <c r="J637" s="34"/>
      <c r="K637" s="34">
        <f>Ventas[[#This Row],[Total]]*Ventas[[#This Row],[Total 3]]</f>
        <v>0</v>
      </c>
      <c r="L637" s="34"/>
      <c r="M637" s="34"/>
    </row>
    <row r="638" spans="1:13" ht="21.75" customHeight="1">
      <c r="A638" s="16"/>
      <c r="B638" s="39">
        <v>44986</v>
      </c>
      <c r="C638" s="35" t="str">
        <f>VLOOKUP(Ventas[[#This Row],[Codigo]],Stock[#Data],2,FALSE)</f>
        <v>Tips Lion Unbleached</v>
      </c>
      <c r="D638" s="37">
        <f>VLOOKUP(Ventas[[#This Row],[Codigo]],Stock[#Data],4,FALSE)</f>
        <v>250</v>
      </c>
      <c r="E638" s="33">
        <f>VLOOKUP(Ventas[[#This Row],[Codigo]],Stock[#Data],3,FALSE)</f>
        <v>137</v>
      </c>
      <c r="F638" s="38">
        <v>3</v>
      </c>
      <c r="G638">
        <v>458</v>
      </c>
      <c r="H638" s="36">
        <f>Ventas[[#This Row],[Precio Venta]]*Ventas[[#This Row],[Cantidad]]-Ventas[[#This Row],[Descuento]]</f>
        <v>750</v>
      </c>
      <c r="I638" s="34">
        <f>Ventas[[#This Row],[Total]]-Ventas[[#This Row],[Precio compra]]*Ventas[[#This Row],[Cantidad]]</f>
        <v>339</v>
      </c>
      <c r="J638" s="34"/>
      <c r="K638" s="34">
        <f>Ventas[[#This Row],[Total]]*Ventas[[#This Row],[Total 3]]</f>
        <v>0</v>
      </c>
      <c r="L638" s="34"/>
      <c r="M638" s="34"/>
    </row>
    <row r="639" spans="1:13" ht="21.75" customHeight="1">
      <c r="A639" s="16"/>
      <c r="B639" s="39">
        <v>44986</v>
      </c>
      <c r="C639" s="35" t="str">
        <f>VLOOKUP(Ventas[[#This Row],[Codigo]],Stock[#Data],2,FALSE)</f>
        <v>Tips OCB Organic</v>
      </c>
      <c r="D639" s="37">
        <f>VLOOKUP(Ventas[[#This Row],[Codigo]],Stock[#Data],4,FALSE)</f>
        <v>300</v>
      </c>
      <c r="E639" s="33">
        <f>VLOOKUP(Ventas[[#This Row],[Codigo]],Stock[#Data],3,FALSE)</f>
        <v>156</v>
      </c>
      <c r="F639" s="38">
        <v>1</v>
      </c>
      <c r="G639">
        <v>95</v>
      </c>
      <c r="H639" s="36">
        <f>Ventas[[#This Row],[Precio Venta]]*Ventas[[#This Row],[Cantidad]]-Ventas[[#This Row],[Descuento]]</f>
        <v>300</v>
      </c>
      <c r="I639" s="34">
        <f>Ventas[[#This Row],[Total]]-Ventas[[#This Row],[Precio compra]]*Ventas[[#This Row],[Cantidad]]</f>
        <v>144</v>
      </c>
      <c r="J639" s="34"/>
      <c r="K639" s="34">
        <f>Ventas[[#This Row],[Total]]*Ventas[[#This Row],[Total 3]]</f>
        <v>0</v>
      </c>
      <c r="L639" s="34"/>
      <c r="M639" s="34"/>
    </row>
    <row r="640" spans="1:13" ht="21.75" customHeight="1">
      <c r="A640" s="16"/>
      <c r="B640" s="39">
        <v>44986</v>
      </c>
      <c r="C640" s="35" t="str">
        <f>VLOOKUP(Ventas[[#This Row],[Codigo]],Stock[#Data],2,FALSE)</f>
        <v xml:space="preserve">tips moon </v>
      </c>
      <c r="D640" s="37">
        <f>VLOOKUP(Ventas[[#This Row],[Codigo]],Stock[#Data],4,FALSE)</f>
        <v>100</v>
      </c>
      <c r="E640" s="33">
        <f>VLOOKUP(Ventas[[#This Row],[Codigo]],Stock[#Data],3,FALSE)</f>
        <v>50</v>
      </c>
      <c r="F640" s="38">
        <v>1</v>
      </c>
      <c r="G640">
        <v>356</v>
      </c>
      <c r="H640" s="36">
        <f>Ventas[[#This Row],[Precio Venta]]*Ventas[[#This Row],[Cantidad]]-Ventas[[#This Row],[Descuento]]</f>
        <v>100</v>
      </c>
      <c r="I640" s="34">
        <f>Ventas[[#This Row],[Total]]-Ventas[[#This Row],[Precio compra]]*Ventas[[#This Row],[Cantidad]]</f>
        <v>50</v>
      </c>
      <c r="J640" s="34"/>
      <c r="K640" s="34">
        <f>Ventas[[#This Row],[Total]]*Ventas[[#This Row],[Total 3]]</f>
        <v>0</v>
      </c>
      <c r="L640" s="34"/>
      <c r="M640" s="34"/>
    </row>
    <row r="641" spans="1:13" ht="21.75" customHeight="1">
      <c r="A641" s="16"/>
      <c r="B641" s="39">
        <v>44986</v>
      </c>
      <c r="C641" s="35" t="str">
        <f>VLOOKUP(Ventas[[#This Row],[Codigo]],Stock[#Data],2,FALSE)</f>
        <v>Tips STAMPS ECO</v>
      </c>
      <c r="D641" s="37">
        <f>VLOOKUP(Ventas[[#This Row],[Codigo]],Stock[#Data],4,FALSE)</f>
        <v>150</v>
      </c>
      <c r="E641" s="33">
        <f>VLOOKUP(Ventas[[#This Row],[Codigo]],Stock[#Data],3,FALSE)</f>
        <v>73</v>
      </c>
      <c r="F641" s="38">
        <v>1</v>
      </c>
      <c r="G641">
        <v>308</v>
      </c>
      <c r="H641" s="36">
        <f>Ventas[[#This Row],[Precio Venta]]*Ventas[[#This Row],[Cantidad]]-Ventas[[#This Row],[Descuento]]</f>
        <v>150</v>
      </c>
      <c r="I641" s="34">
        <f>Ventas[[#This Row],[Total]]-Ventas[[#This Row],[Precio compra]]*Ventas[[#This Row],[Cantidad]]</f>
        <v>77</v>
      </c>
      <c r="J641" s="34"/>
      <c r="K641" s="34">
        <f>Ventas[[#This Row],[Total]]*Ventas[[#This Row],[Total 3]]</f>
        <v>0</v>
      </c>
      <c r="L641" s="34"/>
      <c r="M641" s="34"/>
    </row>
    <row r="642" spans="1:13" ht="21.75" customHeight="1">
      <c r="A642" s="16"/>
      <c r="B642" s="39">
        <v>44986</v>
      </c>
      <c r="C642" s="35" t="str">
        <f>VLOOKUP(Ventas[[#This Row],[Codigo]],Stock[#Data],2,FALSE)</f>
        <v>Tips Rok Organic</v>
      </c>
      <c r="D642" s="37">
        <f>VLOOKUP(Ventas[[#This Row],[Codigo]],Stock[#Data],4,FALSE)</f>
        <v>100</v>
      </c>
      <c r="E642" s="33">
        <f>VLOOKUP(Ventas[[#This Row],[Codigo]],Stock[#Data],3,FALSE)</f>
        <v>50</v>
      </c>
      <c r="F642" s="38">
        <v>7</v>
      </c>
      <c r="G642">
        <v>96</v>
      </c>
      <c r="H642" s="36">
        <f>Ventas[[#This Row],[Precio Venta]]*Ventas[[#This Row],[Cantidad]]-Ventas[[#This Row],[Descuento]]</f>
        <v>700</v>
      </c>
      <c r="I642" s="34">
        <f>Ventas[[#This Row],[Total]]-Ventas[[#This Row],[Precio compra]]*Ventas[[#This Row],[Cantidad]]</f>
        <v>350</v>
      </c>
      <c r="J642" s="34"/>
      <c r="K642" s="34">
        <f>Ventas[[#This Row],[Total]]*Ventas[[#This Row],[Total 3]]</f>
        <v>0</v>
      </c>
      <c r="L642" s="34"/>
      <c r="M642" s="34"/>
    </row>
    <row r="643" spans="1:13" ht="21.75" customHeight="1">
      <c r="A643" s="16"/>
      <c r="B643" s="39">
        <v>44986</v>
      </c>
      <c r="C643" s="35" t="str">
        <f>VLOOKUP(Ventas[[#This Row],[Codigo]],Stock[#Data],2,FALSE)</f>
        <v>Tabaco Van Kiff Chocolate</v>
      </c>
      <c r="D643" s="37">
        <f>VLOOKUP(Ventas[[#This Row],[Codigo]],Stock[#Data],4,FALSE)</f>
        <v>850</v>
      </c>
      <c r="E643" s="33">
        <f>VLOOKUP(Ventas[[#This Row],[Codigo]],Stock[#Data],3,FALSE)</f>
        <v>580</v>
      </c>
      <c r="F643" s="38">
        <v>1</v>
      </c>
      <c r="G643">
        <v>119</v>
      </c>
      <c r="H643" s="36">
        <f>Ventas[[#This Row],[Precio Venta]]*Ventas[[#This Row],[Cantidad]]-Ventas[[#This Row],[Descuento]]</f>
        <v>850</v>
      </c>
      <c r="I643" s="34">
        <f>Ventas[[#This Row],[Total]]-Ventas[[#This Row],[Precio compra]]*Ventas[[#This Row],[Cantidad]]</f>
        <v>270</v>
      </c>
      <c r="J643" s="34"/>
      <c r="K643" s="34">
        <f>Ventas[[#This Row],[Total]]*Ventas[[#This Row],[Total 3]]</f>
        <v>0</v>
      </c>
      <c r="L643" s="34"/>
      <c r="M643" s="34"/>
    </row>
    <row r="644" spans="1:13" ht="21.75" customHeight="1">
      <c r="A644" s="16"/>
      <c r="B644" s="39">
        <v>44986</v>
      </c>
      <c r="C644" s="35" t="str">
        <f>VLOOKUP(Ventas[[#This Row],[Codigo]],Stock[#Data],2,FALSE)</f>
        <v>Tabaco Van Kiff Vainilla</v>
      </c>
      <c r="D644" s="37">
        <f>VLOOKUP(Ventas[[#This Row],[Codigo]],Stock[#Data],4,FALSE)</f>
        <v>850</v>
      </c>
      <c r="E644" s="33">
        <f>VLOOKUP(Ventas[[#This Row],[Codigo]],Stock[#Data],3,FALSE)</f>
        <v>580</v>
      </c>
      <c r="F644" s="38">
        <v>1</v>
      </c>
      <c r="G644">
        <v>120</v>
      </c>
      <c r="H644" s="36">
        <f>Ventas[[#This Row],[Precio Venta]]*Ventas[[#This Row],[Cantidad]]-Ventas[[#This Row],[Descuento]]</f>
        <v>850</v>
      </c>
      <c r="I644" s="34">
        <f>Ventas[[#This Row],[Total]]-Ventas[[#This Row],[Precio compra]]*Ventas[[#This Row],[Cantidad]]</f>
        <v>270</v>
      </c>
      <c r="J644" s="34"/>
      <c r="K644" s="34">
        <f>Ventas[[#This Row],[Total]]*Ventas[[#This Row],[Total 3]]</f>
        <v>0</v>
      </c>
      <c r="L644" s="34"/>
      <c r="M644" s="34"/>
    </row>
    <row r="645" spans="1:13" ht="21.75" customHeight="1">
      <c r="A645" s="16"/>
      <c r="B645" s="39">
        <v>44986</v>
      </c>
      <c r="C645" s="35" t="str">
        <f>VLOOKUP(Ventas[[#This Row],[Codigo]],Stock[#Data],2,FALSE)</f>
        <v>Tabaco Cerrito</v>
      </c>
      <c r="D645" s="37">
        <f>VLOOKUP(Ventas[[#This Row],[Codigo]],Stock[#Data],4,FALSE)</f>
        <v>800</v>
      </c>
      <c r="E645" s="33">
        <f>VLOOKUP(Ventas[[#This Row],[Codigo]],Stock[#Data],3,FALSE)</f>
        <v>552</v>
      </c>
      <c r="F645" s="38">
        <v>1</v>
      </c>
      <c r="G645">
        <v>112</v>
      </c>
      <c r="H645" s="36">
        <f>Ventas[[#This Row],[Precio Venta]]*Ventas[[#This Row],[Cantidad]]-Ventas[[#This Row],[Descuento]]</f>
        <v>800</v>
      </c>
      <c r="I645" s="34">
        <f>Ventas[[#This Row],[Total]]-Ventas[[#This Row],[Precio compra]]*Ventas[[#This Row],[Cantidad]]</f>
        <v>248</v>
      </c>
      <c r="J645" s="34"/>
      <c r="K645" s="34">
        <f>Ventas[[#This Row],[Total]]*Ventas[[#This Row],[Total 3]]</f>
        <v>0</v>
      </c>
      <c r="L645" s="34"/>
      <c r="M645" s="34"/>
    </row>
    <row r="646" spans="1:13" ht="21.75" customHeight="1">
      <c r="A646" s="16"/>
      <c r="B646" s="39">
        <v>44986</v>
      </c>
      <c r="C646" s="35" t="str">
        <f>VLOOKUP(Ventas[[#This Row],[Codigo]],Stock[#Data],2,FALSE)</f>
        <v>Sedas Smoking x 300</v>
      </c>
      <c r="D646" s="37">
        <f>VLOOKUP(Ventas[[#This Row],[Codigo]],Stock[#Data],4,FALSE)</f>
        <v>450</v>
      </c>
      <c r="E646" s="33">
        <f>VLOOKUP(Ventas[[#This Row],[Codigo]],Stock[#Data],3,FALSE)</f>
        <v>223</v>
      </c>
      <c r="F646" s="38">
        <v>1</v>
      </c>
      <c r="G646">
        <v>83</v>
      </c>
      <c r="H646" s="36">
        <f>Ventas[[#This Row],[Precio Venta]]*Ventas[[#This Row],[Cantidad]]-Ventas[[#This Row],[Descuento]]</f>
        <v>450</v>
      </c>
      <c r="I646" s="34">
        <f>Ventas[[#This Row],[Total]]-Ventas[[#This Row],[Precio compra]]*Ventas[[#This Row],[Cantidad]]</f>
        <v>227</v>
      </c>
      <c r="J646" s="34"/>
      <c r="K646" s="34">
        <f>Ventas[[#This Row],[Total]]*Ventas[[#This Row],[Total 3]]</f>
        <v>0</v>
      </c>
      <c r="L646" s="34"/>
      <c r="M646" s="34"/>
    </row>
    <row r="647" spans="1:13" ht="21.75" customHeight="1">
      <c r="A647" s="16"/>
      <c r="B647" s="39">
        <v>44986</v>
      </c>
      <c r="C647" s="35" t="str">
        <f>VLOOKUP(Ventas[[#This Row],[Codigo]],Stock[#Data],2,FALSE)</f>
        <v>Sedas Blunt Rey 1/4 celulosa Verde</v>
      </c>
      <c r="D647" s="37">
        <f>VLOOKUP(Ventas[[#This Row],[Codigo]],Stock[#Data],4,FALSE)</f>
        <v>300</v>
      </c>
      <c r="E647" s="33">
        <f>VLOOKUP(Ventas[[#This Row],[Codigo]],Stock[#Data],3,FALSE)</f>
        <v>135</v>
      </c>
      <c r="F647" s="38">
        <v>2</v>
      </c>
      <c r="G647">
        <v>72</v>
      </c>
      <c r="H647" s="36">
        <f>Ventas[[#This Row],[Precio Venta]]*Ventas[[#This Row],[Cantidad]]-Ventas[[#This Row],[Descuento]]</f>
        <v>600</v>
      </c>
      <c r="I647" s="34">
        <f>Ventas[[#This Row],[Total]]-Ventas[[#This Row],[Precio compra]]*Ventas[[#This Row],[Cantidad]]</f>
        <v>330</v>
      </c>
      <c r="J647" s="34"/>
      <c r="K647" s="34">
        <f>Ventas[[#This Row],[Total]]*Ventas[[#This Row],[Total 3]]</f>
        <v>0</v>
      </c>
      <c r="L647" s="34"/>
      <c r="M647" s="34"/>
    </row>
    <row r="648" spans="1:13" ht="21.75" customHeight="1">
      <c r="A648" s="16"/>
      <c r="B648" s="39">
        <v>44986</v>
      </c>
      <c r="C648" s="35" t="str">
        <f>VLOOKUP(Ventas[[#This Row],[Codigo]],Stock[#Data],2,FALSE)</f>
        <v>Sedas Blunt Rey 1/4 celulosa Orange</v>
      </c>
      <c r="D648" s="37">
        <f>VLOOKUP(Ventas[[#This Row],[Codigo]],Stock[#Data],4,FALSE)</f>
        <v>300</v>
      </c>
      <c r="E648" s="33">
        <f>VLOOKUP(Ventas[[#This Row],[Codigo]],Stock[#Data],3,FALSE)</f>
        <v>143</v>
      </c>
      <c r="F648" s="38">
        <v>1</v>
      </c>
      <c r="G648">
        <v>71</v>
      </c>
      <c r="H648" s="36">
        <f>Ventas[[#This Row],[Precio Venta]]*Ventas[[#This Row],[Cantidad]]-Ventas[[#This Row],[Descuento]]</f>
        <v>300</v>
      </c>
      <c r="I648" s="34">
        <f>Ventas[[#This Row],[Total]]-Ventas[[#This Row],[Precio compra]]*Ventas[[#This Row],[Cantidad]]</f>
        <v>157</v>
      </c>
      <c r="J648" s="34"/>
      <c r="K648" s="34">
        <f>Ventas[[#This Row],[Total]]*Ventas[[#This Row],[Total 3]]</f>
        <v>0</v>
      </c>
      <c r="L648" s="34"/>
      <c r="M648" s="34"/>
    </row>
    <row r="649" spans="1:13" ht="21.75" customHeight="1">
      <c r="A649" s="16"/>
      <c r="B649" s="39">
        <v>44986</v>
      </c>
      <c r="C649" s="35" t="str">
        <f>VLOOKUP(Ventas[[#This Row],[Codigo]],Stock[#Data],2,FALSE)</f>
        <v>Sedas Lion Rolling Circus 1/4 saborizada Menta</v>
      </c>
      <c r="D649" s="37">
        <f>VLOOKUP(Ventas[[#This Row],[Codigo]],Stock[#Data],4,FALSE)</f>
        <v>450</v>
      </c>
      <c r="E649" s="33">
        <f>VLOOKUP(Ventas[[#This Row],[Codigo]],Stock[#Data],3,FALSE)</f>
        <v>217</v>
      </c>
      <c r="F649" s="38">
        <v>1</v>
      </c>
      <c r="G649">
        <v>66</v>
      </c>
      <c r="H649" s="36">
        <f>Ventas[[#This Row],[Precio Venta]]*Ventas[[#This Row],[Cantidad]]-Ventas[[#This Row],[Descuento]]</f>
        <v>450</v>
      </c>
      <c r="I649" s="34">
        <f>Ventas[[#This Row],[Total]]-Ventas[[#This Row],[Precio compra]]*Ventas[[#This Row],[Cantidad]]</f>
        <v>233</v>
      </c>
      <c r="J649" s="34"/>
      <c r="K649" s="34">
        <f>Ventas[[#This Row],[Total]]*Ventas[[#This Row],[Total 3]]</f>
        <v>0</v>
      </c>
      <c r="L649" s="34"/>
      <c r="M649" s="34"/>
    </row>
    <row r="650" spans="1:13" ht="21.75" customHeight="1">
      <c r="A650" s="16"/>
      <c r="B650" s="39">
        <v>44986</v>
      </c>
      <c r="C650" s="35" t="str">
        <f>VLOOKUP(Ventas[[#This Row],[Codigo]],Stock[#Data],2,FALSE)</f>
        <v>Sedas Blunt Rey Kz celulosa Verde</v>
      </c>
      <c r="D650" s="37">
        <f>VLOOKUP(Ventas[[#This Row],[Codigo]],Stock[#Data],4,FALSE)</f>
        <v>400</v>
      </c>
      <c r="E650" s="33">
        <f>VLOOKUP(Ventas[[#This Row],[Codigo]],Stock[#Data],3,FALSE)</f>
        <v>163</v>
      </c>
      <c r="F650" s="38">
        <v>4</v>
      </c>
      <c r="G650">
        <v>70</v>
      </c>
      <c r="H650" s="36">
        <f>Ventas[[#This Row],[Precio Venta]]*Ventas[[#This Row],[Cantidad]]-Ventas[[#This Row],[Descuento]]</f>
        <v>1600</v>
      </c>
      <c r="I650" s="34">
        <f>Ventas[[#This Row],[Total]]-Ventas[[#This Row],[Precio compra]]*Ventas[[#This Row],[Cantidad]]</f>
        <v>948</v>
      </c>
      <c r="J650" s="34"/>
      <c r="K650" s="34">
        <f>Ventas[[#This Row],[Total]]*Ventas[[#This Row],[Total 3]]</f>
        <v>0</v>
      </c>
      <c r="L650" s="34"/>
      <c r="M650" s="34"/>
    </row>
    <row r="651" spans="1:13" ht="21.75" customHeight="1">
      <c r="A651" s="16"/>
      <c r="B651" s="39">
        <v>44986</v>
      </c>
      <c r="C651" s="35" t="str">
        <f>VLOOKUP(Ventas[[#This Row],[Codigo]],Stock[#Data],2,FALSE)</f>
        <v>Sedas Zeus Celulosa</v>
      </c>
      <c r="D651" s="37">
        <f>VLOOKUP(Ventas[[#This Row],[Codigo]],Stock[#Data],4,FALSE)</f>
        <v>350</v>
      </c>
      <c r="E651" s="33">
        <f>VLOOKUP(Ventas[[#This Row],[Codigo]],Stock[#Data],3,FALSE)</f>
        <v>175</v>
      </c>
      <c r="F651" s="38">
        <v>1</v>
      </c>
      <c r="G651">
        <v>589</v>
      </c>
      <c r="H651" s="36">
        <f>Ventas[[#This Row],[Precio Venta]]*Ventas[[#This Row],[Cantidad]]-Ventas[[#This Row],[Descuento]]</f>
        <v>350</v>
      </c>
      <c r="I651" s="34">
        <f>Ventas[[#This Row],[Total]]-Ventas[[#This Row],[Precio compra]]*Ventas[[#This Row],[Cantidad]]</f>
        <v>175</v>
      </c>
      <c r="J651" s="34"/>
      <c r="K651" s="34">
        <f>Ventas[[#This Row],[Total]]*Ventas[[#This Row],[Total 3]]</f>
        <v>0</v>
      </c>
      <c r="L651" s="34"/>
      <c r="M651" s="34"/>
    </row>
    <row r="652" spans="1:13" ht="21.75" customHeight="1">
      <c r="A652" s="16"/>
      <c r="B652" s="39">
        <v>44986</v>
      </c>
      <c r="C652" s="35" t="str">
        <f>VLOOKUP(Ventas[[#This Row],[Codigo]],Stock[#Data],2,FALSE)</f>
        <v xml:space="preserve">ocb ultimate </v>
      </c>
      <c r="D652" s="37">
        <f>VLOOKUP(Ventas[[#This Row],[Codigo]],Stock[#Data],4,FALSE)</f>
        <v>300</v>
      </c>
      <c r="E652" s="33">
        <f>VLOOKUP(Ventas[[#This Row],[Codigo]],Stock[#Data],3,FALSE)</f>
        <v>165</v>
      </c>
      <c r="F652" s="38">
        <v>1</v>
      </c>
      <c r="G652">
        <v>354</v>
      </c>
      <c r="H652" s="36">
        <f>Ventas[[#This Row],[Precio Venta]]*Ventas[[#This Row],[Cantidad]]-Ventas[[#This Row],[Descuento]]</f>
        <v>300</v>
      </c>
      <c r="I652" s="34">
        <f>Ventas[[#This Row],[Total]]-Ventas[[#This Row],[Precio compra]]*Ventas[[#This Row],[Cantidad]]</f>
        <v>135</v>
      </c>
      <c r="J652" s="34"/>
      <c r="K652" s="34">
        <f>Ventas[[#This Row],[Total]]*Ventas[[#This Row],[Total 3]]</f>
        <v>0</v>
      </c>
      <c r="L652" s="34"/>
      <c r="M652" s="34"/>
    </row>
    <row r="653" spans="1:13" ht="21.75" customHeight="1">
      <c r="A653" s="16"/>
      <c r="B653" s="39">
        <v>44986</v>
      </c>
      <c r="C653" s="35" t="str">
        <f>VLOOKUP(Ventas[[#This Row],[Codigo]],Stock[#Data],2,FALSE)</f>
        <v>OCB premium</v>
      </c>
      <c r="D653" s="37">
        <f>VLOOKUP(Ventas[[#This Row],[Codigo]],Stock[#Data],4,FALSE)</f>
        <v>300</v>
      </c>
      <c r="E653" s="33">
        <f>VLOOKUP(Ventas[[#This Row],[Codigo]],Stock[#Data],3,FALSE)</f>
        <v>165</v>
      </c>
      <c r="F653" s="38">
        <v>1</v>
      </c>
      <c r="G653">
        <v>594</v>
      </c>
      <c r="H653" s="36">
        <f>Ventas[[#This Row],[Precio Venta]]*Ventas[[#This Row],[Cantidad]]-Ventas[[#This Row],[Descuento]]</f>
        <v>300</v>
      </c>
      <c r="I653" s="34">
        <f>Ventas[[#This Row],[Total]]-Ventas[[#This Row],[Precio compra]]*Ventas[[#This Row],[Cantidad]]</f>
        <v>135</v>
      </c>
      <c r="J653" s="34"/>
      <c r="K653" s="34">
        <f>Ventas[[#This Row],[Total]]*Ventas[[#This Row],[Total 3]]</f>
        <v>0</v>
      </c>
      <c r="L653" s="34"/>
      <c r="M653" s="34"/>
    </row>
    <row r="654" spans="1:13" ht="21.75" customHeight="1">
      <c r="A654" s="16"/>
      <c r="B654" s="39">
        <v>44986</v>
      </c>
      <c r="C654" s="35" t="str">
        <f>VLOOKUP(Ventas[[#This Row],[Codigo]],Stock[#Data],2,FALSE)</f>
        <v>OCB Cañamo Organico</v>
      </c>
      <c r="D654" s="37">
        <f>VLOOKUP(Ventas[[#This Row],[Codigo]],Stock[#Data],4,FALSE)</f>
        <v>300</v>
      </c>
      <c r="E654" s="33">
        <f>VLOOKUP(Ventas[[#This Row],[Codigo]],Stock[#Data],3,FALSE)</f>
        <v>165</v>
      </c>
      <c r="F654" s="38">
        <v>2</v>
      </c>
      <c r="G654">
        <v>593</v>
      </c>
      <c r="H654" s="36">
        <f>Ventas[[#This Row],[Precio Venta]]*Ventas[[#This Row],[Cantidad]]-Ventas[[#This Row],[Descuento]]</f>
        <v>600</v>
      </c>
      <c r="I654" s="34">
        <f>Ventas[[#This Row],[Total]]-Ventas[[#This Row],[Precio compra]]*Ventas[[#This Row],[Cantidad]]</f>
        <v>270</v>
      </c>
      <c r="J654" s="34"/>
      <c r="K654" s="34">
        <f>Ventas[[#This Row],[Total]]*Ventas[[#This Row],[Total 3]]</f>
        <v>0</v>
      </c>
      <c r="L654" s="34"/>
      <c r="M654" s="34"/>
    </row>
    <row r="655" spans="1:13" ht="21.75" customHeight="1">
      <c r="A655" s="16"/>
      <c r="B655" s="39">
        <v>44986</v>
      </c>
      <c r="C655" s="35" t="str">
        <f>VLOOKUP(Ventas[[#This Row],[Codigo]],Stock[#Data],2,FALSE)</f>
        <v>Sedas Lion Rolling Circus Ultra Thin</v>
      </c>
      <c r="D655" s="37">
        <f>VLOOKUP(Ventas[[#This Row],[Codigo]],Stock[#Data],4,FALSE)</f>
        <v>250</v>
      </c>
      <c r="E655" s="33">
        <f>VLOOKUP(Ventas[[#This Row],[Codigo]],Stock[#Data],3,FALSE)</f>
        <v>123</v>
      </c>
      <c r="F655" s="38">
        <v>2</v>
      </c>
      <c r="G655">
        <v>309</v>
      </c>
      <c r="H655" s="36">
        <f>Ventas[[#This Row],[Precio Venta]]*Ventas[[#This Row],[Cantidad]]-Ventas[[#This Row],[Descuento]]</f>
        <v>500</v>
      </c>
      <c r="I655" s="34">
        <f>Ventas[[#This Row],[Total]]-Ventas[[#This Row],[Precio compra]]*Ventas[[#This Row],[Cantidad]]</f>
        <v>254</v>
      </c>
      <c r="J655" s="34"/>
      <c r="K655" s="34">
        <f>Ventas[[#This Row],[Total]]*Ventas[[#This Row],[Total 3]]</f>
        <v>0</v>
      </c>
      <c r="L655" s="34"/>
      <c r="M655" s="34"/>
    </row>
    <row r="656" spans="1:13" ht="21.75" customHeight="1">
      <c r="A656" s="16"/>
      <c r="B656" s="39">
        <v>44986</v>
      </c>
      <c r="C656" s="35" t="str">
        <f>VLOOKUP(Ventas[[#This Row],[Codigo]],Stock[#Data],2,FALSE)</f>
        <v>Sedas Lion Rolling Circus 1/4 alfalfa</v>
      </c>
      <c r="D656" s="37">
        <f>VLOOKUP(Ventas[[#This Row],[Codigo]],Stock[#Data],4,FALSE)</f>
        <v>300</v>
      </c>
      <c r="E656" s="33">
        <f>VLOOKUP(Ventas[[#This Row],[Codigo]],Stock[#Data],3,FALSE)</f>
        <v>150</v>
      </c>
      <c r="F656" s="38">
        <v>1</v>
      </c>
      <c r="G656">
        <v>63</v>
      </c>
      <c r="H656" s="36">
        <f>Ventas[[#This Row],[Precio Venta]]*Ventas[[#This Row],[Cantidad]]-Ventas[[#This Row],[Descuento]]</f>
        <v>300</v>
      </c>
      <c r="I656" s="34">
        <f>Ventas[[#This Row],[Total]]-Ventas[[#This Row],[Precio compra]]*Ventas[[#This Row],[Cantidad]]</f>
        <v>150</v>
      </c>
      <c r="J656" s="34"/>
      <c r="K656" s="34">
        <f>Ventas[[#This Row],[Total]]*Ventas[[#This Row],[Total 3]]</f>
        <v>0</v>
      </c>
      <c r="L656" s="34"/>
      <c r="M656" s="34"/>
    </row>
    <row r="657" spans="1:13" ht="21.75" customHeight="1">
      <c r="A657" s="16"/>
      <c r="B657" s="39">
        <v>44986</v>
      </c>
      <c r="C657" s="35" t="str">
        <f>VLOOKUP(Ventas[[#This Row],[Codigo]],Stock[#Data],2,FALSE)</f>
        <v xml:space="preserve">ocb white </v>
      </c>
      <c r="D657" s="37">
        <f>VLOOKUP(Ventas[[#This Row],[Codigo]],Stock[#Data],4,FALSE)</f>
        <v>250</v>
      </c>
      <c r="E657" s="33">
        <f>VLOOKUP(Ventas[[#This Row],[Codigo]],Stock[#Data],3,FALSE)</f>
        <v>115</v>
      </c>
      <c r="F657" s="38">
        <v>1</v>
      </c>
      <c r="G657">
        <v>355</v>
      </c>
      <c r="H657" s="36">
        <f>Ventas[[#This Row],[Precio Venta]]*Ventas[[#This Row],[Cantidad]]-Ventas[[#This Row],[Descuento]]</f>
        <v>250</v>
      </c>
      <c r="I657" s="34">
        <f>Ventas[[#This Row],[Total]]-Ventas[[#This Row],[Precio compra]]*Ventas[[#This Row],[Cantidad]]</f>
        <v>135</v>
      </c>
      <c r="J657" s="34"/>
      <c r="K657" s="34">
        <f>Ventas[[#This Row],[Total]]*Ventas[[#This Row],[Total 3]]</f>
        <v>0</v>
      </c>
      <c r="L657" s="34"/>
      <c r="M657" s="34"/>
    </row>
    <row r="658" spans="1:13" ht="21.75" customHeight="1">
      <c r="A658" s="16"/>
      <c r="B658" s="39">
        <v>44986</v>
      </c>
      <c r="C658" s="35" t="str">
        <f>VLOOKUP(Ventas[[#This Row],[Codigo]],Stock[#Data],2,FALSE)</f>
        <v>Sedas OCB 1/4 Virgin Papers</v>
      </c>
      <c r="D658" s="37">
        <f>VLOOKUP(Ventas[[#This Row],[Codigo]],Stock[#Data],4,FALSE)</f>
        <v>300</v>
      </c>
      <c r="E658" s="33">
        <f>VLOOKUP(Ventas[[#This Row],[Codigo]],Stock[#Data],3,FALSE)</f>
        <v>165</v>
      </c>
      <c r="F658" s="38">
        <v>7</v>
      </c>
      <c r="G658">
        <v>76</v>
      </c>
      <c r="H658" s="36">
        <f>Ventas[[#This Row],[Precio Venta]]*Ventas[[#This Row],[Cantidad]]-Ventas[[#This Row],[Descuento]]</f>
        <v>2100</v>
      </c>
      <c r="I658" s="34">
        <f>Ventas[[#This Row],[Total]]-Ventas[[#This Row],[Precio compra]]*Ventas[[#This Row],[Cantidad]]</f>
        <v>945</v>
      </c>
      <c r="J658" s="34"/>
      <c r="K658" s="34">
        <f>Ventas[[#This Row],[Total]]*Ventas[[#This Row],[Total 3]]</f>
        <v>0</v>
      </c>
      <c r="L658" s="34"/>
      <c r="M658" s="34"/>
    </row>
    <row r="659" spans="1:13" ht="21.75" customHeight="1">
      <c r="A659" s="16"/>
      <c r="B659" s="39">
        <v>44995</v>
      </c>
      <c r="C659" s="35" t="str">
        <f>VLOOKUP(Ventas[[#This Row],[Codigo]],Stock[#Data],2,FALSE)</f>
        <v>TreeMIX A 45ml</v>
      </c>
      <c r="D659" s="37">
        <f>VLOOKUP(Ventas[[#This Row],[Codigo]],Stock[#Data],4,FALSE)</f>
        <v>500</v>
      </c>
      <c r="E659" s="33">
        <f>VLOOKUP(Ventas[[#This Row],[Codigo]],Stock[#Data],3,FALSE)</f>
        <v>260</v>
      </c>
      <c r="F659" s="38">
        <v>1</v>
      </c>
      <c r="G659">
        <v>21</v>
      </c>
      <c r="H659" s="36">
        <f>Ventas[[#This Row],[Precio Venta]]*Ventas[[#This Row],[Cantidad]]-Ventas[[#This Row],[Descuento]]</f>
        <v>500</v>
      </c>
      <c r="I659" s="34">
        <f>Ventas[[#This Row],[Total]]-Ventas[[#This Row],[Precio compra]]*Ventas[[#This Row],[Cantidad]]</f>
        <v>240</v>
      </c>
      <c r="J659" s="34"/>
      <c r="K659" s="34">
        <f>Ventas[[#This Row],[Total]]*Ventas[[#This Row],[Total 3]]</f>
        <v>0</v>
      </c>
      <c r="L659" s="34"/>
      <c r="M659" s="34"/>
    </row>
    <row r="660" spans="1:13" ht="21.75" customHeight="1">
      <c r="A660" s="16"/>
      <c r="B660" s="39">
        <v>44995</v>
      </c>
      <c r="C660" s="35" t="str">
        <f>VLOOKUP(Ventas[[#This Row],[Codigo]],Stock[#Data],2,FALSE)</f>
        <v>TreeMIX CANDY 45 ml</v>
      </c>
      <c r="D660" s="37">
        <f>VLOOKUP(Ventas[[#This Row],[Codigo]],Stock[#Data],4,FALSE)</f>
        <v>500</v>
      </c>
      <c r="E660" s="33">
        <f>VLOOKUP(Ventas[[#This Row],[Codigo]],Stock[#Data],3,FALSE)</f>
        <v>220</v>
      </c>
      <c r="F660" s="38">
        <v>1</v>
      </c>
      <c r="G660">
        <v>26</v>
      </c>
      <c r="H660" s="36">
        <f>Ventas[[#This Row],[Precio Venta]]*Ventas[[#This Row],[Cantidad]]-Ventas[[#This Row],[Descuento]]</f>
        <v>500</v>
      </c>
      <c r="I660" s="34">
        <f>Ventas[[#This Row],[Total]]-Ventas[[#This Row],[Precio compra]]*Ventas[[#This Row],[Cantidad]]</f>
        <v>280</v>
      </c>
      <c r="J660" s="34"/>
      <c r="K660" s="34">
        <f>Ventas[[#This Row],[Total]]*Ventas[[#This Row],[Total 3]]</f>
        <v>0</v>
      </c>
      <c r="L660" s="34"/>
      <c r="M660" s="34"/>
    </row>
    <row r="661" spans="1:13" ht="21.75" customHeight="1">
      <c r="A661" s="16"/>
      <c r="B661" s="39">
        <v>44995</v>
      </c>
      <c r="C661" s="35" t="str">
        <f>VLOOKUP(Ventas[[#This Row],[Codigo]],Stock[#Data],2,FALSE)</f>
        <v>TreeMIX F 45ml</v>
      </c>
      <c r="D661" s="37">
        <f>VLOOKUP(Ventas[[#This Row],[Codigo]],Stock[#Data],4,FALSE)</f>
        <v>550</v>
      </c>
      <c r="E661" s="33">
        <f>VLOOKUP(Ventas[[#This Row],[Codigo]],Stock[#Data],3,FALSE)</f>
        <v>275</v>
      </c>
      <c r="F661" s="38">
        <v>1</v>
      </c>
      <c r="G661">
        <v>22</v>
      </c>
      <c r="H661" s="36">
        <f>Ventas[[#This Row],[Precio Venta]]*Ventas[[#This Row],[Cantidad]]-Ventas[[#This Row],[Descuento]]</f>
        <v>550</v>
      </c>
      <c r="I661" s="34">
        <f>Ventas[[#This Row],[Total]]-Ventas[[#This Row],[Precio compra]]*Ventas[[#This Row],[Cantidad]]</f>
        <v>275</v>
      </c>
      <c r="J661" s="34"/>
      <c r="K661" s="34">
        <f>Ventas[[#This Row],[Total]]*Ventas[[#This Row],[Total 3]]</f>
        <v>0</v>
      </c>
      <c r="L661" s="34"/>
      <c r="M661" s="34"/>
    </row>
    <row r="662" spans="1:13" ht="21.75" customHeight="1">
      <c r="A662" s="16"/>
      <c r="B662" s="39">
        <v>44995</v>
      </c>
      <c r="C662" s="35" t="str">
        <f>VLOOKUP(Ventas[[#This Row],[Codigo]],Stock[#Data],2,FALSE)</f>
        <v>TreeMIX N 45ml</v>
      </c>
      <c r="D662" s="37">
        <f>VLOOKUP(Ventas[[#This Row],[Codigo]],Stock[#Data],4,FALSE)</f>
        <v>500</v>
      </c>
      <c r="E662" s="33">
        <f>VLOOKUP(Ventas[[#This Row],[Codigo]],Stock[#Data],3,FALSE)</f>
        <v>260</v>
      </c>
      <c r="F662" s="38">
        <v>1</v>
      </c>
      <c r="G662">
        <v>23</v>
      </c>
      <c r="H662" s="36">
        <f>Ventas[[#This Row],[Precio Venta]]*Ventas[[#This Row],[Cantidad]]-Ventas[[#This Row],[Descuento]]</f>
        <v>500</v>
      </c>
      <c r="I662" s="34">
        <f>Ventas[[#This Row],[Total]]-Ventas[[#This Row],[Precio compra]]*Ventas[[#This Row],[Cantidad]]</f>
        <v>240</v>
      </c>
      <c r="J662" s="34"/>
      <c r="K662" s="34">
        <f>Ventas[[#This Row],[Total]]*Ventas[[#This Row],[Total 3]]</f>
        <v>0</v>
      </c>
      <c r="L662" s="34"/>
      <c r="M662" s="34"/>
    </row>
    <row r="663" spans="1:13" ht="21.75" customHeight="1">
      <c r="A663" s="16"/>
      <c r="B663" s="39">
        <v>44995</v>
      </c>
      <c r="C663" s="35" t="str">
        <f>VLOOKUP(Ventas[[#This Row],[Codigo]],Stock[#Data],2,FALSE)</f>
        <v>Bong Ceramica</v>
      </c>
      <c r="D663" s="37">
        <f>VLOOKUP(Ventas[[#This Row],[Codigo]],Stock[#Data],4,FALSE)</f>
        <v>7600</v>
      </c>
      <c r="E663" s="33">
        <f>VLOOKUP(Ventas[[#This Row],[Codigo]],Stock[#Data],3,FALSE)</f>
        <v>3791</v>
      </c>
      <c r="F663" s="38">
        <v>1</v>
      </c>
      <c r="G663">
        <v>175</v>
      </c>
      <c r="H663" s="36">
        <f>Ventas[[#This Row],[Precio Venta]]*Ventas[[#This Row],[Cantidad]]-Ventas[[#This Row],[Descuento]]</f>
        <v>7600</v>
      </c>
      <c r="I663" s="34">
        <f>Ventas[[#This Row],[Total]]-Ventas[[#This Row],[Precio compra]]*Ventas[[#This Row],[Cantidad]]</f>
        <v>3809</v>
      </c>
      <c r="J663" s="34"/>
      <c r="K663" s="34">
        <f>Ventas[[#This Row],[Total]]*Ventas[[#This Row],[Total 3]]</f>
        <v>0</v>
      </c>
      <c r="L663" s="34"/>
      <c r="M663" s="34"/>
    </row>
    <row r="664" spans="1:13" ht="21.75" customHeight="1">
      <c r="A664" s="16"/>
      <c r="B664" s="39">
        <v>44995</v>
      </c>
      <c r="C664" s="35" t="str">
        <f>VLOOKUP(Ventas[[#This Row],[Codigo]],Stock[#Data],2,FALSE)</f>
        <v>Tabaco Van Kiff Natural</v>
      </c>
      <c r="D664" s="37">
        <f>VLOOKUP(Ventas[[#This Row],[Codigo]],Stock[#Data],4,FALSE)</f>
        <v>850</v>
      </c>
      <c r="E664" s="33">
        <f>VLOOKUP(Ventas[[#This Row],[Codigo]],Stock[#Data],3,FALSE)</f>
        <v>580</v>
      </c>
      <c r="F664" s="38">
        <v>3</v>
      </c>
      <c r="G664">
        <v>117</v>
      </c>
      <c r="H664" s="36">
        <f>Ventas[[#This Row],[Precio Venta]]*Ventas[[#This Row],[Cantidad]]-Ventas[[#This Row],[Descuento]]</f>
        <v>2550</v>
      </c>
      <c r="I664" s="34">
        <f>Ventas[[#This Row],[Total]]-Ventas[[#This Row],[Precio compra]]*Ventas[[#This Row],[Cantidad]]</f>
        <v>810</v>
      </c>
      <c r="J664" s="34"/>
      <c r="K664" s="34">
        <f>Ventas[[#This Row],[Total]]*Ventas[[#This Row],[Total 3]]</f>
        <v>0</v>
      </c>
      <c r="L664" s="34"/>
      <c r="M664" s="34"/>
    </row>
    <row r="665" spans="1:13" ht="21.75" customHeight="1">
      <c r="A665" s="16"/>
      <c r="B665" s="39">
        <v>44995</v>
      </c>
      <c r="C665" s="35" t="str">
        <f>VLOOKUP(Ventas[[#This Row],[Codigo]],Stock[#Data],2,FALSE)</f>
        <v>Sedas Blunt Rey 1/4 celulosa Verde</v>
      </c>
      <c r="D665" s="37">
        <f>VLOOKUP(Ventas[[#This Row],[Codigo]],Stock[#Data],4,FALSE)</f>
        <v>300</v>
      </c>
      <c r="E665" s="33">
        <f>VLOOKUP(Ventas[[#This Row],[Codigo]],Stock[#Data],3,FALSE)</f>
        <v>135</v>
      </c>
      <c r="F665" s="38">
        <v>1</v>
      </c>
      <c r="G665">
        <v>72</v>
      </c>
      <c r="H665" s="36">
        <f>Ventas[[#This Row],[Precio Venta]]*Ventas[[#This Row],[Cantidad]]-Ventas[[#This Row],[Descuento]]</f>
        <v>300</v>
      </c>
      <c r="I665" s="34">
        <f>Ventas[[#This Row],[Total]]-Ventas[[#This Row],[Precio compra]]*Ventas[[#This Row],[Cantidad]]</f>
        <v>165</v>
      </c>
      <c r="J665" s="34"/>
      <c r="K665" s="34">
        <f>Ventas[[#This Row],[Total]]*Ventas[[#This Row],[Total 3]]</f>
        <v>0</v>
      </c>
      <c r="L665" s="34"/>
      <c r="M665" s="34"/>
    </row>
    <row r="666" spans="1:13" ht="21.75" customHeight="1">
      <c r="A666" s="16"/>
      <c r="B666" s="39" t="s">
        <v>721</v>
      </c>
      <c r="C666" s="35" t="str">
        <f>VLOOKUP(Ventas[[#This Row],[Codigo]],Stock[#Data],2,FALSE)</f>
        <v>TreeMIX PRO 200ml</v>
      </c>
      <c r="D666" s="37">
        <f>VLOOKUP(Ventas[[#This Row],[Codigo]],Stock[#Data],4,FALSE)</f>
        <v>1500</v>
      </c>
      <c r="E666" s="33">
        <f>VLOOKUP(Ventas[[#This Row],[Codigo]],Stock[#Data],3,FALSE)</f>
        <v>700</v>
      </c>
      <c r="F666" s="38">
        <v>1</v>
      </c>
      <c r="G666">
        <v>30</v>
      </c>
      <c r="H666" s="36">
        <f>Ventas[[#This Row],[Precio Venta]]*Ventas[[#This Row],[Cantidad]]-Ventas[[#This Row],[Descuento]]</f>
        <v>1500</v>
      </c>
      <c r="I666" s="34">
        <f>Ventas[[#This Row],[Total]]-Ventas[[#This Row],[Precio compra]]*Ventas[[#This Row],[Cantidad]]</f>
        <v>800</v>
      </c>
      <c r="J666" s="34"/>
      <c r="K666" s="34">
        <f>Ventas[[#This Row],[Total]]*Ventas[[#This Row],[Total 3]]</f>
        <v>0</v>
      </c>
      <c r="L666" s="34"/>
      <c r="M666" s="34"/>
    </row>
    <row r="667" spans="1:13" ht="21.75" customHeight="1">
      <c r="A667" s="16"/>
      <c r="B667" s="39" t="s">
        <v>721</v>
      </c>
      <c r="C667" s="35" t="str">
        <f>VLOOKUP(Ventas[[#This Row],[Codigo]],Stock[#Data],2,FALSE)</f>
        <v>Bong Acrilico chico diseños</v>
      </c>
      <c r="D667" s="37">
        <f>VLOOKUP(Ventas[[#This Row],[Codigo]],Stock[#Data],4,FALSE)</f>
        <v>2000</v>
      </c>
      <c r="E667" s="33">
        <f>VLOOKUP(Ventas[[#This Row],[Codigo]],Stock[#Data],3,FALSE)</f>
        <v>1030</v>
      </c>
      <c r="F667" s="38">
        <v>1</v>
      </c>
      <c r="G667">
        <v>172</v>
      </c>
      <c r="H667" s="36">
        <f>Ventas[[#This Row],[Precio Venta]]*Ventas[[#This Row],[Cantidad]]-Ventas[[#This Row],[Descuento]]</f>
        <v>2000</v>
      </c>
      <c r="I667" s="34">
        <f>Ventas[[#This Row],[Total]]-Ventas[[#This Row],[Precio compra]]*Ventas[[#This Row],[Cantidad]]</f>
        <v>970</v>
      </c>
      <c r="J667" s="34"/>
      <c r="K667" s="34">
        <f>Ventas[[#This Row],[Total]]*Ventas[[#This Row],[Total 3]]</f>
        <v>0</v>
      </c>
      <c r="L667" s="34"/>
      <c r="M667" s="34"/>
    </row>
    <row r="668" spans="1:13" ht="21.75" customHeight="1">
      <c r="A668" s="16"/>
      <c r="B668" s="39" t="s">
        <v>721</v>
      </c>
      <c r="C668" s="35" t="str">
        <f>VLOOKUP(Ventas[[#This Row],[Codigo]],Stock[#Data],2,FALSE)</f>
        <v>Sedas Smoking Brown</v>
      </c>
      <c r="D668" s="37">
        <f>VLOOKUP(Ventas[[#This Row],[Codigo]],Stock[#Data],4,FALSE)</f>
        <v>100</v>
      </c>
      <c r="E668" s="33">
        <f>VLOOKUP(Ventas[[#This Row],[Codigo]],Stock[#Data],3,FALSE)</f>
        <v>50</v>
      </c>
      <c r="F668" s="38">
        <v>1</v>
      </c>
      <c r="G668">
        <v>514</v>
      </c>
      <c r="H668" s="36">
        <f>Ventas[[#This Row],[Precio Venta]]*Ventas[[#This Row],[Cantidad]]-Ventas[[#This Row],[Descuento]]</f>
        <v>100</v>
      </c>
      <c r="I668" s="34">
        <f>Ventas[[#This Row],[Total]]-Ventas[[#This Row],[Precio compra]]*Ventas[[#This Row],[Cantidad]]</f>
        <v>50</v>
      </c>
      <c r="J668" s="34"/>
      <c r="K668" s="34">
        <f>Ventas[[#This Row],[Total]]*Ventas[[#This Row],[Total 3]]</f>
        <v>0</v>
      </c>
      <c r="L668" s="34"/>
      <c r="M668" s="34"/>
    </row>
    <row r="669" spans="1:13" ht="21.75" customHeight="1">
      <c r="A669" s="16"/>
      <c r="B669" s="39" t="s">
        <v>721</v>
      </c>
      <c r="C669" s="35" t="str">
        <f>VLOOKUP(Ventas[[#This Row],[Codigo]],Stock[#Data],2,FALSE)</f>
        <v>Sedas Smoking Master</v>
      </c>
      <c r="D669" s="37">
        <f>VLOOKUP(Ventas[[#This Row],[Codigo]],Stock[#Data],4,FALSE)</f>
        <v>150</v>
      </c>
      <c r="E669" s="33">
        <f>VLOOKUP(Ventas[[#This Row],[Codigo]],Stock[#Data],3,FALSE)</f>
        <v>110</v>
      </c>
      <c r="F669" s="38">
        <v>1</v>
      </c>
      <c r="G669">
        <v>512</v>
      </c>
      <c r="H669" s="36">
        <f>Ventas[[#This Row],[Precio Venta]]*Ventas[[#This Row],[Cantidad]]-Ventas[[#This Row],[Descuento]]</f>
        <v>150</v>
      </c>
      <c r="I669" s="34">
        <f>Ventas[[#This Row],[Total]]-Ventas[[#This Row],[Precio compra]]*Ventas[[#This Row],[Cantidad]]</f>
        <v>40</v>
      </c>
      <c r="J669" s="34"/>
      <c r="K669" s="34">
        <f>Ventas[[#This Row],[Total]]*Ventas[[#This Row],[Total 3]]</f>
        <v>0</v>
      </c>
      <c r="L669" s="34"/>
      <c r="M669" s="34"/>
    </row>
    <row r="670" spans="1:13" ht="21.75" customHeight="1">
      <c r="A670" s="16"/>
      <c r="B670" s="39" t="s">
        <v>721</v>
      </c>
      <c r="C670" s="35" t="str">
        <f>VLOOKUP(Ventas[[#This Row],[Codigo]],Stock[#Data],2,FALSE)</f>
        <v>Sedas Smoking Organic</v>
      </c>
      <c r="D670" s="37">
        <f>VLOOKUP(Ventas[[#This Row],[Codigo]],Stock[#Data],4,FALSE)</f>
        <v>100</v>
      </c>
      <c r="E670" s="33">
        <f>VLOOKUP(Ventas[[#This Row],[Codigo]],Stock[#Data],3,FALSE)</f>
        <v>50</v>
      </c>
      <c r="F670" s="38">
        <v>1</v>
      </c>
      <c r="G670">
        <v>513</v>
      </c>
      <c r="H670" s="36">
        <f>Ventas[[#This Row],[Precio Venta]]*Ventas[[#This Row],[Cantidad]]-Ventas[[#This Row],[Descuento]]</f>
        <v>100</v>
      </c>
      <c r="I670" s="34">
        <f>Ventas[[#This Row],[Total]]-Ventas[[#This Row],[Precio compra]]*Ventas[[#This Row],[Cantidad]]</f>
        <v>50</v>
      </c>
      <c r="J670" s="34"/>
      <c r="K670" s="34">
        <f>Ventas[[#This Row],[Total]]*Ventas[[#This Row],[Total 3]]</f>
        <v>0</v>
      </c>
      <c r="L670" s="34"/>
      <c r="M670" s="34"/>
    </row>
    <row r="671" spans="1:13" ht="21.75" customHeight="1">
      <c r="A671" s="16"/>
      <c r="B671" s="39" t="s">
        <v>721</v>
      </c>
      <c r="C671" s="35" t="str">
        <f>VLOOKUP(Ventas[[#This Row],[Codigo]],Stock[#Data],2,FALSE)</f>
        <v>Tabaco Van Kiff Natural</v>
      </c>
      <c r="D671" s="37">
        <f>VLOOKUP(Ventas[[#This Row],[Codigo]],Stock[#Data],4,FALSE)</f>
        <v>850</v>
      </c>
      <c r="E671" s="33">
        <f>VLOOKUP(Ventas[[#This Row],[Codigo]],Stock[#Data],3,FALSE)</f>
        <v>580</v>
      </c>
      <c r="F671" s="38">
        <v>1</v>
      </c>
      <c r="G671">
        <v>117</v>
      </c>
      <c r="H671" s="36">
        <f>Ventas[[#This Row],[Precio Venta]]*Ventas[[#This Row],[Cantidad]]-Ventas[[#This Row],[Descuento]]</f>
        <v>850</v>
      </c>
      <c r="I671" s="34">
        <f>Ventas[[#This Row],[Total]]-Ventas[[#This Row],[Precio compra]]*Ventas[[#This Row],[Cantidad]]</f>
        <v>270</v>
      </c>
      <c r="J671" s="34"/>
      <c r="K671" s="34">
        <f>Ventas[[#This Row],[Total]]*Ventas[[#This Row],[Total 3]]</f>
        <v>0</v>
      </c>
      <c r="L671" s="34"/>
      <c r="M671" s="34"/>
    </row>
    <row r="672" spans="1:13" ht="21.75" customHeight="1">
      <c r="A672" s="16"/>
      <c r="B672" s="39" t="s">
        <v>721</v>
      </c>
      <c r="C672" s="35" t="str">
        <f>VLOOKUP(Ventas[[#This Row],[Codigo]],Stock[#Data],2,FALSE)</f>
        <v>VAMP Supermelaza</v>
      </c>
      <c r="D672" s="37">
        <f>VLOOKUP(Ventas[[#This Row],[Codigo]],Stock[#Data],4,FALSE)</f>
        <v>1800</v>
      </c>
      <c r="E672" s="33">
        <f>VLOOKUP(Ventas[[#This Row],[Codigo]],Stock[#Data],3,FALSE)</f>
        <v>908</v>
      </c>
      <c r="F672" s="38">
        <v>1</v>
      </c>
      <c r="G672">
        <v>36</v>
      </c>
      <c r="H672" s="36">
        <f>Ventas[[#This Row],[Precio Venta]]*Ventas[[#This Row],[Cantidad]]-Ventas[[#This Row],[Descuento]]</f>
        <v>1800</v>
      </c>
      <c r="I672" s="34">
        <f>Ventas[[#This Row],[Total]]-Ventas[[#This Row],[Precio compra]]*Ventas[[#This Row],[Cantidad]]</f>
        <v>892</v>
      </c>
      <c r="J672" s="34"/>
      <c r="K672" s="34">
        <f>Ventas[[#This Row],[Total]]*Ventas[[#This Row],[Total 3]]</f>
        <v>0</v>
      </c>
      <c r="L672" s="34"/>
      <c r="M672" s="34"/>
    </row>
    <row r="673" spans="1:13" ht="21.75" customHeight="1">
      <c r="A673" s="16"/>
      <c r="B673" s="39" t="s">
        <v>721</v>
      </c>
      <c r="C673" s="35" t="str">
        <f>VLOOKUP(Ventas[[#This Row],[Codigo]],Stock[#Data],2,FALSE)</f>
        <v>CropSecret 250ml Floral Session</v>
      </c>
      <c r="D673" s="37">
        <f>VLOOKUP(Ventas[[#This Row],[Codigo]],Stock[#Data],4,FALSE)</f>
        <v>2000</v>
      </c>
      <c r="E673" s="33">
        <f>VLOOKUP(Ventas[[#This Row],[Codigo]],Stock[#Data],3,FALSE)</f>
        <v>836</v>
      </c>
      <c r="F673" s="38">
        <v>1</v>
      </c>
      <c r="G673">
        <v>6</v>
      </c>
      <c r="H673" s="36">
        <f>Ventas[[#This Row],[Precio Venta]]*Ventas[[#This Row],[Cantidad]]-Ventas[[#This Row],[Descuento]]</f>
        <v>2000</v>
      </c>
      <c r="I673" s="34">
        <f>Ventas[[#This Row],[Total]]-Ventas[[#This Row],[Precio compra]]*Ventas[[#This Row],[Cantidad]]</f>
        <v>1164</v>
      </c>
      <c r="J673" s="34"/>
      <c r="K673" s="34">
        <f>Ventas[[#This Row],[Total]]*Ventas[[#This Row],[Total 3]]</f>
        <v>0</v>
      </c>
      <c r="L673" s="34"/>
      <c r="M673" s="34"/>
    </row>
    <row r="674" spans="1:13" ht="21.75" customHeight="1">
      <c r="A674" s="16"/>
      <c r="B674" s="39" t="s">
        <v>721</v>
      </c>
      <c r="C674" s="35" t="str">
        <f>VLOOKUP(Ventas[[#This Row],[Codigo]],Stock[#Data],2,FALSE)</f>
        <v xml:space="preserve">Beauveria Bassiana Organic Life </v>
      </c>
      <c r="D674" s="37">
        <f>VLOOKUP(Ventas[[#This Row],[Codigo]],Stock[#Data],4,FALSE)</f>
        <v>1000</v>
      </c>
      <c r="E674" s="33">
        <f>VLOOKUP(Ventas[[#This Row],[Codigo]],Stock[#Data],3,FALSE)</f>
        <v>490</v>
      </c>
      <c r="F674" s="38">
        <v>1</v>
      </c>
      <c r="G674">
        <v>598</v>
      </c>
      <c r="H674" s="36">
        <f>Ventas[[#This Row],[Precio Venta]]*Ventas[[#This Row],[Cantidad]]-Ventas[[#This Row],[Descuento]]</f>
        <v>1000</v>
      </c>
      <c r="I674" s="34">
        <f>Ventas[[#This Row],[Total]]-Ventas[[#This Row],[Precio compra]]*Ventas[[#This Row],[Cantidad]]</f>
        <v>510</v>
      </c>
      <c r="J674" s="34"/>
      <c r="K674" s="34">
        <f>Ventas[[#This Row],[Total]]*Ventas[[#This Row],[Total 3]]</f>
        <v>0</v>
      </c>
      <c r="L674" s="34"/>
      <c r="M674" s="34"/>
    </row>
    <row r="675" spans="1:13" ht="21.75" customHeight="1">
      <c r="A675" s="16"/>
      <c r="B675" s="39" t="s">
        <v>721</v>
      </c>
      <c r="C675" s="35" t="str">
        <f>VLOOKUP(Ventas[[#This Row],[Codigo]],Stock[#Data],2,FALSE)</f>
        <v xml:space="preserve">Filtros Gizhe + Sedas </v>
      </c>
      <c r="D675" s="37">
        <f>VLOOKUP(Ventas[[#This Row],[Codigo]],Stock[#Data],4,FALSE)</f>
        <v>350</v>
      </c>
      <c r="E675" s="33">
        <f>VLOOKUP(Ventas[[#This Row],[Codigo]],Stock[#Data],3,FALSE)</f>
        <v>150</v>
      </c>
      <c r="F675" s="38">
        <v>1</v>
      </c>
      <c r="G675">
        <v>476</v>
      </c>
      <c r="H675" s="36">
        <f>Ventas[[#This Row],[Precio Venta]]*Ventas[[#This Row],[Cantidad]]-Ventas[[#This Row],[Descuento]]</f>
        <v>350</v>
      </c>
      <c r="I675" s="34">
        <f>Ventas[[#This Row],[Total]]-Ventas[[#This Row],[Precio compra]]*Ventas[[#This Row],[Cantidad]]</f>
        <v>200</v>
      </c>
      <c r="J675" s="34"/>
      <c r="K675" s="34">
        <f>Ventas[[#This Row],[Total]]*Ventas[[#This Row],[Total 3]]</f>
        <v>0</v>
      </c>
      <c r="L675" s="34"/>
      <c r="M675" s="34"/>
    </row>
    <row r="676" spans="1:13" ht="21.75" customHeight="1">
      <c r="A676" s="16"/>
      <c r="B676" s="39" t="s">
        <v>715</v>
      </c>
      <c r="C676" s="35" t="str">
        <f>VLOOKUP(Ventas[[#This Row],[Codigo]],Stock[#Data],2,FALSE)</f>
        <v>Sedas STAMPS Celulosa x300</v>
      </c>
      <c r="D676" s="37">
        <f>VLOOKUP(Ventas[[#This Row],[Codigo]],Stock[#Data],4,FALSE)</f>
        <v>900</v>
      </c>
      <c r="E676" s="33">
        <f>VLOOKUP(Ventas[[#This Row],[Codigo]],Stock[#Data],3,FALSE)</f>
        <v>444</v>
      </c>
      <c r="F676" s="38">
        <v>1</v>
      </c>
      <c r="G676">
        <v>595</v>
      </c>
      <c r="H676" s="36">
        <f>Ventas[[#This Row],[Precio Venta]]*Ventas[[#This Row],[Cantidad]]-Ventas[[#This Row],[Descuento]]</f>
        <v>900</v>
      </c>
      <c r="I676" s="34">
        <f>Ventas[[#This Row],[Total]]-Ventas[[#This Row],[Precio compra]]*Ventas[[#This Row],[Cantidad]]</f>
        <v>456</v>
      </c>
      <c r="J676" s="34"/>
      <c r="K676" s="34">
        <f>Ventas[[#This Row],[Total]]*Ventas[[#This Row],[Total 3]]</f>
        <v>0</v>
      </c>
      <c r="L676" s="34"/>
      <c r="M676" s="34"/>
    </row>
    <row r="677" spans="1:13" ht="21.75" customHeight="1">
      <c r="A677" s="16"/>
      <c r="B677" s="39" t="s">
        <v>715</v>
      </c>
      <c r="C677" s="35" t="str">
        <f>VLOOKUP(Ventas[[#This Row],[Codigo]],Stock[#Data],2,FALSE)</f>
        <v>Sedas RAW 1/4 +tips BROWN</v>
      </c>
      <c r="D677" s="37">
        <f>VLOOKUP(Ventas[[#This Row],[Codigo]],Stock[#Data],4,FALSE)</f>
        <v>1150</v>
      </c>
      <c r="E677" s="33">
        <f>VLOOKUP(Ventas[[#This Row],[Codigo]],Stock[#Data],3,FALSE)</f>
        <v>568</v>
      </c>
      <c r="F677" s="38">
        <v>1</v>
      </c>
      <c r="G677">
        <v>80</v>
      </c>
      <c r="H677" s="36">
        <f>Ventas[[#This Row],[Precio Venta]]*Ventas[[#This Row],[Cantidad]]-Ventas[[#This Row],[Descuento]]</f>
        <v>1150</v>
      </c>
      <c r="I677" s="34">
        <f>Ventas[[#This Row],[Total]]-Ventas[[#This Row],[Precio compra]]*Ventas[[#This Row],[Cantidad]]</f>
        <v>582</v>
      </c>
      <c r="J677" s="34"/>
      <c r="K677" s="34">
        <f>Ventas[[#This Row],[Total]]*Ventas[[#This Row],[Total 3]]</f>
        <v>0</v>
      </c>
      <c r="L677" s="34"/>
      <c r="M677" s="34"/>
    </row>
    <row r="678" spans="1:13" ht="21.75" customHeight="1">
      <c r="A678" s="16"/>
      <c r="B678" s="39" t="s">
        <v>715</v>
      </c>
      <c r="C678" s="35" t="str">
        <f>VLOOKUP(Ventas[[#This Row],[Codigo]],Stock[#Data],2,FALSE)</f>
        <v>VAMP Guano de murcielago Flora</v>
      </c>
      <c r="D678" s="37">
        <f>VLOOKUP(Ventas[[#This Row],[Codigo]],Stock[#Data],4,FALSE)</f>
        <v>1000</v>
      </c>
      <c r="E678" s="33">
        <f>VLOOKUP(Ventas[[#This Row],[Codigo]],Stock[#Data],3,FALSE)</f>
        <v>510</v>
      </c>
      <c r="F678" s="38">
        <v>1</v>
      </c>
      <c r="G678">
        <v>38</v>
      </c>
      <c r="H678" s="36">
        <f>Ventas[[#This Row],[Precio Venta]]*Ventas[[#This Row],[Cantidad]]-Ventas[[#This Row],[Descuento]]</f>
        <v>1000</v>
      </c>
      <c r="I678" s="34">
        <f>Ventas[[#This Row],[Total]]-Ventas[[#This Row],[Precio compra]]*Ventas[[#This Row],[Cantidad]]</f>
        <v>490</v>
      </c>
      <c r="J678" s="34"/>
      <c r="K678" s="34">
        <f>Ventas[[#This Row],[Total]]*Ventas[[#This Row],[Total 3]]</f>
        <v>0</v>
      </c>
      <c r="L678" s="34"/>
      <c r="M678" s="34"/>
    </row>
    <row r="679" spans="1:13" ht="21.75" customHeight="1">
      <c r="A679" s="16"/>
      <c r="B679" s="39" t="s">
        <v>715</v>
      </c>
      <c r="C679" s="35" t="str">
        <f>VLOOKUP(Ventas[[#This Row],[Codigo]],Stock[#Data],2,FALSE)</f>
        <v>Picador Scuadarfum plastico 3p</v>
      </c>
      <c r="D679" s="37">
        <f>VLOOKUP(Ventas[[#This Row],[Codigo]],Stock[#Data],4,FALSE)</f>
        <v>1500</v>
      </c>
      <c r="E679" s="33">
        <f>VLOOKUP(Ventas[[#This Row],[Codigo]],Stock[#Data],3,FALSE)</f>
        <v>715</v>
      </c>
      <c r="F679" s="38">
        <v>1</v>
      </c>
      <c r="G679">
        <v>403</v>
      </c>
      <c r="H679" s="36">
        <f>Ventas[[#This Row],[Precio Venta]]*Ventas[[#This Row],[Cantidad]]-Ventas[[#This Row],[Descuento]]</f>
        <v>1500</v>
      </c>
      <c r="I679" s="34">
        <f>Ventas[[#This Row],[Total]]-Ventas[[#This Row],[Precio compra]]*Ventas[[#This Row],[Cantidad]]</f>
        <v>785</v>
      </c>
      <c r="J679" s="34"/>
      <c r="K679" s="34">
        <f>Ventas[[#This Row],[Total]]*Ventas[[#This Row],[Total 3]]</f>
        <v>0</v>
      </c>
      <c r="L679" s="34"/>
      <c r="M679" s="34"/>
    </row>
    <row r="680" spans="1:13" ht="21.75" customHeight="1">
      <c r="A680" s="16"/>
      <c r="B680" s="39" t="s">
        <v>715</v>
      </c>
      <c r="C680" s="35" t="str">
        <f>VLOOKUP(Ventas[[#This Row],[Codigo]],Stock[#Data],2,FALSE)</f>
        <v>Pipa Atomic Aluminio</v>
      </c>
      <c r="D680" s="37">
        <f>VLOOKUP(Ventas[[#This Row],[Codigo]],Stock[#Data],4,FALSE)</f>
        <v>1100</v>
      </c>
      <c r="E680" s="33">
        <f>VLOOKUP(Ventas[[#This Row],[Codigo]],Stock[#Data],3,FALSE)</f>
        <v>540</v>
      </c>
      <c r="F680" s="38">
        <v>1</v>
      </c>
      <c r="G680">
        <v>481</v>
      </c>
      <c r="H680" s="36">
        <f>Ventas[[#This Row],[Precio Venta]]*Ventas[[#This Row],[Cantidad]]-Ventas[[#This Row],[Descuento]]</f>
        <v>1100</v>
      </c>
      <c r="I680" s="34">
        <f>Ventas[[#This Row],[Total]]-Ventas[[#This Row],[Precio compra]]*Ventas[[#This Row],[Cantidad]]</f>
        <v>560</v>
      </c>
      <c r="J680" s="34"/>
      <c r="K680" s="34">
        <f>Ventas[[#This Row],[Total]]*Ventas[[#This Row],[Total 3]]</f>
        <v>0</v>
      </c>
      <c r="L680" s="34"/>
      <c r="M680" s="34"/>
    </row>
    <row r="681" spans="1:13" ht="21.75" customHeight="1">
      <c r="A681" s="16"/>
      <c r="B681" s="39" t="s">
        <v>715</v>
      </c>
      <c r="C681" s="35" t="str">
        <f>VLOOKUP(Ventas[[#This Row],[Codigo]],Stock[#Data],2,FALSE)</f>
        <v>Sedas Zeus Celulosa</v>
      </c>
      <c r="D681" s="37">
        <f>VLOOKUP(Ventas[[#This Row],[Codigo]],Stock[#Data],4,FALSE)</f>
        <v>350</v>
      </c>
      <c r="E681" s="33">
        <f>VLOOKUP(Ventas[[#This Row],[Codigo]],Stock[#Data],3,FALSE)</f>
        <v>175</v>
      </c>
      <c r="F681" s="38">
        <v>1</v>
      </c>
      <c r="G681">
        <v>589</v>
      </c>
      <c r="H681" s="36">
        <f>Ventas[[#This Row],[Precio Venta]]*Ventas[[#This Row],[Cantidad]]-Ventas[[#This Row],[Descuento]]</f>
        <v>350</v>
      </c>
      <c r="I681" s="34">
        <f>Ventas[[#This Row],[Total]]-Ventas[[#This Row],[Precio compra]]*Ventas[[#This Row],[Cantidad]]</f>
        <v>175</v>
      </c>
      <c r="J681" s="34"/>
      <c r="K681" s="34">
        <f>Ventas[[#This Row],[Total]]*Ventas[[#This Row],[Total 3]]</f>
        <v>0</v>
      </c>
      <c r="L681" s="34"/>
      <c r="M681" s="34"/>
    </row>
    <row r="682" spans="1:13" ht="21.75" customHeight="1">
      <c r="A682" s="16"/>
      <c r="B682" s="39" t="s">
        <v>715</v>
      </c>
      <c r="C682" s="35" t="str">
        <f>VLOOKUP(Ventas[[#This Row],[Codigo]],Stock[#Data],2,FALSE)</f>
        <v>TreeMIX A 200ml</v>
      </c>
      <c r="D682" s="37">
        <f>VLOOKUP(Ventas[[#This Row],[Codigo]],Stock[#Data],4,FALSE)</f>
        <v>1400</v>
      </c>
      <c r="E682" s="33">
        <f>VLOOKUP(Ventas[[#This Row],[Codigo]],Stock[#Data],3,FALSE)</f>
        <v>700</v>
      </c>
      <c r="F682" s="38">
        <v>1</v>
      </c>
      <c r="G682">
        <v>31</v>
      </c>
      <c r="H682" s="36">
        <f>Ventas[[#This Row],[Precio Venta]]*Ventas[[#This Row],[Cantidad]]-Ventas[[#This Row],[Descuento]]</f>
        <v>1400</v>
      </c>
      <c r="I682" s="34">
        <f>Ventas[[#This Row],[Total]]-Ventas[[#This Row],[Precio compra]]*Ventas[[#This Row],[Cantidad]]</f>
        <v>700</v>
      </c>
      <c r="J682" s="34"/>
      <c r="K682" s="34">
        <f>Ventas[[#This Row],[Total]]*Ventas[[#This Row],[Total 3]]</f>
        <v>0</v>
      </c>
      <c r="L682" s="34"/>
      <c r="M682" s="34"/>
    </row>
    <row r="683" spans="1:13" ht="21.75" customHeight="1">
      <c r="A683" s="16"/>
      <c r="B683" s="39" t="s">
        <v>715</v>
      </c>
      <c r="C683" s="35" t="str">
        <f>VLOOKUP(Ventas[[#This Row],[Codigo]],Stock[#Data],2,FALSE)</f>
        <v>VAMP Supermelaza</v>
      </c>
      <c r="D683" s="37">
        <f>VLOOKUP(Ventas[[#This Row],[Codigo]],Stock[#Data],4,FALSE)</f>
        <v>1800</v>
      </c>
      <c r="E683" s="33">
        <f>VLOOKUP(Ventas[[#This Row],[Codigo]],Stock[#Data],3,FALSE)</f>
        <v>908</v>
      </c>
      <c r="F683" s="38">
        <v>1</v>
      </c>
      <c r="G683">
        <v>36</v>
      </c>
      <c r="H683" s="36">
        <f>Ventas[[#This Row],[Precio Venta]]*Ventas[[#This Row],[Cantidad]]-Ventas[[#This Row],[Descuento]]</f>
        <v>1800</v>
      </c>
      <c r="I683" s="34">
        <f>Ventas[[#This Row],[Total]]-Ventas[[#This Row],[Precio compra]]*Ventas[[#This Row],[Cantidad]]</f>
        <v>892</v>
      </c>
      <c r="J683" s="34"/>
      <c r="K683" s="34">
        <f>Ventas[[#This Row],[Total]]*Ventas[[#This Row],[Total 3]]</f>
        <v>0</v>
      </c>
      <c r="L683" s="34"/>
      <c r="M683" s="34"/>
    </row>
    <row r="684" spans="1:13" ht="21.75" customHeight="1">
      <c r="A684" s="16"/>
      <c r="B684" s="39" t="s">
        <v>715</v>
      </c>
      <c r="C684" s="35" t="str">
        <f>VLOOKUP(Ventas[[#This Row],[Codigo]],Stock[#Data],2,FALSE)</f>
        <v>Namaste Flora Booster 100ml</v>
      </c>
      <c r="D684" s="37">
        <f>VLOOKUP(Ventas[[#This Row],[Codigo]],Stock[#Data],4,FALSE)</f>
        <v>1000</v>
      </c>
      <c r="E684" s="33">
        <f>VLOOKUP(Ventas[[#This Row],[Codigo]],Stock[#Data],3,FALSE)</f>
        <v>517</v>
      </c>
      <c r="F684" s="38">
        <v>2</v>
      </c>
      <c r="G684">
        <v>480</v>
      </c>
      <c r="H684" s="36">
        <f>Ventas[[#This Row],[Precio Venta]]*Ventas[[#This Row],[Cantidad]]-Ventas[[#This Row],[Descuento]]</f>
        <v>2000</v>
      </c>
      <c r="I684" s="34">
        <f>Ventas[[#This Row],[Total]]-Ventas[[#This Row],[Precio compra]]*Ventas[[#This Row],[Cantidad]]</f>
        <v>966</v>
      </c>
      <c r="J684" s="34"/>
      <c r="K684" s="34">
        <f>Ventas[[#This Row],[Total]]*Ventas[[#This Row],[Total 3]]</f>
        <v>0</v>
      </c>
      <c r="L684" s="34"/>
      <c r="M684" s="34"/>
    </row>
    <row r="685" spans="1:13" ht="21.75" customHeight="1">
      <c r="A685" s="16"/>
      <c r="B685" s="39" t="s">
        <v>714</v>
      </c>
      <c r="C685" s="35" t="str">
        <f>VLOOKUP(Ventas[[#This Row],[Codigo]],Stock[#Data],2,FALSE)</f>
        <v>Sauver 1/4</v>
      </c>
      <c r="D685" s="37">
        <f>VLOOKUP(Ventas[[#This Row],[Codigo]],Stock[#Data],4,FALSE)</f>
        <v>200</v>
      </c>
      <c r="E685" s="33">
        <f>VLOOKUP(Ventas[[#This Row],[Codigo]],Stock[#Data],3,FALSE)</f>
        <v>75</v>
      </c>
      <c r="F685" s="38">
        <v>1</v>
      </c>
      <c r="G685">
        <v>149</v>
      </c>
      <c r="H685" s="36">
        <f>Ventas[[#This Row],[Precio Venta]]*Ventas[[#This Row],[Cantidad]]-Ventas[[#This Row],[Descuento]]</f>
        <v>200</v>
      </c>
      <c r="I685" s="34">
        <f>Ventas[[#This Row],[Total]]-Ventas[[#This Row],[Precio compra]]*Ventas[[#This Row],[Cantidad]]</f>
        <v>125</v>
      </c>
      <c r="J685" s="34"/>
      <c r="K685" s="34">
        <f>Ventas[[#This Row],[Total]]*Ventas[[#This Row],[Total 3]]</f>
        <v>0</v>
      </c>
      <c r="L685" s="34"/>
      <c r="M685" s="34"/>
    </row>
    <row r="686" spans="1:13" ht="21.75" customHeight="1">
      <c r="A686" s="16"/>
      <c r="B686" s="39" t="s">
        <v>714</v>
      </c>
      <c r="C686" s="35" t="str">
        <f>VLOOKUP(Ventas[[#This Row],[Codigo]],Stock[#Data],2,FALSE)</f>
        <v>Namaste Flora Booster 100ml</v>
      </c>
      <c r="D686" s="37">
        <f>VLOOKUP(Ventas[[#This Row],[Codigo]],Stock[#Data],4,FALSE)</f>
        <v>1000</v>
      </c>
      <c r="E686" s="33">
        <f>VLOOKUP(Ventas[[#This Row],[Codigo]],Stock[#Data],3,FALSE)</f>
        <v>517</v>
      </c>
      <c r="F686" s="38">
        <v>1</v>
      </c>
      <c r="G686">
        <v>480</v>
      </c>
      <c r="H686" s="36">
        <f>Ventas[[#This Row],[Precio Venta]]*Ventas[[#This Row],[Cantidad]]-Ventas[[#This Row],[Descuento]]</f>
        <v>1000</v>
      </c>
      <c r="I686" s="34">
        <f>Ventas[[#This Row],[Total]]-Ventas[[#This Row],[Precio compra]]*Ventas[[#This Row],[Cantidad]]</f>
        <v>483</v>
      </c>
      <c r="J686" s="34"/>
      <c r="K686" s="34">
        <f>Ventas[[#This Row],[Total]]*Ventas[[#This Row],[Total 3]]</f>
        <v>0</v>
      </c>
      <c r="L686" s="34"/>
      <c r="M686" s="34"/>
    </row>
    <row r="687" spans="1:13" ht="21.75" customHeight="1">
      <c r="A687" s="16"/>
      <c r="B687" s="39" t="s">
        <v>714</v>
      </c>
      <c r="C687" s="35" t="str">
        <f>VLOOKUP(Ventas[[#This Row],[Codigo]],Stock[#Data],2,FALSE)</f>
        <v>Namaste Shanti 100ml</v>
      </c>
      <c r="D687" s="37">
        <f>VLOOKUP(Ventas[[#This Row],[Codigo]],Stock[#Data],4,FALSE)</f>
        <v>2000</v>
      </c>
      <c r="E687" s="33">
        <f>VLOOKUP(Ventas[[#This Row],[Codigo]],Stock[#Data],3,FALSE)</f>
        <v>932</v>
      </c>
      <c r="F687" s="38">
        <v>1</v>
      </c>
      <c r="G687">
        <v>569</v>
      </c>
      <c r="H687" s="36">
        <f>Ventas[[#This Row],[Precio Venta]]*Ventas[[#This Row],[Cantidad]]-Ventas[[#This Row],[Descuento]]</f>
        <v>2000</v>
      </c>
      <c r="I687" s="34">
        <f>Ventas[[#This Row],[Total]]-Ventas[[#This Row],[Precio compra]]*Ventas[[#This Row],[Cantidad]]</f>
        <v>1068</v>
      </c>
      <c r="J687" s="34"/>
      <c r="K687" s="34">
        <f>Ventas[[#This Row],[Total]]*Ventas[[#This Row],[Total 3]]</f>
        <v>0</v>
      </c>
      <c r="L687" s="34"/>
      <c r="M687" s="34"/>
    </row>
    <row r="688" spans="1:13" ht="21.75" customHeight="1">
      <c r="A688" s="16"/>
      <c r="B688" s="39" t="s">
        <v>714</v>
      </c>
      <c r="C688" s="35" t="str">
        <f>VLOOKUP(Ventas[[#This Row],[Codigo]],Stock[#Data],2,FALSE)</f>
        <v>Sedas Blunt Rey 1/4 celulosa Verde</v>
      </c>
      <c r="D688" s="37">
        <f>VLOOKUP(Ventas[[#This Row],[Codigo]],Stock[#Data],4,FALSE)</f>
        <v>300</v>
      </c>
      <c r="E688" s="33">
        <f>VLOOKUP(Ventas[[#This Row],[Codigo]],Stock[#Data],3,FALSE)</f>
        <v>135</v>
      </c>
      <c r="F688" s="38">
        <v>1</v>
      </c>
      <c r="G688">
        <v>72</v>
      </c>
      <c r="H688" s="36">
        <f>Ventas[[#This Row],[Precio Venta]]*Ventas[[#This Row],[Cantidad]]-Ventas[[#This Row],[Descuento]]</f>
        <v>300</v>
      </c>
      <c r="I688" s="34">
        <f>Ventas[[#This Row],[Total]]-Ventas[[#This Row],[Precio compra]]*Ventas[[#This Row],[Cantidad]]</f>
        <v>165</v>
      </c>
      <c r="J688" s="34"/>
      <c r="K688" s="34">
        <f>Ventas[[#This Row],[Total]]*Ventas[[#This Row],[Total 3]]</f>
        <v>0</v>
      </c>
      <c r="L688" s="34"/>
      <c r="M688" s="34"/>
    </row>
    <row r="689" spans="1:13" ht="21.75" customHeight="1">
      <c r="A689" s="16"/>
      <c r="B689" s="39" t="s">
        <v>714</v>
      </c>
      <c r="C689" s="35" t="str">
        <f>VLOOKUP(Ventas[[#This Row],[Codigo]],Stock[#Data],2,FALSE)</f>
        <v>VAMP Supermelaza</v>
      </c>
      <c r="D689" s="37">
        <f>VLOOKUP(Ventas[[#This Row],[Codigo]],Stock[#Data],4,FALSE)</f>
        <v>1800</v>
      </c>
      <c r="E689" s="33">
        <f>VLOOKUP(Ventas[[#This Row],[Codigo]],Stock[#Data],3,FALSE)</f>
        <v>908</v>
      </c>
      <c r="F689" s="38">
        <v>1</v>
      </c>
      <c r="G689">
        <v>36</v>
      </c>
      <c r="H689" s="36">
        <f>Ventas[[#This Row],[Precio Venta]]*Ventas[[#This Row],[Cantidad]]-Ventas[[#This Row],[Descuento]]</f>
        <v>1800</v>
      </c>
      <c r="I689" s="34">
        <f>Ventas[[#This Row],[Total]]-Ventas[[#This Row],[Precio compra]]*Ventas[[#This Row],[Cantidad]]</f>
        <v>892</v>
      </c>
      <c r="J689" s="34"/>
      <c r="K689" s="34">
        <f>Ventas[[#This Row],[Total]]*Ventas[[#This Row],[Total 3]]</f>
        <v>0</v>
      </c>
      <c r="L689" s="34"/>
      <c r="M689" s="34"/>
    </row>
    <row r="690" spans="1:13" ht="21.75" customHeight="1">
      <c r="A690" s="16"/>
      <c r="B690" s="39" t="s">
        <v>714</v>
      </c>
      <c r="C690" s="35" t="str">
        <f>VLOOKUP(Ventas[[#This Row],[Codigo]],Stock[#Data],2,FALSE)</f>
        <v>VAMP Guano de murcielago Flora</v>
      </c>
      <c r="D690" s="37">
        <f>VLOOKUP(Ventas[[#This Row],[Codigo]],Stock[#Data],4,FALSE)</f>
        <v>1000</v>
      </c>
      <c r="E690" s="33">
        <f>VLOOKUP(Ventas[[#This Row],[Codigo]],Stock[#Data],3,FALSE)</f>
        <v>510</v>
      </c>
      <c r="F690" s="38">
        <v>1</v>
      </c>
      <c r="G690">
        <v>38</v>
      </c>
      <c r="H690" s="36">
        <f>Ventas[[#This Row],[Precio Venta]]*Ventas[[#This Row],[Cantidad]]-Ventas[[#This Row],[Descuento]]</f>
        <v>1000</v>
      </c>
      <c r="I690" s="34">
        <f>Ventas[[#This Row],[Total]]-Ventas[[#This Row],[Precio compra]]*Ventas[[#This Row],[Cantidad]]</f>
        <v>490</v>
      </c>
      <c r="J690" s="34"/>
      <c r="K690" s="34">
        <f>Ventas[[#This Row],[Total]]*Ventas[[#This Row],[Total 3]]</f>
        <v>0</v>
      </c>
      <c r="L690" s="34"/>
      <c r="M690" s="34"/>
    </row>
    <row r="691" spans="1:13" ht="21.75" customHeight="1">
      <c r="A691" s="16"/>
      <c r="B691" s="39" t="s">
        <v>714</v>
      </c>
      <c r="C691" s="35" t="str">
        <f>VLOOKUP(Ventas[[#This Row],[Codigo]],Stock[#Data],2,FALSE)</f>
        <v>Tabaco Cerrito</v>
      </c>
      <c r="D691" s="37">
        <f>VLOOKUP(Ventas[[#This Row],[Codigo]],Stock[#Data],4,FALSE)</f>
        <v>800</v>
      </c>
      <c r="E691" s="33">
        <f>VLOOKUP(Ventas[[#This Row],[Codigo]],Stock[#Data],3,FALSE)</f>
        <v>552</v>
      </c>
      <c r="F691" s="38">
        <v>1</v>
      </c>
      <c r="G691">
        <v>112</v>
      </c>
      <c r="H691" s="36">
        <f>Ventas[[#This Row],[Precio Venta]]*Ventas[[#This Row],[Cantidad]]-Ventas[[#This Row],[Descuento]]</f>
        <v>800</v>
      </c>
      <c r="I691" s="34">
        <f>Ventas[[#This Row],[Total]]-Ventas[[#This Row],[Precio compra]]*Ventas[[#This Row],[Cantidad]]</f>
        <v>248</v>
      </c>
      <c r="J691" s="34"/>
      <c r="K691" s="34">
        <f>Ventas[[#This Row],[Total]]*Ventas[[#This Row],[Total 3]]</f>
        <v>0</v>
      </c>
      <c r="L691" s="34"/>
      <c r="M691" s="34"/>
    </row>
    <row r="692" spans="1:13" ht="21.75" customHeight="1">
      <c r="A692" s="16"/>
      <c r="B692" s="39" t="s">
        <v>714</v>
      </c>
      <c r="C692" s="35" t="str">
        <f>VLOOKUP(Ventas[[#This Row],[Codigo]],Stock[#Data],2,FALSE)</f>
        <v>Tijeras Garden High Pro curva</v>
      </c>
      <c r="D692" s="37">
        <f>VLOOKUP(Ventas[[#This Row],[Codigo]],Stock[#Data],4,FALSE)</f>
        <v>4000</v>
      </c>
      <c r="E692" s="33">
        <f>VLOOKUP(Ventas[[#This Row],[Codigo]],Stock[#Data],3,FALSE)</f>
        <v>1926</v>
      </c>
      <c r="F692" s="38">
        <v>1</v>
      </c>
      <c r="G692">
        <v>306</v>
      </c>
      <c r="H692" s="36">
        <f>Ventas[[#This Row],[Precio Venta]]*Ventas[[#This Row],[Cantidad]]-Ventas[[#This Row],[Descuento]]</f>
        <v>4000</v>
      </c>
      <c r="I692" s="34">
        <f>Ventas[[#This Row],[Total]]-Ventas[[#This Row],[Precio compra]]*Ventas[[#This Row],[Cantidad]]</f>
        <v>2074</v>
      </c>
      <c r="J692" s="34"/>
      <c r="K692" s="34">
        <f>Ventas[[#This Row],[Total]]*Ventas[[#This Row],[Total 3]]</f>
        <v>0</v>
      </c>
      <c r="L692" s="34"/>
      <c r="M692" s="34"/>
    </row>
    <row r="693" spans="1:13" ht="21.75" customHeight="1">
      <c r="A693" s="16"/>
      <c r="B693" s="39" t="s">
        <v>714</v>
      </c>
      <c r="C693" s="35" t="str">
        <f>VLOOKUP(Ventas[[#This Row],[Codigo]],Stock[#Data],2,FALSE)</f>
        <v>Red de Scrog 100x100</v>
      </c>
      <c r="D693" s="37">
        <f>VLOOKUP(Ventas[[#This Row],[Codigo]],Stock[#Data],4,FALSE)</f>
        <v>1200</v>
      </c>
      <c r="E693" s="33">
        <f>VLOOKUP(Ventas[[#This Row],[Codigo]],Stock[#Data],3,FALSE)</f>
        <v>576</v>
      </c>
      <c r="F693" s="38">
        <v>1</v>
      </c>
      <c r="G693">
        <v>195</v>
      </c>
      <c r="H693" s="36">
        <f>Ventas[[#This Row],[Precio Venta]]*Ventas[[#This Row],[Cantidad]]-Ventas[[#This Row],[Descuento]]</f>
        <v>1200</v>
      </c>
      <c r="I693" s="34">
        <f>Ventas[[#This Row],[Total]]-Ventas[[#This Row],[Precio compra]]*Ventas[[#This Row],[Cantidad]]</f>
        <v>624</v>
      </c>
      <c r="J693" s="34"/>
      <c r="K693" s="34">
        <f>Ventas[[#This Row],[Total]]*Ventas[[#This Row],[Total 3]]</f>
        <v>0</v>
      </c>
      <c r="L693" s="34"/>
      <c r="M693" s="34"/>
    </row>
    <row r="694" spans="1:13" ht="21.75" customHeight="1">
      <c r="A694" s="16"/>
      <c r="B694" s="39" t="s">
        <v>714</v>
      </c>
      <c r="C694" s="35" t="str">
        <f>VLOOKUP(Ventas[[#This Row],[Codigo]],Stock[#Data],2,FALSE)</f>
        <v>TreeMIX A 45ml</v>
      </c>
      <c r="D694" s="37">
        <f>VLOOKUP(Ventas[[#This Row],[Codigo]],Stock[#Data],4,FALSE)</f>
        <v>500</v>
      </c>
      <c r="E694" s="33">
        <f>VLOOKUP(Ventas[[#This Row],[Codigo]],Stock[#Data],3,FALSE)</f>
        <v>260</v>
      </c>
      <c r="F694" s="38">
        <v>2</v>
      </c>
      <c r="G694">
        <v>21</v>
      </c>
      <c r="H694" s="36">
        <f>Ventas[[#This Row],[Precio Venta]]*Ventas[[#This Row],[Cantidad]]-Ventas[[#This Row],[Descuento]]</f>
        <v>1000</v>
      </c>
      <c r="I694" s="34">
        <f>Ventas[[#This Row],[Total]]-Ventas[[#This Row],[Precio compra]]*Ventas[[#This Row],[Cantidad]]</f>
        <v>480</v>
      </c>
      <c r="J694" s="34"/>
      <c r="K694" s="34">
        <f>Ventas[[#This Row],[Total]]*Ventas[[#This Row],[Total 3]]</f>
        <v>0</v>
      </c>
      <c r="L694" s="34"/>
      <c r="M694" s="34"/>
    </row>
    <row r="695" spans="1:13" ht="21.75" customHeight="1">
      <c r="A695" s="16"/>
      <c r="B695" s="39" t="s">
        <v>714</v>
      </c>
      <c r="C695" s="35" t="str">
        <f>VLOOKUP(Ventas[[#This Row],[Codigo]],Stock[#Data],2,FALSE)</f>
        <v>TreeMIX CANDY 45 ml</v>
      </c>
      <c r="D695" s="37">
        <f>VLOOKUP(Ventas[[#This Row],[Codigo]],Stock[#Data],4,FALSE)</f>
        <v>500</v>
      </c>
      <c r="E695" s="33">
        <f>VLOOKUP(Ventas[[#This Row],[Codigo]],Stock[#Data],3,FALSE)</f>
        <v>220</v>
      </c>
      <c r="F695" s="38">
        <v>2</v>
      </c>
      <c r="G695">
        <v>26</v>
      </c>
      <c r="H695" s="36">
        <f>Ventas[[#This Row],[Precio Venta]]*Ventas[[#This Row],[Cantidad]]-Ventas[[#This Row],[Descuento]]</f>
        <v>1000</v>
      </c>
      <c r="I695" s="34">
        <f>Ventas[[#This Row],[Total]]-Ventas[[#This Row],[Precio compra]]*Ventas[[#This Row],[Cantidad]]</f>
        <v>560</v>
      </c>
      <c r="J695" s="34"/>
      <c r="K695" s="34">
        <f>Ventas[[#This Row],[Total]]*Ventas[[#This Row],[Total 3]]</f>
        <v>0</v>
      </c>
      <c r="L695" s="34"/>
      <c r="M695" s="34"/>
    </row>
    <row r="696" spans="1:13" ht="21.75" customHeight="1">
      <c r="A696" s="16"/>
      <c r="B696" s="39" t="s">
        <v>714</v>
      </c>
      <c r="C696" s="35" t="str">
        <f>VLOOKUP(Ventas[[#This Row],[Codigo]],Stock[#Data],2,FALSE)</f>
        <v>TreeMIX F 45ml</v>
      </c>
      <c r="D696" s="37">
        <f>VLOOKUP(Ventas[[#This Row],[Codigo]],Stock[#Data],4,FALSE)</f>
        <v>550</v>
      </c>
      <c r="E696" s="33">
        <f>VLOOKUP(Ventas[[#This Row],[Codigo]],Stock[#Data],3,FALSE)</f>
        <v>275</v>
      </c>
      <c r="F696" s="38">
        <v>2</v>
      </c>
      <c r="G696">
        <v>22</v>
      </c>
      <c r="H696" s="36">
        <f>Ventas[[#This Row],[Precio Venta]]*Ventas[[#This Row],[Cantidad]]-Ventas[[#This Row],[Descuento]]</f>
        <v>1100</v>
      </c>
      <c r="I696" s="34">
        <f>Ventas[[#This Row],[Total]]-Ventas[[#This Row],[Precio compra]]*Ventas[[#This Row],[Cantidad]]</f>
        <v>550</v>
      </c>
      <c r="J696" s="34"/>
      <c r="K696" s="34">
        <f>Ventas[[#This Row],[Total]]*Ventas[[#This Row],[Total 3]]</f>
        <v>0</v>
      </c>
      <c r="L696" s="34"/>
      <c r="M696" s="34"/>
    </row>
    <row r="697" spans="1:13" ht="21.75" customHeight="1">
      <c r="A697" s="16"/>
      <c r="B697" s="39" t="s">
        <v>711</v>
      </c>
      <c r="C697" s="35" t="str">
        <f>VLOOKUP(Ventas[[#This Row],[Codigo]],Stock[#Data],2,FALSE)</f>
        <v>Blunt Lion Rolling Circus TERPENES GELATO</v>
      </c>
      <c r="D697" s="37">
        <f>VLOOKUP(Ventas[[#This Row],[Codigo]],Stock[#Data],4,FALSE)</f>
        <v>850</v>
      </c>
      <c r="E697" s="33">
        <f>VLOOKUP(Ventas[[#This Row],[Codigo]],Stock[#Data],3,FALSE)</f>
        <v>422</v>
      </c>
      <c r="F697" s="38">
        <v>1</v>
      </c>
      <c r="G697">
        <v>99</v>
      </c>
      <c r="H697" s="36">
        <f>Ventas[[#This Row],[Precio Venta]]*Ventas[[#This Row],[Cantidad]]-Ventas[[#This Row],[Descuento]]</f>
        <v>850</v>
      </c>
      <c r="I697" s="34">
        <f>Ventas[[#This Row],[Total]]-Ventas[[#This Row],[Precio compra]]*Ventas[[#This Row],[Cantidad]]</f>
        <v>428</v>
      </c>
      <c r="J697" s="34"/>
      <c r="K697" s="34">
        <f>Ventas[[#This Row],[Total]]*Ventas[[#This Row],[Total 3]]</f>
        <v>0</v>
      </c>
      <c r="L697" s="34"/>
      <c r="M697" s="34"/>
    </row>
    <row r="698" spans="1:13" ht="21.75" customHeight="1">
      <c r="A698" s="16"/>
      <c r="B698" s="39" t="s">
        <v>711</v>
      </c>
      <c r="C698" s="35" t="str">
        <f>VLOOKUP(Ventas[[#This Row],[Codigo]],Stock[#Data],2,FALSE)</f>
        <v xml:space="preserve">Aceite de Cannabis 30 ml </v>
      </c>
      <c r="D698" s="37">
        <f>VLOOKUP(Ventas[[#This Row],[Codigo]],Stock[#Data],4,FALSE)</f>
        <v>7500</v>
      </c>
      <c r="E698" s="33">
        <f>VLOOKUP(Ventas[[#This Row],[Codigo]],Stock[#Data],3,FALSE)</f>
        <v>5500</v>
      </c>
      <c r="F698" s="38">
        <v>1</v>
      </c>
      <c r="G698">
        <v>525</v>
      </c>
      <c r="H698" s="36">
        <f>Ventas[[#This Row],[Precio Venta]]*Ventas[[#This Row],[Cantidad]]-Ventas[[#This Row],[Descuento]]</f>
        <v>7500</v>
      </c>
      <c r="I698" s="34">
        <f>Ventas[[#This Row],[Total]]-Ventas[[#This Row],[Precio compra]]*Ventas[[#This Row],[Cantidad]]</f>
        <v>2000</v>
      </c>
      <c r="J698" s="34"/>
      <c r="K698" s="34">
        <f>Ventas[[#This Row],[Total]]*Ventas[[#This Row],[Total 3]]</f>
        <v>0</v>
      </c>
      <c r="L698" s="34"/>
      <c r="M698" s="34"/>
    </row>
    <row r="699" spans="1:13" ht="21.75" customHeight="1">
      <c r="A699" s="16"/>
      <c r="B699" s="39" t="s">
        <v>711</v>
      </c>
      <c r="C699" s="35" t="str">
        <f>VLOOKUP(Ventas[[#This Row],[Codigo]],Stock[#Data],2,FALSE)</f>
        <v>Sedas OCB 1/4 Organic  Bamboo</v>
      </c>
      <c r="D699" s="37">
        <f>VLOOKUP(Ventas[[#This Row],[Codigo]],Stock[#Data],4,FALSE)</f>
        <v>300</v>
      </c>
      <c r="E699" s="33">
        <f>VLOOKUP(Ventas[[#This Row],[Codigo]],Stock[#Data],3,FALSE)</f>
        <v>165</v>
      </c>
      <c r="F699" s="38">
        <v>1</v>
      </c>
      <c r="G699">
        <v>77</v>
      </c>
      <c r="H699" s="36">
        <f>Ventas[[#This Row],[Precio Venta]]*Ventas[[#This Row],[Cantidad]]-Ventas[[#This Row],[Descuento]]</f>
        <v>300</v>
      </c>
      <c r="I699" s="34">
        <f>Ventas[[#This Row],[Total]]-Ventas[[#This Row],[Precio compra]]*Ventas[[#This Row],[Cantidad]]</f>
        <v>135</v>
      </c>
      <c r="J699" s="34"/>
      <c r="K699" s="34">
        <f>Ventas[[#This Row],[Total]]*Ventas[[#This Row],[Total 3]]</f>
        <v>0</v>
      </c>
      <c r="L699" s="34"/>
      <c r="M699" s="34"/>
    </row>
    <row r="700" spans="1:13" ht="21.75" customHeight="1">
      <c r="A700" s="16"/>
      <c r="B700" s="39" t="s">
        <v>711</v>
      </c>
      <c r="C700" s="35" t="str">
        <f>VLOOKUP(Ventas[[#This Row],[Codigo]],Stock[#Data],2,FALSE)</f>
        <v xml:space="preserve">Encendedor Clipper </v>
      </c>
      <c r="D700" s="37">
        <f>VLOOKUP(Ventas[[#This Row],[Codigo]],Stock[#Data],4,FALSE)</f>
        <v>600</v>
      </c>
      <c r="E700" s="33">
        <f>VLOOKUP(Ventas[[#This Row],[Codigo]],Stock[#Data],3,FALSE)</f>
        <v>378</v>
      </c>
      <c r="F700" s="38">
        <v>1</v>
      </c>
      <c r="G700">
        <v>58</v>
      </c>
      <c r="H700" s="36">
        <f>Ventas[[#This Row],[Precio Venta]]*Ventas[[#This Row],[Cantidad]]-Ventas[[#This Row],[Descuento]]</f>
        <v>600</v>
      </c>
      <c r="I700" s="34">
        <f>Ventas[[#This Row],[Total]]-Ventas[[#This Row],[Precio compra]]*Ventas[[#This Row],[Cantidad]]</f>
        <v>222</v>
      </c>
      <c r="J700" s="34"/>
      <c r="K700" s="34">
        <f>Ventas[[#This Row],[Total]]*Ventas[[#This Row],[Total 3]]</f>
        <v>0</v>
      </c>
      <c r="L700" s="34"/>
      <c r="M700" s="34"/>
    </row>
    <row r="701" spans="1:13" ht="21.75" customHeight="1">
      <c r="A701" s="16"/>
      <c r="B701" s="39" t="s">
        <v>711</v>
      </c>
      <c r="C701" s="35" t="str">
        <f>VLOOKUP(Ventas[[#This Row],[Codigo]],Stock[#Data],2,FALSE)</f>
        <v xml:space="preserve">Van kiff Menta </v>
      </c>
      <c r="D701" s="37">
        <f>VLOOKUP(Ventas[[#This Row],[Codigo]],Stock[#Data],4,FALSE)</f>
        <v>850</v>
      </c>
      <c r="E701" s="33">
        <f>VLOOKUP(Ventas[[#This Row],[Codigo]],Stock[#Data],3,FALSE)</f>
        <v>580</v>
      </c>
      <c r="F701" s="38">
        <v>1</v>
      </c>
      <c r="G701">
        <v>400</v>
      </c>
      <c r="H701" s="36">
        <f>Ventas[[#This Row],[Precio Venta]]*Ventas[[#This Row],[Cantidad]]-Ventas[[#This Row],[Descuento]]</f>
        <v>850</v>
      </c>
      <c r="I701" s="34">
        <f>Ventas[[#This Row],[Total]]-Ventas[[#This Row],[Precio compra]]*Ventas[[#This Row],[Cantidad]]</f>
        <v>270</v>
      </c>
      <c r="J701" s="34"/>
      <c r="K701" s="34">
        <f>Ventas[[#This Row],[Total]]*Ventas[[#This Row],[Total 3]]</f>
        <v>0</v>
      </c>
      <c r="L701" s="34"/>
      <c r="M701" s="34"/>
    </row>
    <row r="702" spans="1:13" ht="21.75" customHeight="1">
      <c r="A702" s="16"/>
      <c r="B702" s="39" t="s">
        <v>711</v>
      </c>
      <c r="C702" s="35" t="str">
        <f>VLOOKUP(Ventas[[#This Row],[Codigo]],Stock[#Data],2,FALSE)</f>
        <v>4 en 1 100ml Green Leaf Insumos</v>
      </c>
      <c r="D702" s="37">
        <f>VLOOKUP(Ventas[[#This Row],[Codigo]],Stock[#Data],4,FALSE)</f>
        <v>1000</v>
      </c>
      <c r="E702" s="33">
        <f>VLOOKUP(Ventas[[#This Row],[Codigo]],Stock[#Data],3,FALSE)</f>
        <v>498</v>
      </c>
      <c r="F702" s="38">
        <v>1</v>
      </c>
      <c r="G702">
        <v>575</v>
      </c>
      <c r="H702" s="36">
        <f>Ventas[[#This Row],[Precio Venta]]*Ventas[[#This Row],[Cantidad]]-Ventas[[#This Row],[Descuento]]</f>
        <v>1000</v>
      </c>
      <c r="I702" s="34">
        <f>Ventas[[#This Row],[Total]]-Ventas[[#This Row],[Precio compra]]*Ventas[[#This Row],[Cantidad]]</f>
        <v>502</v>
      </c>
      <c r="J702" s="34"/>
      <c r="K702" s="34">
        <f>Ventas[[#This Row],[Total]]*Ventas[[#This Row],[Total 3]]</f>
        <v>0</v>
      </c>
      <c r="L702" s="34"/>
      <c r="M702" s="34"/>
    </row>
    <row r="703" spans="1:13" ht="21.75" customHeight="1">
      <c r="A703" s="16"/>
      <c r="B703" s="39" t="s">
        <v>711</v>
      </c>
      <c r="C703" s="35" t="str">
        <f>VLOOKUP(Ventas[[#This Row],[Codigo]],Stock[#Data],2,FALSE)</f>
        <v>VAMP Supermelaza</v>
      </c>
      <c r="D703" s="37">
        <f>VLOOKUP(Ventas[[#This Row],[Codigo]],Stock[#Data],4,FALSE)</f>
        <v>1800</v>
      </c>
      <c r="E703" s="33">
        <f>VLOOKUP(Ventas[[#This Row],[Codigo]],Stock[#Data],3,FALSE)</f>
        <v>908</v>
      </c>
      <c r="F703" s="38">
        <v>1</v>
      </c>
      <c r="G703">
        <v>36</v>
      </c>
      <c r="H703" s="36">
        <f>Ventas[[#This Row],[Precio Venta]]*Ventas[[#This Row],[Cantidad]]-Ventas[[#This Row],[Descuento]]</f>
        <v>1800</v>
      </c>
      <c r="I703" s="34">
        <f>Ventas[[#This Row],[Total]]-Ventas[[#This Row],[Precio compra]]*Ventas[[#This Row],[Cantidad]]</f>
        <v>892</v>
      </c>
      <c r="J703" s="34"/>
      <c r="K703" s="34">
        <f>Ventas[[#This Row],[Total]]*Ventas[[#This Row],[Total 3]]</f>
        <v>0</v>
      </c>
      <c r="L703" s="34"/>
      <c r="M703" s="34"/>
    </row>
    <row r="704" spans="1:13" ht="21.75" customHeight="1">
      <c r="A704" s="16"/>
      <c r="B704" s="39" t="s">
        <v>711</v>
      </c>
      <c r="C704" s="35" t="str">
        <f>VLOOKUP(Ventas[[#This Row],[Codigo]],Stock[#Data],2,FALSE)</f>
        <v>Namaste Shanti 100ml</v>
      </c>
      <c r="D704" s="37">
        <f>VLOOKUP(Ventas[[#This Row],[Codigo]],Stock[#Data],4,FALSE)</f>
        <v>2000</v>
      </c>
      <c r="E704" s="33">
        <f>VLOOKUP(Ventas[[#This Row],[Codigo]],Stock[#Data],3,FALSE)</f>
        <v>932</v>
      </c>
      <c r="F704" s="38">
        <v>1</v>
      </c>
      <c r="G704">
        <v>569</v>
      </c>
      <c r="H704" s="36">
        <f>Ventas[[#This Row],[Precio Venta]]*Ventas[[#This Row],[Cantidad]]-Ventas[[#This Row],[Descuento]]</f>
        <v>2000</v>
      </c>
      <c r="I704" s="34">
        <f>Ventas[[#This Row],[Total]]-Ventas[[#This Row],[Precio compra]]*Ventas[[#This Row],[Cantidad]]</f>
        <v>1068</v>
      </c>
      <c r="J704" s="34"/>
      <c r="K704" s="34">
        <f>Ventas[[#This Row],[Total]]*Ventas[[#This Row],[Total 3]]</f>
        <v>0</v>
      </c>
      <c r="L704" s="34"/>
      <c r="M704" s="34"/>
    </row>
    <row r="705" spans="1:13" ht="21.75" customHeight="1">
      <c r="A705" s="16"/>
      <c r="B705" s="39" t="s">
        <v>711</v>
      </c>
      <c r="C705" s="35" t="str">
        <f>VLOOKUP(Ventas[[#This Row],[Codigo]],Stock[#Data],2,FALSE)</f>
        <v>CropSecret 250ml Floral Session</v>
      </c>
      <c r="D705" s="37">
        <f>VLOOKUP(Ventas[[#This Row],[Codigo]],Stock[#Data],4,FALSE)</f>
        <v>2000</v>
      </c>
      <c r="E705" s="33">
        <f>VLOOKUP(Ventas[[#This Row],[Codigo]],Stock[#Data],3,FALSE)</f>
        <v>836</v>
      </c>
      <c r="F705" s="38">
        <v>1</v>
      </c>
      <c r="G705">
        <v>6</v>
      </c>
      <c r="H705" s="36">
        <f>Ventas[[#This Row],[Precio Venta]]*Ventas[[#This Row],[Cantidad]]-Ventas[[#This Row],[Descuento]]</f>
        <v>2000</v>
      </c>
      <c r="I705" s="34">
        <f>Ventas[[#This Row],[Total]]-Ventas[[#This Row],[Precio compra]]*Ventas[[#This Row],[Cantidad]]</f>
        <v>1164</v>
      </c>
      <c r="J705" s="34"/>
      <c r="K705" s="34">
        <f>Ventas[[#This Row],[Total]]*Ventas[[#This Row],[Total 3]]</f>
        <v>0</v>
      </c>
      <c r="L705" s="34"/>
      <c r="M705" s="34"/>
    </row>
    <row r="706" spans="1:13" ht="21.75" customHeight="1">
      <c r="A706" s="16"/>
      <c r="B706" s="39" t="s">
        <v>711</v>
      </c>
      <c r="C706" s="35" t="str">
        <f>VLOOKUP(Ventas[[#This Row],[Codigo]],Stock[#Data],2,FALSE)</f>
        <v>Sustrato Perlita</v>
      </c>
      <c r="D706" s="37">
        <f>VLOOKUP(Ventas[[#This Row],[Codigo]],Stock[#Data],4,FALSE)</f>
        <v>800</v>
      </c>
      <c r="E706" s="33">
        <f>VLOOKUP(Ventas[[#This Row],[Codigo]],Stock[#Data],3,FALSE)</f>
        <v>400</v>
      </c>
      <c r="F706" s="38">
        <v>7</v>
      </c>
      <c r="G706">
        <v>52</v>
      </c>
      <c r="H706" s="36">
        <f>Ventas[[#This Row],[Precio Venta]]*Ventas[[#This Row],[Cantidad]]-Ventas[[#This Row],[Descuento]]</f>
        <v>5600</v>
      </c>
      <c r="I706" s="34">
        <f>Ventas[[#This Row],[Total]]-Ventas[[#This Row],[Precio compra]]*Ventas[[#This Row],[Cantidad]]</f>
        <v>2800</v>
      </c>
      <c r="J706" s="34"/>
      <c r="K706" s="34">
        <f>Ventas[[#This Row],[Total]]*Ventas[[#This Row],[Total 3]]</f>
        <v>0</v>
      </c>
      <c r="L706" s="34"/>
      <c r="M706" s="34"/>
    </row>
    <row r="707" spans="1:13" ht="21.75" customHeight="1">
      <c r="A707" s="16"/>
      <c r="B707" s="39" t="s">
        <v>711</v>
      </c>
      <c r="C707" s="35" t="str">
        <f>VLOOKUP(Ventas[[#This Row],[Codigo]],Stock[#Data],2,FALSE)</f>
        <v>Medidor de PH</v>
      </c>
      <c r="D707" s="37">
        <f>VLOOKUP(Ventas[[#This Row],[Codigo]],Stock[#Data],4,FALSE)</f>
        <v>4000</v>
      </c>
      <c r="E707" s="33">
        <f>VLOOKUP(Ventas[[#This Row],[Codigo]],Stock[#Data],3,FALSE)</f>
        <v>2000</v>
      </c>
      <c r="F707" s="38">
        <v>1</v>
      </c>
      <c r="G707">
        <v>185</v>
      </c>
      <c r="H707" s="36">
        <f>Ventas[[#This Row],[Precio Venta]]*Ventas[[#This Row],[Cantidad]]-Ventas[[#This Row],[Descuento]]</f>
        <v>4000</v>
      </c>
      <c r="I707" s="34">
        <f>Ventas[[#This Row],[Total]]-Ventas[[#This Row],[Precio compra]]*Ventas[[#This Row],[Cantidad]]</f>
        <v>2000</v>
      </c>
      <c r="J707" s="34"/>
      <c r="K707" s="34">
        <f>Ventas[[#This Row],[Total]]*Ventas[[#This Row],[Total 3]]</f>
        <v>0</v>
      </c>
      <c r="L707" s="34"/>
      <c r="M707" s="34"/>
    </row>
    <row r="708" spans="1:13" ht="21.75" customHeight="1">
      <c r="A708" s="16"/>
      <c r="B708" s="39" t="s">
        <v>711</v>
      </c>
      <c r="C708" s="35" t="str">
        <f>VLOOKUP(Ventas[[#This Row],[Codigo]],Stock[#Data],2,FALSE)</f>
        <v>Namaste Nutripack</v>
      </c>
      <c r="D708" s="37">
        <f>VLOOKUP(Ventas[[#This Row],[Codigo]],Stock[#Data],4,FALSE)</f>
        <v>6000</v>
      </c>
      <c r="E708" s="33">
        <f>VLOOKUP(Ventas[[#This Row],[Codigo]],Stock[#Data],3,FALSE)</f>
        <v>3376</v>
      </c>
      <c r="F708" s="38">
        <v>1</v>
      </c>
      <c r="G708">
        <v>346</v>
      </c>
      <c r="H708" s="36">
        <f>Ventas[[#This Row],[Precio Venta]]*Ventas[[#This Row],[Cantidad]]-Ventas[[#This Row],[Descuento]]</f>
        <v>6000</v>
      </c>
      <c r="I708" s="34">
        <f>Ventas[[#This Row],[Total]]-Ventas[[#This Row],[Precio compra]]*Ventas[[#This Row],[Cantidad]]</f>
        <v>2624</v>
      </c>
      <c r="J708" s="34"/>
      <c r="K708" s="34">
        <f>Ventas[[#This Row],[Total]]*Ventas[[#This Row],[Total 3]]</f>
        <v>0</v>
      </c>
      <c r="L708" s="34"/>
      <c r="M708" s="34"/>
    </row>
    <row r="709" spans="1:13" ht="21.75" customHeight="1">
      <c r="A709" s="16"/>
      <c r="B709" s="39">
        <v>44992</v>
      </c>
      <c r="C709" s="35" t="str">
        <f>VLOOKUP(Ventas[[#This Row],[Codigo]],Stock[#Data],2,FALSE)</f>
        <v>Namaste Shanti 100ml</v>
      </c>
      <c r="D709" s="37">
        <f>VLOOKUP(Ventas[[#This Row],[Codigo]],Stock[#Data],4,FALSE)</f>
        <v>2000</v>
      </c>
      <c r="E709" s="33">
        <f>VLOOKUP(Ventas[[#This Row],[Codigo]],Stock[#Data],3,FALSE)</f>
        <v>932</v>
      </c>
      <c r="F709" s="38">
        <v>1</v>
      </c>
      <c r="G709">
        <v>569</v>
      </c>
      <c r="H709" s="36">
        <f>Ventas[[#This Row],[Precio Venta]]*Ventas[[#This Row],[Cantidad]]-Ventas[[#This Row],[Descuento]]</f>
        <v>2000</v>
      </c>
      <c r="I709" s="34">
        <f>Ventas[[#This Row],[Total]]-Ventas[[#This Row],[Precio compra]]*Ventas[[#This Row],[Cantidad]]</f>
        <v>1068</v>
      </c>
      <c r="J709" s="34"/>
      <c r="K709" s="34">
        <f>Ventas[[#This Row],[Total]]*Ventas[[#This Row],[Total 3]]</f>
        <v>0</v>
      </c>
      <c r="L709" s="34"/>
      <c r="M709" s="34"/>
    </row>
    <row r="710" spans="1:13" ht="21.75" customHeight="1">
      <c r="A710" s="16"/>
      <c r="B710" s="39">
        <v>44992</v>
      </c>
      <c r="C710" s="35" t="str">
        <f>VLOOKUP(Ventas[[#This Row],[Codigo]],Stock[#Data],2,FALSE)</f>
        <v>Namaste Trico+ 100gr</v>
      </c>
      <c r="D710" s="37">
        <f>VLOOKUP(Ventas[[#This Row],[Codigo]],Stock[#Data],4,FALSE)</f>
        <v>1000</v>
      </c>
      <c r="E710" s="33">
        <f>VLOOKUP(Ventas[[#This Row],[Codigo]],Stock[#Data],3,FALSE)</f>
        <v>541</v>
      </c>
      <c r="F710" s="38">
        <v>1</v>
      </c>
      <c r="G710">
        <v>479</v>
      </c>
      <c r="H710" s="36">
        <f>Ventas[[#This Row],[Precio Venta]]*Ventas[[#This Row],[Cantidad]]-Ventas[[#This Row],[Descuento]]</f>
        <v>1000</v>
      </c>
      <c r="I710" s="34">
        <f>Ventas[[#This Row],[Total]]-Ventas[[#This Row],[Precio compra]]*Ventas[[#This Row],[Cantidad]]</f>
        <v>459</v>
      </c>
      <c r="J710" s="34"/>
      <c r="K710" s="34">
        <f>Ventas[[#This Row],[Total]]*Ventas[[#This Row],[Total 3]]</f>
        <v>0</v>
      </c>
      <c r="L710" s="34"/>
      <c r="M710" s="34"/>
    </row>
    <row r="711" spans="1:13" ht="21.75" customHeight="1">
      <c r="A711" s="16"/>
      <c r="B711" s="39">
        <v>44992</v>
      </c>
      <c r="C711" s="35" t="str">
        <f>VLOOKUP(Ventas[[#This Row],[Codigo]],Stock[#Data],2,FALSE)</f>
        <v>Celulosa Lion Rolling Circus Kz</v>
      </c>
      <c r="D711" s="37">
        <f>VLOOKUP(Ventas[[#This Row],[Codigo]],Stock[#Data],4,FALSE)</f>
        <v>850</v>
      </c>
      <c r="E711" s="33">
        <f>VLOOKUP(Ventas[[#This Row],[Codigo]],Stock[#Data],3,FALSE)</f>
        <v>422</v>
      </c>
      <c r="F711" s="38">
        <v>1</v>
      </c>
      <c r="G711">
        <v>359</v>
      </c>
      <c r="H711" s="36">
        <f>Ventas[[#This Row],[Precio Venta]]*Ventas[[#This Row],[Cantidad]]-Ventas[[#This Row],[Descuento]]</f>
        <v>850</v>
      </c>
      <c r="I711" s="34">
        <f>Ventas[[#This Row],[Total]]-Ventas[[#This Row],[Precio compra]]*Ventas[[#This Row],[Cantidad]]</f>
        <v>428</v>
      </c>
      <c r="J711" s="34"/>
      <c r="K711" s="34">
        <f>Ventas[[#This Row],[Total]]*Ventas[[#This Row],[Total 3]]</f>
        <v>0</v>
      </c>
      <c r="L711" s="34"/>
      <c r="M711" s="34"/>
    </row>
    <row r="712" spans="1:13" ht="21.75" customHeight="1">
      <c r="A712" s="16"/>
      <c r="B712" s="39">
        <v>44992</v>
      </c>
      <c r="C712" s="35" t="str">
        <f>VLOOKUP(Ventas[[#This Row],[Codigo]],Stock[#Data],2,FALSE)</f>
        <v>TreeMIX PRO 200ml</v>
      </c>
      <c r="D712" s="37">
        <f>VLOOKUP(Ventas[[#This Row],[Codigo]],Stock[#Data],4,FALSE)</f>
        <v>1500</v>
      </c>
      <c r="E712" s="33">
        <f>VLOOKUP(Ventas[[#This Row],[Codigo]],Stock[#Data],3,FALSE)</f>
        <v>700</v>
      </c>
      <c r="F712" s="38">
        <v>1</v>
      </c>
      <c r="G712">
        <v>30</v>
      </c>
      <c r="H712" s="36">
        <f>Ventas[[#This Row],[Precio Venta]]*Ventas[[#This Row],[Cantidad]]-Ventas[[#This Row],[Descuento]]</f>
        <v>1500</v>
      </c>
      <c r="I712" s="34">
        <f>Ventas[[#This Row],[Total]]-Ventas[[#This Row],[Precio compra]]*Ventas[[#This Row],[Cantidad]]</f>
        <v>800</v>
      </c>
      <c r="J712" s="34"/>
      <c r="K712" s="34">
        <f>Ventas[[#This Row],[Total]]*Ventas[[#This Row],[Total 3]]</f>
        <v>0</v>
      </c>
      <c r="L712" s="34"/>
      <c r="M712" s="34"/>
    </row>
    <row r="713" spans="1:13" ht="21.75" customHeight="1">
      <c r="A713" s="16"/>
      <c r="B713" s="39">
        <v>44992</v>
      </c>
      <c r="C713" s="35" t="str">
        <f>VLOOKUP(Ventas[[#This Row],[Codigo]],Stock[#Data],2,FALSE)</f>
        <v>Encendedor Candela soplete</v>
      </c>
      <c r="D713" s="37">
        <f>VLOOKUP(Ventas[[#This Row],[Codigo]],Stock[#Data],4,FALSE)</f>
        <v>2000</v>
      </c>
      <c r="E713" s="33">
        <f>VLOOKUP(Ventas[[#This Row],[Codigo]],Stock[#Data],3,FALSE)</f>
        <v>1060</v>
      </c>
      <c r="F713" s="38">
        <v>2</v>
      </c>
      <c r="G713">
        <v>62</v>
      </c>
      <c r="H713" s="36">
        <f>Ventas[[#This Row],[Precio Venta]]*Ventas[[#This Row],[Cantidad]]-Ventas[[#This Row],[Descuento]]</f>
        <v>4000</v>
      </c>
      <c r="I713" s="34">
        <f>Ventas[[#This Row],[Total]]-Ventas[[#This Row],[Precio compra]]*Ventas[[#This Row],[Cantidad]]</f>
        <v>1880</v>
      </c>
      <c r="J713" s="34"/>
      <c r="K713" s="34">
        <f>Ventas[[#This Row],[Total]]*Ventas[[#This Row],[Total 3]]</f>
        <v>0</v>
      </c>
      <c r="L713" s="34"/>
      <c r="M713" s="34"/>
    </row>
    <row r="714" spans="1:13" ht="21.75" customHeight="1">
      <c r="A714" s="16"/>
      <c r="B714" s="39">
        <v>44992</v>
      </c>
      <c r="C714" s="35" t="str">
        <f>VLOOKUP(Ventas[[#This Row],[Codigo]],Stock[#Data],2,FALSE)</f>
        <v xml:space="preserve">Aceite de Cannabis 30 ml </v>
      </c>
      <c r="D714" s="37">
        <f>VLOOKUP(Ventas[[#This Row],[Codigo]],Stock[#Data],4,FALSE)</f>
        <v>7500</v>
      </c>
      <c r="E714" s="33">
        <f>VLOOKUP(Ventas[[#This Row],[Codigo]],Stock[#Data],3,FALSE)</f>
        <v>5500</v>
      </c>
      <c r="F714" s="38">
        <v>1</v>
      </c>
      <c r="G714">
        <v>525</v>
      </c>
      <c r="H714" s="36">
        <f>Ventas[[#This Row],[Precio Venta]]*Ventas[[#This Row],[Cantidad]]-Ventas[[#This Row],[Descuento]]</f>
        <v>7500</v>
      </c>
      <c r="I714" s="34">
        <f>Ventas[[#This Row],[Total]]-Ventas[[#This Row],[Precio compra]]*Ventas[[#This Row],[Cantidad]]</f>
        <v>2000</v>
      </c>
      <c r="J714" s="34"/>
      <c r="K714" s="34">
        <f>Ventas[[#This Row],[Total]]*Ventas[[#This Row],[Total 3]]</f>
        <v>0</v>
      </c>
      <c r="L714" s="34"/>
      <c r="M714" s="34"/>
    </row>
    <row r="715" spans="1:13" ht="21.75" customHeight="1">
      <c r="A715" s="16"/>
      <c r="B715" s="39">
        <v>44992</v>
      </c>
      <c r="C715" s="35" t="str">
        <f>VLOOKUP(Ventas[[#This Row],[Codigo]],Stock[#Data],2,FALSE)</f>
        <v>Tips STAMPS ECO</v>
      </c>
      <c r="D715" s="37">
        <f>VLOOKUP(Ventas[[#This Row],[Codigo]],Stock[#Data],4,FALSE)</f>
        <v>150</v>
      </c>
      <c r="E715" s="33">
        <f>VLOOKUP(Ventas[[#This Row],[Codigo]],Stock[#Data],3,FALSE)</f>
        <v>73</v>
      </c>
      <c r="F715" s="38">
        <v>1</v>
      </c>
      <c r="G715">
        <v>308</v>
      </c>
      <c r="H715" s="36">
        <f>Ventas[[#This Row],[Precio Venta]]*Ventas[[#This Row],[Cantidad]]-Ventas[[#This Row],[Descuento]]</f>
        <v>150</v>
      </c>
      <c r="I715" s="34">
        <f>Ventas[[#This Row],[Total]]-Ventas[[#This Row],[Precio compra]]*Ventas[[#This Row],[Cantidad]]</f>
        <v>77</v>
      </c>
      <c r="J715" s="34"/>
      <c r="K715" s="34">
        <f>Ventas[[#This Row],[Total]]*Ventas[[#This Row],[Total 3]]</f>
        <v>0</v>
      </c>
      <c r="L715" s="34"/>
      <c r="M715" s="34"/>
    </row>
    <row r="716" spans="1:13" ht="21.75" customHeight="1">
      <c r="A716" s="16"/>
      <c r="B716" s="39">
        <v>44992</v>
      </c>
      <c r="C716" s="35" t="str">
        <f>VLOOKUP(Ventas[[#This Row],[Codigo]],Stock[#Data],2,FALSE)</f>
        <v>Namaste Flora Booster 100ml</v>
      </c>
      <c r="D716" s="37">
        <f>VLOOKUP(Ventas[[#This Row],[Codigo]],Stock[#Data],4,FALSE)</f>
        <v>1000</v>
      </c>
      <c r="E716" s="33">
        <f>VLOOKUP(Ventas[[#This Row],[Codigo]],Stock[#Data],3,FALSE)</f>
        <v>517</v>
      </c>
      <c r="F716" s="38">
        <v>3</v>
      </c>
      <c r="G716">
        <v>480</v>
      </c>
      <c r="H716" s="36">
        <f>Ventas[[#This Row],[Precio Venta]]*Ventas[[#This Row],[Cantidad]]-Ventas[[#This Row],[Descuento]]</f>
        <v>3000</v>
      </c>
      <c r="I716" s="34">
        <f>Ventas[[#This Row],[Total]]-Ventas[[#This Row],[Precio compra]]*Ventas[[#This Row],[Cantidad]]</f>
        <v>1449</v>
      </c>
      <c r="J716" s="34"/>
      <c r="K716" s="34">
        <f>Ventas[[#This Row],[Total]]*Ventas[[#This Row],[Total 3]]</f>
        <v>0</v>
      </c>
      <c r="L716" s="34"/>
      <c r="M716" s="34"/>
    </row>
    <row r="717" spans="1:13" ht="21.75" customHeight="1">
      <c r="A717" s="16"/>
      <c r="B717" s="39">
        <v>44992</v>
      </c>
      <c r="C717" s="35" t="str">
        <f>VLOOKUP(Ventas[[#This Row],[Codigo]],Stock[#Data],2,FALSE)</f>
        <v>Sedas OCB 1/4 Organic  Bamboo</v>
      </c>
      <c r="D717" s="37">
        <f>VLOOKUP(Ventas[[#This Row],[Codigo]],Stock[#Data],4,FALSE)</f>
        <v>300</v>
      </c>
      <c r="E717" s="33">
        <f>VLOOKUP(Ventas[[#This Row],[Codigo]],Stock[#Data],3,FALSE)</f>
        <v>165</v>
      </c>
      <c r="F717" s="38">
        <v>1</v>
      </c>
      <c r="G717">
        <v>77</v>
      </c>
      <c r="H717" s="36">
        <f>Ventas[[#This Row],[Precio Venta]]*Ventas[[#This Row],[Cantidad]]-Ventas[[#This Row],[Descuento]]</f>
        <v>300</v>
      </c>
      <c r="I717" s="34">
        <f>Ventas[[#This Row],[Total]]-Ventas[[#This Row],[Precio compra]]*Ventas[[#This Row],[Cantidad]]</f>
        <v>135</v>
      </c>
      <c r="J717" s="34"/>
      <c r="K717" s="34">
        <f>Ventas[[#This Row],[Total]]*Ventas[[#This Row],[Total 3]]</f>
        <v>0</v>
      </c>
      <c r="L717" s="34"/>
      <c r="M717" s="34"/>
    </row>
    <row r="718" spans="1:13" ht="21.75" customHeight="1">
      <c r="A718" s="16"/>
      <c r="B718" s="39">
        <v>44992</v>
      </c>
      <c r="C718" s="35" t="str">
        <f>VLOOKUP(Ventas[[#This Row],[Codigo]],Stock[#Data],2,FALSE)</f>
        <v>Cortahilo</v>
      </c>
      <c r="D718" s="37">
        <f>VLOOKUP(Ventas[[#This Row],[Codigo]],Stock[#Data],4,FALSE)</f>
        <v>500</v>
      </c>
      <c r="E718" s="33">
        <f>VLOOKUP(Ventas[[#This Row],[Codigo]],Stock[#Data],3,FALSE)</f>
        <v>214</v>
      </c>
      <c r="F718" s="38">
        <v>1</v>
      </c>
      <c r="G718">
        <v>311</v>
      </c>
      <c r="H718" s="36">
        <f>Ventas[[#This Row],[Precio Venta]]*Ventas[[#This Row],[Cantidad]]-Ventas[[#This Row],[Descuento]]</f>
        <v>500</v>
      </c>
      <c r="I718" s="34">
        <f>Ventas[[#This Row],[Total]]-Ventas[[#This Row],[Precio compra]]*Ventas[[#This Row],[Cantidad]]</f>
        <v>286</v>
      </c>
      <c r="J718" s="34"/>
      <c r="K718" s="34">
        <f>Ventas[[#This Row],[Total]]*Ventas[[#This Row],[Total 3]]</f>
        <v>0</v>
      </c>
      <c r="L718" s="34"/>
      <c r="M718" s="34"/>
    </row>
    <row r="719" spans="1:13" ht="21.75" customHeight="1">
      <c r="A719" s="16"/>
      <c r="B719" s="39">
        <v>44992</v>
      </c>
      <c r="C719" s="35" t="str">
        <f>VLOOKUP(Ventas[[#This Row],[Codigo]],Stock[#Data],2,FALSE)</f>
        <v>Namaste Nutripack</v>
      </c>
      <c r="D719" s="37">
        <f>VLOOKUP(Ventas[[#This Row],[Codigo]],Stock[#Data],4,FALSE)</f>
        <v>6000</v>
      </c>
      <c r="E719" s="33">
        <f>VLOOKUP(Ventas[[#This Row],[Codigo]],Stock[#Data],3,FALSE)</f>
        <v>3376</v>
      </c>
      <c r="F719" s="38">
        <v>1</v>
      </c>
      <c r="G719">
        <v>346</v>
      </c>
      <c r="H719" s="36">
        <f>Ventas[[#This Row],[Precio Venta]]*Ventas[[#This Row],[Cantidad]]-Ventas[[#This Row],[Descuento]]</f>
        <v>6000</v>
      </c>
      <c r="I719" s="34">
        <f>Ventas[[#This Row],[Total]]-Ventas[[#This Row],[Precio compra]]*Ventas[[#This Row],[Cantidad]]</f>
        <v>2624</v>
      </c>
      <c r="J719" s="34"/>
      <c r="K719" s="34">
        <f>Ventas[[#This Row],[Total]]*Ventas[[#This Row],[Total 3]]</f>
        <v>0</v>
      </c>
      <c r="L719" s="34"/>
      <c r="M719" s="34"/>
    </row>
    <row r="720" spans="1:13" ht="21.75" customHeight="1">
      <c r="A720" s="16"/>
      <c r="B720" s="39" t="s">
        <v>693</v>
      </c>
      <c r="C720" s="35" t="str">
        <f>VLOOKUP(Ventas[[#This Row],[Codigo]],Stock[#Data],2,FALSE)</f>
        <v>Crema SANARCANN</v>
      </c>
      <c r="D720" s="37">
        <f>VLOOKUP(Ventas[[#This Row],[Codigo]],Stock[#Data],4,FALSE)</f>
        <v>2500</v>
      </c>
      <c r="E720" s="33">
        <f>VLOOKUP(Ventas[[#This Row],[Codigo]],Stock[#Data],3,FALSE)</f>
        <v>1500</v>
      </c>
      <c r="F720" s="38">
        <v>1</v>
      </c>
      <c r="G720">
        <v>573</v>
      </c>
      <c r="H720" s="36">
        <f>Ventas[[#This Row],[Precio Venta]]*Ventas[[#This Row],[Cantidad]]-Ventas[[#This Row],[Descuento]]</f>
        <v>2500</v>
      </c>
      <c r="I720" s="34">
        <f>Ventas[[#This Row],[Total]]-Ventas[[#This Row],[Precio compra]]*Ventas[[#This Row],[Cantidad]]</f>
        <v>1000</v>
      </c>
      <c r="J720" s="34"/>
      <c r="K720" s="34">
        <f>Ventas[[#This Row],[Total]]*Ventas[[#This Row],[Total 3]]</f>
        <v>0</v>
      </c>
      <c r="L720" s="34"/>
      <c r="M720" s="34"/>
    </row>
    <row r="721" spans="1:13" ht="21.75" customHeight="1">
      <c r="A721" s="16"/>
      <c r="B721" s="39" t="s">
        <v>693</v>
      </c>
      <c r="C721" s="35" t="str">
        <f>VLOOKUP(Ventas[[#This Row],[Codigo]],Stock[#Data],2,FALSE)</f>
        <v>Crema Cannabis Ned Lud</v>
      </c>
      <c r="D721" s="37">
        <f>VLOOKUP(Ventas[[#This Row],[Codigo]],Stock[#Data],4,FALSE)</f>
        <v>2000</v>
      </c>
      <c r="E721" s="33">
        <f>VLOOKUP(Ventas[[#This Row],[Codigo]],Stock[#Data],3,FALSE)</f>
        <v>1000</v>
      </c>
      <c r="F721" s="38">
        <v>1</v>
      </c>
      <c r="G721">
        <v>465</v>
      </c>
      <c r="H721" s="36">
        <f>Ventas[[#This Row],[Precio Venta]]*Ventas[[#This Row],[Cantidad]]-Ventas[[#This Row],[Descuento]]</f>
        <v>2000</v>
      </c>
      <c r="I721" s="34">
        <f>Ventas[[#This Row],[Total]]-Ventas[[#This Row],[Precio compra]]*Ventas[[#This Row],[Cantidad]]</f>
        <v>1000</v>
      </c>
      <c r="J721" s="34"/>
      <c r="K721" s="34">
        <f>Ventas[[#This Row],[Total]]*Ventas[[#This Row],[Total 3]]</f>
        <v>0</v>
      </c>
      <c r="L721" s="34"/>
      <c r="M721" s="34"/>
    </row>
    <row r="722" spans="1:13" ht="21.75" customHeight="1">
      <c r="A722" s="16"/>
      <c r="B722" s="39" t="s">
        <v>693</v>
      </c>
      <c r="C722" s="35" t="str">
        <f>VLOOKUP(Ventas[[#This Row],[Codigo]],Stock[#Data],2,FALSE)</f>
        <v>Namaste Oro Negro 100ml</v>
      </c>
      <c r="D722" s="37">
        <f>VLOOKUP(Ventas[[#This Row],[Codigo]],Stock[#Data],4,FALSE)</f>
        <v>1000</v>
      </c>
      <c r="E722" s="33">
        <f>VLOOKUP(Ventas[[#This Row],[Codigo]],Stock[#Data],3,FALSE)</f>
        <v>515</v>
      </c>
      <c r="F722" s="38">
        <v>1</v>
      </c>
      <c r="G722">
        <v>478</v>
      </c>
      <c r="H722" s="36">
        <f>Ventas[[#This Row],[Precio Venta]]*Ventas[[#This Row],[Cantidad]]-Ventas[[#This Row],[Descuento]]</f>
        <v>1000</v>
      </c>
      <c r="I722" s="34">
        <f>Ventas[[#This Row],[Total]]-Ventas[[#This Row],[Precio compra]]*Ventas[[#This Row],[Cantidad]]</f>
        <v>485</v>
      </c>
      <c r="J722" s="34"/>
      <c r="K722" s="34">
        <f>Ventas[[#This Row],[Total]]*Ventas[[#This Row],[Total 3]]</f>
        <v>0</v>
      </c>
      <c r="L722" s="34"/>
      <c r="M722" s="34"/>
    </row>
    <row r="723" spans="1:13" ht="21.75" customHeight="1">
      <c r="A723" s="16"/>
      <c r="B723" s="39" t="s">
        <v>693</v>
      </c>
      <c r="C723" s="35" t="str">
        <f>VLOOKUP(Ventas[[#This Row],[Codigo]],Stock[#Data],2,FALSE)</f>
        <v>Rejillas x5</v>
      </c>
      <c r="D723" s="37">
        <f>VLOOKUP(Ventas[[#This Row],[Codigo]],Stock[#Data],4,FALSE)</f>
        <v>100</v>
      </c>
      <c r="E723" s="33">
        <f>VLOOKUP(Ventas[[#This Row],[Codigo]],Stock[#Data],3,FALSE)</f>
        <v>20</v>
      </c>
      <c r="F723" s="38">
        <v>6</v>
      </c>
      <c r="G723">
        <v>239</v>
      </c>
      <c r="H723" s="36">
        <f>Ventas[[#This Row],[Precio Venta]]*Ventas[[#This Row],[Cantidad]]-Ventas[[#This Row],[Descuento]]</f>
        <v>600</v>
      </c>
      <c r="I723" s="34">
        <f>Ventas[[#This Row],[Total]]-Ventas[[#This Row],[Precio compra]]*Ventas[[#This Row],[Cantidad]]</f>
        <v>480</v>
      </c>
      <c r="J723" s="34"/>
      <c r="K723" s="34">
        <f>Ventas[[#This Row],[Total]]*Ventas[[#This Row],[Total 3]]</f>
        <v>0</v>
      </c>
      <c r="L723" s="34"/>
      <c r="M723" s="34"/>
    </row>
    <row r="724" spans="1:13" ht="21.75" customHeight="1">
      <c r="A724" s="16"/>
      <c r="B724" s="39" t="s">
        <v>694</v>
      </c>
      <c r="C724" s="35" t="str">
        <f>VLOOKUP(Ventas[[#This Row],[Codigo]],Stock[#Data],2,FALSE)</f>
        <v>Sedas STAMPS Celulosa x300</v>
      </c>
      <c r="D724" s="37">
        <f>VLOOKUP(Ventas[[#This Row],[Codigo]],Stock[#Data],4,FALSE)</f>
        <v>900</v>
      </c>
      <c r="E724" s="33">
        <f>VLOOKUP(Ventas[[#This Row],[Codigo]],Stock[#Data],3,FALSE)</f>
        <v>444</v>
      </c>
      <c r="F724" s="38">
        <v>1</v>
      </c>
      <c r="G724">
        <v>595</v>
      </c>
      <c r="H724" s="36">
        <f>Ventas[[#This Row],[Precio Venta]]*Ventas[[#This Row],[Cantidad]]-Ventas[[#This Row],[Descuento]]</f>
        <v>900</v>
      </c>
      <c r="I724" s="34">
        <f>Ventas[[#This Row],[Total]]-Ventas[[#This Row],[Precio compra]]*Ventas[[#This Row],[Cantidad]]</f>
        <v>456</v>
      </c>
      <c r="J724" s="34"/>
      <c r="K724" s="34">
        <f>Ventas[[#This Row],[Total]]*Ventas[[#This Row],[Total 3]]</f>
        <v>0</v>
      </c>
      <c r="L724" s="34"/>
      <c r="M724" s="34"/>
    </row>
    <row r="725" spans="1:13" ht="21.75" customHeight="1">
      <c r="A725" s="16"/>
      <c r="B725" s="39" t="s">
        <v>694</v>
      </c>
      <c r="C725" s="35" t="str">
        <f>VLOOKUP(Ventas[[#This Row],[Codigo]],Stock[#Data],2,FALSE)</f>
        <v>SKOG King Clon</v>
      </c>
      <c r="D725" s="37">
        <f>VLOOKUP(Ventas[[#This Row],[Codigo]],Stock[#Data],4,FALSE)</f>
        <v>1000</v>
      </c>
      <c r="E725" s="33">
        <f>VLOOKUP(Ventas[[#This Row],[Codigo]],Stock[#Data],3,FALSE)</f>
        <v>485</v>
      </c>
      <c r="F725" s="38">
        <v>1</v>
      </c>
      <c r="G725">
        <v>15</v>
      </c>
      <c r="H725" s="36">
        <f>Ventas[[#This Row],[Precio Venta]]*Ventas[[#This Row],[Cantidad]]-Ventas[[#This Row],[Descuento]]</f>
        <v>1000</v>
      </c>
      <c r="I725" s="34">
        <f>Ventas[[#This Row],[Total]]-Ventas[[#This Row],[Precio compra]]*Ventas[[#This Row],[Cantidad]]</f>
        <v>515</v>
      </c>
      <c r="J725" s="34"/>
      <c r="K725" s="34">
        <f>Ventas[[#This Row],[Total]]*Ventas[[#This Row],[Total 3]]</f>
        <v>0</v>
      </c>
      <c r="L725" s="34"/>
      <c r="M725" s="34"/>
    </row>
    <row r="726" spans="1:13" ht="21.75" customHeight="1">
      <c r="A726" s="16"/>
      <c r="B726" s="39" t="s">
        <v>694</v>
      </c>
      <c r="C726" s="35" t="str">
        <f>VLOOKUP(Ventas[[#This Row],[Codigo]],Stock[#Data],2,FALSE)</f>
        <v>JIFFY moneda turba</v>
      </c>
      <c r="D726" s="37">
        <f>VLOOKUP(Ventas[[#This Row],[Codigo]],Stock[#Data],4,FALSE)</f>
        <v>150</v>
      </c>
      <c r="E726" s="33">
        <f>VLOOKUP(Ventas[[#This Row],[Codigo]],Stock[#Data],3,FALSE)</f>
        <v>70</v>
      </c>
      <c r="F726" s="38">
        <v>10</v>
      </c>
      <c r="G726">
        <v>50</v>
      </c>
      <c r="H726" s="36">
        <f>Ventas[[#This Row],[Precio Venta]]*Ventas[[#This Row],[Cantidad]]-Ventas[[#This Row],[Descuento]]</f>
        <v>1500</v>
      </c>
      <c r="I726" s="34">
        <f>Ventas[[#This Row],[Total]]-Ventas[[#This Row],[Precio compra]]*Ventas[[#This Row],[Cantidad]]</f>
        <v>800</v>
      </c>
      <c r="J726" s="34"/>
      <c r="K726" s="34">
        <f>Ventas[[#This Row],[Total]]*Ventas[[#This Row],[Total 3]]</f>
        <v>0</v>
      </c>
      <c r="L726" s="34"/>
      <c r="M726" s="34"/>
    </row>
    <row r="727" spans="1:13" ht="21.75" customHeight="1">
      <c r="A727" s="16"/>
      <c r="B727" s="39" t="s">
        <v>694</v>
      </c>
      <c r="C727" s="35" t="str">
        <f>VLOOKUP(Ventas[[#This Row],[Codigo]],Stock[#Data],2,FALSE)</f>
        <v>Namaste Flora Booster 100ml</v>
      </c>
      <c r="D727" s="37">
        <f>VLOOKUP(Ventas[[#This Row],[Codigo]],Stock[#Data],4,FALSE)</f>
        <v>1000</v>
      </c>
      <c r="E727" s="33">
        <f>VLOOKUP(Ventas[[#This Row],[Codigo]],Stock[#Data],3,FALSE)</f>
        <v>517</v>
      </c>
      <c r="F727" s="38">
        <v>1</v>
      </c>
      <c r="G727">
        <v>480</v>
      </c>
      <c r="H727" s="36">
        <f>Ventas[[#This Row],[Precio Venta]]*Ventas[[#This Row],[Cantidad]]-Ventas[[#This Row],[Descuento]]</f>
        <v>1000</v>
      </c>
      <c r="I727" s="34">
        <f>Ventas[[#This Row],[Total]]-Ventas[[#This Row],[Precio compra]]*Ventas[[#This Row],[Cantidad]]</f>
        <v>483</v>
      </c>
      <c r="J727" s="34"/>
      <c r="K727" s="34">
        <f>Ventas[[#This Row],[Total]]*Ventas[[#This Row],[Total 3]]</f>
        <v>0</v>
      </c>
      <c r="L727" s="34"/>
      <c r="M727" s="34"/>
    </row>
    <row r="728" spans="1:13" ht="21.75" customHeight="1">
      <c r="A728" s="16"/>
      <c r="B728" s="39" t="s">
        <v>694</v>
      </c>
      <c r="C728" s="35" t="str">
        <f>VLOOKUP(Ventas[[#This Row],[Codigo]],Stock[#Data],2,FALSE)</f>
        <v>Sedas Blunt Rey Kz celulosa Verde</v>
      </c>
      <c r="D728" s="37">
        <f>VLOOKUP(Ventas[[#This Row],[Codigo]],Stock[#Data],4,FALSE)</f>
        <v>400</v>
      </c>
      <c r="E728" s="33">
        <f>VLOOKUP(Ventas[[#This Row],[Codigo]],Stock[#Data],3,FALSE)</f>
        <v>163</v>
      </c>
      <c r="F728" s="38">
        <v>2</v>
      </c>
      <c r="G728">
        <v>70</v>
      </c>
      <c r="H728" s="36">
        <f>Ventas[[#This Row],[Precio Venta]]*Ventas[[#This Row],[Cantidad]]-Ventas[[#This Row],[Descuento]]</f>
        <v>800</v>
      </c>
      <c r="I728" s="34">
        <f>Ventas[[#This Row],[Total]]-Ventas[[#This Row],[Precio compra]]*Ventas[[#This Row],[Cantidad]]</f>
        <v>474</v>
      </c>
      <c r="J728" s="34"/>
      <c r="K728" s="34">
        <f>Ventas[[#This Row],[Total]]*Ventas[[#This Row],[Total 3]]</f>
        <v>0</v>
      </c>
      <c r="L728" s="34"/>
      <c r="M728" s="34"/>
    </row>
    <row r="729" spans="1:13" ht="21.75" customHeight="1">
      <c r="A729" s="16"/>
      <c r="B729" s="39" t="s">
        <v>699</v>
      </c>
      <c r="C729" s="35" t="str">
        <f>VLOOKUP(Ventas[[#This Row],[Codigo]],Stock[#Data],2,FALSE)</f>
        <v>Sedas Blunt Rey 1/4 celulosa Verde</v>
      </c>
      <c r="D729" s="37">
        <f>VLOOKUP(Ventas[[#This Row],[Codigo]],Stock[#Data],4,FALSE)</f>
        <v>300</v>
      </c>
      <c r="E729" s="33">
        <f>VLOOKUP(Ventas[[#This Row],[Codigo]],Stock[#Data],3,FALSE)</f>
        <v>135</v>
      </c>
      <c r="F729" s="38">
        <v>1</v>
      </c>
      <c r="G729">
        <v>72</v>
      </c>
      <c r="H729" s="36">
        <f>Ventas[[#This Row],[Precio Venta]]*Ventas[[#This Row],[Cantidad]]-Ventas[[#This Row],[Descuento]]</f>
        <v>300</v>
      </c>
      <c r="I729" s="34">
        <f>Ventas[[#This Row],[Total]]-Ventas[[#This Row],[Precio compra]]*Ventas[[#This Row],[Cantidad]]</f>
        <v>165</v>
      </c>
      <c r="J729" s="34"/>
      <c r="K729" s="34">
        <f>Ventas[[#This Row],[Total]]*Ventas[[#This Row],[Total 3]]</f>
        <v>0</v>
      </c>
      <c r="L729" s="34"/>
      <c r="M729" s="34"/>
    </row>
    <row r="730" spans="1:13" ht="21.75" customHeight="1">
      <c r="A730" s="16"/>
      <c r="B730" s="39" t="s">
        <v>699</v>
      </c>
      <c r="C730" s="35" t="str">
        <f>VLOOKUP(Ventas[[#This Row],[Codigo]],Stock[#Data],2,FALSE)</f>
        <v>Sedas Blunt Rey Kz celulosa Orange</v>
      </c>
      <c r="D730" s="37">
        <f>VLOOKUP(Ventas[[#This Row],[Codigo]],Stock[#Data],4,FALSE)</f>
        <v>400</v>
      </c>
      <c r="E730" s="33">
        <f>VLOOKUP(Ventas[[#This Row],[Codigo]],Stock[#Data],3,FALSE)</f>
        <v>167</v>
      </c>
      <c r="F730" s="38">
        <v>1</v>
      </c>
      <c r="G730">
        <v>68</v>
      </c>
      <c r="H730" s="36">
        <f>Ventas[[#This Row],[Precio Venta]]*Ventas[[#This Row],[Cantidad]]-Ventas[[#This Row],[Descuento]]</f>
        <v>400</v>
      </c>
      <c r="I730" s="34">
        <f>Ventas[[#This Row],[Total]]-Ventas[[#This Row],[Precio compra]]*Ventas[[#This Row],[Cantidad]]</f>
        <v>233</v>
      </c>
      <c r="J730" s="34"/>
      <c r="K730" s="34">
        <f>Ventas[[#This Row],[Total]]*Ventas[[#This Row],[Total 3]]</f>
        <v>0</v>
      </c>
      <c r="L730" s="34"/>
      <c r="M730" s="34"/>
    </row>
    <row r="731" spans="1:13" ht="21.75" customHeight="1">
      <c r="A731" s="16"/>
      <c r="B731" s="39" t="s">
        <v>699</v>
      </c>
      <c r="C731" s="35" t="str">
        <f>VLOOKUP(Ventas[[#This Row],[Codigo]],Stock[#Data],2,FALSE)</f>
        <v>Tips Lion Unbleached</v>
      </c>
      <c r="D731" s="37">
        <f>VLOOKUP(Ventas[[#This Row],[Codigo]],Stock[#Data],4,FALSE)</f>
        <v>250</v>
      </c>
      <c r="E731" s="33">
        <f>VLOOKUP(Ventas[[#This Row],[Codigo]],Stock[#Data],3,FALSE)</f>
        <v>137</v>
      </c>
      <c r="F731" s="38">
        <v>1</v>
      </c>
      <c r="G731">
        <v>458</v>
      </c>
      <c r="H731" s="36">
        <f>Ventas[[#This Row],[Precio Venta]]*Ventas[[#This Row],[Cantidad]]-Ventas[[#This Row],[Descuento]]</f>
        <v>250</v>
      </c>
      <c r="I731" s="34">
        <f>Ventas[[#This Row],[Total]]-Ventas[[#This Row],[Precio compra]]*Ventas[[#This Row],[Cantidad]]</f>
        <v>113</v>
      </c>
      <c r="J731" s="34"/>
      <c r="K731" s="34">
        <f>Ventas[[#This Row],[Total]]*Ventas[[#This Row],[Total 3]]</f>
        <v>0</v>
      </c>
      <c r="L731" s="34"/>
      <c r="M731" s="34"/>
    </row>
    <row r="732" spans="1:13" ht="21.75" customHeight="1">
      <c r="A732" s="16"/>
      <c r="B732" s="39" t="s">
        <v>699</v>
      </c>
      <c r="C732" s="35" t="str">
        <f>VLOOKUP(Ventas[[#This Row],[Codigo]],Stock[#Data],2,FALSE)</f>
        <v>Cultivate Melaza 250ml</v>
      </c>
      <c r="D732" s="37">
        <f>VLOOKUP(Ventas[[#This Row],[Codigo]],Stock[#Data],4,FALSE)</f>
        <v>1300</v>
      </c>
      <c r="E732" s="33">
        <f>VLOOKUP(Ventas[[#This Row],[Codigo]],Stock[#Data],3,FALSE)</f>
        <v>650</v>
      </c>
      <c r="F732" s="38">
        <v>1</v>
      </c>
      <c r="G732">
        <v>543</v>
      </c>
      <c r="H732" s="36">
        <f>Ventas[[#This Row],[Precio Venta]]*Ventas[[#This Row],[Cantidad]]-Ventas[[#This Row],[Descuento]]</f>
        <v>1300</v>
      </c>
      <c r="I732" s="34">
        <f>Ventas[[#This Row],[Total]]-Ventas[[#This Row],[Precio compra]]*Ventas[[#This Row],[Cantidad]]</f>
        <v>650</v>
      </c>
      <c r="J732" s="34"/>
      <c r="K732" s="34">
        <f>Ventas[[#This Row],[Total]]*Ventas[[#This Row],[Total 3]]</f>
        <v>0</v>
      </c>
      <c r="L732" s="34"/>
      <c r="M732" s="34"/>
    </row>
    <row r="733" spans="1:13" ht="21.75" customHeight="1">
      <c r="A733" s="16"/>
      <c r="B733" s="39" t="s">
        <v>699</v>
      </c>
      <c r="C733" s="35" t="str">
        <f>VLOOKUP(Ventas[[#This Row],[Codigo]],Stock[#Data],2,FALSE)</f>
        <v>Maca Brew 500cc</v>
      </c>
      <c r="D733" s="37">
        <f>VLOOKUP(Ventas[[#This Row],[Codigo]],Stock[#Data],4,FALSE)</f>
        <v>1000</v>
      </c>
      <c r="E733" s="33">
        <f>VLOOKUP(Ventas[[#This Row],[Codigo]],Stock[#Data],3,FALSE)</f>
        <v>470</v>
      </c>
      <c r="F733" s="38">
        <v>1</v>
      </c>
      <c r="G733">
        <v>12</v>
      </c>
      <c r="H733" s="36">
        <f>Ventas[[#This Row],[Precio Venta]]*Ventas[[#This Row],[Cantidad]]-Ventas[[#This Row],[Descuento]]</f>
        <v>1000</v>
      </c>
      <c r="I733" s="34">
        <f>Ventas[[#This Row],[Total]]-Ventas[[#This Row],[Precio compra]]*Ventas[[#This Row],[Cantidad]]</f>
        <v>530</v>
      </c>
      <c r="J733" s="34"/>
      <c r="K733" s="34">
        <f>Ventas[[#This Row],[Total]]*Ventas[[#This Row],[Total 3]]</f>
        <v>0</v>
      </c>
      <c r="L733" s="34"/>
      <c r="M733" s="34"/>
    </row>
    <row r="734" spans="1:13" ht="21.75" customHeight="1">
      <c r="A734" s="16"/>
      <c r="B734" s="39" t="s">
        <v>699</v>
      </c>
      <c r="C734" s="35" t="str">
        <f>VLOOKUP(Ventas[[#This Row],[Codigo]],Stock[#Data],2,FALSE)</f>
        <v>TreeMIX CANDY 45 ml</v>
      </c>
      <c r="D734" s="37">
        <f>VLOOKUP(Ventas[[#This Row],[Codigo]],Stock[#Data],4,FALSE)</f>
        <v>500</v>
      </c>
      <c r="E734" s="33">
        <f>VLOOKUP(Ventas[[#This Row],[Codigo]],Stock[#Data],3,FALSE)</f>
        <v>220</v>
      </c>
      <c r="F734" s="38">
        <v>2</v>
      </c>
      <c r="G734">
        <v>26</v>
      </c>
      <c r="H734" s="36">
        <f>Ventas[[#This Row],[Precio Venta]]*Ventas[[#This Row],[Cantidad]]-Ventas[[#This Row],[Descuento]]</f>
        <v>1000</v>
      </c>
      <c r="I734" s="34">
        <f>Ventas[[#This Row],[Total]]-Ventas[[#This Row],[Precio compra]]*Ventas[[#This Row],[Cantidad]]</f>
        <v>560</v>
      </c>
      <c r="J734" s="34"/>
      <c r="K734" s="34">
        <f>Ventas[[#This Row],[Total]]*Ventas[[#This Row],[Total 3]]</f>
        <v>0</v>
      </c>
      <c r="L734" s="34"/>
      <c r="M734" s="34"/>
    </row>
    <row r="735" spans="1:13" ht="21.75" customHeight="1">
      <c r="A735" s="16"/>
      <c r="B735" s="39" t="s">
        <v>699</v>
      </c>
      <c r="C735" s="35" t="str">
        <f>VLOOKUP(Ventas[[#This Row],[Codigo]],Stock[#Data],2,FALSE)</f>
        <v>TreeMIX F 45ml</v>
      </c>
      <c r="D735" s="37">
        <f>VLOOKUP(Ventas[[#This Row],[Codigo]],Stock[#Data],4,FALSE)</f>
        <v>550</v>
      </c>
      <c r="E735" s="33">
        <f>VLOOKUP(Ventas[[#This Row],[Codigo]],Stock[#Data],3,FALSE)</f>
        <v>275</v>
      </c>
      <c r="F735" s="38">
        <v>3</v>
      </c>
      <c r="G735">
        <v>22</v>
      </c>
      <c r="H735" s="36">
        <f>Ventas[[#This Row],[Precio Venta]]*Ventas[[#This Row],[Cantidad]]-Ventas[[#This Row],[Descuento]]</f>
        <v>1650</v>
      </c>
      <c r="I735" s="34">
        <f>Ventas[[#This Row],[Total]]-Ventas[[#This Row],[Precio compra]]*Ventas[[#This Row],[Cantidad]]</f>
        <v>825</v>
      </c>
      <c r="J735" s="34"/>
      <c r="K735" s="34">
        <f>Ventas[[#This Row],[Total]]*Ventas[[#This Row],[Total 3]]</f>
        <v>0</v>
      </c>
      <c r="L735" s="34"/>
      <c r="M735" s="34"/>
    </row>
    <row r="736" spans="1:13" ht="21.75" customHeight="1">
      <c r="A736" s="16"/>
      <c r="B736" s="39" t="s">
        <v>699</v>
      </c>
      <c r="C736" s="35" t="str">
        <f>VLOOKUP(Ventas[[#This Row],[Codigo]],Stock[#Data],2,FALSE)</f>
        <v>TreeMIX A 45ml</v>
      </c>
      <c r="D736" s="37">
        <f>VLOOKUP(Ventas[[#This Row],[Codigo]],Stock[#Data],4,FALSE)</f>
        <v>500</v>
      </c>
      <c r="E736" s="33">
        <f>VLOOKUP(Ventas[[#This Row],[Codigo]],Stock[#Data],3,FALSE)</f>
        <v>260</v>
      </c>
      <c r="F736" s="38">
        <v>3</v>
      </c>
      <c r="G736">
        <v>21</v>
      </c>
      <c r="H736" s="36">
        <f>Ventas[[#This Row],[Precio Venta]]*Ventas[[#This Row],[Cantidad]]-Ventas[[#This Row],[Descuento]]</f>
        <v>1500</v>
      </c>
      <c r="I736" s="34">
        <f>Ventas[[#This Row],[Total]]-Ventas[[#This Row],[Precio compra]]*Ventas[[#This Row],[Cantidad]]</f>
        <v>720</v>
      </c>
      <c r="J736" s="34"/>
      <c r="K736" s="34">
        <f>Ventas[[#This Row],[Total]]*Ventas[[#This Row],[Total 3]]</f>
        <v>0</v>
      </c>
      <c r="L736" s="34"/>
      <c r="M736" s="34"/>
    </row>
    <row r="737" spans="1:13" ht="21.75" customHeight="1">
      <c r="A737" s="16"/>
      <c r="B737" s="39" t="s">
        <v>700</v>
      </c>
      <c r="C737" s="35" t="str">
        <f>VLOOKUP(Ventas[[#This Row],[Codigo]],Stock[#Data],2,FALSE)</f>
        <v>TreeMIX A 45ml</v>
      </c>
      <c r="D737" s="37">
        <f>VLOOKUP(Ventas[[#This Row],[Codigo]],Stock[#Data],4,FALSE)</f>
        <v>500</v>
      </c>
      <c r="E737" s="33">
        <f>VLOOKUP(Ventas[[#This Row],[Codigo]],Stock[#Data],3,FALSE)</f>
        <v>260</v>
      </c>
      <c r="F737" s="38">
        <v>1</v>
      </c>
      <c r="G737">
        <v>21</v>
      </c>
      <c r="H737" s="36">
        <f>Ventas[[#This Row],[Precio Venta]]*Ventas[[#This Row],[Cantidad]]-Ventas[[#This Row],[Descuento]]</f>
        <v>500</v>
      </c>
      <c r="I737" s="34">
        <f>Ventas[[#This Row],[Total]]-Ventas[[#This Row],[Precio compra]]*Ventas[[#This Row],[Cantidad]]</f>
        <v>240</v>
      </c>
      <c r="J737" s="34"/>
      <c r="K737" s="34">
        <f>Ventas[[#This Row],[Total]]*Ventas[[#This Row],[Total 3]]</f>
        <v>0</v>
      </c>
      <c r="L737" s="34"/>
      <c r="M737" s="34"/>
    </row>
    <row r="738" spans="1:13" ht="21.75" customHeight="1">
      <c r="A738" s="16"/>
      <c r="B738" s="39" t="s">
        <v>700</v>
      </c>
      <c r="C738" s="35" t="str">
        <f>VLOOKUP(Ventas[[#This Row],[Codigo]],Stock[#Data],2,FALSE)</f>
        <v>TreeMIX F 45ml</v>
      </c>
      <c r="D738" s="37">
        <f>VLOOKUP(Ventas[[#This Row],[Codigo]],Stock[#Data],4,FALSE)</f>
        <v>550</v>
      </c>
      <c r="E738" s="33">
        <f>VLOOKUP(Ventas[[#This Row],[Codigo]],Stock[#Data],3,FALSE)</f>
        <v>275</v>
      </c>
      <c r="F738" s="38">
        <v>1</v>
      </c>
      <c r="G738">
        <v>22</v>
      </c>
      <c r="H738" s="36">
        <f>Ventas[[#This Row],[Precio Venta]]*Ventas[[#This Row],[Cantidad]]-Ventas[[#This Row],[Descuento]]</f>
        <v>550</v>
      </c>
      <c r="I738" s="34">
        <f>Ventas[[#This Row],[Total]]-Ventas[[#This Row],[Precio compra]]*Ventas[[#This Row],[Cantidad]]</f>
        <v>275</v>
      </c>
      <c r="J738" s="34"/>
      <c r="K738" s="34">
        <f>Ventas[[#This Row],[Total]]*Ventas[[#This Row],[Total 3]]</f>
        <v>0</v>
      </c>
      <c r="L738" s="34"/>
      <c r="M738" s="34"/>
    </row>
    <row r="739" spans="1:13" ht="21.75" customHeight="1">
      <c r="A739" s="16"/>
      <c r="B739" s="39" t="s">
        <v>700</v>
      </c>
      <c r="C739" s="35" t="str">
        <f>VLOOKUP(Ventas[[#This Row],[Codigo]],Stock[#Data],2,FALSE)</f>
        <v>TreeMIX CANDY 45 ml</v>
      </c>
      <c r="D739" s="37">
        <f>VLOOKUP(Ventas[[#This Row],[Codigo]],Stock[#Data],4,FALSE)</f>
        <v>500</v>
      </c>
      <c r="E739" s="33">
        <f>VLOOKUP(Ventas[[#This Row],[Codigo]],Stock[#Data],3,FALSE)</f>
        <v>220</v>
      </c>
      <c r="F739" s="38">
        <v>1</v>
      </c>
      <c r="G739">
        <v>26</v>
      </c>
      <c r="H739" s="36">
        <f>Ventas[[#This Row],[Precio Venta]]*Ventas[[#This Row],[Cantidad]]-Ventas[[#This Row],[Descuento]]</f>
        <v>500</v>
      </c>
      <c r="I739" s="34">
        <f>Ventas[[#This Row],[Total]]-Ventas[[#This Row],[Precio compra]]*Ventas[[#This Row],[Cantidad]]</f>
        <v>280</v>
      </c>
      <c r="J739" s="34"/>
      <c r="K739" s="34">
        <f>Ventas[[#This Row],[Total]]*Ventas[[#This Row],[Total 3]]</f>
        <v>0</v>
      </c>
      <c r="L739" s="34"/>
      <c r="M739" s="34"/>
    </row>
    <row r="740" spans="1:13" ht="21.75" customHeight="1">
      <c r="A740" s="16"/>
      <c r="B740" s="39" t="s">
        <v>700</v>
      </c>
      <c r="C740" s="35" t="str">
        <f>VLOOKUP(Ventas[[#This Row],[Codigo]],Stock[#Data],2,FALSE)</f>
        <v>Namaste Oro Negro 100ml</v>
      </c>
      <c r="D740" s="37">
        <f>VLOOKUP(Ventas[[#This Row],[Codigo]],Stock[#Data],4,FALSE)</f>
        <v>1000</v>
      </c>
      <c r="E740" s="33">
        <f>VLOOKUP(Ventas[[#This Row],[Codigo]],Stock[#Data],3,FALSE)</f>
        <v>515</v>
      </c>
      <c r="F740" s="38">
        <v>2</v>
      </c>
      <c r="G740">
        <v>478</v>
      </c>
      <c r="H740" s="36">
        <f>Ventas[[#This Row],[Precio Venta]]*Ventas[[#This Row],[Cantidad]]-Ventas[[#This Row],[Descuento]]</f>
        <v>2000</v>
      </c>
      <c r="I740" s="34">
        <f>Ventas[[#This Row],[Total]]-Ventas[[#This Row],[Precio compra]]*Ventas[[#This Row],[Cantidad]]</f>
        <v>970</v>
      </c>
      <c r="J740" s="34"/>
      <c r="K740" s="34">
        <f>Ventas[[#This Row],[Total]]*Ventas[[#This Row],[Total 3]]</f>
        <v>0</v>
      </c>
      <c r="L740" s="34"/>
      <c r="M740" s="34"/>
    </row>
    <row r="741" spans="1:13" ht="21.75" customHeight="1">
      <c r="A741" s="16"/>
      <c r="B741" s="39" t="s">
        <v>689</v>
      </c>
      <c r="C741" s="35" t="str">
        <f>VLOOKUP(Ventas[[#This Row],[Codigo]],Stock[#Data],2,FALSE)</f>
        <v>Namaste Flora Booster 500ml</v>
      </c>
      <c r="D741" s="37">
        <f>VLOOKUP(Ventas[[#This Row],[Codigo]],Stock[#Data],4,FALSE)</f>
        <v>2500</v>
      </c>
      <c r="E741" s="33">
        <f>VLOOKUP(Ventas[[#This Row],[Codigo]],Stock[#Data],3,FALSE)</f>
        <v>1377</v>
      </c>
      <c r="F741" s="38">
        <v>1</v>
      </c>
      <c r="G741">
        <v>496</v>
      </c>
      <c r="H741" s="36">
        <f>Ventas[[#This Row],[Precio Venta]]*Ventas[[#This Row],[Cantidad]]-Ventas[[#This Row],[Descuento]]</f>
        <v>2500</v>
      </c>
      <c r="I741" s="34">
        <f>Ventas[[#This Row],[Total]]-Ventas[[#This Row],[Precio compra]]*Ventas[[#This Row],[Cantidad]]</f>
        <v>1123</v>
      </c>
      <c r="J741" s="34"/>
      <c r="K741" s="34">
        <f>Ventas[[#This Row],[Total]]*Ventas[[#This Row],[Total 3]]</f>
        <v>0</v>
      </c>
      <c r="L741" s="34"/>
      <c r="M741" s="34"/>
    </row>
    <row r="742" spans="1:13" ht="21.75" customHeight="1">
      <c r="A742" s="16"/>
      <c r="B742" s="39" t="s">
        <v>689</v>
      </c>
      <c r="C742" s="35" t="str">
        <f>VLOOKUP(Ventas[[#This Row],[Codigo]],Stock[#Data],2,FALSE)</f>
        <v>Sedas OCB 1/4 Organic  Bamboo</v>
      </c>
      <c r="D742" s="37">
        <f>VLOOKUP(Ventas[[#This Row],[Codigo]],Stock[#Data],4,FALSE)</f>
        <v>300</v>
      </c>
      <c r="E742" s="33">
        <f>VLOOKUP(Ventas[[#This Row],[Codigo]],Stock[#Data],3,FALSE)</f>
        <v>165</v>
      </c>
      <c r="F742" s="38">
        <v>2</v>
      </c>
      <c r="G742">
        <v>77</v>
      </c>
      <c r="H742" s="36">
        <f>Ventas[[#This Row],[Precio Venta]]*Ventas[[#This Row],[Cantidad]]-Ventas[[#This Row],[Descuento]]</f>
        <v>600</v>
      </c>
      <c r="I742" s="34">
        <f>Ventas[[#This Row],[Total]]-Ventas[[#This Row],[Precio compra]]*Ventas[[#This Row],[Cantidad]]</f>
        <v>270</v>
      </c>
      <c r="J742" s="34"/>
      <c r="K742" s="34">
        <f>Ventas[[#This Row],[Total]]*Ventas[[#This Row],[Total 3]]</f>
        <v>0</v>
      </c>
      <c r="L742" s="34"/>
      <c r="M742" s="34"/>
    </row>
    <row r="743" spans="1:13" ht="21.75" customHeight="1">
      <c r="A743" s="16"/>
      <c r="B743" s="39" t="s">
        <v>689</v>
      </c>
      <c r="C743" s="35" t="str">
        <f>VLOOKUP(Ventas[[#This Row],[Codigo]],Stock[#Data],2,FALSE)</f>
        <v>Sustrato Perlita</v>
      </c>
      <c r="D743" s="37">
        <f>VLOOKUP(Ventas[[#This Row],[Codigo]],Stock[#Data],4,FALSE)</f>
        <v>800</v>
      </c>
      <c r="E743" s="33">
        <f>VLOOKUP(Ventas[[#This Row],[Codigo]],Stock[#Data],3,FALSE)</f>
        <v>400</v>
      </c>
      <c r="F743" s="38">
        <v>20</v>
      </c>
      <c r="G743">
        <v>52</v>
      </c>
      <c r="H743" s="36">
        <f>Ventas[[#This Row],[Precio Venta]]*Ventas[[#This Row],[Cantidad]]-Ventas[[#This Row],[Descuento]]</f>
        <v>16000</v>
      </c>
      <c r="I743" s="34">
        <f>Ventas[[#This Row],[Total]]-Ventas[[#This Row],[Precio compra]]*Ventas[[#This Row],[Cantidad]]</f>
        <v>8000</v>
      </c>
      <c r="J743" s="34"/>
      <c r="K743" s="34">
        <f>Ventas[[#This Row],[Total]]*Ventas[[#This Row],[Total 3]]</f>
        <v>0</v>
      </c>
      <c r="L743" s="34"/>
      <c r="M743" s="34"/>
    </row>
    <row r="744" spans="1:13" ht="21.75" customHeight="1">
      <c r="A744" s="16"/>
      <c r="B744" s="39" t="s">
        <v>689</v>
      </c>
      <c r="C744" s="35" t="str">
        <f>VLOOKUP(Ventas[[#This Row],[Codigo]],Stock[#Data],2,FALSE)</f>
        <v>Power PH-</v>
      </c>
      <c r="D744" s="37">
        <f>VLOOKUP(Ventas[[#This Row],[Codigo]],Stock[#Data],4,FALSE)</f>
        <v>800</v>
      </c>
      <c r="E744" s="33">
        <f>VLOOKUP(Ventas[[#This Row],[Codigo]],Stock[#Data],3,FALSE)</f>
        <v>400</v>
      </c>
      <c r="F744" s="38">
        <v>1</v>
      </c>
      <c r="G744">
        <v>55</v>
      </c>
      <c r="H744" s="36">
        <f>Ventas[[#This Row],[Precio Venta]]*Ventas[[#This Row],[Cantidad]]-Ventas[[#This Row],[Descuento]]</f>
        <v>800</v>
      </c>
      <c r="I744" s="34">
        <f>Ventas[[#This Row],[Total]]-Ventas[[#This Row],[Precio compra]]*Ventas[[#This Row],[Cantidad]]</f>
        <v>400</v>
      </c>
      <c r="J744" s="34"/>
      <c r="K744" s="34">
        <f>Ventas[[#This Row],[Total]]*Ventas[[#This Row],[Total 3]]</f>
        <v>0</v>
      </c>
      <c r="L744" s="34"/>
      <c r="M744" s="34"/>
    </row>
    <row r="745" spans="1:13" ht="21.75" customHeight="1">
      <c r="A745" s="16"/>
      <c r="B745" s="39" t="s">
        <v>689</v>
      </c>
      <c r="C745" s="35" t="str">
        <f>VLOOKUP(Ventas[[#This Row],[Codigo]],Stock[#Data],2,FALSE)</f>
        <v xml:space="preserve">ocb ultimate </v>
      </c>
      <c r="D745" s="37">
        <f>VLOOKUP(Ventas[[#This Row],[Codigo]],Stock[#Data],4,FALSE)</f>
        <v>300</v>
      </c>
      <c r="E745" s="33">
        <f>VLOOKUP(Ventas[[#This Row],[Codigo]],Stock[#Data],3,FALSE)</f>
        <v>165</v>
      </c>
      <c r="F745" s="38">
        <v>1</v>
      </c>
      <c r="G745">
        <v>354</v>
      </c>
      <c r="H745" s="36">
        <f>Ventas[[#This Row],[Precio Venta]]*Ventas[[#This Row],[Cantidad]]-Ventas[[#This Row],[Descuento]]</f>
        <v>300</v>
      </c>
      <c r="I745" s="34">
        <f>Ventas[[#This Row],[Total]]-Ventas[[#This Row],[Precio compra]]*Ventas[[#This Row],[Cantidad]]</f>
        <v>135</v>
      </c>
      <c r="J745" s="34"/>
      <c r="K745" s="34">
        <f>Ventas[[#This Row],[Total]]*Ventas[[#This Row],[Total 3]]</f>
        <v>0</v>
      </c>
      <c r="L745" s="34"/>
      <c r="M745" s="34"/>
    </row>
    <row r="746" spans="1:13" ht="21.75" customHeight="1">
      <c r="A746" s="16"/>
      <c r="B746" s="39" t="s">
        <v>689</v>
      </c>
      <c r="C746" s="35" t="str">
        <f>VLOOKUP(Ventas[[#This Row],[Codigo]],Stock[#Data],2,FALSE)</f>
        <v>Tips STAMPS ECO</v>
      </c>
      <c r="D746" s="37">
        <f>VLOOKUP(Ventas[[#This Row],[Codigo]],Stock[#Data],4,FALSE)</f>
        <v>150</v>
      </c>
      <c r="E746" s="33">
        <f>VLOOKUP(Ventas[[#This Row],[Codigo]],Stock[#Data],3,FALSE)</f>
        <v>73</v>
      </c>
      <c r="F746" s="38">
        <v>1</v>
      </c>
      <c r="G746">
        <v>308</v>
      </c>
      <c r="H746" s="36">
        <f>Ventas[[#This Row],[Precio Venta]]*Ventas[[#This Row],[Cantidad]]-Ventas[[#This Row],[Descuento]]</f>
        <v>150</v>
      </c>
      <c r="I746" s="34">
        <f>Ventas[[#This Row],[Total]]-Ventas[[#This Row],[Precio compra]]*Ventas[[#This Row],[Cantidad]]</f>
        <v>77</v>
      </c>
      <c r="J746" s="34"/>
      <c r="K746" s="34">
        <f>Ventas[[#This Row],[Total]]*Ventas[[#This Row],[Total 3]]</f>
        <v>0</v>
      </c>
      <c r="L746" s="34"/>
      <c r="M746" s="34"/>
    </row>
    <row r="747" spans="1:13" ht="21.75" customHeight="1">
      <c r="A747" s="16"/>
      <c r="B747" s="39" t="s">
        <v>689</v>
      </c>
      <c r="C747" s="35" t="str">
        <f>VLOOKUP(Ventas[[#This Row],[Codigo]],Stock[#Data],2,FALSE)</f>
        <v>Picador 3p Engranaje</v>
      </c>
      <c r="D747" s="37">
        <f>VLOOKUP(Ventas[[#This Row],[Codigo]],Stock[#Data],4,FALSE)</f>
        <v>3500</v>
      </c>
      <c r="E747" s="33">
        <f>VLOOKUP(Ventas[[#This Row],[Codigo]],Stock[#Data],3,FALSE)</f>
        <v>2000</v>
      </c>
      <c r="F747" s="38">
        <v>1</v>
      </c>
      <c r="G747">
        <v>537</v>
      </c>
      <c r="H747" s="36">
        <f>Ventas[[#This Row],[Precio Venta]]*Ventas[[#This Row],[Cantidad]]-Ventas[[#This Row],[Descuento]]</f>
        <v>3500</v>
      </c>
      <c r="I747" s="34">
        <f>Ventas[[#This Row],[Total]]-Ventas[[#This Row],[Precio compra]]*Ventas[[#This Row],[Cantidad]]</f>
        <v>1500</v>
      </c>
      <c r="J747" s="34"/>
      <c r="K747" s="34">
        <f>Ventas[[#This Row],[Total]]*Ventas[[#This Row],[Total 3]]</f>
        <v>0</v>
      </c>
      <c r="L747" s="34"/>
      <c r="M747" s="34"/>
    </row>
    <row r="748" spans="1:13" ht="21.75" customHeight="1">
      <c r="A748" s="16"/>
      <c r="B748" s="39" t="s">
        <v>689</v>
      </c>
      <c r="C748" s="35" t="str">
        <f>VLOOKUP(Ventas[[#This Row],[Codigo]],Stock[#Data],2,FALSE)</f>
        <v>Cooler 4" Ruleman BtFans</v>
      </c>
      <c r="D748" s="37">
        <f>VLOOKUP(Ventas[[#This Row],[Codigo]],Stock[#Data],4,FALSE)</f>
        <v>4000</v>
      </c>
      <c r="E748" s="33">
        <f>VLOOKUP(Ventas[[#This Row],[Codigo]],Stock[#Data],3,FALSE)</f>
        <v>2000</v>
      </c>
      <c r="F748" s="38">
        <v>1</v>
      </c>
      <c r="G748">
        <v>501</v>
      </c>
      <c r="H748" s="36">
        <f>Ventas[[#This Row],[Precio Venta]]*Ventas[[#This Row],[Cantidad]]-Ventas[[#This Row],[Descuento]]</f>
        <v>4000</v>
      </c>
      <c r="I748" s="34">
        <f>Ventas[[#This Row],[Total]]-Ventas[[#This Row],[Precio compra]]*Ventas[[#This Row],[Cantidad]]</f>
        <v>2000</v>
      </c>
      <c r="J748" s="34"/>
      <c r="K748" s="34">
        <f>Ventas[[#This Row],[Total]]*Ventas[[#This Row],[Total 3]]</f>
        <v>0</v>
      </c>
      <c r="L748" s="34"/>
      <c r="M748" s="34"/>
    </row>
    <row r="749" spans="1:13" ht="21.75" customHeight="1">
      <c r="A749" s="16"/>
      <c r="B749" s="39" t="s">
        <v>689</v>
      </c>
      <c r="C749" s="35" t="str">
        <f>VLOOKUP(Ventas[[#This Row],[Codigo]],Stock[#Data],2,FALSE)</f>
        <v xml:space="preserve">Bio Proyect Ph + 125ml </v>
      </c>
      <c r="D749" s="37">
        <f>VLOOKUP(Ventas[[#This Row],[Codigo]],Stock[#Data],4,FALSE)</f>
        <v>1300</v>
      </c>
      <c r="E749" s="33">
        <f>VLOOKUP(Ventas[[#This Row],[Codigo]],Stock[#Data],3,FALSE)</f>
        <v>631</v>
      </c>
      <c r="F749" s="38">
        <v>1</v>
      </c>
      <c r="G749">
        <v>441</v>
      </c>
      <c r="H749" s="36">
        <f>Ventas[[#This Row],[Precio Venta]]*Ventas[[#This Row],[Cantidad]]-Ventas[[#This Row],[Descuento]]</f>
        <v>1300</v>
      </c>
      <c r="I749" s="34">
        <f>Ventas[[#This Row],[Total]]-Ventas[[#This Row],[Precio compra]]*Ventas[[#This Row],[Cantidad]]</f>
        <v>669</v>
      </c>
      <c r="J749" s="34"/>
      <c r="K749" s="34">
        <f>Ventas[[#This Row],[Total]]*Ventas[[#This Row],[Total 3]]</f>
        <v>0</v>
      </c>
      <c r="L749" s="34"/>
      <c r="M749" s="34"/>
    </row>
    <row r="750" spans="1:13" ht="21.75" customHeight="1">
      <c r="A750" s="16"/>
      <c r="B750" s="39" t="s">
        <v>691</v>
      </c>
      <c r="C750" s="35" t="str">
        <f>VLOOKUP(Ventas[[#This Row],[Codigo]],Stock[#Data],2,FALSE)</f>
        <v xml:space="preserve">Tabaco Van Kiff American Blend </v>
      </c>
      <c r="D750" s="37">
        <f>VLOOKUP(Ventas[[#This Row],[Codigo]],Stock[#Data],4,FALSE)</f>
        <v>850</v>
      </c>
      <c r="E750" s="33">
        <f>VLOOKUP(Ventas[[#This Row],[Codigo]],Stock[#Data],3,FALSE)</f>
        <v>580</v>
      </c>
      <c r="F750" s="38">
        <v>3</v>
      </c>
      <c r="G750">
        <v>348</v>
      </c>
      <c r="H750" s="36">
        <f>Ventas[[#This Row],[Precio Venta]]*Ventas[[#This Row],[Cantidad]]-Ventas[[#This Row],[Descuento]]</f>
        <v>2550</v>
      </c>
      <c r="I750" s="34">
        <f>Ventas[[#This Row],[Total]]-Ventas[[#This Row],[Precio compra]]*Ventas[[#This Row],[Cantidad]]</f>
        <v>810</v>
      </c>
      <c r="J750" s="34"/>
      <c r="K750" s="34">
        <f>Ventas[[#This Row],[Total]]*Ventas[[#This Row],[Total 3]]</f>
        <v>0</v>
      </c>
      <c r="L750" s="34"/>
      <c r="M750" s="34"/>
    </row>
    <row r="751" spans="1:13" ht="21.75" customHeight="1">
      <c r="A751" s="16"/>
      <c r="B751" s="39" t="s">
        <v>701</v>
      </c>
      <c r="C751" s="35" t="str">
        <f>VLOOKUP(Ventas[[#This Row],[Codigo]],Stock[#Data],2,FALSE)</f>
        <v>Tips STAMPS ECO</v>
      </c>
      <c r="D751" s="37">
        <f>VLOOKUP(Ventas[[#This Row],[Codigo]],Stock[#Data],4,FALSE)</f>
        <v>150</v>
      </c>
      <c r="E751" s="33">
        <f>VLOOKUP(Ventas[[#This Row],[Codigo]],Stock[#Data],3,FALSE)</f>
        <v>73</v>
      </c>
      <c r="F751" s="38">
        <v>1</v>
      </c>
      <c r="G751">
        <v>308</v>
      </c>
      <c r="H751" s="36">
        <f>Ventas[[#This Row],[Precio Venta]]*Ventas[[#This Row],[Cantidad]]-Ventas[[#This Row],[Descuento]]</f>
        <v>150</v>
      </c>
      <c r="I751" s="34">
        <f>Ventas[[#This Row],[Total]]-Ventas[[#This Row],[Precio compra]]*Ventas[[#This Row],[Cantidad]]</f>
        <v>77</v>
      </c>
      <c r="J751" s="34"/>
      <c r="K751" s="34">
        <f>Ventas[[#This Row],[Total]]*Ventas[[#This Row],[Total 3]]</f>
        <v>0</v>
      </c>
      <c r="L751" s="34"/>
      <c r="M751" s="34"/>
    </row>
    <row r="752" spans="1:13" ht="21.75" customHeight="1">
      <c r="A752" s="16"/>
      <c r="B752" s="39" t="s">
        <v>701</v>
      </c>
      <c r="C752" s="35" t="str">
        <f>VLOOKUP(Ventas[[#This Row],[Codigo]],Stock[#Data],2,FALSE)</f>
        <v>Namaste Flora Booster 500ml</v>
      </c>
      <c r="D752" s="37">
        <f>VLOOKUP(Ventas[[#This Row],[Codigo]],Stock[#Data],4,FALSE)</f>
        <v>2500</v>
      </c>
      <c r="E752" s="33">
        <f>VLOOKUP(Ventas[[#This Row],[Codigo]],Stock[#Data],3,FALSE)</f>
        <v>1377</v>
      </c>
      <c r="F752" s="38">
        <v>1</v>
      </c>
      <c r="G752">
        <v>496</v>
      </c>
      <c r="H752" s="36">
        <f>Ventas[[#This Row],[Precio Venta]]*Ventas[[#This Row],[Cantidad]]-Ventas[[#This Row],[Descuento]]</f>
        <v>2500</v>
      </c>
      <c r="I752" s="34">
        <f>Ventas[[#This Row],[Total]]-Ventas[[#This Row],[Precio compra]]*Ventas[[#This Row],[Cantidad]]</f>
        <v>1123</v>
      </c>
      <c r="J752" s="34"/>
      <c r="K752" s="34">
        <f>Ventas[[#This Row],[Total]]*Ventas[[#This Row],[Total 3]]</f>
        <v>0</v>
      </c>
      <c r="L752" s="34"/>
      <c r="M752" s="34"/>
    </row>
    <row r="753" spans="1:13" ht="21.75" customHeight="1">
      <c r="A753" s="16"/>
      <c r="B753" s="39" t="s">
        <v>701</v>
      </c>
      <c r="C753" s="35" t="str">
        <f>VLOOKUP(Ventas[[#This Row],[Codigo]],Stock[#Data],2,FALSE)</f>
        <v>Namaste Shanti 100ml</v>
      </c>
      <c r="D753" s="37">
        <f>VLOOKUP(Ventas[[#This Row],[Codigo]],Stock[#Data],4,FALSE)</f>
        <v>2000</v>
      </c>
      <c r="E753" s="33">
        <f>VLOOKUP(Ventas[[#This Row],[Codigo]],Stock[#Data],3,FALSE)</f>
        <v>932</v>
      </c>
      <c r="F753" s="38">
        <v>1</v>
      </c>
      <c r="G753">
        <v>569</v>
      </c>
      <c r="H753" s="36">
        <f>Ventas[[#This Row],[Precio Venta]]*Ventas[[#This Row],[Cantidad]]-Ventas[[#This Row],[Descuento]]</f>
        <v>2000</v>
      </c>
      <c r="I753" s="34">
        <f>Ventas[[#This Row],[Total]]-Ventas[[#This Row],[Precio compra]]*Ventas[[#This Row],[Cantidad]]</f>
        <v>1068</v>
      </c>
      <c r="J753" s="34"/>
      <c r="K753" s="34">
        <f>Ventas[[#This Row],[Total]]*Ventas[[#This Row],[Total 3]]</f>
        <v>0</v>
      </c>
      <c r="L753" s="34"/>
      <c r="M753" s="34"/>
    </row>
    <row r="754" spans="1:13" ht="21.75" customHeight="1">
      <c r="A754" s="16"/>
      <c r="B754" s="39" t="s">
        <v>695</v>
      </c>
      <c r="C754" s="35" t="str">
        <f>VLOOKUP(Ventas[[#This Row],[Codigo]],Stock[#Data],2,FALSE)</f>
        <v>Sedas Blunt Rey 1/4 celulosa Verde</v>
      </c>
      <c r="D754" s="37">
        <f>VLOOKUP(Ventas[[#This Row],[Codigo]],Stock[#Data],4,FALSE)</f>
        <v>300</v>
      </c>
      <c r="E754" s="33">
        <f>VLOOKUP(Ventas[[#This Row],[Codigo]],Stock[#Data],3,FALSE)</f>
        <v>135</v>
      </c>
      <c r="F754" s="38">
        <v>1</v>
      </c>
      <c r="G754">
        <v>72</v>
      </c>
      <c r="H754" s="36">
        <f>Ventas[[#This Row],[Precio Venta]]*Ventas[[#This Row],[Cantidad]]-Ventas[[#This Row],[Descuento]]</f>
        <v>300</v>
      </c>
      <c r="I754" s="34">
        <f>Ventas[[#This Row],[Total]]-Ventas[[#This Row],[Precio compra]]*Ventas[[#This Row],[Cantidad]]</f>
        <v>165</v>
      </c>
      <c r="J754" s="34"/>
      <c r="K754" s="34">
        <f>Ventas[[#This Row],[Total]]*Ventas[[#This Row],[Total 3]]</f>
        <v>0</v>
      </c>
      <c r="L754" s="34"/>
      <c r="M754" s="34"/>
    </row>
    <row r="755" spans="1:13" ht="21.75" customHeight="1">
      <c r="A755" s="16"/>
      <c r="B755" s="39" t="s">
        <v>695</v>
      </c>
      <c r="C755" s="35" t="str">
        <f>VLOOKUP(Ventas[[#This Row],[Codigo]],Stock[#Data],2,FALSE)</f>
        <v>TreeMIX F 45ml</v>
      </c>
      <c r="D755" s="37">
        <f>VLOOKUP(Ventas[[#This Row],[Codigo]],Stock[#Data],4,FALSE)</f>
        <v>550</v>
      </c>
      <c r="E755" s="33">
        <f>VLOOKUP(Ventas[[#This Row],[Codigo]],Stock[#Data],3,FALSE)</f>
        <v>275</v>
      </c>
      <c r="F755" s="38">
        <v>2</v>
      </c>
      <c r="G755">
        <v>22</v>
      </c>
      <c r="H755" s="36">
        <f>Ventas[[#This Row],[Precio Venta]]*Ventas[[#This Row],[Cantidad]]-Ventas[[#This Row],[Descuento]]</f>
        <v>1100</v>
      </c>
      <c r="I755" s="34">
        <f>Ventas[[#This Row],[Total]]-Ventas[[#This Row],[Precio compra]]*Ventas[[#This Row],[Cantidad]]</f>
        <v>550</v>
      </c>
      <c r="J755" s="34"/>
      <c r="K755" s="34">
        <f>Ventas[[#This Row],[Total]]*Ventas[[#This Row],[Total 3]]</f>
        <v>0</v>
      </c>
      <c r="L755" s="34"/>
      <c r="M755" s="34"/>
    </row>
    <row r="756" spans="1:13" ht="21.75" customHeight="1">
      <c r="A756" s="16"/>
      <c r="B756" s="39" t="s">
        <v>695</v>
      </c>
      <c r="C756" s="35" t="str">
        <f>VLOOKUP(Ventas[[#This Row],[Codigo]],Stock[#Data],2,FALSE)</f>
        <v>Sauver 1/4</v>
      </c>
      <c r="D756" s="37">
        <f>VLOOKUP(Ventas[[#This Row],[Codigo]],Stock[#Data],4,FALSE)</f>
        <v>200</v>
      </c>
      <c r="E756" s="33">
        <f>VLOOKUP(Ventas[[#This Row],[Codigo]],Stock[#Data],3,FALSE)</f>
        <v>75</v>
      </c>
      <c r="F756" s="38">
        <v>1</v>
      </c>
      <c r="G756">
        <v>149</v>
      </c>
      <c r="H756" s="36">
        <f>Ventas[[#This Row],[Precio Venta]]*Ventas[[#This Row],[Cantidad]]-Ventas[[#This Row],[Descuento]]</f>
        <v>200</v>
      </c>
      <c r="I756" s="34">
        <f>Ventas[[#This Row],[Total]]-Ventas[[#This Row],[Precio compra]]*Ventas[[#This Row],[Cantidad]]</f>
        <v>125</v>
      </c>
      <c r="J756" s="34"/>
      <c r="K756" s="34">
        <f>Ventas[[#This Row],[Total]]*Ventas[[#This Row],[Total 3]]</f>
        <v>0</v>
      </c>
      <c r="L756" s="34"/>
      <c r="M756" s="34"/>
    </row>
    <row r="757" spans="1:13" ht="21.75" customHeight="1">
      <c r="A757" s="16"/>
      <c r="B757" s="39" t="s">
        <v>695</v>
      </c>
      <c r="C757" s="35" t="str">
        <f>VLOOKUP(Ventas[[#This Row],[Codigo]],Stock[#Data],2,FALSE)</f>
        <v>Tree Mix  Candy 200ml</v>
      </c>
      <c r="D757" s="37">
        <f>VLOOKUP(Ventas[[#This Row],[Codigo]],Stock[#Data],4,FALSE)</f>
        <v>1000</v>
      </c>
      <c r="E757" s="33">
        <f>VLOOKUP(Ventas[[#This Row],[Codigo]],Stock[#Data],3,FALSE)</f>
        <v>520</v>
      </c>
      <c r="F757" s="38">
        <v>1</v>
      </c>
      <c r="G757">
        <v>450</v>
      </c>
      <c r="H757" s="36">
        <f>Ventas[[#This Row],[Precio Venta]]*Ventas[[#This Row],[Cantidad]]-Ventas[[#This Row],[Descuento]]</f>
        <v>1000</v>
      </c>
      <c r="I757" s="34">
        <f>Ventas[[#This Row],[Total]]-Ventas[[#This Row],[Precio compra]]*Ventas[[#This Row],[Cantidad]]</f>
        <v>480</v>
      </c>
      <c r="J757" s="34"/>
      <c r="K757" s="34">
        <f>Ventas[[#This Row],[Total]]*Ventas[[#This Row],[Total 3]]</f>
        <v>0</v>
      </c>
      <c r="L757" s="34"/>
      <c r="M757" s="34"/>
    </row>
    <row r="758" spans="1:13" ht="21.75" customHeight="1">
      <c r="A758" s="16"/>
      <c r="B758" s="39" t="s">
        <v>695</v>
      </c>
      <c r="C758" s="35" t="str">
        <f>VLOOKUP(Ventas[[#This Row],[Codigo]],Stock[#Data],2,FALSE)</f>
        <v>Cultivate Melaza 250ml</v>
      </c>
      <c r="D758" s="37">
        <f>VLOOKUP(Ventas[[#This Row],[Codigo]],Stock[#Data],4,FALSE)</f>
        <v>1300</v>
      </c>
      <c r="E758" s="33">
        <f>VLOOKUP(Ventas[[#This Row],[Codigo]],Stock[#Data],3,FALSE)</f>
        <v>650</v>
      </c>
      <c r="F758" s="38">
        <v>1</v>
      </c>
      <c r="G758">
        <v>543</v>
      </c>
      <c r="H758" s="36">
        <f>Ventas[[#This Row],[Precio Venta]]*Ventas[[#This Row],[Cantidad]]-Ventas[[#This Row],[Descuento]]</f>
        <v>1300</v>
      </c>
      <c r="I758" s="34">
        <f>Ventas[[#This Row],[Total]]-Ventas[[#This Row],[Precio compra]]*Ventas[[#This Row],[Cantidad]]</f>
        <v>650</v>
      </c>
      <c r="J758" s="34"/>
      <c r="K758" s="34">
        <f>Ventas[[#This Row],[Total]]*Ventas[[#This Row],[Total 3]]</f>
        <v>0</v>
      </c>
      <c r="L758" s="34"/>
      <c r="M758" s="34"/>
    </row>
    <row r="759" spans="1:13" ht="21.75" customHeight="1">
      <c r="A759" s="16"/>
      <c r="B759" s="39" t="s">
        <v>695</v>
      </c>
      <c r="C759" s="35" t="str">
        <f>VLOOKUP(Ventas[[#This Row],[Codigo]],Stock[#Data],2,FALSE)</f>
        <v>Namaste Flora Booster 100ml</v>
      </c>
      <c r="D759" s="37">
        <f>VLOOKUP(Ventas[[#This Row],[Codigo]],Stock[#Data],4,FALSE)</f>
        <v>1000</v>
      </c>
      <c r="E759" s="33">
        <f>VLOOKUP(Ventas[[#This Row],[Codigo]],Stock[#Data],3,FALSE)</f>
        <v>517</v>
      </c>
      <c r="F759" s="38">
        <v>2</v>
      </c>
      <c r="G759">
        <v>480</v>
      </c>
      <c r="H759" s="36">
        <f>Ventas[[#This Row],[Precio Venta]]*Ventas[[#This Row],[Cantidad]]-Ventas[[#This Row],[Descuento]]</f>
        <v>2000</v>
      </c>
      <c r="I759" s="34">
        <f>Ventas[[#This Row],[Total]]-Ventas[[#This Row],[Precio compra]]*Ventas[[#This Row],[Cantidad]]</f>
        <v>966</v>
      </c>
      <c r="J759" s="34"/>
      <c r="K759" s="34">
        <f>Ventas[[#This Row],[Total]]*Ventas[[#This Row],[Total 3]]</f>
        <v>0</v>
      </c>
      <c r="L759" s="34"/>
      <c r="M759" s="34"/>
    </row>
    <row r="760" spans="1:13" ht="21.75" customHeight="1">
      <c r="A760" s="16"/>
      <c r="B760" s="39" t="s">
        <v>695</v>
      </c>
      <c r="C760" s="35" t="str">
        <f>VLOOKUP(Ventas[[#This Row],[Codigo]],Stock[#Data],2,FALSE)</f>
        <v>Sustrato Perlita</v>
      </c>
      <c r="D760" s="37">
        <f>VLOOKUP(Ventas[[#This Row],[Codigo]],Stock[#Data],4,FALSE)</f>
        <v>800</v>
      </c>
      <c r="E760" s="33">
        <f>VLOOKUP(Ventas[[#This Row],[Codigo]],Stock[#Data],3,FALSE)</f>
        <v>400</v>
      </c>
      <c r="F760" s="38">
        <v>1</v>
      </c>
      <c r="G760">
        <v>52</v>
      </c>
      <c r="H760" s="36">
        <f>Ventas[[#This Row],[Precio Venta]]*Ventas[[#This Row],[Cantidad]]-Ventas[[#This Row],[Descuento]]</f>
        <v>800</v>
      </c>
      <c r="I760" s="34">
        <f>Ventas[[#This Row],[Total]]-Ventas[[#This Row],[Precio compra]]*Ventas[[#This Row],[Cantidad]]</f>
        <v>400</v>
      </c>
      <c r="J760" s="34"/>
      <c r="K760" s="34">
        <f>Ventas[[#This Row],[Total]]*Ventas[[#This Row],[Total 3]]</f>
        <v>0</v>
      </c>
      <c r="L760" s="34"/>
      <c r="M760" s="34"/>
    </row>
    <row r="761" spans="1:13" ht="21.75" customHeight="1">
      <c r="A761" s="16"/>
      <c r="B761" s="39" t="s">
        <v>695</v>
      </c>
      <c r="C761" s="35" t="str">
        <f>VLOOKUP(Ventas[[#This Row],[Codigo]],Stock[#Data],2,FALSE)</f>
        <v>Revienta Esquejes 50cc</v>
      </c>
      <c r="D761" s="37">
        <f>VLOOKUP(Ventas[[#This Row],[Codigo]],Stock[#Data],4,FALSE)</f>
        <v>3000</v>
      </c>
      <c r="E761" s="33">
        <f>VLOOKUP(Ventas[[#This Row],[Codigo]],Stock[#Data],3,FALSE)</f>
        <v>1660</v>
      </c>
      <c r="F761" s="38">
        <v>1</v>
      </c>
      <c r="G761">
        <v>494</v>
      </c>
      <c r="H761" s="36">
        <f>Ventas[[#This Row],[Precio Venta]]*Ventas[[#This Row],[Cantidad]]-Ventas[[#This Row],[Descuento]]</f>
        <v>3000</v>
      </c>
      <c r="I761" s="34">
        <f>Ventas[[#This Row],[Total]]-Ventas[[#This Row],[Precio compra]]*Ventas[[#This Row],[Cantidad]]</f>
        <v>1340</v>
      </c>
      <c r="J761" s="34"/>
      <c r="K761" s="34">
        <f>Ventas[[#This Row],[Total]]*Ventas[[#This Row],[Total 3]]</f>
        <v>0</v>
      </c>
      <c r="L761" s="34"/>
      <c r="M761" s="34"/>
    </row>
    <row r="762" spans="1:13" ht="21.75" customHeight="1">
      <c r="A762" s="16"/>
      <c r="B762" s="39" t="s">
        <v>695</v>
      </c>
      <c r="C762" s="35" t="str">
        <f>VLOOKUP(Ventas[[#This Row],[Codigo]],Stock[#Data],2,FALSE)</f>
        <v>Namaste Shanti 100ml</v>
      </c>
      <c r="D762" s="37">
        <f>VLOOKUP(Ventas[[#This Row],[Codigo]],Stock[#Data],4,FALSE)</f>
        <v>2000</v>
      </c>
      <c r="E762" s="33">
        <f>VLOOKUP(Ventas[[#This Row],[Codigo]],Stock[#Data],3,FALSE)</f>
        <v>932</v>
      </c>
      <c r="F762" s="38">
        <v>4</v>
      </c>
      <c r="G762">
        <v>569</v>
      </c>
      <c r="H762" s="36">
        <f>Ventas[[#This Row],[Precio Venta]]*Ventas[[#This Row],[Cantidad]]-Ventas[[#This Row],[Descuento]]</f>
        <v>8000</v>
      </c>
      <c r="I762" s="34">
        <f>Ventas[[#This Row],[Total]]-Ventas[[#This Row],[Precio compra]]*Ventas[[#This Row],[Cantidad]]</f>
        <v>4272</v>
      </c>
      <c r="J762" s="34"/>
      <c r="K762" s="34">
        <f>Ventas[[#This Row],[Total]]*Ventas[[#This Row],[Total 3]]</f>
        <v>0</v>
      </c>
      <c r="L762" s="34"/>
      <c r="M762" s="34"/>
    </row>
    <row r="763" spans="1:13" ht="21.75" customHeight="1">
      <c r="A763" s="16"/>
      <c r="B763" s="39" t="s">
        <v>695</v>
      </c>
      <c r="C763" s="35" t="str">
        <f>VLOOKUP(Ventas[[#This Row],[Codigo]],Stock[#Data],2,FALSE)</f>
        <v>Namaste Trico+ 250gr</v>
      </c>
      <c r="D763" s="37">
        <f>VLOOKUP(Ventas[[#This Row],[Codigo]],Stock[#Data],4,FALSE)</f>
        <v>2000</v>
      </c>
      <c r="E763" s="33">
        <f>VLOOKUP(Ventas[[#This Row],[Codigo]],Stock[#Data],3,FALSE)</f>
        <v>1033</v>
      </c>
      <c r="F763" s="38">
        <v>1</v>
      </c>
      <c r="G763">
        <v>500</v>
      </c>
      <c r="H763" s="36">
        <f>Ventas[[#This Row],[Precio Venta]]*Ventas[[#This Row],[Cantidad]]-Ventas[[#This Row],[Descuento]]</f>
        <v>2000</v>
      </c>
      <c r="I763" s="34">
        <f>Ventas[[#This Row],[Total]]-Ventas[[#This Row],[Precio compra]]*Ventas[[#This Row],[Cantidad]]</f>
        <v>967</v>
      </c>
      <c r="J763" s="34"/>
      <c r="K763" s="34">
        <f>Ventas[[#This Row],[Total]]*Ventas[[#This Row],[Total 3]]</f>
        <v>0</v>
      </c>
      <c r="L763" s="34"/>
      <c r="M763" s="34"/>
    </row>
    <row r="764" spans="1:13" ht="21.75" customHeight="1">
      <c r="A764" s="16"/>
      <c r="B764" s="39" t="s">
        <v>695</v>
      </c>
      <c r="C764" s="35" t="str">
        <f>VLOOKUP(Ventas[[#This Row],[Codigo]],Stock[#Data],2,FALSE)</f>
        <v>Namaste Oro Negro 100ml</v>
      </c>
      <c r="D764" s="37">
        <f>VLOOKUP(Ventas[[#This Row],[Codigo]],Stock[#Data],4,FALSE)</f>
        <v>1000</v>
      </c>
      <c r="E764" s="33">
        <f>VLOOKUP(Ventas[[#This Row],[Codigo]],Stock[#Data],3,FALSE)</f>
        <v>515</v>
      </c>
      <c r="F764" s="38">
        <v>1</v>
      </c>
      <c r="G764">
        <v>478</v>
      </c>
      <c r="H764" s="36">
        <f>Ventas[[#This Row],[Precio Venta]]*Ventas[[#This Row],[Cantidad]]-Ventas[[#This Row],[Descuento]]</f>
        <v>1000</v>
      </c>
      <c r="I764" s="34">
        <f>Ventas[[#This Row],[Total]]-Ventas[[#This Row],[Precio compra]]*Ventas[[#This Row],[Cantidad]]</f>
        <v>485</v>
      </c>
      <c r="J764" s="34"/>
      <c r="K764" s="34">
        <f>Ventas[[#This Row],[Total]]*Ventas[[#This Row],[Total 3]]</f>
        <v>0</v>
      </c>
      <c r="L764" s="34"/>
      <c r="M764" s="34"/>
    </row>
    <row r="765" spans="1:13" ht="21.75" customHeight="1">
      <c r="A765" s="16"/>
      <c r="B765" s="39" t="s">
        <v>695</v>
      </c>
      <c r="C765" s="35" t="str">
        <f>VLOOKUP(Ventas[[#This Row],[Codigo]],Stock[#Data],2,FALSE)</f>
        <v>TreeMIX CANDY 45 ml</v>
      </c>
      <c r="D765" s="37">
        <f>VLOOKUP(Ventas[[#This Row],[Codigo]],Stock[#Data],4,FALSE)</f>
        <v>500</v>
      </c>
      <c r="E765" s="33">
        <f>VLOOKUP(Ventas[[#This Row],[Codigo]],Stock[#Data],3,FALSE)</f>
        <v>220</v>
      </c>
      <c r="F765" s="38">
        <v>2</v>
      </c>
      <c r="G765">
        <v>26</v>
      </c>
      <c r="H765" s="36">
        <f>Ventas[[#This Row],[Precio Venta]]*Ventas[[#This Row],[Cantidad]]-Ventas[[#This Row],[Descuento]]</f>
        <v>1000</v>
      </c>
      <c r="I765" s="34">
        <f>Ventas[[#This Row],[Total]]-Ventas[[#This Row],[Precio compra]]*Ventas[[#This Row],[Cantidad]]</f>
        <v>560</v>
      </c>
      <c r="J765" s="34"/>
      <c r="K765" s="34">
        <f>Ventas[[#This Row],[Total]]*Ventas[[#This Row],[Total 3]]</f>
        <v>0</v>
      </c>
      <c r="L765" s="34"/>
      <c r="M765" s="34"/>
    </row>
    <row r="766" spans="1:13" ht="21.75" customHeight="1">
      <c r="A766" s="16"/>
      <c r="B766" s="39" t="s">
        <v>695</v>
      </c>
      <c r="C766" s="35" t="str">
        <f>VLOOKUP(Ventas[[#This Row],[Codigo]],Stock[#Data],2,FALSE)</f>
        <v>TreeMIX F 45ml</v>
      </c>
      <c r="D766" s="37">
        <f>VLOOKUP(Ventas[[#This Row],[Codigo]],Stock[#Data],4,FALSE)</f>
        <v>550</v>
      </c>
      <c r="E766" s="33">
        <f>VLOOKUP(Ventas[[#This Row],[Codigo]],Stock[#Data],3,FALSE)</f>
        <v>275</v>
      </c>
      <c r="F766" s="38">
        <v>2</v>
      </c>
      <c r="G766">
        <v>22</v>
      </c>
      <c r="H766" s="36">
        <f>Ventas[[#This Row],[Precio Venta]]*Ventas[[#This Row],[Cantidad]]-Ventas[[#This Row],[Descuento]]</f>
        <v>1100</v>
      </c>
      <c r="I766" s="34">
        <f>Ventas[[#This Row],[Total]]-Ventas[[#This Row],[Precio compra]]*Ventas[[#This Row],[Cantidad]]</f>
        <v>550</v>
      </c>
      <c r="J766" s="34"/>
      <c r="K766" s="34">
        <f>Ventas[[#This Row],[Total]]*Ventas[[#This Row],[Total 3]]</f>
        <v>0</v>
      </c>
      <c r="L766" s="34"/>
      <c r="M766" s="34"/>
    </row>
    <row r="767" spans="1:13" ht="21.75" customHeight="1">
      <c r="A767" s="16"/>
      <c r="B767" s="39" t="s">
        <v>695</v>
      </c>
      <c r="C767" s="35" t="str">
        <f>VLOOKUP(Ventas[[#This Row],[Codigo]],Stock[#Data],2,FALSE)</f>
        <v>TreeMIX A 45ml</v>
      </c>
      <c r="D767" s="37">
        <f>VLOOKUP(Ventas[[#This Row],[Codigo]],Stock[#Data],4,FALSE)</f>
        <v>500</v>
      </c>
      <c r="E767" s="33">
        <f>VLOOKUP(Ventas[[#This Row],[Codigo]],Stock[#Data],3,FALSE)</f>
        <v>260</v>
      </c>
      <c r="F767" s="38">
        <v>2</v>
      </c>
      <c r="G767">
        <v>21</v>
      </c>
      <c r="H767" s="36">
        <f>Ventas[[#This Row],[Precio Venta]]*Ventas[[#This Row],[Cantidad]]-Ventas[[#This Row],[Descuento]]</f>
        <v>1000</v>
      </c>
      <c r="I767" s="34">
        <f>Ventas[[#This Row],[Total]]-Ventas[[#This Row],[Precio compra]]*Ventas[[#This Row],[Cantidad]]</f>
        <v>480</v>
      </c>
      <c r="J767" s="34"/>
      <c r="K767" s="34">
        <f>Ventas[[#This Row],[Total]]*Ventas[[#This Row],[Total 3]]</f>
        <v>0</v>
      </c>
      <c r="L767" s="34"/>
      <c r="M767" s="34"/>
    </row>
    <row r="768" spans="1:13" ht="21.75" customHeight="1">
      <c r="A768" s="16"/>
      <c r="B768" s="39" t="s">
        <v>695</v>
      </c>
      <c r="C768" s="35" t="str">
        <f>VLOOKUP(Ventas[[#This Row],[Codigo]],Stock[#Data],2,FALSE)</f>
        <v>Landiner Turba 10l</v>
      </c>
      <c r="D768" s="37">
        <f>VLOOKUP(Ventas[[#This Row],[Codigo]],Stock[#Data],4,FALSE)</f>
        <v>1700</v>
      </c>
      <c r="E768" s="33">
        <f>VLOOKUP(Ventas[[#This Row],[Codigo]],Stock[#Data],3,FALSE)</f>
        <v>845</v>
      </c>
      <c r="F768" s="38">
        <v>1</v>
      </c>
      <c r="G768">
        <v>51</v>
      </c>
      <c r="H768" s="36">
        <f>Ventas[[#This Row],[Precio Venta]]*Ventas[[#This Row],[Cantidad]]-Ventas[[#This Row],[Descuento]]</f>
        <v>1700</v>
      </c>
      <c r="I768" s="34">
        <f>Ventas[[#This Row],[Total]]-Ventas[[#This Row],[Precio compra]]*Ventas[[#This Row],[Cantidad]]</f>
        <v>855</v>
      </c>
      <c r="J768" s="34"/>
      <c r="K768" s="34">
        <f>Ventas[[#This Row],[Total]]*Ventas[[#This Row],[Total 3]]</f>
        <v>0</v>
      </c>
      <c r="L768" s="34"/>
      <c r="M768" s="34"/>
    </row>
    <row r="769" spans="1:13" ht="21.75" customHeight="1">
      <c r="A769" s="16"/>
      <c r="B769" s="39" t="s">
        <v>695</v>
      </c>
      <c r="C769" s="35" t="str">
        <f>VLOOKUP(Ventas[[#This Row],[Codigo]],Stock[#Data],2,FALSE)</f>
        <v>4 en 1 250ml Green Leaf Insumos</v>
      </c>
      <c r="D769" s="37">
        <f>VLOOKUP(Ventas[[#This Row],[Codigo]],Stock[#Data],4,FALSE)</f>
        <v>2300</v>
      </c>
      <c r="E769" s="33">
        <f>VLOOKUP(Ventas[[#This Row],[Codigo]],Stock[#Data],3,FALSE)</f>
        <v>1179</v>
      </c>
      <c r="F769" s="38">
        <v>1</v>
      </c>
      <c r="G769">
        <v>576</v>
      </c>
      <c r="H769" s="36">
        <f>Ventas[[#This Row],[Precio Venta]]*Ventas[[#This Row],[Cantidad]]-Ventas[[#This Row],[Descuento]]</f>
        <v>2300</v>
      </c>
      <c r="I769" s="34">
        <f>Ventas[[#This Row],[Total]]-Ventas[[#This Row],[Precio compra]]*Ventas[[#This Row],[Cantidad]]</f>
        <v>1121</v>
      </c>
      <c r="J769" s="34"/>
      <c r="K769" s="34">
        <f>Ventas[[#This Row],[Total]]*Ventas[[#This Row],[Total 3]]</f>
        <v>0</v>
      </c>
      <c r="L769" s="34"/>
      <c r="M769" s="34"/>
    </row>
    <row r="770" spans="1:13" ht="21.75" customHeight="1">
      <c r="A770" s="16"/>
      <c r="B770" s="39" t="s">
        <v>695</v>
      </c>
      <c r="C770" s="35" t="str">
        <f>VLOOKUP(Ventas[[#This Row],[Codigo]],Stock[#Data],2,FALSE)</f>
        <v>VAMP hechizo BOOM</v>
      </c>
      <c r="D770" s="37">
        <f>VLOOKUP(Ventas[[#This Row],[Codigo]],Stock[#Data],4,FALSE)</f>
        <v>1200</v>
      </c>
      <c r="E770" s="33">
        <f>VLOOKUP(Ventas[[#This Row],[Codigo]],Stock[#Data],3,FALSE)</f>
        <v>600</v>
      </c>
      <c r="F770" s="38">
        <v>1</v>
      </c>
      <c r="G770">
        <v>39</v>
      </c>
      <c r="H770" s="36">
        <f>Ventas[[#This Row],[Precio Venta]]*Ventas[[#This Row],[Cantidad]]-Ventas[[#This Row],[Descuento]]</f>
        <v>1200</v>
      </c>
      <c r="I770" s="34">
        <f>Ventas[[#This Row],[Total]]-Ventas[[#This Row],[Precio compra]]*Ventas[[#This Row],[Cantidad]]</f>
        <v>600</v>
      </c>
      <c r="J770" s="34"/>
      <c r="K770" s="34">
        <f>Ventas[[#This Row],[Total]]*Ventas[[#This Row],[Total 3]]</f>
        <v>0</v>
      </c>
      <c r="L770" s="34"/>
      <c r="M770" s="34"/>
    </row>
    <row r="771" spans="1:13" ht="21.75" customHeight="1">
      <c r="A771" s="16"/>
      <c r="B771" s="39" t="s">
        <v>695</v>
      </c>
      <c r="C771" s="35" t="str">
        <f>VLOOKUP(Ventas[[#This Row],[Codigo]],Stock[#Data],2,FALSE)</f>
        <v>VAMP hechizo BLOOM</v>
      </c>
      <c r="D771" s="37">
        <f>VLOOKUP(Ventas[[#This Row],[Codigo]],Stock[#Data],4,FALSE)</f>
        <v>1200</v>
      </c>
      <c r="E771" s="33">
        <f>VLOOKUP(Ventas[[#This Row],[Codigo]],Stock[#Data],3,FALSE)</f>
        <v>600</v>
      </c>
      <c r="F771" s="38">
        <v>1</v>
      </c>
      <c r="G771">
        <v>40</v>
      </c>
      <c r="H771" s="36">
        <f>Ventas[[#This Row],[Precio Venta]]*Ventas[[#This Row],[Cantidad]]-Ventas[[#This Row],[Descuento]]</f>
        <v>1200</v>
      </c>
      <c r="I771" s="34">
        <f>Ventas[[#This Row],[Total]]-Ventas[[#This Row],[Precio compra]]*Ventas[[#This Row],[Cantidad]]</f>
        <v>600</v>
      </c>
      <c r="J771" s="34"/>
      <c r="K771" s="34">
        <f>Ventas[[#This Row],[Total]]*Ventas[[#This Row],[Total 3]]</f>
        <v>0</v>
      </c>
      <c r="L771" s="34"/>
      <c r="M771" s="34"/>
    </row>
    <row r="772" spans="1:13" ht="21.75" customHeight="1">
      <c r="A772" s="16"/>
      <c r="B772" s="39">
        <v>44984</v>
      </c>
      <c r="C772" s="35" t="str">
        <f>VLOOKUP(Ventas[[#This Row],[Codigo]],Stock[#Data],2,FALSE)</f>
        <v>Sedas Blunt Rey 1/4 celulosa Verde</v>
      </c>
      <c r="D772" s="37">
        <f>VLOOKUP(Ventas[[#This Row],[Codigo]],Stock[#Data],4,FALSE)</f>
        <v>300</v>
      </c>
      <c r="E772" s="33">
        <f>VLOOKUP(Ventas[[#This Row],[Codigo]],Stock[#Data],3,FALSE)</f>
        <v>135</v>
      </c>
      <c r="F772" s="38">
        <v>1</v>
      </c>
      <c r="G772">
        <v>72</v>
      </c>
      <c r="H772" s="36">
        <f>Ventas[[#This Row],[Precio Venta]]*Ventas[[#This Row],[Cantidad]]-Ventas[[#This Row],[Descuento]]</f>
        <v>300</v>
      </c>
      <c r="I772" s="34">
        <f>Ventas[[#This Row],[Total]]-Ventas[[#This Row],[Precio compra]]*Ventas[[#This Row],[Cantidad]]</f>
        <v>165</v>
      </c>
      <c r="J772" s="34"/>
      <c r="K772" s="34">
        <f>Ventas[[#This Row],[Total]]*Ventas[[#This Row],[Total 3]]</f>
        <v>0</v>
      </c>
      <c r="L772" s="34"/>
      <c r="M772" s="34"/>
    </row>
    <row r="773" spans="1:13" ht="21.75" customHeight="1">
      <c r="A773" s="16"/>
      <c r="B773" s="39">
        <v>44984</v>
      </c>
      <c r="C773" s="35" t="str">
        <f>VLOOKUP(Ventas[[#This Row],[Codigo]],Stock[#Data],2,FALSE)</f>
        <v>Blunt Lion Rolling Circus TERPENES GELATO</v>
      </c>
      <c r="D773" s="37">
        <f>VLOOKUP(Ventas[[#This Row],[Codigo]],Stock[#Data],4,FALSE)</f>
        <v>850</v>
      </c>
      <c r="E773" s="33">
        <f>VLOOKUP(Ventas[[#This Row],[Codigo]],Stock[#Data],3,FALSE)</f>
        <v>422</v>
      </c>
      <c r="F773" s="38">
        <v>1</v>
      </c>
      <c r="G773">
        <v>99</v>
      </c>
      <c r="H773" s="36">
        <f>Ventas[[#This Row],[Precio Venta]]*Ventas[[#This Row],[Cantidad]]-Ventas[[#This Row],[Descuento]]</f>
        <v>850</v>
      </c>
      <c r="I773" s="34">
        <f>Ventas[[#This Row],[Total]]-Ventas[[#This Row],[Precio compra]]*Ventas[[#This Row],[Cantidad]]</f>
        <v>428</v>
      </c>
      <c r="J773" s="34"/>
      <c r="K773" s="34">
        <f>Ventas[[#This Row],[Total]]*Ventas[[#This Row],[Total 3]]</f>
        <v>0</v>
      </c>
      <c r="L773" s="34"/>
      <c r="M773" s="34"/>
    </row>
    <row r="774" spans="1:13" ht="21.75" customHeight="1">
      <c r="A774" s="16"/>
      <c r="B774" s="39">
        <v>44984</v>
      </c>
      <c r="C774" s="35" t="str">
        <f>VLOOKUP(Ventas[[#This Row],[Codigo]],Stock[#Data],2,FALSE)</f>
        <v>Lata Elements</v>
      </c>
      <c r="D774" s="37">
        <f>VLOOKUP(Ventas[[#This Row],[Codigo]],Stock[#Data],4,FALSE)</f>
        <v>2000</v>
      </c>
      <c r="E774" s="33">
        <f>VLOOKUP(Ventas[[#This Row],[Codigo]],Stock[#Data],3,FALSE)</f>
        <v>1028</v>
      </c>
      <c r="F774" s="38">
        <v>1</v>
      </c>
      <c r="G774">
        <v>590</v>
      </c>
      <c r="H774" s="36">
        <f>Ventas[[#This Row],[Precio Venta]]*Ventas[[#This Row],[Cantidad]]-Ventas[[#This Row],[Descuento]]</f>
        <v>2000</v>
      </c>
      <c r="I774" s="34">
        <f>Ventas[[#This Row],[Total]]-Ventas[[#This Row],[Precio compra]]*Ventas[[#This Row],[Cantidad]]</f>
        <v>972</v>
      </c>
      <c r="J774" s="34"/>
      <c r="K774" s="34">
        <f>Ventas[[#This Row],[Total]]*Ventas[[#This Row],[Total 3]]</f>
        <v>0</v>
      </c>
      <c r="L774" s="34"/>
      <c r="M774" s="34"/>
    </row>
    <row r="775" spans="1:13" ht="21.75" customHeight="1">
      <c r="A775" s="16"/>
      <c r="B775" s="39">
        <v>44984</v>
      </c>
      <c r="C775" s="35" t="str">
        <f>VLOOKUP(Ventas[[#This Row],[Codigo]],Stock[#Data],2,FALSE)</f>
        <v>Tips STAMPS ECO</v>
      </c>
      <c r="D775" s="37">
        <f>VLOOKUP(Ventas[[#This Row],[Codigo]],Stock[#Data],4,FALSE)</f>
        <v>150</v>
      </c>
      <c r="E775" s="33">
        <f>VLOOKUP(Ventas[[#This Row],[Codigo]],Stock[#Data],3,FALSE)</f>
        <v>73</v>
      </c>
      <c r="F775" s="38">
        <v>1</v>
      </c>
      <c r="G775">
        <v>308</v>
      </c>
      <c r="H775" s="36">
        <f>Ventas[[#This Row],[Precio Venta]]*Ventas[[#This Row],[Cantidad]]-Ventas[[#This Row],[Descuento]]</f>
        <v>150</v>
      </c>
      <c r="I775" s="34">
        <f>Ventas[[#This Row],[Total]]-Ventas[[#This Row],[Precio compra]]*Ventas[[#This Row],[Cantidad]]</f>
        <v>77</v>
      </c>
      <c r="J775" s="34"/>
      <c r="K775" s="34">
        <f>Ventas[[#This Row],[Total]]*Ventas[[#This Row],[Total 3]]</f>
        <v>0</v>
      </c>
      <c r="L775" s="34"/>
      <c r="M775" s="34"/>
    </row>
    <row r="776" spans="1:13" ht="21.75" customHeight="1">
      <c r="A776" s="16"/>
      <c r="B776" s="39">
        <v>44984</v>
      </c>
      <c r="C776" s="35" t="str">
        <f>VLOOKUP(Ventas[[#This Row],[Codigo]],Stock[#Data],2,FALSE)</f>
        <v>Sauver 1/4</v>
      </c>
      <c r="D776" s="37">
        <f>VLOOKUP(Ventas[[#This Row],[Codigo]],Stock[#Data],4,FALSE)</f>
        <v>200</v>
      </c>
      <c r="E776" s="33">
        <f>VLOOKUP(Ventas[[#This Row],[Codigo]],Stock[#Data],3,FALSE)</f>
        <v>75</v>
      </c>
      <c r="F776" s="38">
        <v>1</v>
      </c>
      <c r="G776">
        <v>149</v>
      </c>
      <c r="H776" s="36">
        <f>Ventas[[#This Row],[Precio Venta]]*Ventas[[#This Row],[Cantidad]]-Ventas[[#This Row],[Descuento]]</f>
        <v>200</v>
      </c>
      <c r="I776" s="34">
        <f>Ventas[[#This Row],[Total]]-Ventas[[#This Row],[Precio compra]]*Ventas[[#This Row],[Cantidad]]</f>
        <v>125</v>
      </c>
      <c r="J776" s="34"/>
      <c r="K776" s="34">
        <f>Ventas[[#This Row],[Total]]*Ventas[[#This Row],[Total 3]]</f>
        <v>0</v>
      </c>
      <c r="L776" s="34"/>
      <c r="M776" s="34"/>
    </row>
    <row r="777" spans="1:13" ht="21.75" customHeight="1">
      <c r="A777" s="16"/>
      <c r="B777" s="39">
        <v>44984</v>
      </c>
      <c r="C777" s="35" t="str">
        <f>VLOOKUP(Ventas[[#This Row],[Codigo]],Stock[#Data],2,FALSE)</f>
        <v>Maca Brew 500cc</v>
      </c>
      <c r="D777" s="37">
        <f>VLOOKUP(Ventas[[#This Row],[Codigo]],Stock[#Data],4,FALSE)</f>
        <v>1000</v>
      </c>
      <c r="E777" s="33">
        <f>VLOOKUP(Ventas[[#This Row],[Codigo]],Stock[#Data],3,FALSE)</f>
        <v>470</v>
      </c>
      <c r="F777" s="38">
        <v>1</v>
      </c>
      <c r="G777">
        <v>12</v>
      </c>
      <c r="H777" s="36">
        <f>Ventas[[#This Row],[Precio Venta]]*Ventas[[#This Row],[Cantidad]]-Ventas[[#This Row],[Descuento]]</f>
        <v>1000</v>
      </c>
      <c r="I777" s="34">
        <f>Ventas[[#This Row],[Total]]-Ventas[[#This Row],[Precio compra]]*Ventas[[#This Row],[Cantidad]]</f>
        <v>530</v>
      </c>
      <c r="J777" s="34"/>
      <c r="K777" s="34">
        <f>Ventas[[#This Row],[Total]]*Ventas[[#This Row],[Total 3]]</f>
        <v>0</v>
      </c>
      <c r="L777" s="34"/>
      <c r="M777" s="34"/>
    </row>
    <row r="778" spans="1:13" ht="21.75" customHeight="1">
      <c r="A778" s="16"/>
      <c r="B778" s="39">
        <v>44984</v>
      </c>
      <c r="C778" s="35" t="str">
        <f>VLOOKUP(Ventas[[#This Row],[Codigo]],Stock[#Data],2,FALSE)</f>
        <v>CropSecret 250ml Candy Maker</v>
      </c>
      <c r="D778" s="37">
        <f>VLOOKUP(Ventas[[#This Row],[Codigo]],Stock[#Data],4,FALSE)</f>
        <v>2000</v>
      </c>
      <c r="E778" s="33">
        <f>VLOOKUP(Ventas[[#This Row],[Codigo]],Stock[#Data],3,FALSE)</f>
        <v>707</v>
      </c>
      <c r="F778" s="38">
        <v>1</v>
      </c>
      <c r="G778">
        <v>5</v>
      </c>
      <c r="H778" s="36">
        <f>Ventas[[#This Row],[Precio Venta]]*Ventas[[#This Row],[Cantidad]]-Ventas[[#This Row],[Descuento]]</f>
        <v>2000</v>
      </c>
      <c r="I778" s="34">
        <f>Ventas[[#This Row],[Total]]-Ventas[[#This Row],[Precio compra]]*Ventas[[#This Row],[Cantidad]]</f>
        <v>1293</v>
      </c>
      <c r="J778" s="34"/>
      <c r="K778" s="34">
        <f>Ventas[[#This Row],[Total]]*Ventas[[#This Row],[Total 3]]</f>
        <v>0</v>
      </c>
      <c r="L778" s="34"/>
      <c r="M778" s="34"/>
    </row>
    <row r="779" spans="1:13" ht="21.75" customHeight="1">
      <c r="A779" s="16"/>
      <c r="B779" s="39">
        <v>44984</v>
      </c>
      <c r="C779" s="35" t="str">
        <f>VLOOKUP(Ventas[[#This Row],[Codigo]],Stock[#Data],2,FALSE)</f>
        <v>Namaste Shanti 100ml</v>
      </c>
      <c r="D779" s="37">
        <f>VLOOKUP(Ventas[[#This Row],[Codigo]],Stock[#Data],4,FALSE)</f>
        <v>2000</v>
      </c>
      <c r="E779" s="33">
        <f>VLOOKUP(Ventas[[#This Row],[Codigo]],Stock[#Data],3,FALSE)</f>
        <v>932</v>
      </c>
      <c r="F779" s="38">
        <v>1</v>
      </c>
      <c r="G779">
        <v>569</v>
      </c>
      <c r="H779" s="36">
        <f>Ventas[[#This Row],[Precio Venta]]*Ventas[[#This Row],[Cantidad]]-Ventas[[#This Row],[Descuento]]</f>
        <v>2000</v>
      </c>
      <c r="I779" s="34">
        <f>Ventas[[#This Row],[Total]]-Ventas[[#This Row],[Precio compra]]*Ventas[[#This Row],[Cantidad]]</f>
        <v>1068</v>
      </c>
      <c r="J779" s="34"/>
      <c r="K779" s="34">
        <f>Ventas[[#This Row],[Total]]*Ventas[[#This Row],[Total 3]]</f>
        <v>0</v>
      </c>
      <c r="L779" s="34"/>
      <c r="M779" s="34"/>
    </row>
    <row r="780" spans="1:13" ht="21.75" customHeight="1">
      <c r="A780" s="16"/>
      <c r="B780" s="39">
        <v>44984</v>
      </c>
      <c r="C780" s="35" t="str">
        <f>VLOOKUP(Ventas[[#This Row],[Codigo]],Stock[#Data],2,FALSE)</f>
        <v>Sedas OCB 1/4 Organic  Bamboo</v>
      </c>
      <c r="D780" s="37">
        <f>VLOOKUP(Ventas[[#This Row],[Codigo]],Stock[#Data],4,FALSE)</f>
        <v>300</v>
      </c>
      <c r="E780" s="33">
        <f>VLOOKUP(Ventas[[#This Row],[Codigo]],Stock[#Data],3,FALSE)</f>
        <v>165</v>
      </c>
      <c r="F780" s="38">
        <v>3</v>
      </c>
      <c r="G780">
        <v>77</v>
      </c>
      <c r="H780" s="36">
        <f>Ventas[[#This Row],[Precio Venta]]*Ventas[[#This Row],[Cantidad]]-Ventas[[#This Row],[Descuento]]</f>
        <v>900</v>
      </c>
      <c r="I780" s="34">
        <f>Ventas[[#This Row],[Total]]-Ventas[[#This Row],[Precio compra]]*Ventas[[#This Row],[Cantidad]]</f>
        <v>405</v>
      </c>
      <c r="J780" s="34"/>
      <c r="K780" s="34">
        <f>Ventas[[#This Row],[Total]]*Ventas[[#This Row],[Total 3]]</f>
        <v>0</v>
      </c>
      <c r="L780" s="34"/>
      <c r="M780" s="34"/>
    </row>
    <row r="781" spans="1:13" ht="21.75" customHeight="1">
      <c r="A781" s="16"/>
      <c r="B781" s="39">
        <v>44984</v>
      </c>
      <c r="C781" s="35" t="str">
        <f>VLOOKUP(Ventas[[#This Row],[Codigo]],Stock[#Data],2,FALSE)</f>
        <v>Namaste Oro Negro 100ml</v>
      </c>
      <c r="D781" s="37">
        <f>VLOOKUP(Ventas[[#This Row],[Codigo]],Stock[#Data],4,FALSE)</f>
        <v>1000</v>
      </c>
      <c r="E781" s="33">
        <f>VLOOKUP(Ventas[[#This Row],[Codigo]],Stock[#Data],3,FALSE)</f>
        <v>515</v>
      </c>
      <c r="F781" s="38">
        <v>2</v>
      </c>
      <c r="G781">
        <v>478</v>
      </c>
      <c r="H781" s="36">
        <f>Ventas[[#This Row],[Precio Venta]]*Ventas[[#This Row],[Cantidad]]-Ventas[[#This Row],[Descuento]]</f>
        <v>2000</v>
      </c>
      <c r="I781" s="34">
        <f>Ventas[[#This Row],[Total]]-Ventas[[#This Row],[Precio compra]]*Ventas[[#This Row],[Cantidad]]</f>
        <v>970</v>
      </c>
      <c r="J781" s="34"/>
      <c r="K781" s="34">
        <f>Ventas[[#This Row],[Total]]*Ventas[[#This Row],[Total 3]]</f>
        <v>0</v>
      </c>
      <c r="L781" s="34"/>
      <c r="M781" s="34"/>
    </row>
    <row r="782" spans="1:13" ht="21.75" customHeight="1">
      <c r="A782" s="16"/>
      <c r="B782" s="39">
        <v>44984</v>
      </c>
      <c r="C782" s="35" t="str">
        <f>VLOOKUP(Ventas[[#This Row],[Codigo]],Stock[#Data],2,FALSE)</f>
        <v>Melaza 100% natural</v>
      </c>
      <c r="D782" s="37">
        <f>VLOOKUP(Ventas[[#This Row],[Codigo]],Stock[#Data],4,FALSE)</f>
        <v>700</v>
      </c>
      <c r="E782" s="33">
        <f>VLOOKUP(Ventas[[#This Row],[Codigo]],Stock[#Data],3,FALSE)</f>
        <v>340</v>
      </c>
      <c r="F782" s="38">
        <v>1</v>
      </c>
      <c r="G782">
        <v>455</v>
      </c>
      <c r="H782" s="36">
        <f>Ventas[[#This Row],[Precio Venta]]*Ventas[[#This Row],[Cantidad]]-Ventas[[#This Row],[Descuento]]</f>
        <v>700</v>
      </c>
      <c r="I782" s="34">
        <f>Ventas[[#This Row],[Total]]-Ventas[[#This Row],[Precio compra]]*Ventas[[#This Row],[Cantidad]]</f>
        <v>360</v>
      </c>
      <c r="J782" s="34"/>
      <c r="K782" s="34">
        <f>Ventas[[#This Row],[Total]]*Ventas[[#This Row],[Total 3]]</f>
        <v>0</v>
      </c>
      <c r="L782" s="34"/>
      <c r="M782" s="34"/>
    </row>
    <row r="783" spans="1:13" ht="21.75" customHeight="1">
      <c r="A783" s="16"/>
      <c r="B783" s="39">
        <v>44984</v>
      </c>
      <c r="C783" s="35" t="str">
        <f>VLOOKUP(Ventas[[#This Row],[Codigo]],Stock[#Data],2,FALSE)</f>
        <v>Namaste Flora Booster 100ml</v>
      </c>
      <c r="D783" s="37">
        <f>VLOOKUP(Ventas[[#This Row],[Codigo]],Stock[#Data],4,FALSE)</f>
        <v>1000</v>
      </c>
      <c r="E783" s="33">
        <f>VLOOKUP(Ventas[[#This Row],[Codigo]],Stock[#Data],3,FALSE)</f>
        <v>517</v>
      </c>
      <c r="F783" s="38">
        <v>2</v>
      </c>
      <c r="G783">
        <v>480</v>
      </c>
      <c r="H783" s="36">
        <f>Ventas[[#This Row],[Precio Venta]]*Ventas[[#This Row],[Cantidad]]-Ventas[[#This Row],[Descuento]]</f>
        <v>2000</v>
      </c>
      <c r="I783" s="34">
        <f>Ventas[[#This Row],[Total]]-Ventas[[#This Row],[Precio compra]]*Ventas[[#This Row],[Cantidad]]</f>
        <v>966</v>
      </c>
      <c r="J783" s="34"/>
      <c r="K783" s="34">
        <f>Ventas[[#This Row],[Total]]*Ventas[[#This Row],[Total 3]]</f>
        <v>0</v>
      </c>
      <c r="L783" s="34"/>
      <c r="M783" s="34"/>
    </row>
    <row r="784" spans="1:13" ht="21.75" customHeight="1">
      <c r="A784" s="16"/>
      <c r="B784" s="39">
        <v>44984</v>
      </c>
      <c r="C784" s="35" t="str">
        <f>VLOOKUP(Ventas[[#This Row],[Codigo]],Stock[#Data],2,FALSE)</f>
        <v>Rape El gran tabacal</v>
      </c>
      <c r="D784" s="37">
        <f>VLOOKUP(Ventas[[#This Row],[Codigo]],Stock[#Data],4,FALSE)</f>
        <v>1000</v>
      </c>
      <c r="E784" s="33">
        <f>VLOOKUP(Ventas[[#This Row],[Codigo]],Stock[#Data],3,FALSE)</f>
        <v>500</v>
      </c>
      <c r="F784" s="38">
        <v>2</v>
      </c>
      <c r="G784">
        <v>464</v>
      </c>
      <c r="H784" s="36">
        <f>Ventas[[#This Row],[Precio Venta]]*Ventas[[#This Row],[Cantidad]]-Ventas[[#This Row],[Descuento]]</f>
        <v>2000</v>
      </c>
      <c r="I784" s="34">
        <f>Ventas[[#This Row],[Total]]-Ventas[[#This Row],[Precio compra]]*Ventas[[#This Row],[Cantidad]]</f>
        <v>1000</v>
      </c>
      <c r="J784" s="34"/>
      <c r="K784" s="34">
        <f>Ventas[[#This Row],[Total]]*Ventas[[#This Row],[Total 3]]</f>
        <v>0</v>
      </c>
      <c r="L784" s="34"/>
      <c r="M784" s="34"/>
    </row>
    <row r="785" spans="1:13" ht="21.75" customHeight="1">
      <c r="A785" s="16"/>
      <c r="B785" s="39" t="s">
        <v>702</v>
      </c>
      <c r="C785" s="35" t="str">
        <f>VLOOKUP(Ventas[[#This Row],[Codigo]],Stock[#Data],2,FALSE)</f>
        <v xml:space="preserve">papel Mylar </v>
      </c>
      <c r="D785" s="37">
        <f>VLOOKUP(Ventas[[#This Row],[Codigo]],Stock[#Data],4,FALSE)</f>
        <v>300</v>
      </c>
      <c r="E785" s="33">
        <f>VLOOKUP(Ventas[[#This Row],[Codigo]],Stock[#Data],3,FALSE)</f>
        <v>130</v>
      </c>
      <c r="F785" s="38">
        <v>4</v>
      </c>
      <c r="G785">
        <v>572</v>
      </c>
      <c r="H785" s="36">
        <f>Ventas[[#This Row],[Precio Venta]]*Ventas[[#This Row],[Cantidad]]-Ventas[[#This Row],[Descuento]]</f>
        <v>1200</v>
      </c>
      <c r="I785" s="34">
        <f>Ventas[[#This Row],[Total]]-Ventas[[#This Row],[Precio compra]]*Ventas[[#This Row],[Cantidad]]</f>
        <v>680</v>
      </c>
      <c r="J785" s="34"/>
      <c r="K785" s="34">
        <f>Ventas[[#This Row],[Total]]*Ventas[[#This Row],[Total 3]]</f>
        <v>0</v>
      </c>
      <c r="L785" s="34"/>
      <c r="M785" s="34"/>
    </row>
    <row r="786" spans="1:13" ht="21.75" customHeight="1">
      <c r="A786" s="16"/>
      <c r="B786" s="39" t="s">
        <v>702</v>
      </c>
      <c r="C786" s="35" t="str">
        <f>VLOOKUP(Ventas[[#This Row],[Codigo]],Stock[#Data],2,FALSE)</f>
        <v>Lupa con clip x60</v>
      </c>
      <c r="D786" s="37">
        <f>VLOOKUP(Ventas[[#This Row],[Codigo]],Stock[#Data],4,FALSE)</f>
        <v>2500</v>
      </c>
      <c r="E786" s="33">
        <f>VLOOKUP(Ventas[[#This Row],[Codigo]],Stock[#Data],3,FALSE)</f>
        <v>1500</v>
      </c>
      <c r="F786" s="38">
        <v>1</v>
      </c>
      <c r="G786">
        <v>266</v>
      </c>
      <c r="H786" s="36">
        <f>Ventas[[#This Row],[Precio Venta]]*Ventas[[#This Row],[Cantidad]]-Ventas[[#This Row],[Descuento]]</f>
        <v>2500</v>
      </c>
      <c r="I786" s="34">
        <f>Ventas[[#This Row],[Total]]-Ventas[[#This Row],[Precio compra]]*Ventas[[#This Row],[Cantidad]]</f>
        <v>1000</v>
      </c>
      <c r="J786" s="34"/>
      <c r="K786" s="34">
        <f>Ventas[[#This Row],[Total]]*Ventas[[#This Row],[Total 3]]</f>
        <v>0</v>
      </c>
      <c r="L786" s="34"/>
      <c r="M786" s="34"/>
    </row>
    <row r="787" spans="1:13" ht="21.75" customHeight="1">
      <c r="A787" s="16"/>
      <c r="B787" s="39" t="s">
        <v>702</v>
      </c>
      <c r="C787" s="35" t="str">
        <f>VLOOKUP(Ventas[[#This Row],[Codigo]],Stock[#Data],2,FALSE)</f>
        <v>VAMP Guano de murcielago Flora</v>
      </c>
      <c r="D787" s="37">
        <f>VLOOKUP(Ventas[[#This Row],[Codigo]],Stock[#Data],4,FALSE)</f>
        <v>1000</v>
      </c>
      <c r="E787" s="33">
        <f>VLOOKUP(Ventas[[#This Row],[Codigo]],Stock[#Data],3,FALSE)</f>
        <v>510</v>
      </c>
      <c r="F787" s="38">
        <v>1</v>
      </c>
      <c r="G787">
        <v>38</v>
      </c>
      <c r="H787" s="36">
        <f>Ventas[[#This Row],[Precio Venta]]*Ventas[[#This Row],[Cantidad]]-Ventas[[#This Row],[Descuento]]</f>
        <v>1000</v>
      </c>
      <c r="I787" s="34">
        <f>Ventas[[#This Row],[Total]]-Ventas[[#This Row],[Precio compra]]*Ventas[[#This Row],[Cantidad]]</f>
        <v>490</v>
      </c>
      <c r="J787" s="34"/>
      <c r="K787" s="34">
        <f>Ventas[[#This Row],[Total]]*Ventas[[#This Row],[Total 3]]</f>
        <v>0</v>
      </c>
      <c r="L787" s="34"/>
      <c r="M787" s="34"/>
    </row>
    <row r="788" spans="1:13" ht="21.75" customHeight="1">
      <c r="A788" s="16"/>
      <c r="B788" s="39" t="s">
        <v>702</v>
      </c>
      <c r="C788" s="35" t="str">
        <f>VLOOKUP(Ventas[[#This Row],[Codigo]],Stock[#Data],2,FALSE)</f>
        <v>VAMP Supermelaza</v>
      </c>
      <c r="D788" s="37">
        <f>VLOOKUP(Ventas[[#This Row],[Codigo]],Stock[#Data],4,FALSE)</f>
        <v>1800</v>
      </c>
      <c r="E788" s="33">
        <f>VLOOKUP(Ventas[[#This Row],[Codigo]],Stock[#Data],3,FALSE)</f>
        <v>908</v>
      </c>
      <c r="F788" s="38">
        <v>1</v>
      </c>
      <c r="G788">
        <v>36</v>
      </c>
      <c r="H788" s="36">
        <f>Ventas[[#This Row],[Precio Venta]]*Ventas[[#This Row],[Cantidad]]-Ventas[[#This Row],[Descuento]]</f>
        <v>1800</v>
      </c>
      <c r="I788" s="34">
        <f>Ventas[[#This Row],[Total]]-Ventas[[#This Row],[Precio compra]]*Ventas[[#This Row],[Cantidad]]</f>
        <v>892</v>
      </c>
      <c r="J788" s="34"/>
      <c r="K788" s="34">
        <f>Ventas[[#This Row],[Total]]*Ventas[[#This Row],[Total 3]]</f>
        <v>0</v>
      </c>
      <c r="L788" s="34"/>
      <c r="M788" s="34"/>
    </row>
    <row r="789" spans="1:13" ht="21.75" customHeight="1">
      <c r="A789" s="16"/>
      <c r="B789" s="39">
        <v>44983</v>
      </c>
      <c r="C789" s="35" t="str">
        <f>VLOOKUP(Ventas[[#This Row],[Codigo]],Stock[#Data],2,FALSE)</f>
        <v>Namaste Flora Booster 100ml</v>
      </c>
      <c r="D789" s="37">
        <f>VLOOKUP(Ventas[[#This Row],[Codigo]],Stock[#Data],4,FALSE)</f>
        <v>1000</v>
      </c>
      <c r="E789" s="33">
        <f>VLOOKUP(Ventas[[#This Row],[Codigo]],Stock[#Data],3,FALSE)</f>
        <v>517</v>
      </c>
      <c r="F789" s="38">
        <v>1</v>
      </c>
      <c r="G789">
        <v>480</v>
      </c>
      <c r="H789" s="36">
        <f>Ventas[[#This Row],[Precio Venta]]*Ventas[[#This Row],[Cantidad]]-Ventas[[#This Row],[Descuento]]</f>
        <v>1000</v>
      </c>
      <c r="I789" s="34">
        <f>Ventas[[#This Row],[Total]]-Ventas[[#This Row],[Precio compra]]*Ventas[[#This Row],[Cantidad]]</f>
        <v>483</v>
      </c>
      <c r="J789" s="34"/>
      <c r="K789" s="34">
        <f>Ventas[[#This Row],[Total]]*Ventas[[#This Row],[Total 3]]</f>
        <v>0</v>
      </c>
      <c r="L789" s="34"/>
      <c r="M789" s="34"/>
    </row>
    <row r="790" spans="1:13" ht="21.75" customHeight="1">
      <c r="A790" s="16"/>
      <c r="B790" s="39">
        <v>44983</v>
      </c>
      <c r="C790" s="35" t="str">
        <f>VLOOKUP(Ventas[[#This Row],[Codigo]],Stock[#Data],2,FALSE)</f>
        <v>Vermiculita</v>
      </c>
      <c r="D790" s="37">
        <f>VLOOKUP(Ventas[[#This Row],[Codigo]],Stock[#Data],4,FALSE)</f>
        <v>1200</v>
      </c>
      <c r="E790" s="33">
        <f>VLOOKUP(Ventas[[#This Row],[Codigo]],Stock[#Data],3,FALSE)</f>
        <v>844</v>
      </c>
      <c r="F790" s="38">
        <v>1</v>
      </c>
      <c r="G790">
        <v>451</v>
      </c>
      <c r="H790" s="36">
        <f>Ventas[[#This Row],[Precio Venta]]*Ventas[[#This Row],[Cantidad]]-Ventas[[#This Row],[Descuento]]</f>
        <v>1200</v>
      </c>
      <c r="I790" s="34">
        <f>Ventas[[#This Row],[Total]]-Ventas[[#This Row],[Precio compra]]*Ventas[[#This Row],[Cantidad]]</f>
        <v>356</v>
      </c>
      <c r="J790" s="34"/>
      <c r="K790" s="34">
        <f>Ventas[[#This Row],[Total]]*Ventas[[#This Row],[Total 3]]</f>
        <v>0</v>
      </c>
      <c r="L790" s="34"/>
      <c r="M790" s="34"/>
    </row>
    <row r="791" spans="1:13" ht="21.75" customHeight="1">
      <c r="A791" s="16"/>
      <c r="B791" s="39">
        <v>44983</v>
      </c>
      <c r="C791" s="35" t="str">
        <f>VLOOKUP(Ventas[[#This Row],[Codigo]],Stock[#Data],2,FALSE)</f>
        <v>Landiner humus de lombríz 5l</v>
      </c>
      <c r="D791" s="37">
        <f>VLOOKUP(Ventas[[#This Row],[Codigo]],Stock[#Data],4,FALSE)</f>
        <v>850</v>
      </c>
      <c r="E791" s="33">
        <f>VLOOKUP(Ventas[[#This Row],[Codigo]],Stock[#Data],3,FALSE)</f>
        <v>416</v>
      </c>
      <c r="F791" s="38">
        <v>2</v>
      </c>
      <c r="G791">
        <v>49</v>
      </c>
      <c r="H791" s="36">
        <f>Ventas[[#This Row],[Precio Venta]]*Ventas[[#This Row],[Cantidad]]-Ventas[[#This Row],[Descuento]]</f>
        <v>1700</v>
      </c>
      <c r="I791" s="34">
        <f>Ventas[[#This Row],[Total]]-Ventas[[#This Row],[Precio compra]]*Ventas[[#This Row],[Cantidad]]</f>
        <v>868</v>
      </c>
      <c r="J791" s="34"/>
      <c r="K791" s="34">
        <f>Ventas[[#This Row],[Total]]*Ventas[[#This Row],[Total 3]]</f>
        <v>0</v>
      </c>
      <c r="L791" s="34"/>
      <c r="M791" s="34"/>
    </row>
    <row r="792" spans="1:13" ht="21.75" customHeight="1">
      <c r="A792" s="16"/>
      <c r="B792" s="39">
        <v>44983</v>
      </c>
      <c r="C792" s="35" t="str">
        <f>VLOOKUP(Ventas[[#This Row],[Codigo]],Stock[#Data],2,FALSE)</f>
        <v>Araña Roja Green Leaf 100ml</v>
      </c>
      <c r="D792" s="37">
        <f>VLOOKUP(Ventas[[#This Row],[Codigo]],Stock[#Data],4,FALSE)</f>
        <v>1800</v>
      </c>
      <c r="E792" s="33">
        <f>VLOOKUP(Ventas[[#This Row],[Codigo]],Stock[#Data],3,FALSE)</f>
        <v>904</v>
      </c>
      <c r="F792" s="38">
        <v>1</v>
      </c>
      <c r="G792">
        <v>470</v>
      </c>
      <c r="H792" s="36">
        <f>Ventas[[#This Row],[Precio Venta]]*Ventas[[#This Row],[Cantidad]]-Ventas[[#This Row],[Descuento]]</f>
        <v>1800</v>
      </c>
      <c r="I792" s="34">
        <f>Ventas[[#This Row],[Total]]-Ventas[[#This Row],[Precio compra]]*Ventas[[#This Row],[Cantidad]]</f>
        <v>896</v>
      </c>
      <c r="J792" s="34"/>
      <c r="K792" s="34">
        <f>Ventas[[#This Row],[Total]]*Ventas[[#This Row],[Total 3]]</f>
        <v>0</v>
      </c>
      <c r="L792" s="34"/>
      <c r="M792" s="34"/>
    </row>
    <row r="793" spans="1:13" ht="21.75" customHeight="1">
      <c r="A793" s="16"/>
      <c r="B793" s="39">
        <v>44983</v>
      </c>
      <c r="C793" s="35" t="str">
        <f>VLOOKUP(Ventas[[#This Row],[Codigo]],Stock[#Data],2,FALSE)</f>
        <v>4 en 1 100ml Green Leaf Insumos</v>
      </c>
      <c r="D793" s="37">
        <f>VLOOKUP(Ventas[[#This Row],[Codigo]],Stock[#Data],4,FALSE)</f>
        <v>1000</v>
      </c>
      <c r="E793" s="33">
        <f>VLOOKUP(Ventas[[#This Row],[Codigo]],Stock[#Data],3,FALSE)</f>
        <v>498</v>
      </c>
      <c r="F793" s="38">
        <v>1</v>
      </c>
      <c r="G793">
        <v>575</v>
      </c>
      <c r="H793" s="36">
        <f>Ventas[[#This Row],[Precio Venta]]*Ventas[[#This Row],[Cantidad]]-Ventas[[#This Row],[Descuento]]</f>
        <v>1000</v>
      </c>
      <c r="I793" s="34">
        <f>Ventas[[#This Row],[Total]]-Ventas[[#This Row],[Precio compra]]*Ventas[[#This Row],[Cantidad]]</f>
        <v>502</v>
      </c>
      <c r="J793" s="34"/>
      <c r="K793" s="34">
        <f>Ventas[[#This Row],[Total]]*Ventas[[#This Row],[Total 3]]</f>
        <v>0</v>
      </c>
      <c r="L793" s="34"/>
      <c r="M793" s="34"/>
    </row>
    <row r="794" spans="1:13" ht="21.75" customHeight="1">
      <c r="A794" s="16"/>
      <c r="B794" s="39">
        <v>44983</v>
      </c>
      <c r="C794" s="35" t="str">
        <f>VLOOKUP(Ventas[[#This Row],[Codigo]],Stock[#Data],2,FALSE)</f>
        <v>4 en 1 250ml Green Leaf Insumos</v>
      </c>
      <c r="D794" s="37">
        <f>VLOOKUP(Ventas[[#This Row],[Codigo]],Stock[#Data],4,FALSE)</f>
        <v>2300</v>
      </c>
      <c r="E794" s="33">
        <f>VLOOKUP(Ventas[[#This Row],[Codigo]],Stock[#Data],3,FALSE)</f>
        <v>1179</v>
      </c>
      <c r="F794" s="38">
        <v>2</v>
      </c>
      <c r="G794">
        <v>576</v>
      </c>
      <c r="H794" s="36">
        <f>Ventas[[#This Row],[Precio Venta]]*Ventas[[#This Row],[Cantidad]]-Ventas[[#This Row],[Descuento]]</f>
        <v>4600</v>
      </c>
      <c r="I794" s="34">
        <f>Ventas[[#This Row],[Total]]-Ventas[[#This Row],[Precio compra]]*Ventas[[#This Row],[Cantidad]]</f>
        <v>2242</v>
      </c>
      <c r="J794" s="34"/>
      <c r="K794" s="34">
        <f>Ventas[[#This Row],[Total]]*Ventas[[#This Row],[Total 3]]</f>
        <v>0</v>
      </c>
      <c r="L794" s="34"/>
      <c r="M794" s="34"/>
    </row>
    <row r="795" spans="1:13" ht="21.75" customHeight="1">
      <c r="A795" s="16"/>
      <c r="B795" s="39">
        <v>44983</v>
      </c>
      <c r="C795" s="35" t="str">
        <f>VLOOKUP(Ventas[[#This Row],[Codigo]],Stock[#Data],2,FALSE)</f>
        <v>Tabaco Van Kiff Vainilla</v>
      </c>
      <c r="D795" s="37">
        <f>VLOOKUP(Ventas[[#This Row],[Codigo]],Stock[#Data],4,FALSE)</f>
        <v>850</v>
      </c>
      <c r="E795" s="33">
        <f>VLOOKUP(Ventas[[#This Row],[Codigo]],Stock[#Data],3,FALSE)</f>
        <v>580</v>
      </c>
      <c r="F795" s="38">
        <v>2</v>
      </c>
      <c r="G795">
        <v>120</v>
      </c>
      <c r="H795" s="36">
        <f>Ventas[[#This Row],[Precio Venta]]*Ventas[[#This Row],[Cantidad]]-Ventas[[#This Row],[Descuento]]</f>
        <v>1700</v>
      </c>
      <c r="I795" s="34">
        <f>Ventas[[#This Row],[Total]]-Ventas[[#This Row],[Precio compra]]*Ventas[[#This Row],[Cantidad]]</f>
        <v>540</v>
      </c>
      <c r="J795" s="34"/>
      <c r="K795" s="34">
        <f>Ventas[[#This Row],[Total]]*Ventas[[#This Row],[Total 3]]</f>
        <v>0</v>
      </c>
      <c r="L795" s="34"/>
      <c r="M795" s="34"/>
    </row>
    <row r="796" spans="1:13" ht="21.75" customHeight="1">
      <c r="A796" s="16"/>
      <c r="B796" s="39">
        <v>44983</v>
      </c>
      <c r="C796" s="35" t="str">
        <f>VLOOKUP(Ventas[[#This Row],[Codigo]],Stock[#Data],2,FALSE)</f>
        <v>Sauver 1/4</v>
      </c>
      <c r="D796" s="37">
        <f>VLOOKUP(Ventas[[#This Row],[Codigo]],Stock[#Data],4,FALSE)</f>
        <v>200</v>
      </c>
      <c r="E796" s="33">
        <f>VLOOKUP(Ventas[[#This Row],[Codigo]],Stock[#Data],3,FALSE)</f>
        <v>75</v>
      </c>
      <c r="F796" s="38">
        <v>2</v>
      </c>
      <c r="G796">
        <v>149</v>
      </c>
      <c r="H796" s="36">
        <f>Ventas[[#This Row],[Precio Venta]]*Ventas[[#This Row],[Cantidad]]-Ventas[[#This Row],[Descuento]]</f>
        <v>400</v>
      </c>
      <c r="I796" s="34">
        <f>Ventas[[#This Row],[Total]]-Ventas[[#This Row],[Precio compra]]*Ventas[[#This Row],[Cantidad]]</f>
        <v>250</v>
      </c>
      <c r="J796" s="34"/>
      <c r="K796" s="34">
        <f>Ventas[[#This Row],[Total]]*Ventas[[#This Row],[Total 3]]</f>
        <v>0</v>
      </c>
      <c r="L796" s="34"/>
      <c r="M796" s="34"/>
    </row>
    <row r="797" spans="1:13" ht="21.75" customHeight="1">
      <c r="A797" s="16"/>
      <c r="B797" s="39">
        <v>44983</v>
      </c>
      <c r="C797" s="35" t="str">
        <f>VLOOKUP(Ventas[[#This Row],[Codigo]],Stock[#Data],2,FALSE)</f>
        <v>Sedas Blunt Rey 1/4 celulosa Verde</v>
      </c>
      <c r="D797" s="37">
        <f>VLOOKUP(Ventas[[#This Row],[Codigo]],Stock[#Data],4,FALSE)</f>
        <v>300</v>
      </c>
      <c r="E797" s="33">
        <f>VLOOKUP(Ventas[[#This Row],[Codigo]],Stock[#Data],3,FALSE)</f>
        <v>135</v>
      </c>
      <c r="F797" s="38">
        <v>1</v>
      </c>
      <c r="G797">
        <v>72</v>
      </c>
      <c r="H797" s="36">
        <f>Ventas[[#This Row],[Precio Venta]]*Ventas[[#This Row],[Cantidad]]-Ventas[[#This Row],[Descuento]]</f>
        <v>300</v>
      </c>
      <c r="I797" s="34">
        <f>Ventas[[#This Row],[Total]]-Ventas[[#This Row],[Precio compra]]*Ventas[[#This Row],[Cantidad]]</f>
        <v>165</v>
      </c>
      <c r="J797" s="34"/>
      <c r="K797" s="34">
        <f>Ventas[[#This Row],[Total]]*Ventas[[#This Row],[Total 3]]</f>
        <v>0</v>
      </c>
      <c r="L797" s="34"/>
      <c r="M797" s="34"/>
    </row>
    <row r="798" spans="1:13" ht="21.75" customHeight="1">
      <c r="A798" s="16"/>
      <c r="B798" s="39">
        <v>44983</v>
      </c>
      <c r="C798" s="35" t="str">
        <f>VLOOKUP(Ventas[[#This Row],[Codigo]],Stock[#Data],2,FALSE)</f>
        <v>VAMP Supermelaza</v>
      </c>
      <c r="D798" s="37">
        <f>VLOOKUP(Ventas[[#This Row],[Codigo]],Stock[#Data],4,FALSE)</f>
        <v>1800</v>
      </c>
      <c r="E798" s="33">
        <f>VLOOKUP(Ventas[[#This Row],[Codigo]],Stock[#Data],3,FALSE)</f>
        <v>908</v>
      </c>
      <c r="F798" s="38">
        <v>1</v>
      </c>
      <c r="G798">
        <v>36</v>
      </c>
      <c r="H798" s="36">
        <f>Ventas[[#This Row],[Precio Venta]]*Ventas[[#This Row],[Cantidad]]-Ventas[[#This Row],[Descuento]]</f>
        <v>1800</v>
      </c>
      <c r="I798" s="34">
        <f>Ventas[[#This Row],[Total]]-Ventas[[#This Row],[Precio compra]]*Ventas[[#This Row],[Cantidad]]</f>
        <v>892</v>
      </c>
      <c r="J798" s="34"/>
      <c r="K798" s="34">
        <f>Ventas[[#This Row],[Total]]*Ventas[[#This Row],[Total 3]]</f>
        <v>0</v>
      </c>
      <c r="L798" s="34"/>
      <c r="M798" s="34"/>
    </row>
    <row r="799" spans="1:13" ht="21.75" customHeight="1">
      <c r="A799" s="16"/>
      <c r="B799" s="39">
        <v>44983</v>
      </c>
      <c r="C799" s="35" t="str">
        <f>VLOOKUP(Ventas[[#This Row],[Codigo]],Stock[#Data],2,FALSE)</f>
        <v>CropSecret 250ml Automatic Crop</v>
      </c>
      <c r="D799" s="37">
        <f>VLOOKUP(Ventas[[#This Row],[Codigo]],Stock[#Data],4,FALSE)</f>
        <v>2000</v>
      </c>
      <c r="E799" s="33">
        <f>VLOOKUP(Ventas[[#This Row],[Codigo]],Stock[#Data],3,FALSE)</f>
        <v>1094</v>
      </c>
      <c r="F799" s="38">
        <v>1</v>
      </c>
      <c r="G799">
        <v>3</v>
      </c>
      <c r="H799" s="36">
        <f>Ventas[[#This Row],[Precio Venta]]*Ventas[[#This Row],[Cantidad]]-Ventas[[#This Row],[Descuento]]</f>
        <v>2000</v>
      </c>
      <c r="I799" s="34">
        <f>Ventas[[#This Row],[Total]]-Ventas[[#This Row],[Precio compra]]*Ventas[[#This Row],[Cantidad]]</f>
        <v>906</v>
      </c>
      <c r="J799" s="34"/>
      <c r="K799" s="34">
        <f>Ventas[[#This Row],[Total]]*Ventas[[#This Row],[Total 3]]</f>
        <v>0</v>
      </c>
      <c r="L799" s="34"/>
      <c r="M799" s="34"/>
    </row>
    <row r="800" spans="1:13" ht="21.75" customHeight="1">
      <c r="A800" s="16"/>
      <c r="B800" s="39">
        <v>44983</v>
      </c>
      <c r="C800" s="35" t="str">
        <f>VLOOKUP(Ventas[[#This Row],[Codigo]],Stock[#Data],2,FALSE)</f>
        <v>Namaste Oro Negro 100ml</v>
      </c>
      <c r="D800" s="37">
        <f>VLOOKUP(Ventas[[#This Row],[Codigo]],Stock[#Data],4,FALSE)</f>
        <v>1000</v>
      </c>
      <c r="E800" s="33">
        <f>VLOOKUP(Ventas[[#This Row],[Codigo]],Stock[#Data],3,FALSE)</f>
        <v>515</v>
      </c>
      <c r="F800" s="38">
        <v>1</v>
      </c>
      <c r="G800">
        <v>478</v>
      </c>
      <c r="H800" s="36">
        <f>Ventas[[#This Row],[Precio Venta]]*Ventas[[#This Row],[Cantidad]]-Ventas[[#This Row],[Descuento]]</f>
        <v>1000</v>
      </c>
      <c r="I800" s="34">
        <f>Ventas[[#This Row],[Total]]-Ventas[[#This Row],[Precio compra]]*Ventas[[#This Row],[Cantidad]]</f>
        <v>485</v>
      </c>
      <c r="J800" s="34"/>
      <c r="K800" s="34">
        <f>Ventas[[#This Row],[Total]]*Ventas[[#This Row],[Total 3]]</f>
        <v>0</v>
      </c>
      <c r="L800" s="34"/>
      <c r="M800" s="34"/>
    </row>
    <row r="801" spans="1:13" ht="21.75" customHeight="1">
      <c r="A801" s="16"/>
      <c r="B801" s="39">
        <v>44983</v>
      </c>
      <c r="C801" s="35" t="str">
        <f>VLOOKUP(Ventas[[#This Row],[Codigo]],Stock[#Data],2,FALSE)</f>
        <v>Namaste Flora Booster 100ml</v>
      </c>
      <c r="D801" s="37">
        <f>VLOOKUP(Ventas[[#This Row],[Codigo]],Stock[#Data],4,FALSE)</f>
        <v>1000</v>
      </c>
      <c r="E801" s="33">
        <f>VLOOKUP(Ventas[[#This Row],[Codigo]],Stock[#Data],3,FALSE)</f>
        <v>517</v>
      </c>
      <c r="F801" s="38">
        <v>1</v>
      </c>
      <c r="G801">
        <v>480</v>
      </c>
      <c r="H801" s="36">
        <f>Ventas[[#This Row],[Precio Venta]]*Ventas[[#This Row],[Cantidad]]-Ventas[[#This Row],[Descuento]]</f>
        <v>1000</v>
      </c>
      <c r="I801" s="34">
        <f>Ventas[[#This Row],[Total]]-Ventas[[#This Row],[Precio compra]]*Ventas[[#This Row],[Cantidad]]</f>
        <v>483</v>
      </c>
      <c r="J801" s="34"/>
      <c r="K801" s="34">
        <f>Ventas[[#This Row],[Total]]*Ventas[[#This Row],[Total 3]]</f>
        <v>0</v>
      </c>
      <c r="L801" s="34"/>
      <c r="M801" s="34"/>
    </row>
    <row r="802" spans="1:13" ht="21.75" customHeight="1">
      <c r="A802" s="16"/>
      <c r="B802" s="39">
        <v>44983</v>
      </c>
      <c r="C802" s="35" t="str">
        <f>VLOOKUP(Ventas[[#This Row],[Codigo]],Stock[#Data],2,FALSE)</f>
        <v>OCB Cañamo Organico</v>
      </c>
      <c r="D802" s="37">
        <f>VLOOKUP(Ventas[[#This Row],[Codigo]],Stock[#Data],4,FALSE)</f>
        <v>300</v>
      </c>
      <c r="E802" s="33">
        <f>VLOOKUP(Ventas[[#This Row],[Codigo]],Stock[#Data],3,FALSE)</f>
        <v>165</v>
      </c>
      <c r="F802" s="38">
        <v>1</v>
      </c>
      <c r="G802">
        <v>593</v>
      </c>
      <c r="H802" s="36">
        <f>Ventas[[#This Row],[Precio Venta]]*Ventas[[#This Row],[Cantidad]]-Ventas[[#This Row],[Descuento]]</f>
        <v>300</v>
      </c>
      <c r="I802" s="34">
        <f>Ventas[[#This Row],[Total]]-Ventas[[#This Row],[Precio compra]]*Ventas[[#This Row],[Cantidad]]</f>
        <v>135</v>
      </c>
      <c r="J802" s="34"/>
      <c r="K802" s="34">
        <f>Ventas[[#This Row],[Total]]*Ventas[[#This Row],[Total 3]]</f>
        <v>0</v>
      </c>
      <c r="L802" s="34"/>
      <c r="M802" s="34"/>
    </row>
    <row r="803" spans="1:13" ht="21.75" customHeight="1">
      <c r="A803" s="16"/>
      <c r="B803" s="39">
        <v>44983</v>
      </c>
      <c r="C803" s="35" t="str">
        <f>VLOOKUP(Ventas[[#This Row],[Codigo]],Stock[#Data],2,FALSE)</f>
        <v xml:space="preserve">Tabaco Van Kiff American Blend </v>
      </c>
      <c r="D803" s="37">
        <f>VLOOKUP(Ventas[[#This Row],[Codigo]],Stock[#Data],4,FALSE)</f>
        <v>850</v>
      </c>
      <c r="E803" s="33">
        <f>VLOOKUP(Ventas[[#This Row],[Codigo]],Stock[#Data],3,FALSE)</f>
        <v>580</v>
      </c>
      <c r="F803" s="38">
        <v>1</v>
      </c>
      <c r="G803">
        <v>348</v>
      </c>
      <c r="H803" s="36">
        <f>Ventas[[#This Row],[Precio Venta]]*Ventas[[#This Row],[Cantidad]]-Ventas[[#This Row],[Descuento]]</f>
        <v>850</v>
      </c>
      <c r="I803" s="34">
        <f>Ventas[[#This Row],[Total]]-Ventas[[#This Row],[Precio compra]]*Ventas[[#This Row],[Cantidad]]</f>
        <v>270</v>
      </c>
      <c r="J803" s="34"/>
      <c r="K803" s="34">
        <f>Ventas[[#This Row],[Total]]*Ventas[[#This Row],[Total 3]]</f>
        <v>0</v>
      </c>
      <c r="L803" s="34"/>
      <c r="M803" s="34"/>
    </row>
    <row r="804" spans="1:13" ht="21.75" customHeight="1">
      <c r="A804" s="16"/>
      <c r="B804" s="39">
        <v>44983</v>
      </c>
      <c r="C804" s="35" t="str">
        <f>VLOOKUP(Ventas[[#This Row],[Codigo]],Stock[#Data],2,FALSE)</f>
        <v>DKHaze 2.0 EVO</v>
      </c>
      <c r="D804" s="37">
        <f>VLOOKUP(Ventas[[#This Row],[Codigo]],Stock[#Data],4,FALSE)</f>
        <v>80000</v>
      </c>
      <c r="E804" s="33">
        <f>VLOOKUP(Ventas[[#This Row],[Codigo]],Stock[#Data],3,FALSE)</f>
        <v>54665</v>
      </c>
      <c r="F804" s="38">
        <v>1</v>
      </c>
      <c r="G804">
        <v>600</v>
      </c>
      <c r="H804" s="36">
        <f>Ventas[[#This Row],[Precio Venta]]*Ventas[[#This Row],[Cantidad]]-Ventas[[#This Row],[Descuento]]</f>
        <v>80000</v>
      </c>
      <c r="I804" s="34">
        <f>Ventas[[#This Row],[Total]]-Ventas[[#This Row],[Precio compra]]*Ventas[[#This Row],[Cantidad]]</f>
        <v>25335</v>
      </c>
      <c r="J804" s="34"/>
      <c r="K804" s="34">
        <f>Ventas[[#This Row],[Total]]*Ventas[[#This Row],[Total 3]]</f>
        <v>0</v>
      </c>
      <c r="L804" s="34"/>
      <c r="M804" s="34"/>
    </row>
    <row r="805" spans="1:13" ht="21.75" customHeight="1">
      <c r="A805" s="16"/>
      <c r="B805" s="39">
        <v>44983</v>
      </c>
      <c r="C805" s="35" t="str">
        <f>VLOOKUP(Ventas[[#This Row],[Codigo]],Stock[#Data],2,FALSE)</f>
        <v xml:space="preserve">Malla para Rosin Keep is Fresh 120 micras x10 </v>
      </c>
      <c r="D805" s="37">
        <f>VLOOKUP(Ventas[[#This Row],[Codigo]],Stock[#Data],4,FALSE)</f>
        <v>5000</v>
      </c>
      <c r="E805" s="33">
        <f>VLOOKUP(Ventas[[#This Row],[Codigo]],Stock[#Data],3,FALSE)</f>
        <v>2556</v>
      </c>
      <c r="F805" s="38">
        <v>1</v>
      </c>
      <c r="G805">
        <v>321</v>
      </c>
      <c r="H805" s="36">
        <f>Ventas[[#This Row],[Precio Venta]]*Ventas[[#This Row],[Cantidad]]-Ventas[[#This Row],[Descuento]]</f>
        <v>5000</v>
      </c>
      <c r="I805" s="34">
        <f>Ventas[[#This Row],[Total]]-Ventas[[#This Row],[Precio compra]]*Ventas[[#This Row],[Cantidad]]</f>
        <v>2444</v>
      </c>
      <c r="J805" s="34"/>
      <c r="K805" s="34">
        <f>Ventas[[#This Row],[Total]]*Ventas[[#This Row],[Total 3]]</f>
        <v>0</v>
      </c>
      <c r="L805" s="34"/>
      <c r="M805" s="34"/>
    </row>
    <row r="806" spans="1:13" ht="21.75" customHeight="1">
      <c r="A806" s="16"/>
      <c r="B806" s="39">
        <v>44983</v>
      </c>
      <c r="C806" s="35" t="str">
        <f>VLOOKUP(Ventas[[#This Row],[Codigo]],Stock[#Data],2,FALSE)</f>
        <v>Dabber #4</v>
      </c>
      <c r="D806" s="37">
        <f>VLOOKUP(Ventas[[#This Row],[Codigo]],Stock[#Data],4,FALSE)</f>
        <v>2500</v>
      </c>
      <c r="E806" s="33">
        <f>VLOOKUP(Ventas[[#This Row],[Codigo]],Stock[#Data],3,FALSE)</f>
        <v>1200</v>
      </c>
      <c r="F806" s="38">
        <v>1</v>
      </c>
      <c r="G806">
        <v>299</v>
      </c>
      <c r="H806" s="36">
        <f>Ventas[[#This Row],[Precio Venta]]*Ventas[[#This Row],[Cantidad]]-Ventas[[#This Row],[Descuento]]</f>
        <v>2500</v>
      </c>
      <c r="I806" s="34">
        <f>Ventas[[#This Row],[Total]]-Ventas[[#This Row],[Precio compra]]*Ventas[[#This Row],[Cantidad]]</f>
        <v>1300</v>
      </c>
      <c r="J806" s="34"/>
      <c r="K806" s="34">
        <f>Ventas[[#This Row],[Total]]*Ventas[[#This Row],[Total 3]]</f>
        <v>0</v>
      </c>
      <c r="L806" s="34"/>
      <c r="M806" s="34"/>
    </row>
    <row r="807" spans="1:13" ht="21.75" customHeight="1">
      <c r="A807" s="16"/>
      <c r="B807" s="39" t="s">
        <v>696</v>
      </c>
      <c r="C807" s="35" t="str">
        <f>VLOOKUP(Ventas[[#This Row],[Codigo]],Stock[#Data],2,FALSE)</f>
        <v xml:space="preserve">venta de 200 sustratos </v>
      </c>
      <c r="D807" s="37">
        <f>VLOOKUP(Ventas[[#This Row],[Codigo]],Stock[#Data],4,FALSE)</f>
        <v>95000</v>
      </c>
      <c r="E807" s="33">
        <f>VLOOKUP(Ventas[[#This Row],[Codigo]],Stock[#Data],3,FALSE)</f>
        <v>60000</v>
      </c>
      <c r="F807" s="38">
        <v>1</v>
      </c>
      <c r="G807">
        <v>601</v>
      </c>
      <c r="H807" s="36">
        <f>Ventas[[#This Row],[Precio Venta]]*Ventas[[#This Row],[Cantidad]]-Ventas[[#This Row],[Descuento]]</f>
        <v>95000</v>
      </c>
      <c r="I807" s="34">
        <f>Ventas[[#This Row],[Total]]-Ventas[[#This Row],[Precio compra]]*Ventas[[#This Row],[Cantidad]]</f>
        <v>35000</v>
      </c>
      <c r="J807" s="34"/>
      <c r="K807" s="34">
        <f>Ventas[[#This Row],[Total]]*Ventas[[#This Row],[Total 3]]</f>
        <v>0</v>
      </c>
      <c r="L807" s="34"/>
      <c r="M807" s="34"/>
    </row>
    <row r="808" spans="1:13" ht="21.75" customHeight="1">
      <c r="A808" s="16"/>
      <c r="B808" s="39" t="s">
        <v>696</v>
      </c>
      <c r="C808" s="35" t="str">
        <f>VLOOKUP(Ventas[[#This Row],[Codigo]],Stock[#Data],2,FALSE)</f>
        <v xml:space="preserve">ocb ultimate </v>
      </c>
      <c r="D808" s="37">
        <f>VLOOKUP(Ventas[[#This Row],[Codigo]],Stock[#Data],4,FALSE)</f>
        <v>300</v>
      </c>
      <c r="E808" s="33">
        <f>VLOOKUP(Ventas[[#This Row],[Codigo]],Stock[#Data],3,FALSE)</f>
        <v>165</v>
      </c>
      <c r="F808" s="38">
        <v>3</v>
      </c>
      <c r="G808">
        <v>354</v>
      </c>
      <c r="H808" s="36">
        <f>Ventas[[#This Row],[Precio Venta]]*Ventas[[#This Row],[Cantidad]]-Ventas[[#This Row],[Descuento]]</f>
        <v>900</v>
      </c>
      <c r="I808" s="34">
        <f>Ventas[[#This Row],[Total]]-Ventas[[#This Row],[Precio compra]]*Ventas[[#This Row],[Cantidad]]</f>
        <v>405</v>
      </c>
      <c r="J808" s="34"/>
      <c r="K808" s="34">
        <f>Ventas[[#This Row],[Total]]*Ventas[[#This Row],[Total 3]]</f>
        <v>0</v>
      </c>
      <c r="L808" s="34"/>
      <c r="M808" s="34"/>
    </row>
    <row r="809" spans="1:13" ht="21.75" customHeight="1">
      <c r="A809" s="16"/>
      <c r="B809" s="39" t="s">
        <v>696</v>
      </c>
      <c r="C809" s="35" t="str">
        <f>VLOOKUP(Ventas[[#This Row],[Codigo]],Stock[#Data],2,FALSE)</f>
        <v>Top Bloom 1L</v>
      </c>
      <c r="D809" s="37">
        <f>VLOOKUP(Ventas[[#This Row],[Codigo]],Stock[#Data],4,FALSE)</f>
        <v>5000</v>
      </c>
      <c r="E809" s="33">
        <f>VLOOKUP(Ventas[[#This Row],[Codigo]],Stock[#Data],3,FALSE)</f>
        <v>2703</v>
      </c>
      <c r="F809" s="38">
        <v>1</v>
      </c>
      <c r="G809">
        <v>596</v>
      </c>
      <c r="H809" s="36">
        <f>Ventas[[#This Row],[Precio Venta]]*Ventas[[#This Row],[Cantidad]]-Ventas[[#This Row],[Descuento]]</f>
        <v>5000</v>
      </c>
      <c r="I809" s="34">
        <f>Ventas[[#This Row],[Total]]-Ventas[[#This Row],[Precio compra]]*Ventas[[#This Row],[Cantidad]]</f>
        <v>2297</v>
      </c>
      <c r="J809" s="34"/>
      <c r="K809" s="34">
        <f>Ventas[[#This Row],[Total]]*Ventas[[#This Row],[Total 3]]</f>
        <v>0</v>
      </c>
      <c r="L809" s="34"/>
      <c r="M809" s="34"/>
    </row>
    <row r="810" spans="1:13" ht="21.75" customHeight="1">
      <c r="A810" s="16"/>
      <c r="B810" s="39" t="s">
        <v>696</v>
      </c>
      <c r="C810" s="35" t="str">
        <f>VLOOKUP(Ventas[[#This Row],[Codigo]],Stock[#Data],2,FALSE)</f>
        <v>Tips Lion Unbleached</v>
      </c>
      <c r="D810" s="37">
        <f>VLOOKUP(Ventas[[#This Row],[Codigo]],Stock[#Data],4,FALSE)</f>
        <v>250</v>
      </c>
      <c r="E810" s="33">
        <f>VLOOKUP(Ventas[[#This Row],[Codigo]],Stock[#Data],3,FALSE)</f>
        <v>137</v>
      </c>
      <c r="F810" s="38">
        <v>1</v>
      </c>
      <c r="G810">
        <v>458</v>
      </c>
      <c r="H810" s="36">
        <f>Ventas[[#This Row],[Precio Venta]]*Ventas[[#This Row],[Cantidad]]-Ventas[[#This Row],[Descuento]]</f>
        <v>250</v>
      </c>
      <c r="I810" s="34">
        <f>Ventas[[#This Row],[Total]]-Ventas[[#This Row],[Precio compra]]*Ventas[[#This Row],[Cantidad]]</f>
        <v>113</v>
      </c>
      <c r="J810" s="34"/>
      <c r="K810" s="34">
        <f>Ventas[[#This Row],[Total]]*Ventas[[#This Row],[Total 3]]</f>
        <v>0</v>
      </c>
      <c r="L810" s="34"/>
      <c r="M810" s="34"/>
    </row>
    <row r="811" spans="1:13" ht="21.75" customHeight="1">
      <c r="A811" s="16"/>
      <c r="B811" s="39" t="s">
        <v>696</v>
      </c>
      <c r="C811" s="35" t="str">
        <f>VLOOKUP(Ventas[[#This Row],[Codigo]],Stock[#Data],2,FALSE)</f>
        <v>Namaste Flora Booster 100ml</v>
      </c>
      <c r="D811" s="37">
        <f>VLOOKUP(Ventas[[#This Row],[Codigo]],Stock[#Data],4,FALSE)</f>
        <v>1000</v>
      </c>
      <c r="E811" s="33">
        <f>VLOOKUP(Ventas[[#This Row],[Codigo]],Stock[#Data],3,FALSE)</f>
        <v>517</v>
      </c>
      <c r="F811" s="38">
        <v>1</v>
      </c>
      <c r="G811">
        <v>480</v>
      </c>
      <c r="H811" s="36">
        <f>Ventas[[#This Row],[Precio Venta]]*Ventas[[#This Row],[Cantidad]]-Ventas[[#This Row],[Descuento]]</f>
        <v>1000</v>
      </c>
      <c r="I811" s="34">
        <f>Ventas[[#This Row],[Total]]-Ventas[[#This Row],[Precio compra]]*Ventas[[#This Row],[Cantidad]]</f>
        <v>483</v>
      </c>
      <c r="J811" s="34"/>
      <c r="K811" s="34">
        <f>Ventas[[#This Row],[Total]]*Ventas[[#This Row],[Total 3]]</f>
        <v>0</v>
      </c>
      <c r="L811" s="34"/>
      <c r="M811" s="34"/>
    </row>
    <row r="812" spans="1:13" ht="21.75" customHeight="1">
      <c r="A812" s="16"/>
      <c r="B812" s="39" t="s">
        <v>696</v>
      </c>
      <c r="C812" s="35" t="str">
        <f>VLOOKUP(Ventas[[#This Row],[Codigo]],Stock[#Data],2,FALSE)</f>
        <v>Alga Delta 100ml</v>
      </c>
      <c r="D812" s="37">
        <f>VLOOKUP(Ventas[[#This Row],[Codigo]],Stock[#Data],4,FALSE)</f>
        <v>1600</v>
      </c>
      <c r="E812" s="33">
        <f>VLOOKUP(Ventas[[#This Row],[Codigo]],Stock[#Data],3,FALSE)</f>
        <v>808</v>
      </c>
      <c r="F812" s="38">
        <v>1</v>
      </c>
      <c r="G812">
        <v>471</v>
      </c>
      <c r="H812" s="36">
        <f>Ventas[[#This Row],[Precio Venta]]*Ventas[[#This Row],[Cantidad]]-Ventas[[#This Row],[Descuento]]</f>
        <v>1600</v>
      </c>
      <c r="I812" s="34">
        <f>Ventas[[#This Row],[Total]]-Ventas[[#This Row],[Precio compra]]*Ventas[[#This Row],[Cantidad]]</f>
        <v>792</v>
      </c>
      <c r="J812" s="34"/>
      <c r="K812" s="34">
        <f>Ventas[[#This Row],[Total]]*Ventas[[#This Row],[Total 3]]</f>
        <v>0</v>
      </c>
      <c r="L812" s="34"/>
      <c r="M812" s="34"/>
    </row>
    <row r="813" spans="1:13" ht="21.75" customHeight="1">
      <c r="A813" s="16"/>
      <c r="B813" s="39" t="s">
        <v>696</v>
      </c>
      <c r="C813" s="35" t="str">
        <f>VLOOKUP(Ventas[[#This Row],[Codigo]],Stock[#Data],2,FALSE)</f>
        <v>OCB premium</v>
      </c>
      <c r="D813" s="37">
        <f>VLOOKUP(Ventas[[#This Row],[Codigo]],Stock[#Data],4,FALSE)</f>
        <v>300</v>
      </c>
      <c r="E813" s="33">
        <f>VLOOKUP(Ventas[[#This Row],[Codigo]],Stock[#Data],3,FALSE)</f>
        <v>165</v>
      </c>
      <c r="F813" s="38">
        <v>1</v>
      </c>
      <c r="G813">
        <v>594</v>
      </c>
      <c r="H813" s="36">
        <f>Ventas[[#This Row],[Precio Venta]]*Ventas[[#This Row],[Cantidad]]-Ventas[[#This Row],[Descuento]]</f>
        <v>300</v>
      </c>
      <c r="I813" s="34">
        <f>Ventas[[#This Row],[Total]]-Ventas[[#This Row],[Precio compra]]*Ventas[[#This Row],[Cantidad]]</f>
        <v>135</v>
      </c>
      <c r="J813" s="34"/>
      <c r="K813" s="34">
        <f>Ventas[[#This Row],[Total]]*Ventas[[#This Row],[Total 3]]</f>
        <v>0</v>
      </c>
      <c r="L813" s="34"/>
      <c r="M813" s="34"/>
    </row>
    <row r="814" spans="1:13" ht="21.75" customHeight="1">
      <c r="A814" s="16"/>
      <c r="B814" s="39" t="s">
        <v>696</v>
      </c>
      <c r="C814" s="35" t="str">
        <f>VLOOKUP(Ventas[[#This Row],[Codigo]],Stock[#Data],2,FALSE)</f>
        <v>CropSecret 250ml Candy Maker</v>
      </c>
      <c r="D814" s="37">
        <f>VLOOKUP(Ventas[[#This Row],[Codigo]],Stock[#Data],4,FALSE)</f>
        <v>2000</v>
      </c>
      <c r="E814" s="33">
        <f>VLOOKUP(Ventas[[#This Row],[Codigo]],Stock[#Data],3,FALSE)</f>
        <v>707</v>
      </c>
      <c r="F814" s="38">
        <v>1</v>
      </c>
      <c r="G814">
        <v>5</v>
      </c>
      <c r="H814" s="36">
        <f>Ventas[[#This Row],[Precio Venta]]*Ventas[[#This Row],[Cantidad]]-Ventas[[#This Row],[Descuento]]</f>
        <v>2000</v>
      </c>
      <c r="I814" s="34">
        <f>Ventas[[#This Row],[Total]]-Ventas[[#This Row],[Precio compra]]*Ventas[[#This Row],[Cantidad]]</f>
        <v>1293</v>
      </c>
      <c r="J814" s="34"/>
      <c r="K814" s="34">
        <f>Ventas[[#This Row],[Total]]*Ventas[[#This Row],[Total 3]]</f>
        <v>0</v>
      </c>
      <c r="L814" s="34"/>
      <c r="M814" s="34"/>
    </row>
    <row r="815" spans="1:13" ht="21.75" customHeight="1">
      <c r="A815" s="16"/>
      <c r="B815" s="39" t="s">
        <v>687</v>
      </c>
      <c r="C815" s="35" t="str">
        <f>VLOOKUP(Ventas[[#This Row],[Codigo]],Stock[#Data],2,FALSE)</f>
        <v>Sedas OCB 1/4 Organic  Bamboo</v>
      </c>
      <c r="D815" s="37">
        <f>VLOOKUP(Ventas[[#This Row],[Codigo]],Stock[#Data],4,FALSE)</f>
        <v>300</v>
      </c>
      <c r="E815" s="33">
        <f>VLOOKUP(Ventas[[#This Row],[Codigo]],Stock[#Data],3,FALSE)</f>
        <v>165</v>
      </c>
      <c r="F815" s="38">
        <v>1</v>
      </c>
      <c r="G815">
        <v>77</v>
      </c>
      <c r="H815" s="36">
        <f>Ventas[[#This Row],[Precio Venta]]*Ventas[[#This Row],[Cantidad]]-Ventas[[#This Row],[Descuento]]</f>
        <v>300</v>
      </c>
      <c r="I815" s="34">
        <f>Ventas[[#This Row],[Total]]-Ventas[[#This Row],[Precio compra]]*Ventas[[#This Row],[Cantidad]]</f>
        <v>135</v>
      </c>
      <c r="J815" s="34"/>
      <c r="K815" s="34">
        <f>Ventas[[#This Row],[Total]]*Ventas[[#This Row],[Total 3]]</f>
        <v>0</v>
      </c>
      <c r="L815" s="34"/>
      <c r="M815" s="34"/>
    </row>
    <row r="816" spans="1:13" ht="21.75" customHeight="1">
      <c r="A816" s="16"/>
      <c r="B816" s="39" t="s">
        <v>687</v>
      </c>
      <c r="C816" s="35" t="str">
        <f>VLOOKUP(Ventas[[#This Row],[Codigo]],Stock[#Data],2,FALSE)</f>
        <v>CropSecret 250ml Floral Session</v>
      </c>
      <c r="D816" s="37">
        <f>VLOOKUP(Ventas[[#This Row],[Codigo]],Stock[#Data],4,FALSE)</f>
        <v>2000</v>
      </c>
      <c r="E816" s="33">
        <f>VLOOKUP(Ventas[[#This Row],[Codigo]],Stock[#Data],3,FALSE)</f>
        <v>836</v>
      </c>
      <c r="F816" s="38">
        <v>1</v>
      </c>
      <c r="G816">
        <v>6</v>
      </c>
      <c r="H816" s="36">
        <f>Ventas[[#This Row],[Precio Venta]]*Ventas[[#This Row],[Cantidad]]-Ventas[[#This Row],[Descuento]]</f>
        <v>2000</v>
      </c>
      <c r="I816" s="34">
        <f>Ventas[[#This Row],[Total]]-Ventas[[#This Row],[Precio compra]]*Ventas[[#This Row],[Cantidad]]</f>
        <v>1164</v>
      </c>
      <c r="J816" s="34"/>
      <c r="K816" s="34">
        <f>Ventas[[#This Row],[Total]]*Ventas[[#This Row],[Total 3]]</f>
        <v>0</v>
      </c>
      <c r="L816" s="34"/>
      <c r="M816" s="34"/>
    </row>
    <row r="817" spans="1:13" ht="21.75" customHeight="1">
      <c r="A817" s="16"/>
      <c r="B817" s="39" t="s">
        <v>687</v>
      </c>
      <c r="C817" s="35" t="str">
        <f>VLOOKUP(Ventas[[#This Row],[Codigo]],Stock[#Data],2,FALSE)</f>
        <v>Namaste Trico+ 100gr</v>
      </c>
      <c r="D817" s="37">
        <f>VLOOKUP(Ventas[[#This Row],[Codigo]],Stock[#Data],4,FALSE)</f>
        <v>1000</v>
      </c>
      <c r="E817" s="33">
        <f>VLOOKUP(Ventas[[#This Row],[Codigo]],Stock[#Data],3,FALSE)</f>
        <v>541</v>
      </c>
      <c r="F817" s="38">
        <v>2</v>
      </c>
      <c r="G817">
        <v>479</v>
      </c>
      <c r="H817" s="36">
        <f>Ventas[[#This Row],[Precio Venta]]*Ventas[[#This Row],[Cantidad]]-Ventas[[#This Row],[Descuento]]</f>
        <v>2000</v>
      </c>
      <c r="I817" s="34">
        <f>Ventas[[#This Row],[Total]]-Ventas[[#This Row],[Precio compra]]*Ventas[[#This Row],[Cantidad]]</f>
        <v>918</v>
      </c>
      <c r="J817" s="34"/>
      <c r="K817" s="34">
        <f>Ventas[[#This Row],[Total]]*Ventas[[#This Row],[Total 3]]</f>
        <v>0</v>
      </c>
      <c r="L817" s="34"/>
      <c r="M817" s="34"/>
    </row>
    <row r="818" spans="1:13" ht="21.75" customHeight="1">
      <c r="A818" s="16"/>
      <c r="B818" s="39" t="s">
        <v>687</v>
      </c>
      <c r="C818" s="35" t="str">
        <f>VLOOKUP(Ventas[[#This Row],[Codigo]],Stock[#Data],2,FALSE)</f>
        <v>Namaste Flora Booster 100ml</v>
      </c>
      <c r="D818" s="37">
        <f>VLOOKUP(Ventas[[#This Row],[Codigo]],Stock[#Data],4,FALSE)</f>
        <v>1000</v>
      </c>
      <c r="E818" s="33">
        <f>VLOOKUP(Ventas[[#This Row],[Codigo]],Stock[#Data],3,FALSE)</f>
        <v>517</v>
      </c>
      <c r="F818" s="38">
        <v>1</v>
      </c>
      <c r="G818">
        <v>480</v>
      </c>
      <c r="H818" s="36">
        <f>Ventas[[#This Row],[Precio Venta]]*Ventas[[#This Row],[Cantidad]]-Ventas[[#This Row],[Descuento]]</f>
        <v>1000</v>
      </c>
      <c r="I818" s="34">
        <f>Ventas[[#This Row],[Total]]-Ventas[[#This Row],[Precio compra]]*Ventas[[#This Row],[Cantidad]]</f>
        <v>483</v>
      </c>
      <c r="J818" s="34"/>
      <c r="K818" s="34">
        <f>Ventas[[#This Row],[Total]]*Ventas[[#This Row],[Total 3]]</f>
        <v>0</v>
      </c>
      <c r="L818" s="34"/>
      <c r="M818" s="34"/>
    </row>
    <row r="819" spans="1:13" ht="21.75" customHeight="1">
      <c r="A819" s="16"/>
      <c r="B819" s="39" t="s">
        <v>687</v>
      </c>
      <c r="C819" s="35" t="str">
        <f>VLOOKUP(Ventas[[#This Row],[Codigo]],Stock[#Data],2,FALSE)</f>
        <v>Alga Delta 100ml</v>
      </c>
      <c r="D819" s="37">
        <f>VLOOKUP(Ventas[[#This Row],[Codigo]],Stock[#Data],4,FALSE)</f>
        <v>1600</v>
      </c>
      <c r="E819" s="33">
        <f>VLOOKUP(Ventas[[#This Row],[Codigo]],Stock[#Data],3,FALSE)</f>
        <v>808</v>
      </c>
      <c r="F819" s="38">
        <v>2</v>
      </c>
      <c r="G819">
        <v>471</v>
      </c>
      <c r="H819" s="36">
        <f>Ventas[[#This Row],[Precio Venta]]*Ventas[[#This Row],[Cantidad]]-Ventas[[#This Row],[Descuento]]</f>
        <v>3200</v>
      </c>
      <c r="I819" s="34">
        <f>Ventas[[#This Row],[Total]]-Ventas[[#This Row],[Precio compra]]*Ventas[[#This Row],[Cantidad]]</f>
        <v>1584</v>
      </c>
      <c r="J819" s="34"/>
      <c r="K819" s="34">
        <f>Ventas[[#This Row],[Total]]*Ventas[[#This Row],[Total 3]]</f>
        <v>0</v>
      </c>
      <c r="L819" s="34"/>
      <c r="M819" s="34"/>
    </row>
    <row r="820" spans="1:13" ht="21.75" customHeight="1">
      <c r="A820" s="16"/>
      <c r="B820" s="39" t="s">
        <v>687</v>
      </c>
      <c r="C820" s="35" t="str">
        <f>VLOOKUP(Ventas[[#This Row],[Codigo]],Stock[#Data],2,FALSE)</f>
        <v>Portaseda RAW 1/4</v>
      </c>
      <c r="D820" s="37">
        <f>VLOOKUP(Ventas[[#This Row],[Codigo]],Stock[#Data],4,FALSE)</f>
        <v>1200</v>
      </c>
      <c r="E820" s="33">
        <f>VLOOKUP(Ventas[[#This Row],[Codigo]],Stock[#Data],3,FALSE)</f>
        <v>580</v>
      </c>
      <c r="F820" s="38">
        <v>1</v>
      </c>
      <c r="G820">
        <v>150</v>
      </c>
      <c r="H820" s="36">
        <f>Ventas[[#This Row],[Precio Venta]]*Ventas[[#This Row],[Cantidad]]-Ventas[[#This Row],[Descuento]]</f>
        <v>1200</v>
      </c>
      <c r="I820" s="34">
        <f>Ventas[[#This Row],[Total]]-Ventas[[#This Row],[Precio compra]]*Ventas[[#This Row],[Cantidad]]</f>
        <v>620</v>
      </c>
      <c r="J820" s="34"/>
      <c r="K820" s="34">
        <f>Ventas[[#This Row],[Total]]*Ventas[[#This Row],[Total 3]]</f>
        <v>0</v>
      </c>
      <c r="L820" s="34"/>
      <c r="M820" s="34"/>
    </row>
    <row r="821" spans="1:13" ht="21.75" customHeight="1">
      <c r="A821" s="16"/>
      <c r="B821" s="39" t="s">
        <v>687</v>
      </c>
      <c r="C821" s="35" t="str">
        <f>VLOOKUP(Ventas[[#This Row],[Codigo]],Stock[#Data],2,FALSE)</f>
        <v>Picador Barril Inflamable</v>
      </c>
      <c r="D821" s="37">
        <f>VLOOKUP(Ventas[[#This Row],[Codigo]],Stock[#Data],4,FALSE)</f>
        <v>4500</v>
      </c>
      <c r="E821" s="33">
        <f>VLOOKUP(Ventas[[#This Row],[Codigo]],Stock[#Data],3,FALSE)</f>
        <v>2229</v>
      </c>
      <c r="F821" s="38">
        <v>1</v>
      </c>
      <c r="G821">
        <v>212</v>
      </c>
      <c r="H821" s="36">
        <f>Ventas[[#This Row],[Precio Venta]]*Ventas[[#This Row],[Cantidad]]-Ventas[[#This Row],[Descuento]]</f>
        <v>4500</v>
      </c>
      <c r="I821" s="34">
        <f>Ventas[[#This Row],[Total]]-Ventas[[#This Row],[Precio compra]]*Ventas[[#This Row],[Cantidad]]</f>
        <v>2271</v>
      </c>
      <c r="J821" s="34"/>
      <c r="K821" s="34">
        <f>Ventas[[#This Row],[Total]]*Ventas[[#This Row],[Total 3]]</f>
        <v>0</v>
      </c>
      <c r="L821" s="34"/>
      <c r="M821" s="34"/>
    </row>
    <row r="822" spans="1:13" ht="21.75" customHeight="1">
      <c r="A822" s="16"/>
      <c r="B822" s="39" t="s">
        <v>687</v>
      </c>
      <c r="C822" s="35" t="str">
        <f>VLOOKUP(Ventas[[#This Row],[Codigo]],Stock[#Data],2,FALSE)</f>
        <v>TreeMIX F 45ml</v>
      </c>
      <c r="D822" s="37">
        <f>VLOOKUP(Ventas[[#This Row],[Codigo]],Stock[#Data],4,FALSE)</f>
        <v>550</v>
      </c>
      <c r="E822" s="33">
        <f>VLOOKUP(Ventas[[#This Row],[Codigo]],Stock[#Data],3,FALSE)</f>
        <v>275</v>
      </c>
      <c r="F822" s="38">
        <v>1</v>
      </c>
      <c r="G822">
        <v>22</v>
      </c>
      <c r="H822" s="36">
        <f>Ventas[[#This Row],[Precio Venta]]*Ventas[[#This Row],[Cantidad]]-Ventas[[#This Row],[Descuento]]</f>
        <v>550</v>
      </c>
      <c r="I822" s="34">
        <f>Ventas[[#This Row],[Total]]-Ventas[[#This Row],[Precio compra]]*Ventas[[#This Row],[Cantidad]]</f>
        <v>275</v>
      </c>
      <c r="J822" s="34"/>
      <c r="K822" s="34">
        <f>Ventas[[#This Row],[Total]]*Ventas[[#This Row],[Total 3]]</f>
        <v>0</v>
      </c>
      <c r="L822" s="34"/>
      <c r="M822" s="34"/>
    </row>
    <row r="823" spans="1:13" ht="21.75" customHeight="1">
      <c r="A823" s="16"/>
      <c r="B823" s="39" t="s">
        <v>687</v>
      </c>
      <c r="C823" s="35" t="str">
        <f>VLOOKUP(Ventas[[#This Row],[Codigo]],Stock[#Data],2,FALSE)</f>
        <v>TreeMIX A 45ml</v>
      </c>
      <c r="D823" s="37">
        <f>VLOOKUP(Ventas[[#This Row],[Codigo]],Stock[#Data],4,FALSE)</f>
        <v>500</v>
      </c>
      <c r="E823" s="33">
        <f>VLOOKUP(Ventas[[#This Row],[Codigo]],Stock[#Data],3,FALSE)</f>
        <v>260</v>
      </c>
      <c r="F823" s="38">
        <v>1</v>
      </c>
      <c r="G823">
        <v>21</v>
      </c>
      <c r="H823" s="36">
        <f>Ventas[[#This Row],[Precio Venta]]*Ventas[[#This Row],[Cantidad]]-Ventas[[#This Row],[Descuento]]</f>
        <v>500</v>
      </c>
      <c r="I823" s="34">
        <f>Ventas[[#This Row],[Total]]-Ventas[[#This Row],[Precio compra]]*Ventas[[#This Row],[Cantidad]]</f>
        <v>240</v>
      </c>
      <c r="J823" s="34"/>
      <c r="K823" s="34">
        <f>Ventas[[#This Row],[Total]]*Ventas[[#This Row],[Total 3]]</f>
        <v>0</v>
      </c>
      <c r="L823" s="34"/>
      <c r="M823" s="34"/>
    </row>
    <row r="824" spans="1:13" ht="21.75" customHeight="1">
      <c r="A824" s="16"/>
      <c r="B824" s="39" t="s">
        <v>687</v>
      </c>
      <c r="C824" s="35" t="str">
        <f>VLOOKUP(Ventas[[#This Row],[Codigo]],Stock[#Data],2,FALSE)</f>
        <v>VAMP sustrato Mágico 10l</v>
      </c>
      <c r="D824" s="37">
        <f>VLOOKUP(Ventas[[#This Row],[Codigo]],Stock[#Data],4,FALSE)</f>
        <v>500</v>
      </c>
      <c r="E824" s="33">
        <f>VLOOKUP(Ventas[[#This Row],[Codigo]],Stock[#Data],3,FALSE)</f>
        <v>250</v>
      </c>
      <c r="F824" s="38">
        <v>2</v>
      </c>
      <c r="G824">
        <v>44</v>
      </c>
      <c r="H824" s="36">
        <f>Ventas[[#This Row],[Precio Venta]]*Ventas[[#This Row],[Cantidad]]-Ventas[[#This Row],[Descuento]]</f>
        <v>1000</v>
      </c>
      <c r="I824" s="34">
        <f>Ventas[[#This Row],[Total]]-Ventas[[#This Row],[Precio compra]]*Ventas[[#This Row],[Cantidad]]</f>
        <v>500</v>
      </c>
      <c r="J824" s="34"/>
      <c r="K824" s="34">
        <f>Ventas[[#This Row],[Total]]*Ventas[[#This Row],[Total 3]]</f>
        <v>0</v>
      </c>
      <c r="L824" s="34"/>
      <c r="M824" s="34"/>
    </row>
    <row r="825" spans="1:13" ht="21.75" customHeight="1">
      <c r="A825" s="16"/>
      <c r="B825" s="39" t="s">
        <v>687</v>
      </c>
      <c r="C825" s="35" t="str">
        <f>VLOOKUP(Ventas[[#This Row],[Codigo]],Stock[#Data],2,FALSE)</f>
        <v>VAMP Pocion IMPKBLE</v>
      </c>
      <c r="D825" s="37">
        <f>VLOOKUP(Ventas[[#This Row],[Codigo]],Stock[#Data],4,FALSE)</f>
        <v>1600</v>
      </c>
      <c r="E825" s="33">
        <f>VLOOKUP(Ventas[[#This Row],[Codigo]],Stock[#Data],3,FALSE)</f>
        <v>795</v>
      </c>
      <c r="F825" s="38">
        <v>1</v>
      </c>
      <c r="G825">
        <v>41</v>
      </c>
      <c r="H825" s="36">
        <f>Ventas[[#This Row],[Precio Venta]]*Ventas[[#This Row],[Cantidad]]-Ventas[[#This Row],[Descuento]]</f>
        <v>1600</v>
      </c>
      <c r="I825" s="34">
        <f>Ventas[[#This Row],[Total]]-Ventas[[#This Row],[Precio compra]]*Ventas[[#This Row],[Cantidad]]</f>
        <v>805</v>
      </c>
      <c r="J825" s="34"/>
      <c r="K825" s="34">
        <f>Ventas[[#This Row],[Total]]*Ventas[[#This Row],[Total 3]]</f>
        <v>0</v>
      </c>
      <c r="L825" s="34"/>
      <c r="M825" s="34"/>
    </row>
    <row r="826" spans="1:13" ht="21.75" customHeight="1">
      <c r="A826" s="16"/>
      <c r="B826" s="39" t="s">
        <v>687</v>
      </c>
      <c r="C826" s="35" t="str">
        <f>VLOOKUP(Ventas[[#This Row],[Codigo]],Stock[#Data],2,FALSE)</f>
        <v>Sedas Lion Rolling Circus 1/4 celulosa</v>
      </c>
      <c r="D826" s="37">
        <f>VLOOKUP(Ventas[[#This Row],[Codigo]],Stock[#Data],4,FALSE)</f>
        <v>700</v>
      </c>
      <c r="E826" s="33">
        <f>VLOOKUP(Ventas[[#This Row],[Codigo]],Stock[#Data],3,FALSE)</f>
        <v>348</v>
      </c>
      <c r="F826" s="38">
        <v>1</v>
      </c>
      <c r="G826">
        <v>65</v>
      </c>
      <c r="H826" s="36">
        <f>Ventas[[#This Row],[Precio Venta]]*Ventas[[#This Row],[Cantidad]]-Ventas[[#This Row],[Descuento]]</f>
        <v>700</v>
      </c>
      <c r="I826" s="34">
        <f>Ventas[[#This Row],[Total]]-Ventas[[#This Row],[Precio compra]]*Ventas[[#This Row],[Cantidad]]</f>
        <v>352</v>
      </c>
      <c r="J826" s="34"/>
      <c r="K826" s="34">
        <f>Ventas[[#This Row],[Total]]*Ventas[[#This Row],[Total 3]]</f>
        <v>0</v>
      </c>
      <c r="L826" s="34"/>
      <c r="M826" s="34"/>
    </row>
    <row r="827" spans="1:13" ht="21.75" customHeight="1">
      <c r="A827" s="16"/>
      <c r="B827" s="39" t="s">
        <v>687</v>
      </c>
      <c r="C827" s="35" t="str">
        <f>VLOOKUP(Ventas[[#This Row],[Codigo]],Stock[#Data],2,FALSE)</f>
        <v>Sustrato Perlita</v>
      </c>
      <c r="D827" s="37">
        <f>VLOOKUP(Ventas[[#This Row],[Codigo]],Stock[#Data],4,FALSE)</f>
        <v>800</v>
      </c>
      <c r="E827" s="33">
        <f>VLOOKUP(Ventas[[#This Row],[Codigo]],Stock[#Data],3,FALSE)</f>
        <v>400</v>
      </c>
      <c r="F827" s="38">
        <v>1</v>
      </c>
      <c r="G827">
        <v>52</v>
      </c>
      <c r="H827" s="36">
        <f>Ventas[[#This Row],[Precio Venta]]*Ventas[[#This Row],[Cantidad]]-Ventas[[#This Row],[Descuento]]</f>
        <v>800</v>
      </c>
      <c r="I827" s="34">
        <f>Ventas[[#This Row],[Total]]-Ventas[[#This Row],[Precio compra]]*Ventas[[#This Row],[Cantidad]]</f>
        <v>400</v>
      </c>
      <c r="J827" s="34"/>
      <c r="K827" s="34">
        <f>Ventas[[#This Row],[Total]]*Ventas[[#This Row],[Total 3]]</f>
        <v>0</v>
      </c>
      <c r="L827" s="34"/>
      <c r="M827" s="34"/>
    </row>
    <row r="828" spans="1:13" ht="21.75" customHeight="1">
      <c r="A828" s="16"/>
      <c r="B828" s="39" t="s">
        <v>687</v>
      </c>
      <c r="C828" s="35" t="str">
        <f>VLOOKUP(Ventas[[#This Row],[Codigo]],Stock[#Data],2,FALSE)</f>
        <v>Sauver XL</v>
      </c>
      <c r="D828" s="37">
        <f>VLOOKUP(Ventas[[#This Row],[Codigo]],Stock[#Data],4,FALSE)</f>
        <v>200</v>
      </c>
      <c r="E828" s="33">
        <f>VLOOKUP(Ventas[[#This Row],[Codigo]],Stock[#Data],3,FALSE)</f>
        <v>65</v>
      </c>
      <c r="F828" s="38">
        <v>2</v>
      </c>
      <c r="G828">
        <v>529</v>
      </c>
      <c r="H828" s="36">
        <f>Ventas[[#This Row],[Precio Venta]]*Ventas[[#This Row],[Cantidad]]-Ventas[[#This Row],[Descuento]]</f>
        <v>400</v>
      </c>
      <c r="I828" s="34">
        <f>Ventas[[#This Row],[Total]]-Ventas[[#This Row],[Precio compra]]*Ventas[[#This Row],[Cantidad]]</f>
        <v>270</v>
      </c>
      <c r="J828" s="34"/>
      <c r="K828" s="34">
        <f>Ventas[[#This Row],[Total]]*Ventas[[#This Row],[Total 3]]</f>
        <v>0</v>
      </c>
      <c r="L828" s="34"/>
      <c r="M828" s="34"/>
    </row>
    <row r="829" spans="1:13" ht="21.75" customHeight="1">
      <c r="A829" s="16"/>
      <c r="B829" s="39" t="s">
        <v>687</v>
      </c>
      <c r="C829" s="35" t="str">
        <f>VLOOKUP(Ventas[[#This Row],[Codigo]],Stock[#Data],2,FALSE)</f>
        <v>Tips Lion silver</v>
      </c>
      <c r="D829" s="37">
        <f>VLOOKUP(Ventas[[#This Row],[Codigo]],Stock[#Data],4,FALSE)</f>
        <v>250</v>
      </c>
      <c r="E829" s="33">
        <f>VLOOKUP(Ventas[[#This Row],[Codigo]],Stock[#Data],3,FALSE)</f>
        <v>137</v>
      </c>
      <c r="F829" s="38">
        <v>1</v>
      </c>
      <c r="G829">
        <v>457</v>
      </c>
      <c r="H829" s="36">
        <f>Ventas[[#This Row],[Precio Venta]]*Ventas[[#This Row],[Cantidad]]-Ventas[[#This Row],[Descuento]]</f>
        <v>250</v>
      </c>
      <c r="I829" s="34">
        <f>Ventas[[#This Row],[Total]]-Ventas[[#This Row],[Precio compra]]*Ventas[[#This Row],[Cantidad]]</f>
        <v>113</v>
      </c>
      <c r="J829" s="34"/>
      <c r="K829" s="34">
        <f>Ventas[[#This Row],[Total]]*Ventas[[#This Row],[Total 3]]</f>
        <v>0</v>
      </c>
      <c r="L829" s="34"/>
      <c r="M829" s="34"/>
    </row>
    <row r="830" spans="1:13" ht="21.75" customHeight="1">
      <c r="A830" s="16"/>
      <c r="B830" s="39" t="s">
        <v>687</v>
      </c>
      <c r="C830" s="35" t="str">
        <f>VLOOKUP(Ventas[[#This Row],[Codigo]],Stock[#Data],2,FALSE)</f>
        <v>Tips STAMPS ECO</v>
      </c>
      <c r="D830" s="37">
        <f>VLOOKUP(Ventas[[#This Row],[Codigo]],Stock[#Data],4,FALSE)</f>
        <v>150</v>
      </c>
      <c r="E830" s="33">
        <f>VLOOKUP(Ventas[[#This Row],[Codigo]],Stock[#Data],3,FALSE)</f>
        <v>73</v>
      </c>
      <c r="F830" s="38">
        <v>2</v>
      </c>
      <c r="G830">
        <v>308</v>
      </c>
      <c r="H830" s="36">
        <f>Ventas[[#This Row],[Precio Venta]]*Ventas[[#This Row],[Cantidad]]-Ventas[[#This Row],[Descuento]]</f>
        <v>300</v>
      </c>
      <c r="I830" s="34">
        <f>Ventas[[#This Row],[Total]]-Ventas[[#This Row],[Precio compra]]*Ventas[[#This Row],[Cantidad]]</f>
        <v>154</v>
      </c>
      <c r="J830" s="34"/>
      <c r="K830" s="34">
        <f>Ventas[[#This Row],[Total]]*Ventas[[#This Row],[Total 3]]</f>
        <v>0</v>
      </c>
      <c r="L830" s="34"/>
      <c r="M830" s="34"/>
    </row>
    <row r="831" spans="1:13" ht="21.75" customHeight="1">
      <c r="A831" s="16"/>
      <c r="B831" s="39" t="s">
        <v>687</v>
      </c>
      <c r="C831" s="35" t="str">
        <f>VLOOKUP(Ventas[[#This Row],[Codigo]],Stock[#Data],2,FALSE)</f>
        <v xml:space="preserve">tips moon </v>
      </c>
      <c r="D831" s="37">
        <f>VLOOKUP(Ventas[[#This Row],[Codigo]],Stock[#Data],4,FALSE)</f>
        <v>100</v>
      </c>
      <c r="E831" s="33">
        <f>VLOOKUP(Ventas[[#This Row],[Codigo]],Stock[#Data],3,FALSE)</f>
        <v>50</v>
      </c>
      <c r="F831" s="38">
        <v>1</v>
      </c>
      <c r="G831">
        <v>356</v>
      </c>
      <c r="H831" s="36">
        <f>Ventas[[#This Row],[Precio Venta]]*Ventas[[#This Row],[Cantidad]]-Ventas[[#This Row],[Descuento]]</f>
        <v>100</v>
      </c>
      <c r="I831" s="34">
        <f>Ventas[[#This Row],[Total]]-Ventas[[#This Row],[Precio compra]]*Ventas[[#This Row],[Cantidad]]</f>
        <v>50</v>
      </c>
      <c r="J831" s="34"/>
      <c r="K831" s="34">
        <f>Ventas[[#This Row],[Total]]*Ventas[[#This Row],[Total 3]]</f>
        <v>0</v>
      </c>
      <c r="L831" s="34"/>
      <c r="M831" s="34"/>
    </row>
    <row r="832" spans="1:13" ht="21.75" customHeight="1">
      <c r="A832" s="16"/>
      <c r="B832" s="39" t="s">
        <v>687</v>
      </c>
      <c r="C832" s="35" t="str">
        <f>VLOOKUP(Ventas[[#This Row],[Codigo]],Stock[#Data],2,FALSE)</f>
        <v>Sedas Blunt Rey 1/4 celulosa Orange</v>
      </c>
      <c r="D832" s="37">
        <f>VLOOKUP(Ventas[[#This Row],[Codigo]],Stock[#Data],4,FALSE)</f>
        <v>300</v>
      </c>
      <c r="E832" s="33">
        <f>VLOOKUP(Ventas[[#This Row],[Codigo]],Stock[#Data],3,FALSE)</f>
        <v>143</v>
      </c>
      <c r="F832" s="38">
        <v>1</v>
      </c>
      <c r="G832">
        <v>71</v>
      </c>
      <c r="H832" s="36">
        <f>Ventas[[#This Row],[Precio Venta]]*Ventas[[#This Row],[Cantidad]]-Ventas[[#This Row],[Descuento]]</f>
        <v>300</v>
      </c>
      <c r="I832" s="34">
        <f>Ventas[[#This Row],[Total]]-Ventas[[#This Row],[Precio compra]]*Ventas[[#This Row],[Cantidad]]</f>
        <v>157</v>
      </c>
      <c r="J832" s="34"/>
      <c r="K832" s="34">
        <f>Ventas[[#This Row],[Total]]*Ventas[[#This Row],[Total 3]]</f>
        <v>0</v>
      </c>
      <c r="L832" s="34"/>
      <c r="M832" s="34"/>
    </row>
    <row r="833" spans="1:13" ht="21.75" customHeight="1">
      <c r="A833" s="16"/>
      <c r="B833" s="39" t="s">
        <v>687</v>
      </c>
      <c r="C833" s="35" t="str">
        <f>VLOOKUP(Ventas[[#This Row],[Codigo]],Stock[#Data],2,FALSE)</f>
        <v>Blunt Lion Rolling Circus TERPENES GELATO</v>
      </c>
      <c r="D833" s="37">
        <f>VLOOKUP(Ventas[[#This Row],[Codigo]],Stock[#Data],4,FALSE)</f>
        <v>850</v>
      </c>
      <c r="E833" s="33">
        <f>VLOOKUP(Ventas[[#This Row],[Codigo]],Stock[#Data],3,FALSE)</f>
        <v>422</v>
      </c>
      <c r="F833" s="38">
        <v>1</v>
      </c>
      <c r="G833">
        <v>99</v>
      </c>
      <c r="H833" s="36">
        <f>Ventas[[#This Row],[Precio Venta]]*Ventas[[#This Row],[Cantidad]]-Ventas[[#This Row],[Descuento]]</f>
        <v>850</v>
      </c>
      <c r="I833" s="34">
        <f>Ventas[[#This Row],[Total]]-Ventas[[#This Row],[Precio compra]]*Ventas[[#This Row],[Cantidad]]</f>
        <v>428</v>
      </c>
      <c r="J833" s="34"/>
      <c r="K833" s="34">
        <f>Ventas[[#This Row],[Total]]*Ventas[[#This Row],[Total 3]]</f>
        <v>0</v>
      </c>
      <c r="L833" s="34"/>
      <c r="M833" s="34"/>
    </row>
    <row r="834" spans="1:13" ht="21.75" customHeight="1">
      <c r="A834" s="16"/>
      <c r="B834" s="39" t="s">
        <v>687</v>
      </c>
      <c r="C834" s="35" t="str">
        <f>VLOOKUP(Ventas[[#This Row],[Codigo]],Stock[#Data],2,FALSE)</f>
        <v>VAMP Supermelaza</v>
      </c>
      <c r="D834" s="37">
        <f>VLOOKUP(Ventas[[#This Row],[Codigo]],Stock[#Data],4,FALSE)</f>
        <v>1800</v>
      </c>
      <c r="E834" s="33">
        <f>VLOOKUP(Ventas[[#This Row],[Codigo]],Stock[#Data],3,FALSE)</f>
        <v>908</v>
      </c>
      <c r="F834" s="38">
        <v>1</v>
      </c>
      <c r="G834">
        <v>36</v>
      </c>
      <c r="H834" s="36">
        <f>Ventas[[#This Row],[Precio Venta]]*Ventas[[#This Row],[Cantidad]]-Ventas[[#This Row],[Descuento]]</f>
        <v>1800</v>
      </c>
      <c r="I834" s="34">
        <f>Ventas[[#This Row],[Total]]-Ventas[[#This Row],[Precio compra]]*Ventas[[#This Row],[Cantidad]]</f>
        <v>892</v>
      </c>
      <c r="J834" s="34"/>
      <c r="K834" s="34">
        <f>Ventas[[#This Row],[Total]]*Ventas[[#This Row],[Total 3]]</f>
        <v>0</v>
      </c>
      <c r="L834" s="34"/>
      <c r="M834" s="34"/>
    </row>
    <row r="835" spans="1:13" ht="21.75" customHeight="1">
      <c r="A835" s="16"/>
      <c r="B835" s="39" t="s">
        <v>687</v>
      </c>
      <c r="C835" s="35" t="str">
        <f>VLOOKUP(Ventas[[#This Row],[Codigo]],Stock[#Data],2,FALSE)</f>
        <v>CropSecret 250ml Floral Session</v>
      </c>
      <c r="D835" s="37">
        <f>VLOOKUP(Ventas[[#This Row],[Codigo]],Stock[#Data],4,FALSE)</f>
        <v>2000</v>
      </c>
      <c r="E835" s="33">
        <f>VLOOKUP(Ventas[[#This Row],[Codigo]],Stock[#Data],3,FALSE)</f>
        <v>836</v>
      </c>
      <c r="F835" s="38">
        <v>1</v>
      </c>
      <c r="G835">
        <v>6</v>
      </c>
      <c r="H835" s="36">
        <f>Ventas[[#This Row],[Precio Venta]]*Ventas[[#This Row],[Cantidad]]-Ventas[[#This Row],[Descuento]]</f>
        <v>2000</v>
      </c>
      <c r="I835" s="34">
        <f>Ventas[[#This Row],[Total]]-Ventas[[#This Row],[Precio compra]]*Ventas[[#This Row],[Cantidad]]</f>
        <v>1164</v>
      </c>
      <c r="J835" s="34"/>
      <c r="K835" s="34">
        <f>Ventas[[#This Row],[Total]]*Ventas[[#This Row],[Total 3]]</f>
        <v>0</v>
      </c>
      <c r="L835" s="34"/>
      <c r="M835" s="34"/>
    </row>
    <row r="836" spans="1:13" ht="21.75" customHeight="1">
      <c r="A836" s="16"/>
      <c r="B836" s="39" t="s">
        <v>687</v>
      </c>
      <c r="C836" s="35" t="str">
        <f>VLOOKUP(Ventas[[#This Row],[Codigo]],Stock[#Data],2,FALSE)</f>
        <v>Alga Delta 100ml</v>
      </c>
      <c r="D836" s="37">
        <f>VLOOKUP(Ventas[[#This Row],[Codigo]],Stock[#Data],4,FALSE)</f>
        <v>1600</v>
      </c>
      <c r="E836" s="33">
        <f>VLOOKUP(Ventas[[#This Row],[Codigo]],Stock[#Data],3,FALSE)</f>
        <v>808</v>
      </c>
      <c r="F836" s="38">
        <v>1</v>
      </c>
      <c r="G836">
        <v>471</v>
      </c>
      <c r="H836" s="36">
        <f>Ventas[[#This Row],[Precio Venta]]*Ventas[[#This Row],[Cantidad]]-Ventas[[#This Row],[Descuento]]</f>
        <v>1600</v>
      </c>
      <c r="I836" s="34">
        <f>Ventas[[#This Row],[Total]]-Ventas[[#This Row],[Precio compra]]*Ventas[[#This Row],[Cantidad]]</f>
        <v>792</v>
      </c>
      <c r="J836" s="34"/>
      <c r="K836" s="34">
        <f>Ventas[[#This Row],[Total]]*Ventas[[#This Row],[Total 3]]</f>
        <v>0</v>
      </c>
      <c r="L836" s="34"/>
      <c r="M836" s="34"/>
    </row>
    <row r="837" spans="1:13" ht="21.75" customHeight="1">
      <c r="A837" s="16"/>
      <c r="B837" s="39" t="s">
        <v>687</v>
      </c>
      <c r="C837" s="35" t="str">
        <f>VLOOKUP(Ventas[[#This Row],[Codigo]],Stock[#Data],2,FALSE)</f>
        <v xml:space="preserve">Encendedor Clipper </v>
      </c>
      <c r="D837" s="37">
        <f>VLOOKUP(Ventas[[#This Row],[Codigo]],Stock[#Data],4,FALSE)</f>
        <v>600</v>
      </c>
      <c r="E837" s="33">
        <f>VLOOKUP(Ventas[[#This Row],[Codigo]],Stock[#Data],3,FALSE)</f>
        <v>378</v>
      </c>
      <c r="F837" s="38">
        <v>1</v>
      </c>
      <c r="G837">
        <v>58</v>
      </c>
      <c r="H837" s="36">
        <f>Ventas[[#This Row],[Precio Venta]]*Ventas[[#This Row],[Cantidad]]-Ventas[[#This Row],[Descuento]]</f>
        <v>600</v>
      </c>
      <c r="I837" s="34">
        <f>Ventas[[#This Row],[Total]]-Ventas[[#This Row],[Precio compra]]*Ventas[[#This Row],[Cantidad]]</f>
        <v>222</v>
      </c>
      <c r="J837" s="34"/>
      <c r="K837" s="34">
        <f>Ventas[[#This Row],[Total]]*Ventas[[#This Row],[Total 3]]</f>
        <v>0</v>
      </c>
      <c r="L837" s="34"/>
      <c r="M837" s="34"/>
    </row>
    <row r="838" spans="1:13" ht="21.75" customHeight="1">
      <c r="A838" s="16"/>
      <c r="B838" s="39" t="s">
        <v>687</v>
      </c>
      <c r="C838" s="35" t="str">
        <f>VLOOKUP(Ventas[[#This Row],[Codigo]],Stock[#Data],2,FALSE)</f>
        <v>Tips Rok Organic</v>
      </c>
      <c r="D838" s="37">
        <f>VLOOKUP(Ventas[[#This Row],[Codigo]],Stock[#Data],4,FALSE)</f>
        <v>100</v>
      </c>
      <c r="E838" s="33">
        <f>VLOOKUP(Ventas[[#This Row],[Codigo]],Stock[#Data],3,FALSE)</f>
        <v>50</v>
      </c>
      <c r="F838" s="38">
        <v>1</v>
      </c>
      <c r="G838">
        <v>96</v>
      </c>
      <c r="H838" s="36">
        <f>Ventas[[#This Row],[Precio Venta]]*Ventas[[#This Row],[Cantidad]]-Ventas[[#This Row],[Descuento]]</f>
        <v>100</v>
      </c>
      <c r="I838" s="34">
        <f>Ventas[[#This Row],[Total]]-Ventas[[#This Row],[Precio compra]]*Ventas[[#This Row],[Cantidad]]</f>
        <v>50</v>
      </c>
      <c r="J838" s="34"/>
      <c r="K838" s="34">
        <f>Ventas[[#This Row],[Total]]*Ventas[[#This Row],[Total 3]]</f>
        <v>0</v>
      </c>
      <c r="L838" s="34"/>
      <c r="M838" s="34"/>
    </row>
    <row r="839" spans="1:13" ht="21.75" customHeight="1">
      <c r="A839" s="16"/>
      <c r="B839" s="39" t="s">
        <v>687</v>
      </c>
      <c r="C839" s="35" t="str">
        <f>VLOOKUP(Ventas[[#This Row],[Codigo]],Stock[#Data],2,FALSE)</f>
        <v>Bandeja OCB con tapa</v>
      </c>
      <c r="D839" s="37">
        <f>VLOOKUP(Ventas[[#This Row],[Codigo]],Stock[#Data],4,FALSE)</f>
        <v>3000</v>
      </c>
      <c r="E839" s="33">
        <f>VLOOKUP(Ventas[[#This Row],[Codigo]],Stock[#Data],3,FALSE)</f>
        <v>1321</v>
      </c>
      <c r="F839" s="38">
        <v>1</v>
      </c>
      <c r="G839">
        <v>546</v>
      </c>
      <c r="H839" s="36">
        <f>Ventas[[#This Row],[Precio Venta]]*Ventas[[#This Row],[Cantidad]]-Ventas[[#This Row],[Descuento]]</f>
        <v>3000</v>
      </c>
      <c r="I839" s="34">
        <f>Ventas[[#This Row],[Total]]-Ventas[[#This Row],[Precio compra]]*Ventas[[#This Row],[Cantidad]]</f>
        <v>1679</v>
      </c>
      <c r="J839" s="34"/>
      <c r="K839" s="34">
        <f>Ventas[[#This Row],[Total]]*Ventas[[#This Row],[Total 3]]</f>
        <v>0</v>
      </c>
      <c r="L839" s="34"/>
      <c r="M839" s="34"/>
    </row>
    <row r="840" spans="1:13" ht="21.75" customHeight="1">
      <c r="A840" s="16"/>
      <c r="B840" s="39" t="s">
        <v>684</v>
      </c>
      <c r="C840" s="35" t="str">
        <f>VLOOKUP(Ventas[[#This Row],[Codigo]],Stock[#Data],2,FALSE)</f>
        <v>Geotextiles 40L cultivate</v>
      </c>
      <c r="D840" s="37">
        <f>VLOOKUP(Ventas[[#This Row],[Codigo]],Stock[#Data],4,FALSE)</f>
        <v>1300</v>
      </c>
      <c r="E840" s="33">
        <f>VLOOKUP(Ventas[[#This Row],[Codigo]],Stock[#Data],3,FALSE)</f>
        <v>638</v>
      </c>
      <c r="F840" s="38">
        <v>2</v>
      </c>
      <c r="G840">
        <v>597</v>
      </c>
      <c r="H840" s="36">
        <f>Ventas[[#This Row],[Precio Venta]]*Ventas[[#This Row],[Cantidad]]-Ventas[[#This Row],[Descuento]]</f>
        <v>2600</v>
      </c>
      <c r="I840" s="34">
        <f>Ventas[[#This Row],[Total]]-Ventas[[#This Row],[Precio compra]]*Ventas[[#This Row],[Cantidad]]</f>
        <v>1324</v>
      </c>
      <c r="J840" s="34"/>
      <c r="K840" s="34">
        <f>Ventas[[#This Row],[Total]]*Ventas[[#This Row],[Total 3]]</f>
        <v>0</v>
      </c>
      <c r="L840" s="34"/>
      <c r="M840" s="34"/>
    </row>
    <row r="841" spans="1:13" ht="21.75" customHeight="1">
      <c r="A841" s="16"/>
      <c r="B841" s="39" t="s">
        <v>684</v>
      </c>
      <c r="C841" s="35" t="str">
        <f>VLOOKUP(Ventas[[#This Row],[Codigo]],Stock[#Data],2,FALSE)</f>
        <v>VAMP sustrato Mágico 10l</v>
      </c>
      <c r="D841" s="37">
        <f>VLOOKUP(Ventas[[#This Row],[Codigo]],Stock[#Data],4,FALSE)</f>
        <v>500</v>
      </c>
      <c r="E841" s="33">
        <f>VLOOKUP(Ventas[[#This Row],[Codigo]],Stock[#Data],3,FALSE)</f>
        <v>250</v>
      </c>
      <c r="F841" s="38">
        <v>2</v>
      </c>
      <c r="G841">
        <v>44</v>
      </c>
      <c r="H841" s="36">
        <f>Ventas[[#This Row],[Precio Venta]]*Ventas[[#This Row],[Cantidad]]-Ventas[[#This Row],[Descuento]]</f>
        <v>1000</v>
      </c>
      <c r="I841" s="34">
        <f>Ventas[[#This Row],[Total]]-Ventas[[#This Row],[Precio compra]]*Ventas[[#This Row],[Cantidad]]</f>
        <v>500</v>
      </c>
      <c r="J841" s="34"/>
      <c r="K841" s="34">
        <f>Ventas[[#This Row],[Total]]*Ventas[[#This Row],[Total 3]]</f>
        <v>0</v>
      </c>
      <c r="L841" s="34"/>
      <c r="M841" s="34"/>
    </row>
    <row r="842" spans="1:13" ht="21.75" customHeight="1">
      <c r="A842" s="16"/>
      <c r="B842" s="39" t="s">
        <v>684</v>
      </c>
      <c r="C842" s="35" t="str">
        <f>VLOOKUP(Ventas[[#This Row],[Codigo]],Stock[#Data],2,FALSE)</f>
        <v>Sustrato Perlita</v>
      </c>
      <c r="D842" s="37">
        <f>VLOOKUP(Ventas[[#This Row],[Codigo]],Stock[#Data],4,FALSE)</f>
        <v>800</v>
      </c>
      <c r="E842" s="33">
        <f>VLOOKUP(Ventas[[#This Row],[Codigo]],Stock[#Data],3,FALSE)</f>
        <v>400</v>
      </c>
      <c r="F842" s="38">
        <v>2</v>
      </c>
      <c r="G842">
        <v>52</v>
      </c>
      <c r="H842" s="36">
        <f>Ventas[[#This Row],[Precio Venta]]*Ventas[[#This Row],[Cantidad]]-Ventas[[#This Row],[Descuento]]</f>
        <v>1600</v>
      </c>
      <c r="I842" s="34">
        <f>Ventas[[#This Row],[Total]]-Ventas[[#This Row],[Precio compra]]*Ventas[[#This Row],[Cantidad]]</f>
        <v>800</v>
      </c>
      <c r="J842" s="34"/>
      <c r="K842" s="34">
        <f>Ventas[[#This Row],[Total]]*Ventas[[#This Row],[Total 3]]</f>
        <v>0</v>
      </c>
      <c r="L842" s="34"/>
      <c r="M842" s="34"/>
    </row>
    <row r="843" spans="1:13" ht="21.75" customHeight="1">
      <c r="A843" s="16"/>
      <c r="B843" s="39" t="s">
        <v>684</v>
      </c>
      <c r="C843" s="35" t="str">
        <f>VLOOKUP(Ventas[[#This Row],[Codigo]],Stock[#Data],2,FALSE)</f>
        <v>Macetas Sopladas 7 litros</v>
      </c>
      <c r="D843" s="37">
        <f>VLOOKUP(Ventas[[#This Row],[Codigo]],Stock[#Data],4,FALSE)</f>
        <v>200</v>
      </c>
      <c r="E843" s="33">
        <f>VLOOKUP(Ventas[[#This Row],[Codigo]],Stock[#Data],3,FALSE)</f>
        <v>100</v>
      </c>
      <c r="F843" s="38">
        <v>4</v>
      </c>
      <c r="G843">
        <v>247</v>
      </c>
      <c r="H843" s="36">
        <f>Ventas[[#This Row],[Precio Venta]]*Ventas[[#This Row],[Cantidad]]-Ventas[[#This Row],[Descuento]]</f>
        <v>800</v>
      </c>
      <c r="I843" s="34">
        <f>Ventas[[#This Row],[Total]]-Ventas[[#This Row],[Precio compra]]*Ventas[[#This Row],[Cantidad]]</f>
        <v>400</v>
      </c>
      <c r="J843" s="34"/>
      <c r="K843" s="34">
        <f>Ventas[[#This Row],[Total]]*Ventas[[#This Row],[Total 3]]</f>
        <v>0</v>
      </c>
      <c r="L843" s="34"/>
      <c r="M843" s="34"/>
    </row>
    <row r="844" spans="1:13" ht="21.75" customHeight="1">
      <c r="A844" s="16"/>
      <c r="B844" s="39" t="s">
        <v>684</v>
      </c>
      <c r="C844" s="35" t="str">
        <f>VLOOKUP(Ventas[[#This Row],[Codigo]],Stock[#Data],2,FALSE)</f>
        <v>Macetas Sopladas 3L</v>
      </c>
      <c r="D844" s="37">
        <f>VLOOKUP(Ventas[[#This Row],[Codigo]],Stock[#Data],4,FALSE)</f>
        <v>120</v>
      </c>
      <c r="E844" s="33">
        <f>VLOOKUP(Ventas[[#This Row],[Codigo]],Stock[#Data],3,FALSE)</f>
        <v>58</v>
      </c>
      <c r="F844" s="38">
        <v>5</v>
      </c>
      <c r="G844">
        <v>456</v>
      </c>
      <c r="H844" s="36">
        <f>Ventas[[#This Row],[Precio Venta]]*Ventas[[#This Row],[Cantidad]]-Ventas[[#This Row],[Descuento]]</f>
        <v>600</v>
      </c>
      <c r="I844" s="34">
        <f>Ventas[[#This Row],[Total]]-Ventas[[#This Row],[Precio compra]]*Ventas[[#This Row],[Cantidad]]</f>
        <v>310</v>
      </c>
      <c r="J844" s="34"/>
      <c r="K844" s="34">
        <f>Ventas[[#This Row],[Total]]*Ventas[[#This Row],[Total 3]]</f>
        <v>0</v>
      </c>
      <c r="L844" s="34"/>
      <c r="M844" s="34"/>
    </row>
    <row r="845" spans="1:13" ht="21.75" customHeight="1">
      <c r="A845" s="16"/>
      <c r="B845" s="39" t="s">
        <v>684</v>
      </c>
      <c r="C845" s="35" t="str">
        <f>VLOOKUP(Ventas[[#This Row],[Codigo]],Stock[#Data],2,FALSE)</f>
        <v>Blunt Lion Rolling Circus TERPENES GELATO</v>
      </c>
      <c r="D845" s="37">
        <f>VLOOKUP(Ventas[[#This Row],[Codigo]],Stock[#Data],4,FALSE)</f>
        <v>850</v>
      </c>
      <c r="E845" s="33">
        <f>VLOOKUP(Ventas[[#This Row],[Codigo]],Stock[#Data],3,FALSE)</f>
        <v>422</v>
      </c>
      <c r="F845" s="38">
        <v>1</v>
      </c>
      <c r="G845">
        <v>99</v>
      </c>
      <c r="H845" s="36">
        <f>Ventas[[#This Row],[Precio Venta]]*Ventas[[#This Row],[Cantidad]]-Ventas[[#This Row],[Descuento]]</f>
        <v>850</v>
      </c>
      <c r="I845" s="34">
        <f>Ventas[[#This Row],[Total]]-Ventas[[#This Row],[Precio compra]]*Ventas[[#This Row],[Cantidad]]</f>
        <v>428</v>
      </c>
      <c r="J845" s="34"/>
      <c r="K845" s="34">
        <f>Ventas[[#This Row],[Total]]*Ventas[[#This Row],[Total 3]]</f>
        <v>0</v>
      </c>
      <c r="L845" s="34"/>
      <c r="M845" s="34"/>
    </row>
    <row r="846" spans="1:13" ht="21.75" customHeight="1">
      <c r="A846" s="16"/>
      <c r="B846" s="39" t="s">
        <v>684</v>
      </c>
      <c r="C846" s="35" t="str">
        <f>VLOOKUP(Ventas[[#This Row],[Codigo]],Stock[#Data],2,FALSE)</f>
        <v xml:space="preserve">Tabaco Van Kiff American Blend </v>
      </c>
      <c r="D846" s="37">
        <f>VLOOKUP(Ventas[[#This Row],[Codigo]],Stock[#Data],4,FALSE)</f>
        <v>850</v>
      </c>
      <c r="E846" s="33">
        <f>VLOOKUP(Ventas[[#This Row],[Codigo]],Stock[#Data],3,FALSE)</f>
        <v>580</v>
      </c>
      <c r="F846" s="38">
        <v>1</v>
      </c>
      <c r="G846">
        <v>348</v>
      </c>
      <c r="H846" s="36">
        <f>Ventas[[#This Row],[Precio Venta]]*Ventas[[#This Row],[Cantidad]]-Ventas[[#This Row],[Descuento]]</f>
        <v>850</v>
      </c>
      <c r="I846" s="34">
        <f>Ventas[[#This Row],[Total]]-Ventas[[#This Row],[Precio compra]]*Ventas[[#This Row],[Cantidad]]</f>
        <v>270</v>
      </c>
      <c r="J846" s="34"/>
      <c r="K846" s="34">
        <f>Ventas[[#This Row],[Total]]*Ventas[[#This Row],[Total 3]]</f>
        <v>0</v>
      </c>
      <c r="L846" s="34"/>
      <c r="M846" s="34"/>
    </row>
    <row r="847" spans="1:13" ht="21.75" customHeight="1">
      <c r="A847" s="16"/>
      <c r="B847" s="39" t="s">
        <v>684</v>
      </c>
      <c r="C847" s="35" t="str">
        <f>VLOOKUP(Ventas[[#This Row],[Codigo]],Stock[#Data],2,FALSE)</f>
        <v>OCB premium</v>
      </c>
      <c r="D847" s="37">
        <f>VLOOKUP(Ventas[[#This Row],[Codigo]],Stock[#Data],4,FALSE)</f>
        <v>300</v>
      </c>
      <c r="E847" s="33">
        <f>VLOOKUP(Ventas[[#This Row],[Codigo]],Stock[#Data],3,FALSE)</f>
        <v>165</v>
      </c>
      <c r="F847" s="38">
        <v>1</v>
      </c>
      <c r="G847">
        <v>594</v>
      </c>
      <c r="H847" s="36">
        <f>Ventas[[#This Row],[Precio Venta]]*Ventas[[#This Row],[Cantidad]]-Ventas[[#This Row],[Descuento]]</f>
        <v>300</v>
      </c>
      <c r="I847" s="34">
        <f>Ventas[[#This Row],[Total]]-Ventas[[#This Row],[Precio compra]]*Ventas[[#This Row],[Cantidad]]</f>
        <v>135</v>
      </c>
      <c r="J847" s="34"/>
      <c r="K847" s="34">
        <f>Ventas[[#This Row],[Total]]*Ventas[[#This Row],[Total 3]]</f>
        <v>0</v>
      </c>
      <c r="L847" s="34"/>
      <c r="M847" s="34"/>
    </row>
    <row r="848" spans="1:13" ht="21.75" customHeight="1">
      <c r="A848" s="16"/>
      <c r="B848" s="39" t="s">
        <v>684</v>
      </c>
      <c r="C848" s="35" t="str">
        <f>VLOOKUP(Ventas[[#This Row],[Codigo]],Stock[#Data],2,FALSE)</f>
        <v>Namaste Trico+ 100gr</v>
      </c>
      <c r="D848" s="37">
        <f>VLOOKUP(Ventas[[#This Row],[Codigo]],Stock[#Data],4,FALSE)</f>
        <v>1000</v>
      </c>
      <c r="E848" s="33">
        <f>VLOOKUP(Ventas[[#This Row],[Codigo]],Stock[#Data],3,FALSE)</f>
        <v>541</v>
      </c>
      <c r="F848" s="38">
        <v>1</v>
      </c>
      <c r="G848">
        <v>479</v>
      </c>
      <c r="H848" s="36">
        <f>Ventas[[#This Row],[Precio Venta]]*Ventas[[#This Row],[Cantidad]]-Ventas[[#This Row],[Descuento]]</f>
        <v>1000</v>
      </c>
      <c r="I848" s="34">
        <f>Ventas[[#This Row],[Total]]-Ventas[[#This Row],[Precio compra]]*Ventas[[#This Row],[Cantidad]]</f>
        <v>459</v>
      </c>
      <c r="J848" s="34"/>
      <c r="K848" s="34">
        <f>Ventas[[#This Row],[Total]]*Ventas[[#This Row],[Total 3]]</f>
        <v>0</v>
      </c>
      <c r="L848" s="34"/>
      <c r="M848" s="34"/>
    </row>
    <row r="849" spans="1:13" ht="21.75" customHeight="1">
      <c r="A849" s="16"/>
      <c r="B849" s="39" t="s">
        <v>684</v>
      </c>
      <c r="C849" s="35" t="str">
        <f>VLOOKUP(Ventas[[#This Row],[Codigo]],Stock[#Data],2,FALSE)</f>
        <v>Namaste Flora Booster 100ml</v>
      </c>
      <c r="D849" s="37">
        <f>VLOOKUP(Ventas[[#This Row],[Codigo]],Stock[#Data],4,FALSE)</f>
        <v>1000</v>
      </c>
      <c r="E849" s="33">
        <f>VLOOKUP(Ventas[[#This Row],[Codigo]],Stock[#Data],3,FALSE)</f>
        <v>517</v>
      </c>
      <c r="F849" s="38">
        <v>1</v>
      </c>
      <c r="G849">
        <v>480</v>
      </c>
      <c r="H849" s="36">
        <f>Ventas[[#This Row],[Precio Venta]]*Ventas[[#This Row],[Cantidad]]-Ventas[[#This Row],[Descuento]]</f>
        <v>1000</v>
      </c>
      <c r="I849" s="34">
        <f>Ventas[[#This Row],[Total]]-Ventas[[#This Row],[Precio compra]]*Ventas[[#This Row],[Cantidad]]</f>
        <v>483</v>
      </c>
      <c r="J849" s="34"/>
      <c r="K849" s="34">
        <f>Ventas[[#This Row],[Total]]*Ventas[[#This Row],[Total 3]]</f>
        <v>0</v>
      </c>
      <c r="L849" s="34"/>
      <c r="M849" s="34"/>
    </row>
    <row r="850" spans="1:13" ht="21.75" customHeight="1">
      <c r="A850" s="16"/>
      <c r="B850" s="39" t="s">
        <v>684</v>
      </c>
      <c r="C850" s="35" t="str">
        <f>VLOOKUP(Ventas[[#This Row],[Codigo]],Stock[#Data],2,FALSE)</f>
        <v>Alga Delta 100ml</v>
      </c>
      <c r="D850" s="37">
        <f>VLOOKUP(Ventas[[#This Row],[Codigo]],Stock[#Data],4,FALSE)</f>
        <v>1600</v>
      </c>
      <c r="E850" s="33">
        <f>VLOOKUP(Ventas[[#This Row],[Codigo]],Stock[#Data],3,FALSE)</f>
        <v>808</v>
      </c>
      <c r="F850" s="38">
        <v>1</v>
      </c>
      <c r="G850">
        <v>471</v>
      </c>
      <c r="H850" s="36">
        <f>Ventas[[#This Row],[Precio Venta]]*Ventas[[#This Row],[Cantidad]]-Ventas[[#This Row],[Descuento]]</f>
        <v>1600</v>
      </c>
      <c r="I850" s="34">
        <f>Ventas[[#This Row],[Total]]-Ventas[[#This Row],[Precio compra]]*Ventas[[#This Row],[Cantidad]]</f>
        <v>792</v>
      </c>
      <c r="J850" s="34"/>
      <c r="K850" s="34">
        <f>Ventas[[#This Row],[Total]]*Ventas[[#This Row],[Total 3]]</f>
        <v>0</v>
      </c>
      <c r="L850" s="34"/>
      <c r="M850" s="34"/>
    </row>
    <row r="851" spans="1:13" ht="21.75" customHeight="1">
      <c r="A851" s="16"/>
      <c r="B851" s="39">
        <v>44979</v>
      </c>
      <c r="C851" s="35" t="str">
        <f>VLOOKUP(Ventas[[#This Row],[Codigo]],Stock[#Data],2,FALSE)</f>
        <v>Sedas Blunt Rey Kz celulosa Verde</v>
      </c>
      <c r="D851" s="37">
        <f>VLOOKUP(Ventas[[#This Row],[Codigo]],Stock[#Data],4,FALSE)</f>
        <v>400</v>
      </c>
      <c r="E851" s="33">
        <f>VLOOKUP(Ventas[[#This Row],[Codigo]],Stock[#Data],3,FALSE)</f>
        <v>163</v>
      </c>
      <c r="F851" s="38">
        <v>1</v>
      </c>
      <c r="G851">
        <v>70</v>
      </c>
      <c r="H851" s="36">
        <f>Ventas[[#This Row],[Precio Venta]]*Ventas[[#This Row],[Cantidad]]-Ventas[[#This Row],[Descuento]]</f>
        <v>400</v>
      </c>
      <c r="I851" s="34">
        <f>Ventas[[#This Row],[Total]]-Ventas[[#This Row],[Precio compra]]*Ventas[[#This Row],[Cantidad]]</f>
        <v>237</v>
      </c>
      <c r="J851" s="34"/>
      <c r="K851" s="34">
        <f>Ventas[[#This Row],[Total]]*Ventas[[#This Row],[Total 3]]</f>
        <v>0</v>
      </c>
      <c r="L851" s="34"/>
      <c r="M851" s="34"/>
    </row>
    <row r="852" spans="1:13" ht="21.75" customHeight="1">
      <c r="A852" s="16"/>
      <c r="B852" s="39">
        <v>44979</v>
      </c>
      <c r="C852" s="35" t="str">
        <f>VLOOKUP(Ventas[[#This Row],[Codigo]],Stock[#Data],2,FALSE)</f>
        <v>VAMP Supermelaza</v>
      </c>
      <c r="D852" s="37">
        <f>VLOOKUP(Ventas[[#This Row],[Codigo]],Stock[#Data],4,FALSE)</f>
        <v>1800</v>
      </c>
      <c r="E852" s="33">
        <f>VLOOKUP(Ventas[[#This Row],[Codigo]],Stock[#Data],3,FALSE)</f>
        <v>908</v>
      </c>
      <c r="F852" s="38">
        <v>1</v>
      </c>
      <c r="G852">
        <v>36</v>
      </c>
      <c r="H852" s="36">
        <f>Ventas[[#This Row],[Precio Venta]]*Ventas[[#This Row],[Cantidad]]-Ventas[[#This Row],[Descuento]]</f>
        <v>1800</v>
      </c>
      <c r="I852" s="34">
        <f>Ventas[[#This Row],[Total]]-Ventas[[#This Row],[Precio compra]]*Ventas[[#This Row],[Cantidad]]</f>
        <v>892</v>
      </c>
      <c r="J852" s="34"/>
      <c r="K852" s="34">
        <f>Ventas[[#This Row],[Total]]*Ventas[[#This Row],[Total 3]]</f>
        <v>0</v>
      </c>
      <c r="L852" s="34"/>
      <c r="M852" s="34"/>
    </row>
    <row r="853" spans="1:13" ht="21.75" customHeight="1">
      <c r="A853" s="16"/>
      <c r="B853" s="39">
        <v>44979</v>
      </c>
      <c r="C853" s="35" t="str">
        <f>VLOOKUP(Ventas[[#This Row],[Codigo]],Stock[#Data],2,FALSE)</f>
        <v>Namaste Flora Booster 100ml</v>
      </c>
      <c r="D853" s="37">
        <f>VLOOKUP(Ventas[[#This Row],[Codigo]],Stock[#Data],4,FALSE)</f>
        <v>1000</v>
      </c>
      <c r="E853" s="33">
        <f>VLOOKUP(Ventas[[#This Row],[Codigo]],Stock[#Data],3,FALSE)</f>
        <v>517</v>
      </c>
      <c r="F853" s="38">
        <v>2</v>
      </c>
      <c r="G853">
        <v>480</v>
      </c>
      <c r="H853" s="36">
        <f>Ventas[[#This Row],[Precio Venta]]*Ventas[[#This Row],[Cantidad]]-Ventas[[#This Row],[Descuento]]</f>
        <v>2000</v>
      </c>
      <c r="I853" s="34">
        <f>Ventas[[#This Row],[Total]]-Ventas[[#This Row],[Precio compra]]*Ventas[[#This Row],[Cantidad]]</f>
        <v>966</v>
      </c>
      <c r="J853" s="34"/>
      <c r="K853" s="34">
        <f>Ventas[[#This Row],[Total]]*Ventas[[#This Row],[Total 3]]</f>
        <v>0</v>
      </c>
      <c r="L853" s="34"/>
      <c r="M853" s="34"/>
    </row>
    <row r="854" spans="1:13" ht="21.75" customHeight="1">
      <c r="A854" s="16"/>
      <c r="B854" s="39">
        <v>44979</v>
      </c>
      <c r="C854" s="35" t="str">
        <f>VLOOKUP(Ventas[[#This Row],[Codigo]],Stock[#Data],2,FALSE)</f>
        <v>4 en 1 100ml Green Leaf Insumos</v>
      </c>
      <c r="D854" s="37">
        <f>VLOOKUP(Ventas[[#This Row],[Codigo]],Stock[#Data],4,FALSE)</f>
        <v>1000</v>
      </c>
      <c r="E854" s="33">
        <f>VLOOKUP(Ventas[[#This Row],[Codigo]],Stock[#Data],3,FALSE)</f>
        <v>498</v>
      </c>
      <c r="F854" s="38">
        <v>1</v>
      </c>
      <c r="G854">
        <v>575</v>
      </c>
      <c r="H854" s="36">
        <f>Ventas[[#This Row],[Precio Venta]]*Ventas[[#This Row],[Cantidad]]-Ventas[[#This Row],[Descuento]]</f>
        <v>1000</v>
      </c>
      <c r="I854" s="34">
        <f>Ventas[[#This Row],[Total]]-Ventas[[#This Row],[Precio compra]]*Ventas[[#This Row],[Cantidad]]</f>
        <v>502</v>
      </c>
      <c r="J854" s="34"/>
      <c r="K854" s="34">
        <f>Ventas[[#This Row],[Total]]*Ventas[[#This Row],[Total 3]]</f>
        <v>0</v>
      </c>
      <c r="L854" s="34"/>
      <c r="M854" s="34"/>
    </row>
    <row r="855" spans="1:13" ht="21.75" customHeight="1">
      <c r="A855" s="16"/>
      <c r="B855" s="39">
        <v>44978</v>
      </c>
      <c r="C855" s="35" t="str">
        <f>VLOOKUP(Ventas[[#This Row],[Codigo]],Stock[#Data],2,FALSE)</f>
        <v>Sustrato Perlita</v>
      </c>
      <c r="D855" s="37">
        <f>VLOOKUP(Ventas[[#This Row],[Codigo]],Stock[#Data],4,FALSE)</f>
        <v>800</v>
      </c>
      <c r="E855" s="33">
        <f>VLOOKUP(Ventas[[#This Row],[Codigo]],Stock[#Data],3,FALSE)</f>
        <v>400</v>
      </c>
      <c r="F855" s="38">
        <v>1</v>
      </c>
      <c r="G855">
        <v>52</v>
      </c>
      <c r="H855" s="36">
        <f>Ventas[[#This Row],[Precio Venta]]*Ventas[[#This Row],[Cantidad]]-Ventas[[#This Row],[Descuento]]</f>
        <v>800</v>
      </c>
      <c r="I855" s="34">
        <f>Ventas[[#This Row],[Total]]-Ventas[[#This Row],[Precio compra]]*Ventas[[#This Row],[Cantidad]]</f>
        <v>400</v>
      </c>
      <c r="J855" s="34"/>
      <c r="K855" s="34">
        <f>Ventas[[#This Row],[Total]]*Ventas[[#This Row],[Total 3]]</f>
        <v>0</v>
      </c>
      <c r="L855" s="34"/>
      <c r="M855" s="34"/>
    </row>
    <row r="856" spans="1:13" ht="21.75" customHeight="1">
      <c r="A856" s="16"/>
      <c r="B856" s="39">
        <v>44978</v>
      </c>
      <c r="C856" s="35" t="str">
        <f>VLOOKUP(Ventas[[#This Row],[Codigo]],Stock[#Data],2,FALSE)</f>
        <v>Sedas OCB 1/4 Virgin Papers</v>
      </c>
      <c r="D856" s="37">
        <f>VLOOKUP(Ventas[[#This Row],[Codigo]],Stock[#Data],4,FALSE)</f>
        <v>300</v>
      </c>
      <c r="E856" s="33">
        <f>VLOOKUP(Ventas[[#This Row],[Codigo]],Stock[#Data],3,FALSE)</f>
        <v>165</v>
      </c>
      <c r="F856" s="38">
        <v>1</v>
      </c>
      <c r="G856">
        <v>76</v>
      </c>
      <c r="H856" s="36">
        <f>Ventas[[#This Row],[Precio Venta]]*Ventas[[#This Row],[Cantidad]]-Ventas[[#This Row],[Descuento]]</f>
        <v>300</v>
      </c>
      <c r="I856" s="34">
        <f>Ventas[[#This Row],[Total]]-Ventas[[#This Row],[Precio compra]]*Ventas[[#This Row],[Cantidad]]</f>
        <v>135</v>
      </c>
      <c r="J856" s="34"/>
      <c r="K856" s="34">
        <f>Ventas[[#This Row],[Total]]*Ventas[[#This Row],[Total 3]]</f>
        <v>0</v>
      </c>
      <c r="L856" s="34"/>
      <c r="M856" s="34"/>
    </row>
    <row r="857" spans="1:13" ht="21.75" customHeight="1">
      <c r="A857" s="16"/>
      <c r="B857" s="39">
        <v>44978</v>
      </c>
      <c r="C857" s="35" t="str">
        <f>VLOOKUP(Ventas[[#This Row],[Codigo]],Stock[#Data],2,FALSE)</f>
        <v>Tabaco Van Kiff Vainilla</v>
      </c>
      <c r="D857" s="37">
        <f>VLOOKUP(Ventas[[#This Row],[Codigo]],Stock[#Data],4,FALSE)</f>
        <v>850</v>
      </c>
      <c r="E857" s="33">
        <f>VLOOKUP(Ventas[[#This Row],[Codigo]],Stock[#Data],3,FALSE)</f>
        <v>580</v>
      </c>
      <c r="F857" s="38">
        <v>1</v>
      </c>
      <c r="G857">
        <v>120</v>
      </c>
      <c r="H857" s="36">
        <f>Ventas[[#This Row],[Precio Venta]]*Ventas[[#This Row],[Cantidad]]-Ventas[[#This Row],[Descuento]]</f>
        <v>850</v>
      </c>
      <c r="I857" s="34">
        <f>Ventas[[#This Row],[Total]]-Ventas[[#This Row],[Precio compra]]*Ventas[[#This Row],[Cantidad]]</f>
        <v>270</v>
      </c>
      <c r="J857" s="34"/>
      <c r="K857" s="34">
        <f>Ventas[[#This Row],[Total]]*Ventas[[#This Row],[Total 3]]</f>
        <v>0</v>
      </c>
      <c r="L857" s="34"/>
      <c r="M857" s="34"/>
    </row>
    <row r="858" spans="1:13" ht="21.75" customHeight="1">
      <c r="A858" s="16"/>
      <c r="B858" s="39">
        <v>44978</v>
      </c>
      <c r="C858" s="35" t="str">
        <f>VLOOKUP(Ventas[[#This Row],[Codigo]],Stock[#Data],2,FALSE)</f>
        <v>VAMP Supermelaza</v>
      </c>
      <c r="D858" s="37">
        <f>VLOOKUP(Ventas[[#This Row],[Codigo]],Stock[#Data],4,FALSE)</f>
        <v>1800</v>
      </c>
      <c r="E858" s="33">
        <f>VLOOKUP(Ventas[[#This Row],[Codigo]],Stock[#Data],3,FALSE)</f>
        <v>908</v>
      </c>
      <c r="F858" s="38">
        <v>1</v>
      </c>
      <c r="G858">
        <v>36</v>
      </c>
      <c r="H858" s="36">
        <f>Ventas[[#This Row],[Precio Venta]]*Ventas[[#This Row],[Cantidad]]-Ventas[[#This Row],[Descuento]]</f>
        <v>1800</v>
      </c>
      <c r="I858" s="34">
        <f>Ventas[[#This Row],[Total]]-Ventas[[#This Row],[Precio compra]]*Ventas[[#This Row],[Cantidad]]</f>
        <v>892</v>
      </c>
      <c r="J858" s="34"/>
      <c r="K858" s="34">
        <f>Ventas[[#This Row],[Total]]*Ventas[[#This Row],[Total 3]]</f>
        <v>0</v>
      </c>
      <c r="L858" s="34"/>
      <c r="M858" s="34"/>
    </row>
    <row r="859" spans="1:13" ht="21.75" customHeight="1">
      <c r="A859" s="16"/>
      <c r="B859" s="39">
        <v>44978</v>
      </c>
      <c r="C859" s="35" t="str">
        <f>VLOOKUP(Ventas[[#This Row],[Codigo]],Stock[#Data],2,FALSE)</f>
        <v>CropSecret 250ml Floral Session</v>
      </c>
      <c r="D859" s="37">
        <f>VLOOKUP(Ventas[[#This Row],[Codigo]],Stock[#Data],4,FALSE)</f>
        <v>2000</v>
      </c>
      <c r="E859" s="33">
        <f>VLOOKUP(Ventas[[#This Row],[Codigo]],Stock[#Data],3,FALSE)</f>
        <v>836</v>
      </c>
      <c r="F859" s="38">
        <v>2</v>
      </c>
      <c r="G859">
        <v>6</v>
      </c>
      <c r="H859" s="36">
        <f>Ventas[[#This Row],[Precio Venta]]*Ventas[[#This Row],[Cantidad]]-Ventas[[#This Row],[Descuento]]</f>
        <v>4000</v>
      </c>
      <c r="I859" s="34">
        <f>Ventas[[#This Row],[Total]]-Ventas[[#This Row],[Precio compra]]*Ventas[[#This Row],[Cantidad]]</f>
        <v>2328</v>
      </c>
      <c r="J859" s="34"/>
      <c r="K859" s="34">
        <f>Ventas[[#This Row],[Total]]*Ventas[[#This Row],[Total 3]]</f>
        <v>0</v>
      </c>
      <c r="L859" s="34"/>
      <c r="M859" s="34"/>
    </row>
    <row r="860" spans="1:13" ht="21.75" customHeight="1">
      <c r="A860" s="16"/>
      <c r="B860" s="39">
        <v>44978</v>
      </c>
      <c r="C860" s="35" t="str">
        <f>VLOOKUP(Ventas[[#This Row],[Codigo]],Stock[#Data],2,FALSE)</f>
        <v>Bong Vidrio Chico Multicolor DK8552A</v>
      </c>
      <c r="D860" s="37">
        <f>VLOOKUP(Ventas[[#This Row],[Codigo]],Stock[#Data],4,FALSE)</f>
        <v>3000</v>
      </c>
      <c r="E860" s="33">
        <f>VLOOKUP(Ventas[[#This Row],[Codigo]],Stock[#Data],3,FALSE)</f>
        <v>1490</v>
      </c>
      <c r="F860" s="38">
        <v>1</v>
      </c>
      <c r="G860">
        <v>531</v>
      </c>
      <c r="H860" s="36">
        <f>Ventas[[#This Row],[Precio Venta]]*Ventas[[#This Row],[Cantidad]]-Ventas[[#This Row],[Descuento]]</f>
        <v>3000</v>
      </c>
      <c r="I860" s="34">
        <f>Ventas[[#This Row],[Total]]-Ventas[[#This Row],[Precio compra]]*Ventas[[#This Row],[Cantidad]]</f>
        <v>1510</v>
      </c>
      <c r="J860" s="34"/>
      <c r="K860" s="34">
        <f>Ventas[[#This Row],[Total]]*Ventas[[#This Row],[Total 3]]</f>
        <v>0</v>
      </c>
      <c r="L860" s="34"/>
      <c r="M860" s="34"/>
    </row>
    <row r="861" spans="1:13" ht="21.75" customHeight="1">
      <c r="A861" s="16"/>
      <c r="B861" s="39">
        <v>44978</v>
      </c>
      <c r="C861" s="35" t="str">
        <f>VLOOKUP(Ventas[[#This Row],[Codigo]],Stock[#Data],2,FALSE)</f>
        <v>Sedas Zeus Celulosa</v>
      </c>
      <c r="D861" s="37">
        <f>VLOOKUP(Ventas[[#This Row],[Codigo]],Stock[#Data],4,FALSE)</f>
        <v>350</v>
      </c>
      <c r="E861" s="33">
        <f>VLOOKUP(Ventas[[#This Row],[Codigo]],Stock[#Data],3,FALSE)</f>
        <v>175</v>
      </c>
      <c r="F861" s="38">
        <v>1</v>
      </c>
      <c r="G861">
        <v>589</v>
      </c>
      <c r="H861" s="36">
        <f>Ventas[[#This Row],[Precio Venta]]*Ventas[[#This Row],[Cantidad]]-Ventas[[#This Row],[Descuento]]</f>
        <v>350</v>
      </c>
      <c r="I861" s="34">
        <f>Ventas[[#This Row],[Total]]-Ventas[[#This Row],[Precio compra]]*Ventas[[#This Row],[Cantidad]]</f>
        <v>175</v>
      </c>
      <c r="J861" s="34"/>
      <c r="K861" s="34">
        <f>Ventas[[#This Row],[Total]]*Ventas[[#This Row],[Total 3]]</f>
        <v>0</v>
      </c>
      <c r="L861" s="34"/>
      <c r="M861" s="34"/>
    </row>
    <row r="862" spans="1:13" ht="21.75" customHeight="1">
      <c r="A862" s="16"/>
      <c r="B862" s="39" t="s">
        <v>678</v>
      </c>
      <c r="C862" s="35" t="str">
        <f>VLOOKUP(Ventas[[#This Row],[Codigo]],Stock[#Data],2,FALSE)</f>
        <v>Sauver XL</v>
      </c>
      <c r="D862" s="37">
        <f>VLOOKUP(Ventas[[#This Row],[Codigo]],Stock[#Data],4,FALSE)</f>
        <v>200</v>
      </c>
      <c r="E862" s="33">
        <f>VLOOKUP(Ventas[[#This Row],[Codigo]],Stock[#Data],3,FALSE)</f>
        <v>65</v>
      </c>
      <c r="F862" s="38">
        <v>1</v>
      </c>
      <c r="G862">
        <v>529</v>
      </c>
      <c r="H862" s="36">
        <f>Ventas[[#This Row],[Precio Venta]]*Ventas[[#This Row],[Cantidad]]-Ventas[[#This Row],[Descuento]]</f>
        <v>200</v>
      </c>
      <c r="I862" s="34">
        <f>Ventas[[#This Row],[Total]]-Ventas[[#This Row],[Precio compra]]*Ventas[[#This Row],[Cantidad]]</f>
        <v>135</v>
      </c>
      <c r="J862" s="34"/>
      <c r="K862" s="34">
        <f>Ventas[[#This Row],[Total]]*Ventas[[#This Row],[Total 3]]</f>
        <v>0</v>
      </c>
      <c r="L862" s="34"/>
      <c r="M862" s="34"/>
    </row>
    <row r="863" spans="1:13" ht="21.75" customHeight="1">
      <c r="A863" s="16"/>
      <c r="B863" s="39" t="s">
        <v>678</v>
      </c>
      <c r="C863" s="35" t="str">
        <f>VLOOKUP(Ventas[[#This Row],[Codigo]],Stock[#Data],2,FALSE)</f>
        <v xml:space="preserve"> Blunt Wrap Purple</v>
      </c>
      <c r="D863" s="37">
        <f>VLOOKUP(Ventas[[#This Row],[Codigo]],Stock[#Data],4,FALSE)</f>
        <v>500</v>
      </c>
      <c r="E863" s="33">
        <f>VLOOKUP(Ventas[[#This Row],[Codigo]],Stock[#Data],3,FALSE)</f>
        <v>225</v>
      </c>
      <c r="F863" s="38">
        <v>1</v>
      </c>
      <c r="G863">
        <v>101</v>
      </c>
      <c r="H863" s="36">
        <f>Ventas[[#This Row],[Precio Venta]]*Ventas[[#This Row],[Cantidad]]-Ventas[[#This Row],[Descuento]]</f>
        <v>500</v>
      </c>
      <c r="I863" s="34">
        <f>Ventas[[#This Row],[Total]]-Ventas[[#This Row],[Precio compra]]*Ventas[[#This Row],[Cantidad]]</f>
        <v>275</v>
      </c>
      <c r="J863" s="34"/>
      <c r="K863" s="34">
        <f>Ventas[[#This Row],[Total]]*Ventas[[#This Row],[Total 3]]</f>
        <v>0</v>
      </c>
      <c r="L863" s="34"/>
      <c r="M863" s="34"/>
    </row>
    <row r="864" spans="1:13" ht="21.75" customHeight="1">
      <c r="A864" s="16"/>
      <c r="B864" s="39" t="s">
        <v>678</v>
      </c>
      <c r="C864" s="35" t="str">
        <f>VLOOKUP(Ventas[[#This Row],[Codigo]],Stock[#Data],2,FALSE)</f>
        <v xml:space="preserve">Encendedor Clipper </v>
      </c>
      <c r="D864" s="37">
        <f>VLOOKUP(Ventas[[#This Row],[Codigo]],Stock[#Data],4,FALSE)</f>
        <v>600</v>
      </c>
      <c r="E864" s="33">
        <f>VLOOKUP(Ventas[[#This Row],[Codigo]],Stock[#Data],3,FALSE)</f>
        <v>378</v>
      </c>
      <c r="F864" s="38">
        <v>2</v>
      </c>
      <c r="G864">
        <v>58</v>
      </c>
      <c r="H864" s="36">
        <f>Ventas[[#This Row],[Precio Venta]]*Ventas[[#This Row],[Cantidad]]-Ventas[[#This Row],[Descuento]]</f>
        <v>1200</v>
      </c>
      <c r="I864" s="34">
        <f>Ventas[[#This Row],[Total]]-Ventas[[#This Row],[Precio compra]]*Ventas[[#This Row],[Cantidad]]</f>
        <v>444</v>
      </c>
      <c r="J864" s="34"/>
      <c r="K864" s="34">
        <f>Ventas[[#This Row],[Total]]*Ventas[[#This Row],[Total 3]]</f>
        <v>0</v>
      </c>
      <c r="L864" s="34"/>
      <c r="M864" s="34"/>
    </row>
    <row r="865" spans="1:13" ht="21.75" customHeight="1">
      <c r="A865" s="16"/>
      <c r="B865" s="39" t="s">
        <v>678</v>
      </c>
      <c r="C865" s="35" t="str">
        <f>VLOOKUP(Ventas[[#This Row],[Codigo]],Stock[#Data],2,FALSE)</f>
        <v>CropSecret 250ml Floral Session</v>
      </c>
      <c r="D865" s="37">
        <f>VLOOKUP(Ventas[[#This Row],[Codigo]],Stock[#Data],4,FALSE)</f>
        <v>2000</v>
      </c>
      <c r="E865" s="33">
        <f>VLOOKUP(Ventas[[#This Row],[Codigo]],Stock[#Data],3,FALSE)</f>
        <v>836</v>
      </c>
      <c r="F865" s="38">
        <v>1</v>
      </c>
      <c r="G865">
        <v>6</v>
      </c>
      <c r="H865" s="36">
        <f>Ventas[[#This Row],[Precio Venta]]*Ventas[[#This Row],[Cantidad]]-Ventas[[#This Row],[Descuento]]</f>
        <v>2000</v>
      </c>
      <c r="I865" s="34">
        <f>Ventas[[#This Row],[Total]]-Ventas[[#This Row],[Precio compra]]*Ventas[[#This Row],[Cantidad]]</f>
        <v>1164</v>
      </c>
      <c r="J865" s="34"/>
      <c r="K865" s="34">
        <f>Ventas[[#This Row],[Total]]*Ventas[[#This Row],[Total 3]]</f>
        <v>0</v>
      </c>
      <c r="L865" s="34"/>
      <c r="M865" s="34"/>
    </row>
    <row r="866" spans="1:13" ht="21.75" customHeight="1">
      <c r="A866" s="16"/>
      <c r="B866" s="39" t="s">
        <v>678</v>
      </c>
      <c r="C866" s="35" t="str">
        <f>VLOOKUP(Ventas[[#This Row],[Codigo]],Stock[#Data],2,FALSE)</f>
        <v>Trips Green Leaf Insumos 100ml</v>
      </c>
      <c r="D866" s="37">
        <f>VLOOKUP(Ventas[[#This Row],[Codigo]],Stock[#Data],4,FALSE)</f>
        <v>1000</v>
      </c>
      <c r="E866" s="33">
        <f>VLOOKUP(Ventas[[#This Row],[Codigo]],Stock[#Data],3,FALSE)</f>
        <v>498</v>
      </c>
      <c r="F866" s="38">
        <v>1</v>
      </c>
      <c r="G866">
        <v>577</v>
      </c>
      <c r="H866" s="36">
        <f>Ventas[[#This Row],[Precio Venta]]*Ventas[[#This Row],[Cantidad]]-Ventas[[#This Row],[Descuento]]</f>
        <v>1000</v>
      </c>
      <c r="I866" s="34">
        <f>Ventas[[#This Row],[Total]]-Ventas[[#This Row],[Precio compra]]*Ventas[[#This Row],[Cantidad]]</f>
        <v>502</v>
      </c>
      <c r="J866" s="34"/>
      <c r="K866" s="34">
        <f>Ventas[[#This Row],[Total]]*Ventas[[#This Row],[Total 3]]</f>
        <v>0</v>
      </c>
      <c r="L866" s="34"/>
      <c r="M866" s="34"/>
    </row>
    <row r="867" spans="1:13" ht="21.75" customHeight="1">
      <c r="A867" s="16"/>
      <c r="B867" s="39" t="s">
        <v>680</v>
      </c>
      <c r="C867" s="35" t="str">
        <f>VLOOKUP(Ventas[[#This Row],[Codigo]],Stock[#Data],2,FALSE)</f>
        <v>Sustrato Perlita</v>
      </c>
      <c r="D867" s="37">
        <f>VLOOKUP(Ventas[[#This Row],[Codigo]],Stock[#Data],4,FALSE)</f>
        <v>800</v>
      </c>
      <c r="E867" s="33">
        <f>VLOOKUP(Ventas[[#This Row],[Codigo]],Stock[#Data],3,FALSE)</f>
        <v>400</v>
      </c>
      <c r="F867" s="38">
        <v>2</v>
      </c>
      <c r="G867">
        <v>52</v>
      </c>
      <c r="H867" s="36">
        <f>Ventas[[#This Row],[Precio Venta]]*Ventas[[#This Row],[Cantidad]]-Ventas[[#This Row],[Descuento]]</f>
        <v>1600</v>
      </c>
      <c r="I867" s="34">
        <f>Ventas[[#This Row],[Total]]-Ventas[[#This Row],[Precio compra]]*Ventas[[#This Row],[Cantidad]]</f>
        <v>800</v>
      </c>
      <c r="J867" s="34"/>
      <c r="K867" s="34">
        <f>Ventas[[#This Row],[Total]]*Ventas[[#This Row],[Total 3]]</f>
        <v>0</v>
      </c>
      <c r="L867" s="34"/>
      <c r="M867" s="34"/>
    </row>
    <row r="868" spans="1:13" ht="21.75" customHeight="1">
      <c r="A868" s="16"/>
      <c r="B868" s="39" t="s">
        <v>680</v>
      </c>
      <c r="C868" s="35" t="str">
        <f>VLOOKUP(Ventas[[#This Row],[Codigo]],Stock[#Data],2,FALSE)</f>
        <v>Namaste Flora Booster 100ml</v>
      </c>
      <c r="D868" s="37">
        <f>VLOOKUP(Ventas[[#This Row],[Codigo]],Stock[#Data],4,FALSE)</f>
        <v>1000</v>
      </c>
      <c r="E868" s="33">
        <f>VLOOKUP(Ventas[[#This Row],[Codigo]],Stock[#Data],3,FALSE)</f>
        <v>517</v>
      </c>
      <c r="F868" s="38">
        <v>1</v>
      </c>
      <c r="G868">
        <v>480</v>
      </c>
      <c r="H868" s="36">
        <f>Ventas[[#This Row],[Precio Venta]]*Ventas[[#This Row],[Cantidad]]-Ventas[[#This Row],[Descuento]]</f>
        <v>1000</v>
      </c>
      <c r="I868" s="34">
        <f>Ventas[[#This Row],[Total]]-Ventas[[#This Row],[Precio compra]]*Ventas[[#This Row],[Cantidad]]</f>
        <v>483</v>
      </c>
      <c r="J868" s="34"/>
      <c r="K868" s="34">
        <f>Ventas[[#This Row],[Total]]*Ventas[[#This Row],[Total 3]]</f>
        <v>0</v>
      </c>
      <c r="L868" s="34"/>
      <c r="M868" s="34"/>
    </row>
    <row r="869" spans="1:13" ht="21.75" customHeight="1">
      <c r="A869" s="16"/>
      <c r="B869" s="39" t="s">
        <v>680</v>
      </c>
      <c r="C869" s="35" t="str">
        <f>VLOOKUP(Ventas[[#This Row],[Codigo]],Stock[#Data],2,FALSE)</f>
        <v>Namaste Trico+ 100gr</v>
      </c>
      <c r="D869" s="37">
        <f>VLOOKUP(Ventas[[#This Row],[Codigo]],Stock[#Data],4,FALSE)</f>
        <v>1000</v>
      </c>
      <c r="E869" s="33">
        <f>VLOOKUP(Ventas[[#This Row],[Codigo]],Stock[#Data],3,FALSE)</f>
        <v>541</v>
      </c>
      <c r="F869" s="38">
        <v>1</v>
      </c>
      <c r="G869">
        <v>479</v>
      </c>
      <c r="H869" s="36">
        <f>Ventas[[#This Row],[Precio Venta]]*Ventas[[#This Row],[Cantidad]]-Ventas[[#This Row],[Descuento]]</f>
        <v>1000</v>
      </c>
      <c r="I869" s="34">
        <f>Ventas[[#This Row],[Total]]-Ventas[[#This Row],[Precio compra]]*Ventas[[#This Row],[Cantidad]]</f>
        <v>459</v>
      </c>
      <c r="J869" s="34"/>
      <c r="K869" s="34">
        <f>Ventas[[#This Row],[Total]]*Ventas[[#This Row],[Total 3]]</f>
        <v>0</v>
      </c>
      <c r="L869" s="34"/>
      <c r="M869" s="34"/>
    </row>
    <row r="870" spans="1:13" ht="21.75" customHeight="1">
      <c r="A870" s="16"/>
      <c r="B870" s="39" t="s">
        <v>680</v>
      </c>
      <c r="C870" s="35" t="str">
        <f>VLOOKUP(Ventas[[#This Row],[Codigo]],Stock[#Data],2,FALSE)</f>
        <v>Alga Delta 100ml</v>
      </c>
      <c r="D870" s="37">
        <f>VLOOKUP(Ventas[[#This Row],[Codigo]],Stock[#Data],4,FALSE)</f>
        <v>1600</v>
      </c>
      <c r="E870" s="33">
        <f>VLOOKUP(Ventas[[#This Row],[Codigo]],Stock[#Data],3,FALSE)</f>
        <v>808</v>
      </c>
      <c r="F870" s="38">
        <v>1</v>
      </c>
      <c r="G870">
        <v>471</v>
      </c>
      <c r="H870" s="36">
        <f>Ventas[[#This Row],[Precio Venta]]*Ventas[[#This Row],[Cantidad]]-Ventas[[#This Row],[Descuento]]</f>
        <v>1600</v>
      </c>
      <c r="I870" s="34">
        <f>Ventas[[#This Row],[Total]]-Ventas[[#This Row],[Precio compra]]*Ventas[[#This Row],[Cantidad]]</f>
        <v>792</v>
      </c>
      <c r="J870" s="34"/>
      <c r="K870" s="34">
        <f>Ventas[[#This Row],[Total]]*Ventas[[#This Row],[Total 3]]</f>
        <v>0</v>
      </c>
      <c r="L870" s="34"/>
      <c r="M870" s="34"/>
    </row>
    <row r="871" spans="1:13" ht="21.75" customHeight="1">
      <c r="A871" s="16"/>
      <c r="B871" s="39" t="s">
        <v>680</v>
      </c>
      <c r="C871" s="35" t="str">
        <f>VLOOKUP(Ventas[[#This Row],[Codigo]],Stock[#Data],2,FALSE)</f>
        <v>OCB premium</v>
      </c>
      <c r="D871" s="37">
        <f>VLOOKUP(Ventas[[#This Row],[Codigo]],Stock[#Data],4,FALSE)</f>
        <v>300</v>
      </c>
      <c r="E871" s="33">
        <f>VLOOKUP(Ventas[[#This Row],[Codigo]],Stock[#Data],3,FALSE)</f>
        <v>165</v>
      </c>
      <c r="F871" s="38">
        <v>1</v>
      </c>
      <c r="G871">
        <v>594</v>
      </c>
      <c r="H871" s="36">
        <f>Ventas[[#This Row],[Precio Venta]]*Ventas[[#This Row],[Cantidad]]-Ventas[[#This Row],[Descuento]]</f>
        <v>300</v>
      </c>
      <c r="I871" s="34">
        <f>Ventas[[#This Row],[Total]]-Ventas[[#This Row],[Precio compra]]*Ventas[[#This Row],[Cantidad]]</f>
        <v>135</v>
      </c>
      <c r="J871" s="34"/>
      <c r="K871" s="34">
        <f>Ventas[[#This Row],[Total]]*Ventas[[#This Row],[Total 3]]</f>
        <v>0</v>
      </c>
      <c r="L871" s="34"/>
      <c r="M871" s="34"/>
    </row>
    <row r="872" spans="1:13" ht="21.75" customHeight="1">
      <c r="A872" s="16"/>
      <c r="B872" s="39" t="s">
        <v>680</v>
      </c>
      <c r="C872" s="35" t="str">
        <f>VLOOKUP(Ventas[[#This Row],[Codigo]],Stock[#Data],2,FALSE)</f>
        <v>Picador Mini D&amp;K</v>
      </c>
      <c r="D872" s="37">
        <f>VLOOKUP(Ventas[[#This Row],[Codigo]],Stock[#Data],4,FALSE)</f>
        <v>2100</v>
      </c>
      <c r="E872" s="33">
        <f>VLOOKUP(Ventas[[#This Row],[Codigo]],Stock[#Data],3,FALSE)</f>
        <v>1046</v>
      </c>
      <c r="F872" s="38">
        <v>1</v>
      </c>
      <c r="G872">
        <v>588</v>
      </c>
      <c r="H872" s="36">
        <f>Ventas[[#This Row],[Precio Venta]]*Ventas[[#This Row],[Cantidad]]-Ventas[[#This Row],[Descuento]]</f>
        <v>2100</v>
      </c>
      <c r="I872" s="34">
        <f>Ventas[[#This Row],[Total]]-Ventas[[#This Row],[Precio compra]]*Ventas[[#This Row],[Cantidad]]</f>
        <v>1054</v>
      </c>
      <c r="J872" s="34"/>
      <c r="K872" s="34">
        <f>Ventas[[#This Row],[Total]]*Ventas[[#This Row],[Total 3]]</f>
        <v>0</v>
      </c>
      <c r="L872" s="34"/>
      <c r="M872" s="34"/>
    </row>
    <row r="873" spans="1:13" ht="21.75" customHeight="1">
      <c r="A873" s="16"/>
      <c r="B873" s="39" t="s">
        <v>680</v>
      </c>
      <c r="C873" s="35" t="str">
        <f>VLOOKUP(Ventas[[#This Row],[Codigo]],Stock[#Data],2,FALSE)</f>
        <v>Tabaco Van Kiff Natural</v>
      </c>
      <c r="D873" s="37">
        <f>VLOOKUP(Ventas[[#This Row],[Codigo]],Stock[#Data],4,FALSE)</f>
        <v>850</v>
      </c>
      <c r="E873" s="33">
        <f>VLOOKUP(Ventas[[#This Row],[Codigo]],Stock[#Data],3,FALSE)</f>
        <v>580</v>
      </c>
      <c r="F873" s="38">
        <v>4</v>
      </c>
      <c r="G873">
        <v>117</v>
      </c>
      <c r="H873" s="36">
        <f>Ventas[[#This Row],[Precio Venta]]*Ventas[[#This Row],[Cantidad]]-Ventas[[#This Row],[Descuento]]</f>
        <v>3400</v>
      </c>
      <c r="I873" s="34">
        <f>Ventas[[#This Row],[Total]]-Ventas[[#This Row],[Precio compra]]*Ventas[[#This Row],[Cantidad]]</f>
        <v>1080</v>
      </c>
      <c r="J873" s="34"/>
      <c r="K873" s="34">
        <f>Ventas[[#This Row],[Total]]*Ventas[[#This Row],[Total 3]]</f>
        <v>0</v>
      </c>
      <c r="L873" s="34"/>
      <c r="M873" s="34"/>
    </row>
    <row r="874" spans="1:13" ht="21.75" customHeight="1">
      <c r="A874" s="16"/>
      <c r="B874" s="39" t="s">
        <v>680</v>
      </c>
      <c r="C874" s="35" t="str">
        <f>VLOOKUP(Ventas[[#This Row],[Codigo]],Stock[#Data],2,FALSE)</f>
        <v xml:space="preserve">Filtros Gizhe + Sedas </v>
      </c>
      <c r="D874" s="37">
        <f>VLOOKUP(Ventas[[#This Row],[Codigo]],Stock[#Data],4,FALSE)</f>
        <v>350</v>
      </c>
      <c r="E874" s="33">
        <f>VLOOKUP(Ventas[[#This Row],[Codigo]],Stock[#Data],3,FALSE)</f>
        <v>150</v>
      </c>
      <c r="F874" s="38">
        <v>1</v>
      </c>
      <c r="G874">
        <v>476</v>
      </c>
      <c r="H874" s="36">
        <f>Ventas[[#This Row],[Precio Venta]]*Ventas[[#This Row],[Cantidad]]-Ventas[[#This Row],[Descuento]]</f>
        <v>350</v>
      </c>
      <c r="I874" s="34">
        <f>Ventas[[#This Row],[Total]]-Ventas[[#This Row],[Precio compra]]*Ventas[[#This Row],[Cantidad]]</f>
        <v>200</v>
      </c>
      <c r="J874" s="34"/>
      <c r="K874" s="34">
        <f>Ventas[[#This Row],[Total]]*Ventas[[#This Row],[Total 3]]</f>
        <v>0</v>
      </c>
      <c r="L874" s="34"/>
      <c r="M874" s="34"/>
    </row>
    <row r="875" spans="1:13" ht="21.75" customHeight="1">
      <c r="A875" s="16"/>
      <c r="B875" s="39" t="s">
        <v>703</v>
      </c>
      <c r="C875" s="35" t="str">
        <f>VLOOKUP(Ventas[[#This Row],[Codigo]],Stock[#Data],2,FALSE)</f>
        <v>Sedas Blunt Rey 1/4 saborizadas Durazno</v>
      </c>
      <c r="D875" s="37">
        <f>VLOOKUP(Ventas[[#This Row],[Codigo]],Stock[#Data],4,FALSE)</f>
        <v>250</v>
      </c>
      <c r="E875" s="33">
        <f>VLOOKUP(Ventas[[#This Row],[Codigo]],Stock[#Data],3,FALSE)</f>
        <v>126</v>
      </c>
      <c r="F875" s="38">
        <v>1</v>
      </c>
      <c r="G875">
        <v>73</v>
      </c>
      <c r="H875" s="36">
        <f>Ventas[[#This Row],[Precio Venta]]*Ventas[[#This Row],[Cantidad]]-Ventas[[#This Row],[Descuento]]</f>
        <v>250</v>
      </c>
      <c r="I875" s="34">
        <f>Ventas[[#This Row],[Total]]-Ventas[[#This Row],[Precio compra]]*Ventas[[#This Row],[Cantidad]]</f>
        <v>124</v>
      </c>
      <c r="J875" s="34"/>
      <c r="K875" s="34">
        <f>Ventas[[#This Row],[Total]]*Ventas[[#This Row],[Total 3]]</f>
        <v>0</v>
      </c>
      <c r="L875" s="34"/>
      <c r="M875" s="34"/>
    </row>
    <row r="876" spans="1:13" ht="21.75" customHeight="1">
      <c r="A876" s="16"/>
      <c r="B876" s="39" t="s">
        <v>703</v>
      </c>
      <c r="C876" s="35" t="str">
        <f>VLOOKUP(Ventas[[#This Row],[Codigo]],Stock[#Data],2,FALSE)</f>
        <v xml:space="preserve">Latas Zeus </v>
      </c>
      <c r="D876" s="37">
        <f>VLOOKUP(Ventas[[#This Row],[Codigo]],Stock[#Data],4,FALSE)</f>
        <v>1000</v>
      </c>
      <c r="E876" s="33">
        <f>VLOOKUP(Ventas[[#This Row],[Codigo]],Stock[#Data],3,FALSE)</f>
        <v>521</v>
      </c>
      <c r="F876" s="38">
        <v>1</v>
      </c>
      <c r="G876">
        <v>365</v>
      </c>
      <c r="H876" s="36">
        <f>Ventas[[#This Row],[Precio Venta]]*Ventas[[#This Row],[Cantidad]]-Ventas[[#This Row],[Descuento]]</f>
        <v>1000</v>
      </c>
      <c r="I876" s="34">
        <f>Ventas[[#This Row],[Total]]-Ventas[[#This Row],[Precio compra]]*Ventas[[#This Row],[Cantidad]]</f>
        <v>479</v>
      </c>
      <c r="J876" s="34"/>
      <c r="K876" s="34">
        <f>Ventas[[#This Row],[Total]]*Ventas[[#This Row],[Total 3]]</f>
        <v>0</v>
      </c>
      <c r="L876" s="34"/>
      <c r="M876" s="34"/>
    </row>
    <row r="877" spans="1:13" ht="21.75" customHeight="1">
      <c r="A877" s="16"/>
      <c r="B877" s="39" t="s">
        <v>703</v>
      </c>
      <c r="C877" s="35" t="str">
        <f>VLOOKUP(Ventas[[#This Row],[Codigo]],Stock[#Data],2,FALSE)</f>
        <v>CropSecret 250ml Floral Session</v>
      </c>
      <c r="D877" s="37">
        <f>VLOOKUP(Ventas[[#This Row],[Codigo]],Stock[#Data],4,FALSE)</f>
        <v>2000</v>
      </c>
      <c r="E877" s="33">
        <f>VLOOKUP(Ventas[[#This Row],[Codigo]],Stock[#Data],3,FALSE)</f>
        <v>836</v>
      </c>
      <c r="F877" s="38">
        <v>1</v>
      </c>
      <c r="G877">
        <v>6</v>
      </c>
      <c r="H877" s="36">
        <f>Ventas[[#This Row],[Precio Venta]]*Ventas[[#This Row],[Cantidad]]-Ventas[[#This Row],[Descuento]]</f>
        <v>2000</v>
      </c>
      <c r="I877" s="34">
        <f>Ventas[[#This Row],[Total]]-Ventas[[#This Row],[Precio compra]]*Ventas[[#This Row],[Cantidad]]</f>
        <v>1164</v>
      </c>
      <c r="J877" s="34"/>
      <c r="K877" s="34">
        <f>Ventas[[#This Row],[Total]]*Ventas[[#This Row],[Total 3]]</f>
        <v>0</v>
      </c>
      <c r="L877" s="34"/>
      <c r="M877" s="34"/>
    </row>
    <row r="878" spans="1:13" ht="21.75" customHeight="1">
      <c r="A878" s="16"/>
      <c r="B878" s="39" t="s">
        <v>703</v>
      </c>
      <c r="C878" s="35" t="str">
        <f>VLOOKUP(Ventas[[#This Row],[Codigo]],Stock[#Data],2,FALSE)</f>
        <v>Sustrato Perlita</v>
      </c>
      <c r="D878" s="37">
        <f>VLOOKUP(Ventas[[#This Row],[Codigo]],Stock[#Data],4,FALSE)</f>
        <v>800</v>
      </c>
      <c r="E878" s="33">
        <f>VLOOKUP(Ventas[[#This Row],[Codigo]],Stock[#Data],3,FALSE)</f>
        <v>400</v>
      </c>
      <c r="F878" s="38">
        <v>3</v>
      </c>
      <c r="G878">
        <v>52</v>
      </c>
      <c r="H878" s="36">
        <f>Ventas[[#This Row],[Precio Venta]]*Ventas[[#This Row],[Cantidad]]-Ventas[[#This Row],[Descuento]]</f>
        <v>2400</v>
      </c>
      <c r="I878" s="34">
        <f>Ventas[[#This Row],[Total]]-Ventas[[#This Row],[Precio compra]]*Ventas[[#This Row],[Cantidad]]</f>
        <v>1200</v>
      </c>
      <c r="J878" s="34"/>
      <c r="K878" s="34">
        <f>Ventas[[#This Row],[Total]]*Ventas[[#This Row],[Total 3]]</f>
        <v>0</v>
      </c>
      <c r="L878" s="34"/>
      <c r="M878" s="34"/>
    </row>
    <row r="879" spans="1:13" ht="21.75" customHeight="1">
      <c r="A879" s="16"/>
      <c r="B879" s="39" t="s">
        <v>703</v>
      </c>
      <c r="C879" s="35" t="str">
        <f>VLOOKUP(Ventas[[#This Row],[Codigo]],Stock[#Data],2,FALSE)</f>
        <v>Picador Ricky y Morty 4p</v>
      </c>
      <c r="D879" s="37">
        <f>VLOOKUP(Ventas[[#This Row],[Codigo]],Stock[#Data],4,FALSE)</f>
        <v>5000</v>
      </c>
      <c r="E879" s="33">
        <f>VLOOKUP(Ventas[[#This Row],[Codigo]],Stock[#Data],3,FALSE)</f>
        <v>2600</v>
      </c>
      <c r="F879" s="38">
        <v>1</v>
      </c>
      <c r="G879">
        <v>493</v>
      </c>
      <c r="H879" s="36">
        <f>Ventas[[#This Row],[Precio Venta]]*Ventas[[#This Row],[Cantidad]]-Ventas[[#This Row],[Descuento]]</f>
        <v>5000</v>
      </c>
      <c r="I879" s="34">
        <f>Ventas[[#This Row],[Total]]-Ventas[[#This Row],[Precio compra]]*Ventas[[#This Row],[Cantidad]]</f>
        <v>2400</v>
      </c>
      <c r="J879" s="34"/>
      <c r="K879" s="34">
        <f>Ventas[[#This Row],[Total]]*Ventas[[#This Row],[Total 3]]</f>
        <v>0</v>
      </c>
      <c r="L879" s="34"/>
      <c r="M879" s="34"/>
    </row>
    <row r="880" spans="1:13" ht="21.75" customHeight="1">
      <c r="A880" s="16"/>
      <c r="B880" s="39" t="s">
        <v>704</v>
      </c>
      <c r="C880" s="35" t="str">
        <f>VLOOKUP(Ventas[[#This Row],[Codigo]],Stock[#Data],2,FALSE)</f>
        <v>Pipas metalicas largas</v>
      </c>
      <c r="D880" s="37">
        <f>VLOOKUP(Ventas[[#This Row],[Codigo]],Stock[#Data],4,FALSE)</f>
        <v>2500</v>
      </c>
      <c r="E880" s="33">
        <f>VLOOKUP(Ventas[[#This Row],[Codigo]],Stock[#Data],3,FALSE)</f>
        <v>1235</v>
      </c>
      <c r="F880" s="38">
        <v>1</v>
      </c>
      <c r="G880">
        <v>430</v>
      </c>
      <c r="H880" s="36">
        <f>Ventas[[#This Row],[Precio Venta]]*Ventas[[#This Row],[Cantidad]]-Ventas[[#This Row],[Descuento]]</f>
        <v>2500</v>
      </c>
      <c r="I880" s="34">
        <f>Ventas[[#This Row],[Total]]-Ventas[[#This Row],[Precio compra]]*Ventas[[#This Row],[Cantidad]]</f>
        <v>1265</v>
      </c>
      <c r="J880" s="34"/>
      <c r="K880" s="34">
        <f>Ventas[[#This Row],[Total]]*Ventas[[#This Row],[Total 3]]</f>
        <v>0</v>
      </c>
      <c r="L880" s="34"/>
      <c r="M880" s="34"/>
    </row>
    <row r="881" spans="1:13" ht="21.75" customHeight="1">
      <c r="A881" s="16"/>
      <c r="B881" s="39" t="s">
        <v>704</v>
      </c>
      <c r="C881" s="35" t="str">
        <f>VLOOKUP(Ventas[[#This Row],[Codigo]],Stock[#Data],2,FALSE)</f>
        <v xml:space="preserve">Picador moderm space </v>
      </c>
      <c r="D881" s="37">
        <f>VLOOKUP(Ventas[[#This Row],[Codigo]],Stock[#Data],4,FALSE)</f>
        <v>10000</v>
      </c>
      <c r="E881" s="33">
        <f>VLOOKUP(Ventas[[#This Row],[Codigo]],Stock[#Data],3,FALSE)</f>
        <v>5211</v>
      </c>
      <c r="F881" s="38">
        <v>1</v>
      </c>
      <c r="G881">
        <v>371</v>
      </c>
      <c r="H881" s="36">
        <f>Ventas[[#This Row],[Precio Venta]]*Ventas[[#This Row],[Cantidad]]-Ventas[[#This Row],[Descuento]]</f>
        <v>10000</v>
      </c>
      <c r="I881" s="34">
        <f>Ventas[[#This Row],[Total]]-Ventas[[#This Row],[Precio compra]]*Ventas[[#This Row],[Cantidad]]</f>
        <v>4789</v>
      </c>
      <c r="J881" s="34"/>
      <c r="K881" s="34">
        <f>Ventas[[#This Row],[Total]]*Ventas[[#This Row],[Total 3]]</f>
        <v>0</v>
      </c>
      <c r="L881" s="34"/>
      <c r="M881" s="34"/>
    </row>
    <row r="882" spans="1:13" ht="21.75" customHeight="1">
      <c r="A882" s="16"/>
      <c r="B882" s="39" t="s">
        <v>704</v>
      </c>
      <c r="C882" s="35" t="str">
        <f>VLOOKUP(Ventas[[#This Row],[Codigo]],Stock[#Data],2,FALSE)</f>
        <v xml:space="preserve">Lion Blunt Gorilla </v>
      </c>
      <c r="D882" s="37">
        <f>VLOOKUP(Ventas[[#This Row],[Codigo]],Stock[#Data],4,FALSE)</f>
        <v>800</v>
      </c>
      <c r="E882" s="33">
        <f>VLOOKUP(Ventas[[#This Row],[Codigo]],Stock[#Data],3,FALSE)</f>
        <v>380</v>
      </c>
      <c r="F882" s="38">
        <v>1</v>
      </c>
      <c r="G882">
        <v>407</v>
      </c>
      <c r="H882" s="36">
        <f>Ventas[[#This Row],[Precio Venta]]*Ventas[[#This Row],[Cantidad]]-Ventas[[#This Row],[Descuento]]</f>
        <v>800</v>
      </c>
      <c r="I882" s="34">
        <f>Ventas[[#This Row],[Total]]-Ventas[[#This Row],[Precio compra]]*Ventas[[#This Row],[Cantidad]]</f>
        <v>420</v>
      </c>
      <c r="J882" s="34"/>
      <c r="K882" s="34">
        <f>Ventas[[#This Row],[Total]]*Ventas[[#This Row],[Total 3]]</f>
        <v>0</v>
      </c>
      <c r="L882" s="34"/>
      <c r="M882" s="34"/>
    </row>
    <row r="883" spans="1:13" ht="21.75" customHeight="1">
      <c r="A883" s="16"/>
      <c r="B883" s="39" t="s">
        <v>704</v>
      </c>
      <c r="C883" s="35" t="str">
        <f>VLOOKUP(Ventas[[#This Row],[Codigo]],Stock[#Data],2,FALSE)</f>
        <v xml:space="preserve"> Blunt Wrap Purple</v>
      </c>
      <c r="D883" s="37">
        <f>VLOOKUP(Ventas[[#This Row],[Codigo]],Stock[#Data],4,FALSE)</f>
        <v>500</v>
      </c>
      <c r="E883" s="33">
        <f>VLOOKUP(Ventas[[#This Row],[Codigo]],Stock[#Data],3,FALSE)</f>
        <v>225</v>
      </c>
      <c r="F883" s="38">
        <v>1</v>
      </c>
      <c r="G883">
        <v>101</v>
      </c>
      <c r="H883" s="36">
        <f>Ventas[[#This Row],[Precio Venta]]*Ventas[[#This Row],[Cantidad]]-Ventas[[#This Row],[Descuento]]</f>
        <v>500</v>
      </c>
      <c r="I883" s="34">
        <f>Ventas[[#This Row],[Total]]-Ventas[[#This Row],[Precio compra]]*Ventas[[#This Row],[Cantidad]]</f>
        <v>275</v>
      </c>
      <c r="J883" s="34"/>
      <c r="K883" s="34">
        <f>Ventas[[#This Row],[Total]]*Ventas[[#This Row],[Total 3]]</f>
        <v>0</v>
      </c>
      <c r="L883" s="34"/>
      <c r="M883" s="34"/>
    </row>
    <row r="884" spans="1:13" ht="21.75" customHeight="1">
      <c r="A884" s="16"/>
      <c r="B884" s="39" t="s">
        <v>705</v>
      </c>
      <c r="C884" s="35" t="str">
        <f>VLOOKUP(Ventas[[#This Row],[Codigo]],Stock[#Data],2,FALSE)</f>
        <v>Sauver 1/4</v>
      </c>
      <c r="D884" s="37">
        <f>VLOOKUP(Ventas[[#This Row],[Codigo]],Stock[#Data],4,FALSE)</f>
        <v>200</v>
      </c>
      <c r="E884" s="33">
        <f>VLOOKUP(Ventas[[#This Row],[Codigo]],Stock[#Data],3,FALSE)</f>
        <v>75</v>
      </c>
      <c r="F884" s="38">
        <v>1</v>
      </c>
      <c r="G884">
        <v>149</v>
      </c>
      <c r="H884" s="36">
        <f>Ventas[[#This Row],[Precio Venta]]*Ventas[[#This Row],[Cantidad]]-Ventas[[#This Row],[Descuento]]</f>
        <v>200</v>
      </c>
      <c r="I884" s="34">
        <f>Ventas[[#This Row],[Total]]-Ventas[[#This Row],[Precio compra]]*Ventas[[#This Row],[Cantidad]]</f>
        <v>125</v>
      </c>
      <c r="J884" s="34"/>
      <c r="K884" s="34">
        <f>Ventas[[#This Row],[Total]]*Ventas[[#This Row],[Total 3]]</f>
        <v>0</v>
      </c>
      <c r="L884" s="34"/>
      <c r="M884" s="34"/>
    </row>
    <row r="885" spans="1:13" ht="21.75" customHeight="1">
      <c r="A885" s="16"/>
      <c r="B885" s="39" t="s">
        <v>705</v>
      </c>
      <c r="C885" s="35" t="str">
        <f>VLOOKUP(Ventas[[#This Row],[Codigo]],Stock[#Data],2,FALSE)</f>
        <v>Alga Delta 100ml</v>
      </c>
      <c r="D885" s="37">
        <f>VLOOKUP(Ventas[[#This Row],[Codigo]],Stock[#Data],4,FALSE)</f>
        <v>1600</v>
      </c>
      <c r="E885" s="33">
        <f>VLOOKUP(Ventas[[#This Row],[Codigo]],Stock[#Data],3,FALSE)</f>
        <v>808</v>
      </c>
      <c r="F885" s="38">
        <v>1</v>
      </c>
      <c r="G885">
        <v>471</v>
      </c>
      <c r="H885" s="36">
        <f>Ventas[[#This Row],[Precio Venta]]*Ventas[[#This Row],[Cantidad]]-Ventas[[#This Row],[Descuento]]</f>
        <v>1600</v>
      </c>
      <c r="I885" s="34">
        <f>Ventas[[#This Row],[Total]]-Ventas[[#This Row],[Precio compra]]*Ventas[[#This Row],[Cantidad]]</f>
        <v>792</v>
      </c>
      <c r="J885" s="34"/>
      <c r="K885" s="34">
        <f>Ventas[[#This Row],[Total]]*Ventas[[#This Row],[Total 3]]</f>
        <v>0</v>
      </c>
      <c r="L885" s="34"/>
      <c r="M885" s="34"/>
    </row>
    <row r="886" spans="1:13" ht="21.75" customHeight="1">
      <c r="A886" s="16"/>
      <c r="B886" s="39" t="s">
        <v>705</v>
      </c>
      <c r="C886" s="35" t="str">
        <f>VLOOKUP(Ventas[[#This Row],[Codigo]],Stock[#Data],2,FALSE)</f>
        <v>Namaste Trico+ 100gr</v>
      </c>
      <c r="D886" s="37">
        <f>VLOOKUP(Ventas[[#This Row],[Codigo]],Stock[#Data],4,FALSE)</f>
        <v>1000</v>
      </c>
      <c r="E886" s="33">
        <f>VLOOKUP(Ventas[[#This Row],[Codigo]],Stock[#Data],3,FALSE)</f>
        <v>541</v>
      </c>
      <c r="F886" s="38">
        <v>1</v>
      </c>
      <c r="G886">
        <v>479</v>
      </c>
      <c r="H886" s="36">
        <f>Ventas[[#This Row],[Precio Venta]]*Ventas[[#This Row],[Cantidad]]-Ventas[[#This Row],[Descuento]]</f>
        <v>1000</v>
      </c>
      <c r="I886" s="34">
        <f>Ventas[[#This Row],[Total]]-Ventas[[#This Row],[Precio compra]]*Ventas[[#This Row],[Cantidad]]</f>
        <v>459</v>
      </c>
      <c r="J886" s="34"/>
      <c r="K886" s="34">
        <f>Ventas[[#This Row],[Total]]*Ventas[[#This Row],[Total 3]]</f>
        <v>0</v>
      </c>
      <c r="L886" s="34"/>
      <c r="M886" s="34"/>
    </row>
    <row r="887" spans="1:13" ht="21.75" customHeight="1">
      <c r="A887" s="16"/>
      <c r="B887" s="39" t="s">
        <v>705</v>
      </c>
      <c r="C887" s="35" t="str">
        <f>VLOOKUP(Ventas[[#This Row],[Codigo]],Stock[#Data],2,FALSE)</f>
        <v>Namaste Flora Booster 100ml</v>
      </c>
      <c r="D887" s="37">
        <f>VLOOKUP(Ventas[[#This Row],[Codigo]],Stock[#Data],4,FALSE)</f>
        <v>1000</v>
      </c>
      <c r="E887" s="33">
        <f>VLOOKUP(Ventas[[#This Row],[Codigo]],Stock[#Data],3,FALSE)</f>
        <v>517</v>
      </c>
      <c r="F887" s="38">
        <v>1</v>
      </c>
      <c r="G887">
        <v>480</v>
      </c>
      <c r="H887" s="36">
        <f>Ventas[[#This Row],[Precio Venta]]*Ventas[[#This Row],[Cantidad]]-Ventas[[#This Row],[Descuento]]</f>
        <v>1000</v>
      </c>
      <c r="I887" s="34">
        <f>Ventas[[#This Row],[Total]]-Ventas[[#This Row],[Precio compra]]*Ventas[[#This Row],[Cantidad]]</f>
        <v>483</v>
      </c>
      <c r="J887" s="34"/>
      <c r="K887" s="34">
        <f>Ventas[[#This Row],[Total]]*Ventas[[#This Row],[Total 3]]</f>
        <v>0</v>
      </c>
      <c r="L887" s="34"/>
      <c r="M887" s="34"/>
    </row>
    <row r="888" spans="1:13" ht="21.75" customHeight="1">
      <c r="A888" s="16"/>
      <c r="B888" s="39" t="s">
        <v>705</v>
      </c>
      <c r="C888" s="35" t="str">
        <f>VLOOKUP(Ventas[[#This Row],[Codigo]],Stock[#Data],2,FALSE)</f>
        <v>OCB Cañamo Organico</v>
      </c>
      <c r="D888" s="37">
        <f>VLOOKUP(Ventas[[#This Row],[Codigo]],Stock[#Data],4,FALSE)</f>
        <v>300</v>
      </c>
      <c r="E888" s="33">
        <f>VLOOKUP(Ventas[[#This Row],[Codigo]],Stock[#Data],3,FALSE)</f>
        <v>165</v>
      </c>
      <c r="F888" s="38">
        <v>1</v>
      </c>
      <c r="G888">
        <v>593</v>
      </c>
      <c r="H888" s="36">
        <f>Ventas[[#This Row],[Precio Venta]]*Ventas[[#This Row],[Cantidad]]-Ventas[[#This Row],[Descuento]]</f>
        <v>300</v>
      </c>
      <c r="I888" s="34">
        <f>Ventas[[#This Row],[Total]]-Ventas[[#This Row],[Precio compra]]*Ventas[[#This Row],[Cantidad]]</f>
        <v>135</v>
      </c>
      <c r="J888" s="34"/>
      <c r="K888" s="34">
        <f>Ventas[[#This Row],[Total]]*Ventas[[#This Row],[Total 3]]</f>
        <v>0</v>
      </c>
      <c r="L888" s="34"/>
      <c r="M888" s="34"/>
    </row>
    <row r="889" spans="1:13" ht="21.75" customHeight="1">
      <c r="A889" s="16"/>
      <c r="B889" s="39" t="s">
        <v>705</v>
      </c>
      <c r="C889" s="35" t="str">
        <f>VLOOKUP(Ventas[[#This Row],[Codigo]],Stock[#Data],2,FALSE)</f>
        <v xml:space="preserve">Encendedor Clipper </v>
      </c>
      <c r="D889" s="37">
        <f>VLOOKUP(Ventas[[#This Row],[Codigo]],Stock[#Data],4,FALSE)</f>
        <v>600</v>
      </c>
      <c r="E889" s="33">
        <f>VLOOKUP(Ventas[[#This Row],[Codigo]],Stock[#Data],3,FALSE)</f>
        <v>378</v>
      </c>
      <c r="F889" s="38">
        <v>2</v>
      </c>
      <c r="G889">
        <v>58</v>
      </c>
      <c r="H889" s="36">
        <f>Ventas[[#This Row],[Precio Venta]]*Ventas[[#This Row],[Cantidad]]-Ventas[[#This Row],[Descuento]]</f>
        <v>1200</v>
      </c>
      <c r="I889" s="34">
        <f>Ventas[[#This Row],[Total]]-Ventas[[#This Row],[Precio compra]]*Ventas[[#This Row],[Cantidad]]</f>
        <v>444</v>
      </c>
      <c r="J889" s="34"/>
      <c r="K889" s="34">
        <f>Ventas[[#This Row],[Total]]*Ventas[[#This Row],[Total 3]]</f>
        <v>0</v>
      </c>
      <c r="L889" s="34"/>
      <c r="M889" s="34"/>
    </row>
    <row r="890" spans="1:13" ht="21.75" customHeight="1">
      <c r="A890" s="16"/>
      <c r="B890" s="39" t="s">
        <v>705</v>
      </c>
      <c r="C890" s="35" t="str">
        <f>VLOOKUP(Ventas[[#This Row],[Codigo]],Stock[#Data],2,FALSE)</f>
        <v>Sedas STAMPS Celulosa x300</v>
      </c>
      <c r="D890" s="37">
        <f>VLOOKUP(Ventas[[#This Row],[Codigo]],Stock[#Data],4,FALSE)</f>
        <v>900</v>
      </c>
      <c r="E890" s="33">
        <f>VLOOKUP(Ventas[[#This Row],[Codigo]],Stock[#Data],3,FALSE)</f>
        <v>444</v>
      </c>
      <c r="F890" s="38">
        <v>1</v>
      </c>
      <c r="G890">
        <v>595</v>
      </c>
      <c r="H890" s="36">
        <f>Ventas[[#This Row],[Precio Venta]]*Ventas[[#This Row],[Cantidad]]-Ventas[[#This Row],[Descuento]]</f>
        <v>900</v>
      </c>
      <c r="I890" s="34">
        <f>Ventas[[#This Row],[Total]]-Ventas[[#This Row],[Precio compra]]*Ventas[[#This Row],[Cantidad]]</f>
        <v>456</v>
      </c>
      <c r="J890" s="34"/>
      <c r="K890" s="34">
        <f>Ventas[[#This Row],[Total]]*Ventas[[#This Row],[Total 3]]</f>
        <v>0</v>
      </c>
      <c r="L890" s="34"/>
      <c r="M890" s="34"/>
    </row>
    <row r="891" spans="1:13" ht="21.75" customHeight="1">
      <c r="A891" s="16"/>
      <c r="B891" s="39" t="s">
        <v>706</v>
      </c>
      <c r="C891" s="35" t="str">
        <f>VLOOKUP(Ventas[[#This Row],[Codigo]],Stock[#Data],2,FALSE)</f>
        <v>Namaste Nutripack</v>
      </c>
      <c r="D891" s="37">
        <f>VLOOKUP(Ventas[[#This Row],[Codigo]],Stock[#Data],4,FALSE)</f>
        <v>6000</v>
      </c>
      <c r="E891" s="33">
        <f>VLOOKUP(Ventas[[#This Row],[Codigo]],Stock[#Data],3,FALSE)</f>
        <v>3376</v>
      </c>
      <c r="F891" s="38">
        <v>1</v>
      </c>
      <c r="G891">
        <v>346</v>
      </c>
      <c r="H891" s="36">
        <f>Ventas[[#This Row],[Precio Venta]]*Ventas[[#This Row],[Cantidad]]-Ventas[[#This Row],[Descuento]]</f>
        <v>6000</v>
      </c>
      <c r="I891" s="34">
        <f>Ventas[[#This Row],[Total]]-Ventas[[#This Row],[Precio compra]]*Ventas[[#This Row],[Cantidad]]</f>
        <v>2624</v>
      </c>
      <c r="J891" s="34"/>
      <c r="K891" s="34">
        <f>Ventas[[#This Row],[Total]]*Ventas[[#This Row],[Total 3]]</f>
        <v>0</v>
      </c>
      <c r="L891" s="34"/>
      <c r="M891" s="34"/>
    </row>
    <row r="892" spans="1:13" ht="21.75" customHeight="1">
      <c r="A892" s="16"/>
      <c r="B892" s="39" t="s">
        <v>705</v>
      </c>
      <c r="C892" s="35" t="str">
        <f>VLOOKUP(Ventas[[#This Row],[Codigo]],Stock[#Data],2,FALSE)</f>
        <v>Namaste Trico+ 100gr</v>
      </c>
      <c r="D892" s="37">
        <f>VLOOKUP(Ventas[[#This Row],[Codigo]],Stock[#Data],4,FALSE)</f>
        <v>1000</v>
      </c>
      <c r="E892" s="33">
        <f>VLOOKUP(Ventas[[#This Row],[Codigo]],Stock[#Data],3,FALSE)</f>
        <v>541</v>
      </c>
      <c r="F892" s="38">
        <v>1</v>
      </c>
      <c r="G892">
        <v>479</v>
      </c>
      <c r="H892" s="36">
        <f>Ventas[[#This Row],[Precio Venta]]*Ventas[[#This Row],[Cantidad]]-Ventas[[#This Row],[Descuento]]</f>
        <v>1000</v>
      </c>
      <c r="I892" s="34">
        <f>Ventas[[#This Row],[Total]]-Ventas[[#This Row],[Precio compra]]*Ventas[[#This Row],[Cantidad]]</f>
        <v>459</v>
      </c>
      <c r="J892" s="34"/>
      <c r="K892" s="34">
        <f>Ventas[[#This Row],[Total]]*Ventas[[#This Row],[Total 3]]</f>
        <v>0</v>
      </c>
      <c r="L892" s="34"/>
      <c r="M892" s="34"/>
    </row>
    <row r="893" spans="1:13" ht="21.75" customHeight="1">
      <c r="A893" s="16"/>
      <c r="B893" s="39" t="s">
        <v>705</v>
      </c>
      <c r="C893" s="35" t="str">
        <f>VLOOKUP(Ventas[[#This Row],[Codigo]],Stock[#Data],2,FALSE)</f>
        <v>Namaste Flora Booster 100ml</v>
      </c>
      <c r="D893" s="37">
        <f>VLOOKUP(Ventas[[#This Row],[Codigo]],Stock[#Data],4,FALSE)</f>
        <v>1000</v>
      </c>
      <c r="E893" s="33">
        <f>VLOOKUP(Ventas[[#This Row],[Codigo]],Stock[#Data],3,FALSE)</f>
        <v>517</v>
      </c>
      <c r="F893" s="38">
        <v>1</v>
      </c>
      <c r="G893">
        <v>480</v>
      </c>
      <c r="H893" s="36">
        <f>Ventas[[#This Row],[Precio Venta]]*Ventas[[#This Row],[Cantidad]]-Ventas[[#This Row],[Descuento]]</f>
        <v>1000</v>
      </c>
      <c r="I893" s="34">
        <f>Ventas[[#This Row],[Total]]-Ventas[[#This Row],[Precio compra]]*Ventas[[#This Row],[Cantidad]]</f>
        <v>483</v>
      </c>
      <c r="J893" s="34"/>
      <c r="K893" s="34">
        <f>Ventas[[#This Row],[Total]]*Ventas[[#This Row],[Total 3]]</f>
        <v>0</v>
      </c>
      <c r="L893" s="34"/>
      <c r="M893" s="34"/>
    </row>
    <row r="894" spans="1:13" ht="21.75" customHeight="1">
      <c r="A894" s="16"/>
      <c r="B894" s="39" t="s">
        <v>705</v>
      </c>
      <c r="C894" s="35" t="str">
        <f>VLOOKUP(Ventas[[#This Row],[Codigo]],Stock[#Data],2,FALSE)</f>
        <v>Pipas metalicas largas</v>
      </c>
      <c r="D894" s="37">
        <f>VLOOKUP(Ventas[[#This Row],[Codigo]],Stock[#Data],4,FALSE)</f>
        <v>2500</v>
      </c>
      <c r="E894" s="33">
        <f>VLOOKUP(Ventas[[#This Row],[Codigo]],Stock[#Data],3,FALSE)</f>
        <v>1235</v>
      </c>
      <c r="F894" s="38">
        <v>1</v>
      </c>
      <c r="G894">
        <v>430</v>
      </c>
      <c r="H894" s="36">
        <f>Ventas[[#This Row],[Precio Venta]]*Ventas[[#This Row],[Cantidad]]-Ventas[[#This Row],[Descuento]]</f>
        <v>2500</v>
      </c>
      <c r="I894" s="34">
        <f>Ventas[[#This Row],[Total]]-Ventas[[#This Row],[Precio compra]]*Ventas[[#This Row],[Cantidad]]</f>
        <v>1265</v>
      </c>
      <c r="J894" s="34"/>
      <c r="K894" s="34">
        <f>Ventas[[#This Row],[Total]]*Ventas[[#This Row],[Total 3]]</f>
        <v>0</v>
      </c>
      <c r="L894" s="34"/>
      <c r="M894" s="34"/>
    </row>
    <row r="895" spans="1:13" ht="21.75" customHeight="1">
      <c r="A895" s="16"/>
      <c r="B895" s="39" t="s">
        <v>697</v>
      </c>
      <c r="C895" s="35" t="str">
        <f>VLOOKUP(Ventas[[#This Row],[Codigo]],Stock[#Data],2,FALSE)</f>
        <v>Sauver 1/4</v>
      </c>
      <c r="D895" s="37">
        <f>VLOOKUP(Ventas[[#This Row],[Codigo]],Stock[#Data],4,FALSE)</f>
        <v>200</v>
      </c>
      <c r="E895" s="33">
        <f>VLOOKUP(Ventas[[#This Row],[Codigo]],Stock[#Data],3,FALSE)</f>
        <v>75</v>
      </c>
      <c r="F895" s="38">
        <v>1</v>
      </c>
      <c r="G895">
        <v>149</v>
      </c>
      <c r="H895" s="36">
        <f>Ventas[[#This Row],[Precio Venta]]*Ventas[[#This Row],[Cantidad]]-Ventas[[#This Row],[Descuento]]</f>
        <v>200</v>
      </c>
      <c r="I895" s="34">
        <f>Ventas[[#This Row],[Total]]-Ventas[[#This Row],[Precio compra]]*Ventas[[#This Row],[Cantidad]]</f>
        <v>125</v>
      </c>
      <c r="J895" s="34"/>
      <c r="K895" s="34">
        <f>Ventas[[#This Row],[Total]]*Ventas[[#This Row],[Total 3]]</f>
        <v>0</v>
      </c>
      <c r="L895" s="34"/>
      <c r="M895" s="34"/>
    </row>
    <row r="896" spans="1:13" ht="21.75" customHeight="1">
      <c r="A896" s="16"/>
      <c r="B896" s="39" t="s">
        <v>697</v>
      </c>
      <c r="C896" s="35" t="str">
        <f>VLOOKUP(Ventas[[#This Row],[Codigo]],Stock[#Data],2,FALSE)</f>
        <v>Organic Life jabón potásico</v>
      </c>
      <c r="D896" s="37">
        <f>VLOOKUP(Ventas[[#This Row],[Codigo]],Stock[#Data],4,FALSE)</f>
        <v>500</v>
      </c>
      <c r="E896" s="33">
        <f>VLOOKUP(Ventas[[#This Row],[Codigo]],Stock[#Data],3,FALSE)</f>
        <v>240</v>
      </c>
      <c r="F896" s="38">
        <v>1</v>
      </c>
      <c r="G896">
        <v>18</v>
      </c>
      <c r="H896" s="36">
        <f>Ventas[[#This Row],[Precio Venta]]*Ventas[[#This Row],[Cantidad]]-Ventas[[#This Row],[Descuento]]</f>
        <v>500</v>
      </c>
      <c r="I896" s="34">
        <f>Ventas[[#This Row],[Total]]-Ventas[[#This Row],[Precio compra]]*Ventas[[#This Row],[Cantidad]]</f>
        <v>260</v>
      </c>
      <c r="J896" s="34"/>
      <c r="K896" s="34">
        <f>Ventas[[#This Row],[Total]]*Ventas[[#This Row],[Total 3]]</f>
        <v>0</v>
      </c>
      <c r="L896" s="34"/>
      <c r="M896" s="34"/>
    </row>
    <row r="897" spans="1:13" ht="21.75" customHeight="1">
      <c r="A897" s="16"/>
      <c r="B897" s="39" t="s">
        <v>697</v>
      </c>
      <c r="C897" s="35" t="str">
        <f>VLOOKUP(Ventas[[#This Row],[Codigo]],Stock[#Data],2,FALSE)</f>
        <v>OCB premium</v>
      </c>
      <c r="D897" s="37">
        <f>VLOOKUP(Ventas[[#This Row],[Codigo]],Stock[#Data],4,FALSE)</f>
        <v>300</v>
      </c>
      <c r="E897" s="33">
        <f>VLOOKUP(Ventas[[#This Row],[Codigo]],Stock[#Data],3,FALSE)</f>
        <v>165</v>
      </c>
      <c r="F897" s="38">
        <v>1</v>
      </c>
      <c r="G897">
        <v>594</v>
      </c>
      <c r="H897" s="36">
        <f>Ventas[[#This Row],[Precio Venta]]*Ventas[[#This Row],[Cantidad]]-Ventas[[#This Row],[Descuento]]</f>
        <v>300</v>
      </c>
      <c r="I897" s="34">
        <f>Ventas[[#This Row],[Total]]-Ventas[[#This Row],[Precio compra]]*Ventas[[#This Row],[Cantidad]]</f>
        <v>135</v>
      </c>
      <c r="J897" s="34"/>
      <c r="K897" s="34">
        <f>Ventas[[#This Row],[Total]]*Ventas[[#This Row],[Total 3]]</f>
        <v>0</v>
      </c>
      <c r="L897" s="34"/>
      <c r="M897" s="34"/>
    </row>
    <row r="898" spans="1:13" ht="21.75" customHeight="1">
      <c r="A898" s="16"/>
      <c r="B898" s="39" t="s">
        <v>697</v>
      </c>
      <c r="C898" s="35" t="str">
        <f>VLOOKUP(Ventas[[#This Row],[Codigo]],Stock[#Data],2,FALSE)</f>
        <v>Namaste Oro Negro 100ml</v>
      </c>
      <c r="D898" s="37">
        <f>VLOOKUP(Ventas[[#This Row],[Codigo]],Stock[#Data],4,FALSE)</f>
        <v>1000</v>
      </c>
      <c r="E898" s="33">
        <f>VLOOKUP(Ventas[[#This Row],[Codigo]],Stock[#Data],3,FALSE)</f>
        <v>515</v>
      </c>
      <c r="F898" s="38">
        <v>2</v>
      </c>
      <c r="G898">
        <v>478</v>
      </c>
      <c r="H898" s="36">
        <f>Ventas[[#This Row],[Precio Venta]]*Ventas[[#This Row],[Cantidad]]-Ventas[[#This Row],[Descuento]]</f>
        <v>2000</v>
      </c>
      <c r="I898" s="34">
        <f>Ventas[[#This Row],[Total]]-Ventas[[#This Row],[Precio compra]]*Ventas[[#This Row],[Cantidad]]</f>
        <v>970</v>
      </c>
      <c r="J898" s="34"/>
      <c r="K898" s="34">
        <f>Ventas[[#This Row],[Total]]*Ventas[[#This Row],[Total 3]]</f>
        <v>0</v>
      </c>
      <c r="L898" s="34"/>
      <c r="M898" s="34"/>
    </row>
    <row r="899" spans="1:13" ht="21.75" customHeight="1">
      <c r="A899" s="16"/>
      <c r="B899" s="39" t="s">
        <v>697</v>
      </c>
      <c r="C899" s="35" t="str">
        <f>VLOOKUP(Ventas[[#This Row],[Codigo]],Stock[#Data],2,FALSE)</f>
        <v>Namaste Flora Booster 100ml</v>
      </c>
      <c r="D899" s="37">
        <f>VLOOKUP(Ventas[[#This Row],[Codigo]],Stock[#Data],4,FALSE)</f>
        <v>1000</v>
      </c>
      <c r="E899" s="33">
        <f>VLOOKUP(Ventas[[#This Row],[Codigo]],Stock[#Data],3,FALSE)</f>
        <v>517</v>
      </c>
      <c r="F899" s="38">
        <v>1</v>
      </c>
      <c r="G899">
        <v>480</v>
      </c>
      <c r="H899" s="36">
        <f>Ventas[[#This Row],[Precio Venta]]*Ventas[[#This Row],[Cantidad]]-Ventas[[#This Row],[Descuento]]</f>
        <v>1000</v>
      </c>
      <c r="I899" s="34">
        <f>Ventas[[#This Row],[Total]]-Ventas[[#This Row],[Precio compra]]*Ventas[[#This Row],[Cantidad]]</f>
        <v>483</v>
      </c>
      <c r="J899" s="34"/>
      <c r="K899" s="34">
        <f>Ventas[[#This Row],[Total]]*Ventas[[#This Row],[Total 3]]</f>
        <v>0</v>
      </c>
      <c r="L899" s="34"/>
      <c r="M899" s="34"/>
    </row>
    <row r="900" spans="1:13" ht="21.75" customHeight="1">
      <c r="A900" s="16"/>
      <c r="B900" s="39" t="s">
        <v>697</v>
      </c>
      <c r="C900" s="35" t="str">
        <f>VLOOKUP(Ventas[[#This Row],[Codigo]],Stock[#Data],2,FALSE)</f>
        <v>Tips Lion silver</v>
      </c>
      <c r="D900" s="37">
        <f>VLOOKUP(Ventas[[#This Row],[Codigo]],Stock[#Data],4,FALSE)</f>
        <v>250</v>
      </c>
      <c r="E900" s="33">
        <f>VLOOKUP(Ventas[[#This Row],[Codigo]],Stock[#Data],3,FALSE)</f>
        <v>137</v>
      </c>
      <c r="F900" s="38">
        <v>1</v>
      </c>
      <c r="G900">
        <v>457</v>
      </c>
      <c r="H900" s="36">
        <f>Ventas[[#This Row],[Precio Venta]]*Ventas[[#This Row],[Cantidad]]-Ventas[[#This Row],[Descuento]]</f>
        <v>250</v>
      </c>
      <c r="I900" s="34">
        <f>Ventas[[#This Row],[Total]]-Ventas[[#This Row],[Precio compra]]*Ventas[[#This Row],[Cantidad]]</f>
        <v>113</v>
      </c>
      <c r="J900" s="34"/>
      <c r="K900" s="34">
        <f>Ventas[[#This Row],[Total]]*Ventas[[#This Row],[Total 3]]</f>
        <v>0</v>
      </c>
      <c r="L900" s="34"/>
      <c r="M900" s="34"/>
    </row>
    <row r="901" spans="1:13" ht="21.75" customHeight="1">
      <c r="A901" s="16"/>
      <c r="B901" s="39" t="s">
        <v>697</v>
      </c>
      <c r="C901" s="35" t="str">
        <f>VLOOKUP(Ventas[[#This Row],[Codigo]],Stock[#Data],2,FALSE)</f>
        <v>Sedas Dolar Honey Puff</v>
      </c>
      <c r="D901" s="37">
        <f>VLOOKUP(Ventas[[#This Row],[Codigo]],Stock[#Data],4,FALSE)</f>
        <v>650</v>
      </c>
      <c r="E901" s="33">
        <f>VLOOKUP(Ventas[[#This Row],[Codigo]],Stock[#Data],3,FALSE)</f>
        <v>316</v>
      </c>
      <c r="F901" s="38">
        <v>1</v>
      </c>
      <c r="G901">
        <v>425</v>
      </c>
      <c r="H901" s="36">
        <f>Ventas[[#This Row],[Precio Venta]]*Ventas[[#This Row],[Cantidad]]-Ventas[[#This Row],[Descuento]]</f>
        <v>650</v>
      </c>
      <c r="I901" s="34">
        <f>Ventas[[#This Row],[Total]]-Ventas[[#This Row],[Precio compra]]*Ventas[[#This Row],[Cantidad]]</f>
        <v>334</v>
      </c>
      <c r="J901" s="34"/>
      <c r="K901" s="34">
        <f>Ventas[[#This Row],[Total]]*Ventas[[#This Row],[Total 3]]</f>
        <v>0</v>
      </c>
      <c r="L901" s="34"/>
      <c r="M901" s="34"/>
    </row>
    <row r="902" spans="1:13" ht="21.75" customHeight="1">
      <c r="A902" s="16"/>
      <c r="B902" s="39" t="s">
        <v>697</v>
      </c>
      <c r="C902" s="35" t="str">
        <f>VLOOKUP(Ventas[[#This Row],[Codigo]],Stock[#Data],2,FALSE)</f>
        <v>Pipa de Ceramica Grande</v>
      </c>
      <c r="D902" s="37">
        <f>VLOOKUP(Ventas[[#This Row],[Codigo]],Stock[#Data],4,FALSE)</f>
        <v>3000</v>
      </c>
      <c r="E902" s="33">
        <f>VLOOKUP(Ventas[[#This Row],[Codigo]],Stock[#Data],3,FALSE)</f>
        <v>1500</v>
      </c>
      <c r="F902" s="38">
        <v>1</v>
      </c>
      <c r="G902">
        <v>584</v>
      </c>
      <c r="H902" s="36">
        <f>Ventas[[#This Row],[Precio Venta]]*Ventas[[#This Row],[Cantidad]]-Ventas[[#This Row],[Descuento]]</f>
        <v>3000</v>
      </c>
      <c r="I902" s="34">
        <f>Ventas[[#This Row],[Total]]-Ventas[[#This Row],[Precio compra]]*Ventas[[#This Row],[Cantidad]]</f>
        <v>1500</v>
      </c>
      <c r="J902" s="34"/>
      <c r="K902" s="34">
        <f>Ventas[[#This Row],[Total]]*Ventas[[#This Row],[Total 3]]</f>
        <v>0</v>
      </c>
      <c r="L902" s="34"/>
      <c r="M902" s="34"/>
    </row>
    <row r="903" spans="1:13" ht="21.75" customHeight="1">
      <c r="A903" s="16"/>
      <c r="B903" s="39" t="s">
        <v>697</v>
      </c>
      <c r="C903" s="35" t="str">
        <f>VLOOKUP(Ventas[[#This Row],[Codigo]],Stock[#Data],2,FALSE)</f>
        <v>Cigarrera Stamps Metal</v>
      </c>
      <c r="D903" s="37">
        <f>VLOOKUP(Ventas[[#This Row],[Codigo]],Stock[#Data],4,FALSE)</f>
        <v>2100</v>
      </c>
      <c r="E903" s="33">
        <f>VLOOKUP(Ventas[[#This Row],[Codigo]],Stock[#Data],3,FALSE)</f>
        <v>1050</v>
      </c>
      <c r="F903" s="38">
        <v>1</v>
      </c>
      <c r="G903">
        <v>568</v>
      </c>
      <c r="H903" s="36">
        <f>Ventas[[#This Row],[Precio Venta]]*Ventas[[#This Row],[Cantidad]]-Ventas[[#This Row],[Descuento]]</f>
        <v>2100</v>
      </c>
      <c r="I903" s="34">
        <f>Ventas[[#This Row],[Total]]-Ventas[[#This Row],[Precio compra]]*Ventas[[#This Row],[Cantidad]]</f>
        <v>1050</v>
      </c>
      <c r="J903" s="34"/>
      <c r="K903" s="34">
        <f>Ventas[[#This Row],[Total]]*Ventas[[#This Row],[Total 3]]</f>
        <v>0</v>
      </c>
      <c r="L903" s="34"/>
      <c r="M903" s="34"/>
    </row>
    <row r="904" spans="1:13" ht="21.75" customHeight="1">
      <c r="A904" s="16"/>
      <c r="B904" s="39" t="s">
        <v>697</v>
      </c>
      <c r="C904" s="35" t="str">
        <f>VLOOKUP(Ventas[[#This Row],[Codigo]],Stock[#Data],2,FALSE)</f>
        <v>Tabaco Van Kiff Vainilla</v>
      </c>
      <c r="D904" s="37">
        <f>VLOOKUP(Ventas[[#This Row],[Codigo]],Stock[#Data],4,FALSE)</f>
        <v>850</v>
      </c>
      <c r="E904" s="33">
        <f>VLOOKUP(Ventas[[#This Row],[Codigo]],Stock[#Data],3,FALSE)</f>
        <v>580</v>
      </c>
      <c r="F904" s="38">
        <v>1</v>
      </c>
      <c r="G904">
        <v>120</v>
      </c>
      <c r="H904" s="36">
        <f>Ventas[[#This Row],[Precio Venta]]*Ventas[[#This Row],[Cantidad]]-Ventas[[#This Row],[Descuento]]</f>
        <v>850</v>
      </c>
      <c r="I904" s="34">
        <f>Ventas[[#This Row],[Total]]-Ventas[[#This Row],[Precio compra]]*Ventas[[#This Row],[Cantidad]]</f>
        <v>270</v>
      </c>
      <c r="J904" s="34"/>
      <c r="K904" s="34">
        <f>Ventas[[#This Row],[Total]]*Ventas[[#This Row],[Total 3]]</f>
        <v>0</v>
      </c>
      <c r="L904" s="34"/>
      <c r="M904" s="34"/>
    </row>
    <row r="905" spans="1:13" ht="21.75" customHeight="1">
      <c r="A905" s="16"/>
      <c r="B905" s="39" t="s">
        <v>697</v>
      </c>
      <c r="C905" s="35" t="str">
        <f>VLOOKUP(Ventas[[#This Row],[Codigo]],Stock[#Data],2,FALSE)</f>
        <v>Top Bloom 1L</v>
      </c>
      <c r="D905" s="37">
        <f>VLOOKUP(Ventas[[#This Row],[Codigo]],Stock[#Data],4,FALSE)</f>
        <v>5000</v>
      </c>
      <c r="E905" s="33">
        <f>VLOOKUP(Ventas[[#This Row],[Codigo]],Stock[#Data],3,FALSE)</f>
        <v>2703</v>
      </c>
      <c r="F905" s="38">
        <v>1</v>
      </c>
      <c r="G905">
        <v>596</v>
      </c>
      <c r="H905" s="36">
        <f>Ventas[[#This Row],[Precio Venta]]*Ventas[[#This Row],[Cantidad]]-Ventas[[#This Row],[Descuento]]</f>
        <v>5000</v>
      </c>
      <c r="I905" s="34">
        <f>Ventas[[#This Row],[Total]]-Ventas[[#This Row],[Precio compra]]*Ventas[[#This Row],[Cantidad]]</f>
        <v>2297</v>
      </c>
      <c r="J905" s="34"/>
      <c r="K905" s="34">
        <f>Ventas[[#This Row],[Total]]*Ventas[[#This Row],[Total 3]]</f>
        <v>0</v>
      </c>
      <c r="L905" s="34"/>
      <c r="M905" s="34"/>
    </row>
    <row r="906" spans="1:13" ht="21.75" customHeight="1">
      <c r="A906" s="16"/>
      <c r="B906" s="39" t="s">
        <v>697</v>
      </c>
      <c r="C906" s="35" t="str">
        <f>VLOOKUP(Ventas[[#This Row],[Codigo]],Stock[#Data],2,FALSE)</f>
        <v>Sedas Blunt Rey 1/4  Hemp</v>
      </c>
      <c r="D906" s="37">
        <f>VLOOKUP(Ventas[[#This Row],[Codigo]],Stock[#Data],4,FALSE)</f>
        <v>250</v>
      </c>
      <c r="E906" s="33">
        <f>VLOOKUP(Ventas[[#This Row],[Codigo]],Stock[#Data],3,FALSE)</f>
        <v>120</v>
      </c>
      <c r="F906" s="38">
        <v>1</v>
      </c>
      <c r="G906">
        <v>287</v>
      </c>
      <c r="H906" s="36">
        <f>Ventas[[#This Row],[Precio Venta]]*Ventas[[#This Row],[Cantidad]]-Ventas[[#This Row],[Descuento]]</f>
        <v>250</v>
      </c>
      <c r="I906" s="34">
        <f>Ventas[[#This Row],[Total]]-Ventas[[#This Row],[Precio compra]]*Ventas[[#This Row],[Cantidad]]</f>
        <v>130</v>
      </c>
      <c r="J906" s="34"/>
      <c r="K906" s="34">
        <f>Ventas[[#This Row],[Total]]*Ventas[[#This Row],[Total 3]]</f>
        <v>0</v>
      </c>
      <c r="L906" s="34"/>
      <c r="M906" s="34"/>
    </row>
    <row r="907" spans="1:13" ht="21.75" customHeight="1">
      <c r="A907" s="16"/>
      <c r="B907" s="39" t="s">
        <v>697</v>
      </c>
      <c r="C907" s="35" t="str">
        <f>VLOOKUP(Ventas[[#This Row],[Codigo]],Stock[#Data],2,FALSE)</f>
        <v>Sedas Lion Rolling Circus 1/4 alfalfa</v>
      </c>
      <c r="D907" s="37">
        <f>VLOOKUP(Ventas[[#This Row],[Codigo]],Stock[#Data],4,FALSE)</f>
        <v>300</v>
      </c>
      <c r="E907" s="33">
        <f>VLOOKUP(Ventas[[#This Row],[Codigo]],Stock[#Data],3,FALSE)</f>
        <v>150</v>
      </c>
      <c r="F907" s="38">
        <v>1</v>
      </c>
      <c r="G907">
        <v>63</v>
      </c>
      <c r="H907" s="36">
        <f>Ventas[[#This Row],[Precio Venta]]*Ventas[[#This Row],[Cantidad]]-Ventas[[#This Row],[Descuento]]</f>
        <v>300</v>
      </c>
      <c r="I907" s="34">
        <f>Ventas[[#This Row],[Total]]-Ventas[[#This Row],[Precio compra]]*Ventas[[#This Row],[Cantidad]]</f>
        <v>150</v>
      </c>
      <c r="J907" s="34"/>
      <c r="K907" s="34">
        <f>Ventas[[#This Row],[Total]]*Ventas[[#This Row],[Total 3]]</f>
        <v>0</v>
      </c>
      <c r="L907" s="34"/>
      <c r="M907" s="34"/>
    </row>
    <row r="908" spans="1:13" ht="21.75" customHeight="1">
      <c r="A908" s="16"/>
      <c r="B908" s="39" t="s">
        <v>697</v>
      </c>
      <c r="C908" s="35" t="str">
        <f>VLOOKUP(Ventas[[#This Row],[Codigo]],Stock[#Data],2,FALSE)</f>
        <v>Tips Rok Organic</v>
      </c>
      <c r="D908" s="37">
        <f>VLOOKUP(Ventas[[#This Row],[Codigo]],Stock[#Data],4,FALSE)</f>
        <v>100</v>
      </c>
      <c r="E908" s="33">
        <f>VLOOKUP(Ventas[[#This Row],[Codigo]],Stock[#Data],3,FALSE)</f>
        <v>50</v>
      </c>
      <c r="F908" s="38">
        <v>1</v>
      </c>
      <c r="G908">
        <v>96</v>
      </c>
      <c r="H908" s="36">
        <f>Ventas[[#This Row],[Precio Venta]]*Ventas[[#This Row],[Cantidad]]-Ventas[[#This Row],[Descuento]]</f>
        <v>100</v>
      </c>
      <c r="I908" s="34">
        <f>Ventas[[#This Row],[Total]]-Ventas[[#This Row],[Precio compra]]*Ventas[[#This Row],[Cantidad]]</f>
        <v>50</v>
      </c>
      <c r="J908" s="34"/>
      <c r="K908" s="34">
        <f>Ventas[[#This Row],[Total]]*Ventas[[#This Row],[Total 3]]</f>
        <v>0</v>
      </c>
      <c r="L908" s="34"/>
      <c r="M908" s="34"/>
    </row>
    <row r="909" spans="1:13" ht="21.75" customHeight="1">
      <c r="A909" s="16"/>
      <c r="B909" s="39" t="s">
        <v>697</v>
      </c>
      <c r="C909" s="35" t="str">
        <f>VLOOKUP(Ventas[[#This Row],[Codigo]],Stock[#Data],2,FALSE)</f>
        <v>Sedas OCB 1/4 Organic  Bamboo</v>
      </c>
      <c r="D909" s="37">
        <f>VLOOKUP(Ventas[[#This Row],[Codigo]],Stock[#Data],4,FALSE)</f>
        <v>300</v>
      </c>
      <c r="E909" s="33">
        <f>VLOOKUP(Ventas[[#This Row],[Codigo]],Stock[#Data],3,FALSE)</f>
        <v>165</v>
      </c>
      <c r="F909" s="38">
        <v>2</v>
      </c>
      <c r="G909">
        <v>77</v>
      </c>
      <c r="H909" s="36">
        <f>Ventas[[#This Row],[Precio Venta]]*Ventas[[#This Row],[Cantidad]]-Ventas[[#This Row],[Descuento]]</f>
        <v>600</v>
      </c>
      <c r="I909" s="34">
        <f>Ventas[[#This Row],[Total]]-Ventas[[#This Row],[Precio compra]]*Ventas[[#This Row],[Cantidad]]</f>
        <v>270</v>
      </c>
      <c r="J909" s="34"/>
      <c r="K909" s="34">
        <f>Ventas[[#This Row],[Total]]*Ventas[[#This Row],[Total 3]]</f>
        <v>0</v>
      </c>
      <c r="L909" s="34"/>
      <c r="M909" s="34"/>
    </row>
    <row r="910" spans="1:13" ht="21.75" customHeight="1">
      <c r="A910" s="16"/>
      <c r="B910" s="39" t="s">
        <v>697</v>
      </c>
      <c r="C910" s="35" t="str">
        <f>VLOOKUP(Ventas[[#This Row],[Codigo]],Stock[#Data],2,FALSE)</f>
        <v>Sedas Blunt Rey 1/4 saborizadas Durazno</v>
      </c>
      <c r="D910" s="37">
        <f>VLOOKUP(Ventas[[#This Row],[Codigo]],Stock[#Data],4,FALSE)</f>
        <v>250</v>
      </c>
      <c r="E910" s="33">
        <f>VLOOKUP(Ventas[[#This Row],[Codigo]],Stock[#Data],3,FALSE)</f>
        <v>126</v>
      </c>
      <c r="F910" s="38">
        <v>1</v>
      </c>
      <c r="G910">
        <v>73</v>
      </c>
      <c r="H910" s="36">
        <f>Ventas[[#This Row],[Precio Venta]]*Ventas[[#This Row],[Cantidad]]-Ventas[[#This Row],[Descuento]]</f>
        <v>250</v>
      </c>
      <c r="I910" s="34">
        <f>Ventas[[#This Row],[Total]]-Ventas[[#This Row],[Precio compra]]*Ventas[[#This Row],[Cantidad]]</f>
        <v>124</v>
      </c>
      <c r="J910" s="34"/>
      <c r="K910" s="34">
        <f>Ventas[[#This Row],[Total]]*Ventas[[#This Row],[Total 3]]</f>
        <v>0</v>
      </c>
      <c r="L910" s="34"/>
      <c r="M910" s="34"/>
    </row>
    <row r="911" spans="1:13" ht="21.75" customHeight="1">
      <c r="A911" s="16"/>
      <c r="B911" s="39" t="s">
        <v>697</v>
      </c>
      <c r="C911" s="35" t="str">
        <f>VLOOKUP(Ventas[[#This Row],[Codigo]],Stock[#Data],2,FALSE)</f>
        <v>Sedas Lion Rolling Circus 1/4 saborizada Menta</v>
      </c>
      <c r="D911" s="37">
        <f>VLOOKUP(Ventas[[#This Row],[Codigo]],Stock[#Data],4,FALSE)</f>
        <v>450</v>
      </c>
      <c r="E911" s="33">
        <f>VLOOKUP(Ventas[[#This Row],[Codigo]],Stock[#Data],3,FALSE)</f>
        <v>217</v>
      </c>
      <c r="F911" s="38">
        <v>1</v>
      </c>
      <c r="G911">
        <v>66</v>
      </c>
      <c r="H911" s="36">
        <f>Ventas[[#This Row],[Precio Venta]]*Ventas[[#This Row],[Cantidad]]-Ventas[[#This Row],[Descuento]]</f>
        <v>450</v>
      </c>
      <c r="I911" s="34">
        <f>Ventas[[#This Row],[Total]]-Ventas[[#This Row],[Precio compra]]*Ventas[[#This Row],[Cantidad]]</f>
        <v>233</v>
      </c>
      <c r="J911" s="34"/>
      <c r="K911" s="34">
        <f>Ventas[[#This Row],[Total]]*Ventas[[#This Row],[Total 3]]</f>
        <v>0</v>
      </c>
      <c r="L911" s="34"/>
      <c r="M911" s="34"/>
    </row>
    <row r="912" spans="1:13" ht="21.75" customHeight="1">
      <c r="A912" s="16"/>
      <c r="B912" s="39" t="s">
        <v>697</v>
      </c>
      <c r="C912" s="35" t="str">
        <f>VLOOKUP(Ventas[[#This Row],[Codigo]],Stock[#Data],2,FALSE)</f>
        <v>Cultivate Jabon Potasico 250ml</v>
      </c>
      <c r="D912" s="37">
        <f>VLOOKUP(Ventas[[#This Row],[Codigo]],Stock[#Data],4,FALSE)</f>
        <v>1600</v>
      </c>
      <c r="E912" s="33">
        <f>VLOOKUP(Ventas[[#This Row],[Codigo]],Stock[#Data],3,FALSE)</f>
        <v>810</v>
      </c>
      <c r="F912" s="38">
        <v>1</v>
      </c>
      <c r="G912">
        <v>542</v>
      </c>
      <c r="H912" s="36">
        <f>Ventas[[#This Row],[Precio Venta]]*Ventas[[#This Row],[Cantidad]]-Ventas[[#This Row],[Descuento]]</f>
        <v>1600</v>
      </c>
      <c r="I912" s="34">
        <f>Ventas[[#This Row],[Total]]-Ventas[[#This Row],[Precio compra]]*Ventas[[#This Row],[Cantidad]]</f>
        <v>790</v>
      </c>
      <c r="J912" s="34"/>
      <c r="K912" s="34">
        <f>Ventas[[#This Row],[Total]]*Ventas[[#This Row],[Total 3]]</f>
        <v>0</v>
      </c>
      <c r="L912" s="34"/>
      <c r="M912" s="34"/>
    </row>
    <row r="913" spans="1:13" ht="21.75" customHeight="1">
      <c r="A913" s="16"/>
      <c r="B913" s="39" t="s">
        <v>697</v>
      </c>
      <c r="C913" s="35" t="str">
        <f>VLOOKUP(Ventas[[#This Row],[Codigo]],Stock[#Data],2,FALSE)</f>
        <v>Tips STAMPS ECO</v>
      </c>
      <c r="D913" s="37">
        <f>VLOOKUP(Ventas[[#This Row],[Codigo]],Stock[#Data],4,FALSE)</f>
        <v>150</v>
      </c>
      <c r="E913" s="33">
        <f>VLOOKUP(Ventas[[#This Row],[Codigo]],Stock[#Data],3,FALSE)</f>
        <v>73</v>
      </c>
      <c r="F913" s="38">
        <v>1</v>
      </c>
      <c r="G913">
        <v>308</v>
      </c>
      <c r="H913" s="36">
        <f>Ventas[[#This Row],[Precio Venta]]*Ventas[[#This Row],[Cantidad]]-Ventas[[#This Row],[Descuento]]</f>
        <v>150</v>
      </c>
      <c r="I913" s="34">
        <f>Ventas[[#This Row],[Total]]-Ventas[[#This Row],[Precio compra]]*Ventas[[#This Row],[Cantidad]]</f>
        <v>77</v>
      </c>
      <c r="J913" s="34"/>
      <c r="K913" s="34">
        <f>Ventas[[#This Row],[Total]]*Ventas[[#This Row],[Total 3]]</f>
        <v>0</v>
      </c>
      <c r="L913" s="34"/>
      <c r="M913" s="34"/>
    </row>
    <row r="914" spans="1:13" ht="21.75" customHeight="1">
      <c r="A914" s="16"/>
      <c r="B914" s="39" t="s">
        <v>697</v>
      </c>
      <c r="C914" s="35" t="str">
        <f>VLOOKUP(Ventas[[#This Row],[Codigo]],Stock[#Data],2,FALSE)</f>
        <v>SKOG Zeta</v>
      </c>
      <c r="D914" s="37">
        <f>VLOOKUP(Ventas[[#This Row],[Codigo]],Stock[#Data],4,FALSE)</f>
        <v>800</v>
      </c>
      <c r="E914" s="33">
        <f>VLOOKUP(Ventas[[#This Row],[Codigo]],Stock[#Data],3,FALSE)</f>
        <v>405</v>
      </c>
      <c r="F914" s="38">
        <v>1</v>
      </c>
      <c r="G914">
        <v>13</v>
      </c>
      <c r="H914" s="36">
        <f>Ventas[[#This Row],[Precio Venta]]*Ventas[[#This Row],[Cantidad]]-Ventas[[#This Row],[Descuento]]</f>
        <v>800</v>
      </c>
      <c r="I914" s="34">
        <f>Ventas[[#This Row],[Total]]-Ventas[[#This Row],[Precio compra]]*Ventas[[#This Row],[Cantidad]]</f>
        <v>395</v>
      </c>
      <c r="J914" s="34"/>
      <c r="K914" s="34">
        <f>Ventas[[#This Row],[Total]]*Ventas[[#This Row],[Total 3]]</f>
        <v>0</v>
      </c>
      <c r="L914" s="34"/>
      <c r="M914" s="34"/>
    </row>
    <row r="915" spans="1:13" ht="21.75" customHeight="1">
      <c r="A915" s="16"/>
      <c r="B915" s="39" t="s">
        <v>707</v>
      </c>
      <c r="C915" s="35" t="str">
        <f>VLOOKUP(Ventas[[#This Row],[Codigo]],Stock[#Data],2,FALSE)</f>
        <v>Pipa de Ceramica Grande</v>
      </c>
      <c r="D915" s="37">
        <f>VLOOKUP(Ventas[[#This Row],[Codigo]],Stock[#Data],4,FALSE)</f>
        <v>3000</v>
      </c>
      <c r="E915" s="33">
        <f>VLOOKUP(Ventas[[#This Row],[Codigo]],Stock[#Data],3,FALSE)</f>
        <v>1500</v>
      </c>
      <c r="F915" s="38">
        <v>1</v>
      </c>
      <c r="G915">
        <v>584</v>
      </c>
      <c r="H915" s="36">
        <f>Ventas[[#This Row],[Precio Venta]]*Ventas[[#This Row],[Cantidad]]-Ventas[[#This Row],[Descuento]]</f>
        <v>3000</v>
      </c>
      <c r="I915" s="34">
        <f>Ventas[[#This Row],[Total]]-Ventas[[#This Row],[Precio compra]]*Ventas[[#This Row],[Cantidad]]</f>
        <v>1500</v>
      </c>
      <c r="J915" s="34"/>
      <c r="K915" s="34">
        <f>Ventas[[#This Row],[Total]]*Ventas[[#This Row],[Total 3]]</f>
        <v>0</v>
      </c>
      <c r="L915" s="34"/>
      <c r="M915" s="34"/>
    </row>
    <row r="916" spans="1:13" ht="21.75" customHeight="1">
      <c r="A916" s="16"/>
      <c r="B916" s="39" t="s">
        <v>707</v>
      </c>
      <c r="C916" s="35" t="str">
        <f>VLOOKUP(Ventas[[#This Row],[Codigo]],Stock[#Data],2,FALSE)</f>
        <v>Bandeja Blunt Rey chicas m/v</v>
      </c>
      <c r="D916" s="37">
        <f>VLOOKUP(Ventas[[#This Row],[Codigo]],Stock[#Data],4,FALSE)</f>
        <v>2100</v>
      </c>
      <c r="E916" s="33">
        <f>VLOOKUP(Ventas[[#This Row],[Codigo]],Stock[#Data],3,FALSE)</f>
        <v>1047</v>
      </c>
      <c r="F916" s="38">
        <v>1</v>
      </c>
      <c r="G916">
        <v>128</v>
      </c>
      <c r="H916" s="36">
        <f>Ventas[[#This Row],[Precio Venta]]*Ventas[[#This Row],[Cantidad]]-Ventas[[#This Row],[Descuento]]</f>
        <v>2100</v>
      </c>
      <c r="I916" s="34">
        <f>Ventas[[#This Row],[Total]]-Ventas[[#This Row],[Precio compra]]*Ventas[[#This Row],[Cantidad]]</f>
        <v>1053</v>
      </c>
      <c r="J916" s="34"/>
      <c r="K916" s="34">
        <f>Ventas[[#This Row],[Total]]*Ventas[[#This Row],[Total 3]]</f>
        <v>0</v>
      </c>
      <c r="L916" s="34"/>
      <c r="M916" s="34"/>
    </row>
    <row r="917" spans="1:13" ht="21.75" customHeight="1">
      <c r="A917" s="16"/>
      <c r="B917" s="39" t="s">
        <v>707</v>
      </c>
      <c r="C917" s="35" t="str">
        <f>VLOOKUP(Ventas[[#This Row],[Codigo]],Stock[#Data],2,FALSE)</f>
        <v xml:space="preserve">Latas Zeus </v>
      </c>
      <c r="D917" s="37">
        <f>VLOOKUP(Ventas[[#This Row],[Codigo]],Stock[#Data],4,FALSE)</f>
        <v>1000</v>
      </c>
      <c r="E917" s="33">
        <f>VLOOKUP(Ventas[[#This Row],[Codigo]],Stock[#Data],3,FALSE)</f>
        <v>521</v>
      </c>
      <c r="F917" s="38">
        <v>1</v>
      </c>
      <c r="G917">
        <v>365</v>
      </c>
      <c r="H917" s="36">
        <f>Ventas[[#This Row],[Precio Venta]]*Ventas[[#This Row],[Cantidad]]-Ventas[[#This Row],[Descuento]]</f>
        <v>1000</v>
      </c>
      <c r="I917" s="34">
        <f>Ventas[[#This Row],[Total]]-Ventas[[#This Row],[Precio compra]]*Ventas[[#This Row],[Cantidad]]</f>
        <v>479</v>
      </c>
      <c r="J917" s="34"/>
      <c r="K917" s="34">
        <f>Ventas[[#This Row],[Total]]*Ventas[[#This Row],[Total 3]]</f>
        <v>0</v>
      </c>
      <c r="L917" s="34"/>
      <c r="M917" s="34"/>
    </row>
    <row r="918" spans="1:13" ht="21.75" customHeight="1">
      <c r="A918" s="16"/>
      <c r="B918" s="39" t="s">
        <v>707</v>
      </c>
      <c r="C918" s="35" t="str">
        <f>VLOOKUP(Ventas[[#This Row],[Codigo]],Stock[#Data],2,FALSE)</f>
        <v>Picador 4p Calavera Psicodélica</v>
      </c>
      <c r="D918" s="37">
        <f>VLOOKUP(Ventas[[#This Row],[Codigo]],Stock[#Data],4,FALSE)</f>
        <v>3500</v>
      </c>
      <c r="E918" s="33">
        <f>VLOOKUP(Ventas[[#This Row],[Codigo]],Stock[#Data],3,FALSE)</f>
        <v>2000</v>
      </c>
      <c r="F918" s="38">
        <v>1</v>
      </c>
      <c r="G918">
        <v>538</v>
      </c>
      <c r="H918" s="36">
        <f>Ventas[[#This Row],[Precio Venta]]*Ventas[[#This Row],[Cantidad]]-Ventas[[#This Row],[Descuento]]</f>
        <v>3500</v>
      </c>
      <c r="I918" s="34">
        <f>Ventas[[#This Row],[Total]]-Ventas[[#This Row],[Precio compra]]*Ventas[[#This Row],[Cantidad]]</f>
        <v>1500</v>
      </c>
      <c r="J918" s="34"/>
      <c r="K918" s="34">
        <f>Ventas[[#This Row],[Total]]*Ventas[[#This Row],[Total 3]]</f>
        <v>0</v>
      </c>
      <c r="L918" s="34"/>
      <c r="M918" s="34"/>
    </row>
    <row r="919" spans="1:13" ht="21.75" customHeight="1">
      <c r="A919" s="16"/>
      <c r="B919" s="39" t="s">
        <v>707</v>
      </c>
      <c r="C919" s="35" t="str">
        <f>VLOOKUP(Ventas[[#This Row],[Codigo]],Stock[#Data],2,FALSE)</f>
        <v xml:space="preserve">Encendedor Clipper </v>
      </c>
      <c r="D919" s="37">
        <f>VLOOKUP(Ventas[[#This Row],[Codigo]],Stock[#Data],4,FALSE)</f>
        <v>600</v>
      </c>
      <c r="E919" s="33">
        <f>VLOOKUP(Ventas[[#This Row],[Codigo]],Stock[#Data],3,FALSE)</f>
        <v>378</v>
      </c>
      <c r="F919" s="38">
        <v>2</v>
      </c>
      <c r="G919">
        <v>58</v>
      </c>
      <c r="H919" s="36">
        <f>Ventas[[#This Row],[Precio Venta]]*Ventas[[#This Row],[Cantidad]]-Ventas[[#This Row],[Descuento]]</f>
        <v>1200</v>
      </c>
      <c r="I919" s="34">
        <f>Ventas[[#This Row],[Total]]-Ventas[[#This Row],[Precio compra]]*Ventas[[#This Row],[Cantidad]]</f>
        <v>444</v>
      </c>
      <c r="J919" s="34"/>
      <c r="K919" s="34">
        <f>Ventas[[#This Row],[Total]]*Ventas[[#This Row],[Total 3]]</f>
        <v>0</v>
      </c>
      <c r="L919" s="34"/>
      <c r="M919" s="34"/>
    </row>
    <row r="920" spans="1:13" ht="21.75" customHeight="1">
      <c r="A920" s="16"/>
      <c r="B920" s="39" t="s">
        <v>707</v>
      </c>
      <c r="C920" s="35" t="str">
        <f>VLOOKUP(Ventas[[#This Row],[Codigo]],Stock[#Data],2,FALSE)</f>
        <v>Sauver 1/4</v>
      </c>
      <c r="D920" s="37">
        <f>VLOOKUP(Ventas[[#This Row],[Codigo]],Stock[#Data],4,FALSE)</f>
        <v>200</v>
      </c>
      <c r="E920" s="33">
        <f>VLOOKUP(Ventas[[#This Row],[Codigo]],Stock[#Data],3,FALSE)</f>
        <v>75</v>
      </c>
      <c r="F920" s="38">
        <v>2</v>
      </c>
      <c r="G920">
        <v>149</v>
      </c>
      <c r="H920" s="36">
        <f>Ventas[[#This Row],[Precio Venta]]*Ventas[[#This Row],[Cantidad]]-Ventas[[#This Row],[Descuento]]</f>
        <v>400</v>
      </c>
      <c r="I920" s="34">
        <f>Ventas[[#This Row],[Total]]-Ventas[[#This Row],[Precio compra]]*Ventas[[#This Row],[Cantidad]]</f>
        <v>250</v>
      </c>
      <c r="J920" s="34"/>
      <c r="K920" s="34">
        <f>Ventas[[#This Row],[Total]]*Ventas[[#This Row],[Total 3]]</f>
        <v>0</v>
      </c>
      <c r="L920" s="34"/>
      <c r="M920" s="34"/>
    </row>
    <row r="921" spans="1:13" ht="21.75" customHeight="1">
      <c r="A921" s="16"/>
      <c r="B921" s="39" t="s">
        <v>707</v>
      </c>
      <c r="C921" s="35" t="str">
        <f>VLOOKUP(Ventas[[#This Row],[Codigo]],Stock[#Data],2,FALSE)</f>
        <v>VAMP Supermelaza</v>
      </c>
      <c r="D921" s="37">
        <f>VLOOKUP(Ventas[[#This Row],[Codigo]],Stock[#Data],4,FALSE)</f>
        <v>1800</v>
      </c>
      <c r="E921" s="33">
        <f>VLOOKUP(Ventas[[#This Row],[Codigo]],Stock[#Data],3,FALSE)</f>
        <v>908</v>
      </c>
      <c r="F921" s="38">
        <v>2</v>
      </c>
      <c r="G921">
        <v>36</v>
      </c>
      <c r="H921" s="36">
        <f>Ventas[[#This Row],[Precio Venta]]*Ventas[[#This Row],[Cantidad]]-Ventas[[#This Row],[Descuento]]</f>
        <v>3600</v>
      </c>
      <c r="I921" s="34">
        <f>Ventas[[#This Row],[Total]]-Ventas[[#This Row],[Precio compra]]*Ventas[[#This Row],[Cantidad]]</f>
        <v>1784</v>
      </c>
      <c r="J921" s="34"/>
      <c r="K921" s="34">
        <f>Ventas[[#This Row],[Total]]*Ventas[[#This Row],[Total 3]]</f>
        <v>0</v>
      </c>
      <c r="L921" s="34"/>
      <c r="M921" s="34"/>
    </row>
    <row r="922" spans="1:13" ht="21.75" customHeight="1">
      <c r="A922" s="16"/>
      <c r="B922" s="39" t="s">
        <v>707</v>
      </c>
      <c r="C922" s="35" t="str">
        <f>VLOOKUP(Ventas[[#This Row],[Codigo]],Stock[#Data],2,FALSE)</f>
        <v>VAMP Guano de murcielago Flora</v>
      </c>
      <c r="D922" s="37">
        <f>VLOOKUP(Ventas[[#This Row],[Codigo]],Stock[#Data],4,FALSE)</f>
        <v>1000</v>
      </c>
      <c r="E922" s="33">
        <f>VLOOKUP(Ventas[[#This Row],[Codigo]],Stock[#Data],3,FALSE)</f>
        <v>510</v>
      </c>
      <c r="F922" s="38">
        <v>1</v>
      </c>
      <c r="G922">
        <v>38</v>
      </c>
      <c r="H922" s="36">
        <f>Ventas[[#This Row],[Precio Venta]]*Ventas[[#This Row],[Cantidad]]-Ventas[[#This Row],[Descuento]]</f>
        <v>1000</v>
      </c>
      <c r="I922" s="34">
        <f>Ventas[[#This Row],[Total]]-Ventas[[#This Row],[Precio compra]]*Ventas[[#This Row],[Cantidad]]</f>
        <v>490</v>
      </c>
      <c r="J922" s="34"/>
      <c r="K922" s="34">
        <f>Ventas[[#This Row],[Total]]*Ventas[[#This Row],[Total 3]]</f>
        <v>0</v>
      </c>
      <c r="L922" s="34"/>
      <c r="M922" s="34"/>
    </row>
    <row r="923" spans="1:13" ht="21.75" customHeight="1">
      <c r="A923" s="16"/>
      <c r="B923" s="39" t="s">
        <v>707</v>
      </c>
      <c r="C923" s="35" t="str">
        <f>VLOOKUP(Ventas[[#This Row],[Codigo]],Stock[#Data],2,FALSE)</f>
        <v>Clonaste Namaste 30gr</v>
      </c>
      <c r="D923" s="37">
        <f>VLOOKUP(Ventas[[#This Row],[Codigo]],Stock[#Data],4,FALSE)</f>
        <v>2000</v>
      </c>
      <c r="E923" s="33">
        <f>VLOOKUP(Ventas[[#This Row],[Codigo]],Stock[#Data],3,FALSE)</f>
        <v>1054</v>
      </c>
      <c r="F923" s="38">
        <v>1</v>
      </c>
      <c r="G923">
        <v>486</v>
      </c>
      <c r="H923" s="36">
        <f>Ventas[[#This Row],[Precio Venta]]*Ventas[[#This Row],[Cantidad]]-Ventas[[#This Row],[Descuento]]</f>
        <v>2000</v>
      </c>
      <c r="I923" s="34">
        <f>Ventas[[#This Row],[Total]]-Ventas[[#This Row],[Precio compra]]*Ventas[[#This Row],[Cantidad]]</f>
        <v>946</v>
      </c>
      <c r="J923" s="34"/>
      <c r="K923" s="34">
        <f>Ventas[[#This Row],[Total]]*Ventas[[#This Row],[Total 3]]</f>
        <v>0</v>
      </c>
      <c r="L923" s="34"/>
      <c r="M923" s="34"/>
    </row>
    <row r="924" spans="1:13" ht="21.75" customHeight="1">
      <c r="A924" s="16"/>
      <c r="B924" s="39" t="s">
        <v>707</v>
      </c>
      <c r="C924" s="35" t="str">
        <f>VLOOKUP(Ventas[[#This Row],[Codigo]],Stock[#Data],2,FALSE)</f>
        <v>Sedas OCB 1/4 Organic  Bamboo</v>
      </c>
      <c r="D924" s="37">
        <f>VLOOKUP(Ventas[[#This Row],[Codigo]],Stock[#Data],4,FALSE)</f>
        <v>300</v>
      </c>
      <c r="E924" s="33">
        <f>VLOOKUP(Ventas[[#This Row],[Codigo]],Stock[#Data],3,FALSE)</f>
        <v>165</v>
      </c>
      <c r="F924" s="38">
        <v>1</v>
      </c>
      <c r="G924">
        <v>77</v>
      </c>
      <c r="H924" s="36">
        <f>Ventas[[#This Row],[Precio Venta]]*Ventas[[#This Row],[Cantidad]]-Ventas[[#This Row],[Descuento]]</f>
        <v>300</v>
      </c>
      <c r="I924" s="34">
        <f>Ventas[[#This Row],[Total]]-Ventas[[#This Row],[Precio compra]]*Ventas[[#This Row],[Cantidad]]</f>
        <v>135</v>
      </c>
      <c r="J924" s="34"/>
      <c r="K924" s="34">
        <f>Ventas[[#This Row],[Total]]*Ventas[[#This Row],[Total 3]]</f>
        <v>0</v>
      </c>
      <c r="L924" s="34"/>
      <c r="M924" s="34"/>
    </row>
    <row r="925" spans="1:13" ht="21.75" customHeight="1">
      <c r="A925" s="16"/>
      <c r="B925" s="39" t="s">
        <v>707</v>
      </c>
      <c r="C925" s="35" t="str">
        <f>VLOOKUP(Ventas[[#This Row],[Codigo]],Stock[#Data],2,FALSE)</f>
        <v xml:space="preserve">filtros gizhe slim 6mm </v>
      </c>
      <c r="D925" s="37">
        <f>VLOOKUP(Ventas[[#This Row],[Codigo]],Stock[#Data],4,FALSE)</f>
        <v>350</v>
      </c>
      <c r="E925" s="33">
        <f>VLOOKUP(Ventas[[#This Row],[Codigo]],Stock[#Data],3,FALSE)</f>
        <v>175</v>
      </c>
      <c r="F925" s="38">
        <v>1</v>
      </c>
      <c r="G925">
        <v>361</v>
      </c>
      <c r="H925" s="36">
        <f>Ventas[[#This Row],[Precio Venta]]*Ventas[[#This Row],[Cantidad]]-Ventas[[#This Row],[Descuento]]</f>
        <v>350</v>
      </c>
      <c r="I925" s="34">
        <f>Ventas[[#This Row],[Total]]-Ventas[[#This Row],[Precio compra]]*Ventas[[#This Row],[Cantidad]]</f>
        <v>175</v>
      </c>
      <c r="J925" s="34"/>
      <c r="K925" s="34">
        <f>Ventas[[#This Row],[Total]]*Ventas[[#This Row],[Total 3]]</f>
        <v>0</v>
      </c>
      <c r="L925" s="34"/>
      <c r="M925" s="34"/>
    </row>
    <row r="926" spans="1:13" ht="21.75" customHeight="1">
      <c r="A926" s="16"/>
      <c r="B926" s="39" t="s">
        <v>707</v>
      </c>
      <c r="C926" s="35" t="str">
        <f>VLOOKUP(Ventas[[#This Row],[Codigo]],Stock[#Data],2,FALSE)</f>
        <v>Tabaco Van Kiff Natural</v>
      </c>
      <c r="D926" s="37">
        <f>VLOOKUP(Ventas[[#This Row],[Codigo]],Stock[#Data],4,FALSE)</f>
        <v>850</v>
      </c>
      <c r="E926" s="33">
        <f>VLOOKUP(Ventas[[#This Row],[Codigo]],Stock[#Data],3,FALSE)</f>
        <v>580</v>
      </c>
      <c r="F926" s="38">
        <v>1</v>
      </c>
      <c r="G926">
        <v>117</v>
      </c>
      <c r="H926" s="36">
        <f>Ventas[[#This Row],[Precio Venta]]*Ventas[[#This Row],[Cantidad]]-Ventas[[#This Row],[Descuento]]</f>
        <v>850</v>
      </c>
      <c r="I926" s="34">
        <f>Ventas[[#This Row],[Total]]-Ventas[[#This Row],[Precio compra]]*Ventas[[#This Row],[Cantidad]]</f>
        <v>270</v>
      </c>
      <c r="J926" s="34"/>
      <c r="K926" s="34">
        <f>Ventas[[#This Row],[Total]]*Ventas[[#This Row],[Total 3]]</f>
        <v>0</v>
      </c>
      <c r="L926" s="34"/>
      <c r="M926" s="34"/>
    </row>
    <row r="927" spans="1:13" ht="21.75" customHeight="1">
      <c r="A927" s="16"/>
      <c r="B927" s="39" t="s">
        <v>707</v>
      </c>
      <c r="C927" s="35" t="str">
        <f>VLOOKUP(Ventas[[#This Row],[Codigo]],Stock[#Data],2,FALSE)</f>
        <v xml:space="preserve">Sedas 3 Rayos Celulosa </v>
      </c>
      <c r="D927" s="37">
        <f>VLOOKUP(Ventas[[#This Row],[Codigo]],Stock[#Data],4,FALSE)</f>
        <v>400</v>
      </c>
      <c r="E927" s="33">
        <f>VLOOKUP(Ventas[[#This Row],[Codigo]],Stock[#Data],3,FALSE)</f>
        <v>211</v>
      </c>
      <c r="F927" s="38">
        <v>1</v>
      </c>
      <c r="G927">
        <v>310</v>
      </c>
      <c r="H927" s="36">
        <f>Ventas[[#This Row],[Precio Venta]]*Ventas[[#This Row],[Cantidad]]-Ventas[[#This Row],[Descuento]]</f>
        <v>400</v>
      </c>
      <c r="I927" s="34">
        <f>Ventas[[#This Row],[Total]]-Ventas[[#This Row],[Precio compra]]*Ventas[[#This Row],[Cantidad]]</f>
        <v>189</v>
      </c>
      <c r="J927" s="34"/>
      <c r="K927" s="34">
        <f>Ventas[[#This Row],[Total]]*Ventas[[#This Row],[Total 3]]</f>
        <v>0</v>
      </c>
      <c r="L927" s="34"/>
      <c r="M927" s="34"/>
    </row>
    <row r="928" spans="1:13" ht="21.75" customHeight="1">
      <c r="A928" s="16"/>
      <c r="B928" s="39" t="s">
        <v>707</v>
      </c>
      <c r="C928" s="35" t="str">
        <f>VLOOKUP(Ventas[[#This Row],[Codigo]],Stock[#Data],2,FALSE)</f>
        <v>Sustrato Perlita</v>
      </c>
      <c r="D928" s="37">
        <f>VLOOKUP(Ventas[[#This Row],[Codigo]],Stock[#Data],4,FALSE)</f>
        <v>800</v>
      </c>
      <c r="E928" s="33">
        <f>VLOOKUP(Ventas[[#This Row],[Codigo]],Stock[#Data],3,FALSE)</f>
        <v>400</v>
      </c>
      <c r="F928" s="38">
        <v>15</v>
      </c>
      <c r="G928">
        <v>52</v>
      </c>
      <c r="H928" s="36">
        <f>Ventas[[#This Row],[Precio Venta]]*Ventas[[#This Row],[Cantidad]]-Ventas[[#This Row],[Descuento]]</f>
        <v>12000</v>
      </c>
      <c r="I928" s="34">
        <f>Ventas[[#This Row],[Total]]-Ventas[[#This Row],[Precio compra]]*Ventas[[#This Row],[Cantidad]]</f>
        <v>6000</v>
      </c>
      <c r="J928" s="34"/>
      <c r="K928" s="34">
        <f>Ventas[[#This Row],[Total]]*Ventas[[#This Row],[Total 3]]</f>
        <v>0</v>
      </c>
      <c r="L928" s="34"/>
      <c r="M928" s="34"/>
    </row>
    <row r="929" spans="1:13" ht="21.75" customHeight="1">
      <c r="A929" s="16"/>
      <c r="B929" s="39" t="s">
        <v>707</v>
      </c>
      <c r="C929" s="35" t="str">
        <f>VLOOKUP(Ventas[[#This Row],[Codigo]],Stock[#Data],2,FALSE)</f>
        <v>4 en 1 250ml Green Leaf Insumos</v>
      </c>
      <c r="D929" s="37">
        <f>VLOOKUP(Ventas[[#This Row],[Codigo]],Stock[#Data],4,FALSE)</f>
        <v>2300</v>
      </c>
      <c r="E929" s="33">
        <f>VLOOKUP(Ventas[[#This Row],[Codigo]],Stock[#Data],3,FALSE)</f>
        <v>1179</v>
      </c>
      <c r="F929" s="38">
        <v>1</v>
      </c>
      <c r="G929">
        <v>576</v>
      </c>
      <c r="H929" s="36">
        <f>Ventas[[#This Row],[Precio Venta]]*Ventas[[#This Row],[Cantidad]]-Ventas[[#This Row],[Descuento]]</f>
        <v>2300</v>
      </c>
      <c r="I929" s="34">
        <f>Ventas[[#This Row],[Total]]-Ventas[[#This Row],[Precio compra]]*Ventas[[#This Row],[Cantidad]]</f>
        <v>1121</v>
      </c>
      <c r="J929" s="34"/>
      <c r="K929" s="34">
        <f>Ventas[[#This Row],[Total]]*Ventas[[#This Row],[Total 3]]</f>
        <v>0</v>
      </c>
      <c r="L929" s="34"/>
      <c r="M929" s="34"/>
    </row>
    <row r="930" spans="1:13" ht="21.75" customHeight="1">
      <c r="A930" s="16"/>
      <c r="B930" s="39" t="s">
        <v>707</v>
      </c>
      <c r="C930" s="35" t="str">
        <f>VLOOKUP(Ventas[[#This Row],[Codigo]],Stock[#Data],2,FALSE)</f>
        <v>VAMP Arcilla Volcanica</v>
      </c>
      <c r="D930" s="37">
        <f>VLOOKUP(Ventas[[#This Row],[Codigo]],Stock[#Data],4,FALSE)</f>
        <v>900</v>
      </c>
      <c r="E930" s="33">
        <f>VLOOKUP(Ventas[[#This Row],[Codigo]],Stock[#Data],3,FALSE)</f>
        <v>458</v>
      </c>
      <c r="F930" s="38">
        <v>1</v>
      </c>
      <c r="G930">
        <v>43</v>
      </c>
      <c r="H930" s="36">
        <f>Ventas[[#This Row],[Precio Venta]]*Ventas[[#This Row],[Cantidad]]-Ventas[[#This Row],[Descuento]]</f>
        <v>900</v>
      </c>
      <c r="I930" s="34">
        <f>Ventas[[#This Row],[Total]]-Ventas[[#This Row],[Precio compra]]*Ventas[[#This Row],[Cantidad]]</f>
        <v>442</v>
      </c>
      <c r="J930" s="34"/>
      <c r="K930" s="34">
        <f>Ventas[[#This Row],[Total]]*Ventas[[#This Row],[Total 3]]</f>
        <v>0</v>
      </c>
      <c r="L930" s="34"/>
      <c r="M930" s="34"/>
    </row>
    <row r="931" spans="1:13" ht="21.75" customHeight="1">
      <c r="A931" s="16"/>
      <c r="B931" s="39" t="s">
        <v>707</v>
      </c>
      <c r="C931" s="35" t="str">
        <f>VLOOKUP(Ventas[[#This Row],[Codigo]],Stock[#Data],2,FALSE)</f>
        <v>CropSecret 250ml Automatic Crop</v>
      </c>
      <c r="D931" s="37">
        <f>VLOOKUP(Ventas[[#This Row],[Codigo]],Stock[#Data],4,FALSE)</f>
        <v>2000</v>
      </c>
      <c r="E931" s="33">
        <f>VLOOKUP(Ventas[[#This Row],[Codigo]],Stock[#Data],3,FALSE)</f>
        <v>1094</v>
      </c>
      <c r="F931" s="38">
        <v>1</v>
      </c>
      <c r="G931">
        <v>3</v>
      </c>
      <c r="H931" s="36">
        <f>Ventas[[#This Row],[Precio Venta]]*Ventas[[#This Row],[Cantidad]]-Ventas[[#This Row],[Descuento]]</f>
        <v>2000</v>
      </c>
      <c r="I931" s="34">
        <f>Ventas[[#This Row],[Total]]-Ventas[[#This Row],[Precio compra]]*Ventas[[#This Row],[Cantidad]]</f>
        <v>906</v>
      </c>
      <c r="J931" s="34"/>
      <c r="K931" s="34">
        <f>Ventas[[#This Row],[Total]]*Ventas[[#This Row],[Total 3]]</f>
        <v>0</v>
      </c>
      <c r="L931" s="34"/>
      <c r="M931" s="34"/>
    </row>
    <row r="932" spans="1:13" ht="21.75" customHeight="1">
      <c r="A932" s="16"/>
      <c r="B932" s="39" t="s">
        <v>676</v>
      </c>
      <c r="C932" s="35" t="str">
        <f>VLOOKUP(Ventas[[#This Row],[Codigo]],Stock[#Data],2,FALSE)</f>
        <v xml:space="preserve">Clipper Raw </v>
      </c>
      <c r="D932" s="37">
        <f>VLOOKUP(Ventas[[#This Row],[Codigo]],Stock[#Data],4,FALSE)</f>
        <v>550</v>
      </c>
      <c r="E932" s="33">
        <f>VLOOKUP(Ventas[[#This Row],[Codigo]],Stock[#Data],3,FALSE)</f>
        <v>276</v>
      </c>
      <c r="F932" s="38">
        <v>1</v>
      </c>
      <c r="G932">
        <v>502</v>
      </c>
      <c r="H932" s="36">
        <f>Ventas[[#This Row],[Precio Venta]]*Ventas[[#This Row],[Cantidad]]-Ventas[[#This Row],[Descuento]]</f>
        <v>550</v>
      </c>
      <c r="I932" s="34">
        <f>Ventas[[#This Row],[Total]]-Ventas[[#This Row],[Precio compra]]*Ventas[[#This Row],[Cantidad]]</f>
        <v>274</v>
      </c>
      <c r="J932" s="34"/>
      <c r="K932" s="34">
        <f>Ventas[[#This Row],[Total]]*Ventas[[#This Row],[Total 3]]</f>
        <v>0</v>
      </c>
      <c r="L932" s="34"/>
      <c r="M932" s="34"/>
    </row>
    <row r="933" spans="1:13" ht="21.75" customHeight="1">
      <c r="A933" s="16"/>
      <c r="B933" s="39" t="s">
        <v>676</v>
      </c>
      <c r="C933" s="35" t="str">
        <f>VLOOKUP(Ventas[[#This Row],[Codigo]],Stock[#Data],2,FALSE)</f>
        <v xml:space="preserve">Filtros Gizhe + Sedas </v>
      </c>
      <c r="D933" s="37">
        <f>VLOOKUP(Ventas[[#This Row],[Codigo]],Stock[#Data],4,FALSE)</f>
        <v>350</v>
      </c>
      <c r="E933" s="33">
        <f>VLOOKUP(Ventas[[#This Row],[Codigo]],Stock[#Data],3,FALSE)</f>
        <v>150</v>
      </c>
      <c r="F933" s="38">
        <v>1</v>
      </c>
      <c r="G933">
        <v>476</v>
      </c>
      <c r="H933" s="36">
        <f>Ventas[[#This Row],[Precio Venta]]*Ventas[[#This Row],[Cantidad]]-Ventas[[#This Row],[Descuento]]</f>
        <v>350</v>
      </c>
      <c r="I933" s="34">
        <f>Ventas[[#This Row],[Total]]-Ventas[[#This Row],[Precio compra]]*Ventas[[#This Row],[Cantidad]]</f>
        <v>200</v>
      </c>
      <c r="J933" s="34"/>
      <c r="K933" s="34">
        <f>Ventas[[#This Row],[Total]]*Ventas[[#This Row],[Total 3]]</f>
        <v>0</v>
      </c>
      <c r="L933" s="34"/>
      <c r="M933" s="34"/>
    </row>
    <row r="934" spans="1:13" ht="21.75" customHeight="1">
      <c r="A934" s="16"/>
      <c r="B934" s="39" t="s">
        <v>676</v>
      </c>
      <c r="C934" s="35" t="str">
        <f>VLOOKUP(Ventas[[#This Row],[Codigo]],Stock[#Data],2,FALSE)</f>
        <v>Tabaco Van Kiff Vainilla</v>
      </c>
      <c r="D934" s="37">
        <f>VLOOKUP(Ventas[[#This Row],[Codigo]],Stock[#Data],4,FALSE)</f>
        <v>850</v>
      </c>
      <c r="E934" s="33">
        <f>VLOOKUP(Ventas[[#This Row],[Codigo]],Stock[#Data],3,FALSE)</f>
        <v>580</v>
      </c>
      <c r="F934" s="38">
        <v>2</v>
      </c>
      <c r="G934">
        <v>120</v>
      </c>
      <c r="H934" s="36">
        <f>Ventas[[#This Row],[Precio Venta]]*Ventas[[#This Row],[Cantidad]]-Ventas[[#This Row],[Descuento]]</f>
        <v>1700</v>
      </c>
      <c r="I934" s="34">
        <f>Ventas[[#This Row],[Total]]-Ventas[[#This Row],[Precio compra]]*Ventas[[#This Row],[Cantidad]]</f>
        <v>540</v>
      </c>
      <c r="J934" s="34"/>
      <c r="K934" s="34">
        <f>Ventas[[#This Row],[Total]]*Ventas[[#This Row],[Total 3]]</f>
        <v>0</v>
      </c>
      <c r="L934" s="34"/>
      <c r="M934" s="34"/>
    </row>
    <row r="935" spans="1:13" ht="21.75" customHeight="1">
      <c r="A935" s="16"/>
      <c r="B935" s="39" t="s">
        <v>676</v>
      </c>
      <c r="C935" s="35" t="str">
        <f>VLOOKUP(Ventas[[#This Row],[Codigo]],Stock[#Data],2,FALSE)</f>
        <v>CropSecret Kit Automáticas</v>
      </c>
      <c r="D935" s="37">
        <f>VLOOKUP(Ventas[[#This Row],[Codigo]],Stock[#Data],4,FALSE)</f>
        <v>3500</v>
      </c>
      <c r="E935" s="33">
        <f>VLOOKUP(Ventas[[#This Row],[Codigo]],Stock[#Data],3,FALSE)</f>
        <v>1759</v>
      </c>
      <c r="F935" s="38">
        <v>2</v>
      </c>
      <c r="G935">
        <v>7</v>
      </c>
      <c r="H935" s="36">
        <f>Ventas[[#This Row],[Precio Venta]]*Ventas[[#This Row],[Cantidad]]-Ventas[[#This Row],[Descuento]]</f>
        <v>7000</v>
      </c>
      <c r="I935" s="34">
        <f>Ventas[[#This Row],[Total]]-Ventas[[#This Row],[Precio compra]]*Ventas[[#This Row],[Cantidad]]</f>
        <v>3482</v>
      </c>
      <c r="J935" s="34"/>
      <c r="K935" s="34">
        <f>Ventas[[#This Row],[Total]]*Ventas[[#This Row],[Total 3]]</f>
        <v>0</v>
      </c>
      <c r="L935" s="34"/>
      <c r="M935" s="34"/>
    </row>
    <row r="936" spans="1:13" ht="21.75" customHeight="1">
      <c r="A936" s="16"/>
      <c r="B936" s="39" t="s">
        <v>676</v>
      </c>
      <c r="C936" s="35" t="str">
        <f>VLOOKUP(Ventas[[#This Row],[Codigo]],Stock[#Data],2,FALSE)</f>
        <v>gas butano clear 250cc</v>
      </c>
      <c r="D936" s="37">
        <f>VLOOKUP(Ventas[[#This Row],[Codigo]],Stock[#Data],4,FALSE)</f>
        <v>1000</v>
      </c>
      <c r="E936" s="33">
        <f>VLOOKUP(Ventas[[#This Row],[Codigo]],Stock[#Data],3,FALSE)</f>
        <v>425</v>
      </c>
      <c r="F936" s="38">
        <v>1</v>
      </c>
      <c r="G936">
        <v>358</v>
      </c>
      <c r="H936" s="36">
        <f>Ventas[[#This Row],[Precio Venta]]*Ventas[[#This Row],[Cantidad]]-Ventas[[#This Row],[Descuento]]</f>
        <v>1000</v>
      </c>
      <c r="I936" s="34">
        <f>Ventas[[#This Row],[Total]]-Ventas[[#This Row],[Precio compra]]*Ventas[[#This Row],[Cantidad]]</f>
        <v>575</v>
      </c>
      <c r="J936" s="34"/>
      <c r="K936" s="34">
        <f>Ventas[[#This Row],[Total]]*Ventas[[#This Row],[Total 3]]</f>
        <v>0</v>
      </c>
      <c r="L936" s="34"/>
      <c r="M936" s="34"/>
    </row>
    <row r="937" spans="1:13" ht="21.75" customHeight="1">
      <c r="A937" s="16"/>
      <c r="B937" s="39" t="s">
        <v>676</v>
      </c>
      <c r="C937" s="35" t="str">
        <f>VLOOKUP(Ventas[[#This Row],[Codigo]],Stock[#Data],2,FALSE)</f>
        <v>Sustrato Perlita</v>
      </c>
      <c r="D937" s="37">
        <f>VLOOKUP(Ventas[[#This Row],[Codigo]],Stock[#Data],4,FALSE)</f>
        <v>800</v>
      </c>
      <c r="E937" s="33">
        <f>VLOOKUP(Ventas[[#This Row],[Codigo]],Stock[#Data],3,FALSE)</f>
        <v>400</v>
      </c>
      <c r="F937" s="38">
        <v>2</v>
      </c>
      <c r="G937">
        <v>52</v>
      </c>
      <c r="H937" s="36">
        <f>Ventas[[#This Row],[Precio Venta]]*Ventas[[#This Row],[Cantidad]]-Ventas[[#This Row],[Descuento]]</f>
        <v>1600</v>
      </c>
      <c r="I937" s="34">
        <f>Ventas[[#This Row],[Total]]-Ventas[[#This Row],[Precio compra]]*Ventas[[#This Row],[Cantidad]]</f>
        <v>800</v>
      </c>
      <c r="J937" s="34"/>
      <c r="K937" s="34">
        <f>Ventas[[#This Row],[Total]]*Ventas[[#This Row],[Total 3]]</f>
        <v>0</v>
      </c>
      <c r="L937" s="34"/>
      <c r="M937" s="34"/>
    </row>
    <row r="938" spans="1:13" ht="21.75" customHeight="1">
      <c r="A938" s="16"/>
      <c r="B938" s="39" t="s">
        <v>698</v>
      </c>
      <c r="C938" s="35" t="str">
        <f>VLOOKUP(Ventas[[#This Row],[Codigo]],Stock[#Data],2,FALSE)</f>
        <v xml:space="preserve">Sedas GIZEH 1/4 +tips </v>
      </c>
      <c r="D938" s="37">
        <f>VLOOKUP(Ventas[[#This Row],[Codigo]],Stock[#Data],4,FALSE)</f>
        <v>600</v>
      </c>
      <c r="E938" s="33">
        <f>VLOOKUP(Ventas[[#This Row],[Codigo]],Stock[#Data],3,FALSE)</f>
        <v>310</v>
      </c>
      <c r="F938" s="38">
        <v>1</v>
      </c>
      <c r="G938">
        <v>87</v>
      </c>
      <c r="H938" s="36">
        <f>Ventas[[#This Row],[Precio Venta]]*Ventas[[#This Row],[Cantidad]]-Ventas[[#This Row],[Descuento]]</f>
        <v>600</v>
      </c>
      <c r="I938" s="34">
        <f>Ventas[[#This Row],[Total]]-Ventas[[#This Row],[Precio compra]]*Ventas[[#This Row],[Cantidad]]</f>
        <v>290</v>
      </c>
      <c r="J938" s="34"/>
      <c r="K938" s="34">
        <f>Ventas[[#This Row],[Total]]*Ventas[[#This Row],[Total 3]]</f>
        <v>0</v>
      </c>
      <c r="L938" s="34"/>
      <c r="M938" s="34"/>
    </row>
    <row r="939" spans="1:13" ht="21.75" customHeight="1">
      <c r="A939" s="16"/>
      <c r="B939" s="39" t="s">
        <v>698</v>
      </c>
      <c r="C939" s="35" t="str">
        <f>VLOOKUP(Ventas[[#This Row],[Codigo]],Stock[#Data],2,FALSE)</f>
        <v>Cerveza 420</v>
      </c>
      <c r="D939" s="37">
        <f>VLOOKUP(Ventas[[#This Row],[Codigo]],Stock[#Data],4,FALSE)</f>
        <v>700</v>
      </c>
      <c r="E939" s="33">
        <f>VLOOKUP(Ventas[[#This Row],[Codigo]],Stock[#Data],3,FALSE)</f>
        <v>350</v>
      </c>
      <c r="F939" s="38">
        <v>1</v>
      </c>
      <c r="G939">
        <v>560</v>
      </c>
      <c r="H939" s="36">
        <f>Ventas[[#This Row],[Precio Venta]]*Ventas[[#This Row],[Cantidad]]-Ventas[[#This Row],[Descuento]]</f>
        <v>700</v>
      </c>
      <c r="I939" s="34">
        <f>Ventas[[#This Row],[Total]]-Ventas[[#This Row],[Precio compra]]*Ventas[[#This Row],[Cantidad]]</f>
        <v>350</v>
      </c>
      <c r="J939" s="34"/>
      <c r="K939" s="34">
        <f>Ventas[[#This Row],[Total]]*Ventas[[#This Row],[Total 3]]</f>
        <v>0</v>
      </c>
      <c r="L939" s="34"/>
      <c r="M939" s="34"/>
    </row>
    <row r="940" spans="1:13" ht="21.75" customHeight="1">
      <c r="A940" s="16"/>
      <c r="B940" s="39" t="s">
        <v>698</v>
      </c>
      <c r="C940" s="35" t="str">
        <f>VLOOKUP(Ventas[[#This Row],[Codigo]],Stock[#Data],2,FALSE)</f>
        <v>Sauver 1/4</v>
      </c>
      <c r="D940" s="37">
        <f>VLOOKUP(Ventas[[#This Row],[Codigo]],Stock[#Data],4,FALSE)</f>
        <v>200</v>
      </c>
      <c r="E940" s="33">
        <f>VLOOKUP(Ventas[[#This Row],[Codigo]],Stock[#Data],3,FALSE)</f>
        <v>75</v>
      </c>
      <c r="F940" s="38">
        <v>1</v>
      </c>
      <c r="G940">
        <v>149</v>
      </c>
      <c r="H940" s="36">
        <f>Ventas[[#This Row],[Precio Venta]]*Ventas[[#This Row],[Cantidad]]-Ventas[[#This Row],[Descuento]]</f>
        <v>200</v>
      </c>
      <c r="I940" s="34">
        <f>Ventas[[#This Row],[Total]]-Ventas[[#This Row],[Precio compra]]*Ventas[[#This Row],[Cantidad]]</f>
        <v>125</v>
      </c>
      <c r="J940" s="34"/>
      <c r="K940" s="34">
        <f>Ventas[[#This Row],[Total]]*Ventas[[#This Row],[Total 3]]</f>
        <v>0</v>
      </c>
      <c r="L940" s="34"/>
      <c r="M940" s="34"/>
    </row>
    <row r="941" spans="1:13" ht="21.75" customHeight="1">
      <c r="A941" s="16"/>
      <c r="B941" s="39" t="s">
        <v>698</v>
      </c>
      <c r="C941" s="35" t="str">
        <f>VLOOKUP(Ventas[[#This Row],[Codigo]],Stock[#Data],2,FALSE)</f>
        <v>VAMP Guano de murcielago Flora</v>
      </c>
      <c r="D941" s="37">
        <f>VLOOKUP(Ventas[[#This Row],[Codigo]],Stock[#Data],4,FALSE)</f>
        <v>1000</v>
      </c>
      <c r="E941" s="33">
        <f>VLOOKUP(Ventas[[#This Row],[Codigo]],Stock[#Data],3,FALSE)</f>
        <v>510</v>
      </c>
      <c r="F941" s="38">
        <v>1</v>
      </c>
      <c r="G941">
        <v>38</v>
      </c>
      <c r="H941" s="36">
        <f>Ventas[[#This Row],[Precio Venta]]*Ventas[[#This Row],[Cantidad]]-Ventas[[#This Row],[Descuento]]</f>
        <v>1000</v>
      </c>
      <c r="I941" s="34">
        <f>Ventas[[#This Row],[Total]]-Ventas[[#This Row],[Precio compra]]*Ventas[[#This Row],[Cantidad]]</f>
        <v>490</v>
      </c>
      <c r="J941" s="34"/>
      <c r="K941" s="34">
        <f>Ventas[[#This Row],[Total]]*Ventas[[#This Row],[Total 3]]</f>
        <v>0</v>
      </c>
      <c r="L941" s="34"/>
      <c r="M941" s="34"/>
    </row>
    <row r="942" spans="1:13" ht="21.75" customHeight="1">
      <c r="A942" s="16"/>
      <c r="B942" s="39" t="s">
        <v>698</v>
      </c>
      <c r="C942" s="35" t="str">
        <f>VLOOKUP(Ventas[[#This Row],[Codigo]],Stock[#Data],2,FALSE)</f>
        <v>Maca Brew 500cc</v>
      </c>
      <c r="D942" s="37">
        <f>VLOOKUP(Ventas[[#This Row],[Codigo]],Stock[#Data],4,FALSE)</f>
        <v>1000</v>
      </c>
      <c r="E942" s="33">
        <f>VLOOKUP(Ventas[[#This Row],[Codigo]],Stock[#Data],3,FALSE)</f>
        <v>470</v>
      </c>
      <c r="F942" s="38">
        <v>1</v>
      </c>
      <c r="G942">
        <v>12</v>
      </c>
      <c r="H942" s="36">
        <f>Ventas[[#This Row],[Precio Venta]]*Ventas[[#This Row],[Cantidad]]-Ventas[[#This Row],[Descuento]]</f>
        <v>1000</v>
      </c>
      <c r="I942" s="34">
        <f>Ventas[[#This Row],[Total]]-Ventas[[#This Row],[Precio compra]]*Ventas[[#This Row],[Cantidad]]</f>
        <v>530</v>
      </c>
      <c r="J942" s="34"/>
      <c r="K942" s="34">
        <f>Ventas[[#This Row],[Total]]*Ventas[[#This Row],[Total 3]]</f>
        <v>0</v>
      </c>
      <c r="L942" s="34"/>
      <c r="M942" s="34"/>
    </row>
    <row r="943" spans="1:13" ht="21.75" customHeight="1">
      <c r="A943" s="16"/>
      <c r="B943" s="39" t="s">
        <v>698</v>
      </c>
      <c r="C943" s="35" t="str">
        <f>VLOOKUP(Ventas[[#This Row],[Codigo]],Stock[#Data],2,FALSE)</f>
        <v>VAMP Supermelaza</v>
      </c>
      <c r="D943" s="37">
        <f>VLOOKUP(Ventas[[#This Row],[Codigo]],Stock[#Data],4,FALSE)</f>
        <v>1800</v>
      </c>
      <c r="E943" s="33">
        <f>VLOOKUP(Ventas[[#This Row],[Codigo]],Stock[#Data],3,FALSE)</f>
        <v>908</v>
      </c>
      <c r="F943" s="38">
        <v>1</v>
      </c>
      <c r="G943">
        <v>36</v>
      </c>
      <c r="H943" s="36">
        <f>Ventas[[#This Row],[Precio Venta]]*Ventas[[#This Row],[Cantidad]]-Ventas[[#This Row],[Descuento]]</f>
        <v>1800</v>
      </c>
      <c r="I943" s="34">
        <f>Ventas[[#This Row],[Total]]-Ventas[[#This Row],[Precio compra]]*Ventas[[#This Row],[Cantidad]]</f>
        <v>892</v>
      </c>
      <c r="J943" s="34"/>
      <c r="K943" s="34">
        <f>Ventas[[#This Row],[Total]]*Ventas[[#This Row],[Total 3]]</f>
        <v>0</v>
      </c>
      <c r="L943" s="34"/>
      <c r="M943" s="34"/>
    </row>
    <row r="944" spans="1:13" ht="21.75" customHeight="1">
      <c r="A944" s="16"/>
      <c r="B944" s="39" t="s">
        <v>698</v>
      </c>
      <c r="C944" s="35" t="str">
        <f>VLOOKUP(Ventas[[#This Row],[Codigo]],Stock[#Data],2,FALSE)</f>
        <v>Tips STAMPS ECO</v>
      </c>
      <c r="D944" s="37">
        <f>VLOOKUP(Ventas[[#This Row],[Codigo]],Stock[#Data],4,FALSE)</f>
        <v>150</v>
      </c>
      <c r="E944" s="33">
        <f>VLOOKUP(Ventas[[#This Row],[Codigo]],Stock[#Data],3,FALSE)</f>
        <v>73</v>
      </c>
      <c r="F944" s="38">
        <v>2</v>
      </c>
      <c r="G944">
        <v>308</v>
      </c>
      <c r="H944" s="36">
        <f>Ventas[[#This Row],[Precio Venta]]*Ventas[[#This Row],[Cantidad]]-Ventas[[#This Row],[Descuento]]</f>
        <v>300</v>
      </c>
      <c r="I944" s="34">
        <f>Ventas[[#This Row],[Total]]-Ventas[[#This Row],[Precio compra]]*Ventas[[#This Row],[Cantidad]]</f>
        <v>154</v>
      </c>
      <c r="J944" s="34"/>
      <c r="K944" s="34">
        <f>Ventas[[#This Row],[Total]]*Ventas[[#This Row],[Total 3]]</f>
        <v>0</v>
      </c>
      <c r="L944" s="34"/>
      <c r="M944" s="34"/>
    </row>
    <row r="945" spans="1:13" ht="21.75" customHeight="1">
      <c r="A945" s="16"/>
      <c r="B945" s="39" t="s">
        <v>698</v>
      </c>
      <c r="C945" s="35" t="str">
        <f>VLOOKUP(Ventas[[#This Row],[Codigo]],Stock[#Data],2,FALSE)</f>
        <v>Sedas OCB 1/4 Organic  Bamboo</v>
      </c>
      <c r="D945" s="37">
        <f>VLOOKUP(Ventas[[#This Row],[Codigo]],Stock[#Data],4,FALSE)</f>
        <v>300</v>
      </c>
      <c r="E945" s="33">
        <f>VLOOKUP(Ventas[[#This Row],[Codigo]],Stock[#Data],3,FALSE)</f>
        <v>165</v>
      </c>
      <c r="F945" s="38">
        <v>1</v>
      </c>
      <c r="G945">
        <v>77</v>
      </c>
      <c r="H945" s="36">
        <f>Ventas[[#This Row],[Precio Venta]]*Ventas[[#This Row],[Cantidad]]-Ventas[[#This Row],[Descuento]]</f>
        <v>300</v>
      </c>
      <c r="I945" s="34">
        <f>Ventas[[#This Row],[Total]]-Ventas[[#This Row],[Precio compra]]*Ventas[[#This Row],[Cantidad]]</f>
        <v>135</v>
      </c>
      <c r="J945" s="34"/>
      <c r="K945" s="34">
        <f>Ventas[[#This Row],[Total]]*Ventas[[#This Row],[Total 3]]</f>
        <v>0</v>
      </c>
      <c r="L945" s="34"/>
      <c r="M945" s="34"/>
    </row>
    <row r="946" spans="1:13" ht="21.75" customHeight="1">
      <c r="A946" s="16"/>
      <c r="B946" s="39" t="s">
        <v>698</v>
      </c>
      <c r="C946" s="35" t="str">
        <f>VLOOKUP(Ventas[[#This Row],[Codigo]],Stock[#Data],2,FALSE)</f>
        <v>Sustrato Perlita</v>
      </c>
      <c r="D946" s="37">
        <f>VLOOKUP(Ventas[[#This Row],[Codigo]],Stock[#Data],4,FALSE)</f>
        <v>800</v>
      </c>
      <c r="E946" s="33">
        <f>VLOOKUP(Ventas[[#This Row],[Codigo]],Stock[#Data],3,FALSE)</f>
        <v>400</v>
      </c>
      <c r="F946" s="38">
        <v>7</v>
      </c>
      <c r="G946">
        <v>52</v>
      </c>
      <c r="H946" s="36">
        <f>Ventas[[#This Row],[Precio Venta]]*Ventas[[#This Row],[Cantidad]]-Ventas[[#This Row],[Descuento]]</f>
        <v>5600</v>
      </c>
      <c r="I946" s="34">
        <f>Ventas[[#This Row],[Total]]-Ventas[[#This Row],[Precio compra]]*Ventas[[#This Row],[Cantidad]]</f>
        <v>2800</v>
      </c>
      <c r="J946" s="34"/>
      <c r="K946" s="34">
        <f>Ventas[[#This Row],[Total]]*Ventas[[#This Row],[Total 3]]</f>
        <v>0</v>
      </c>
      <c r="L946" s="34"/>
      <c r="M946" s="34"/>
    </row>
    <row r="947" spans="1:13" ht="21.75" customHeight="1">
      <c r="A947" s="16"/>
      <c r="B947" s="39" t="s">
        <v>698</v>
      </c>
      <c r="C947" s="35" t="str">
        <f>VLOOKUP(Ventas[[#This Row],[Codigo]],Stock[#Data],2,FALSE)</f>
        <v>VAMP hechizo BLOOM</v>
      </c>
      <c r="D947" s="37">
        <f>VLOOKUP(Ventas[[#This Row],[Codigo]],Stock[#Data],4,FALSE)</f>
        <v>1200</v>
      </c>
      <c r="E947" s="33">
        <f>VLOOKUP(Ventas[[#This Row],[Codigo]],Stock[#Data],3,FALSE)</f>
        <v>600</v>
      </c>
      <c r="F947" s="38">
        <v>1</v>
      </c>
      <c r="G947">
        <v>40</v>
      </c>
      <c r="H947" s="36">
        <f>Ventas[[#This Row],[Precio Venta]]*Ventas[[#This Row],[Cantidad]]-Ventas[[#This Row],[Descuento]]</f>
        <v>1200</v>
      </c>
      <c r="I947" s="34">
        <f>Ventas[[#This Row],[Total]]-Ventas[[#This Row],[Precio compra]]*Ventas[[#This Row],[Cantidad]]</f>
        <v>600</v>
      </c>
      <c r="J947" s="34"/>
      <c r="K947" s="34">
        <f>Ventas[[#This Row],[Total]]*Ventas[[#This Row],[Total 3]]</f>
        <v>0</v>
      </c>
      <c r="L947" s="34"/>
      <c r="M947" s="34"/>
    </row>
    <row r="948" spans="1:13" ht="21.75" customHeight="1">
      <c r="A948" s="16"/>
      <c r="B948" s="39" t="s">
        <v>676</v>
      </c>
      <c r="C948" s="35" t="str">
        <f>VLOOKUP(Ventas[[#This Row],[Codigo]],Stock[#Data],2,FALSE)</f>
        <v>Pipa Cerámica Rick &amp; Morty</v>
      </c>
      <c r="D948" s="37">
        <f>VLOOKUP(Ventas[[#This Row],[Codigo]],Stock[#Data],4,FALSE)</f>
        <v>2600</v>
      </c>
      <c r="E948" s="33">
        <f>VLOOKUP(Ventas[[#This Row],[Codigo]],Stock[#Data],3,FALSE)</f>
        <v>1299</v>
      </c>
      <c r="F948" s="38">
        <v>1</v>
      </c>
      <c r="G948">
        <v>535</v>
      </c>
      <c r="H948" s="36">
        <f>Ventas[[#This Row],[Precio Venta]]*Ventas[[#This Row],[Cantidad]]-Ventas[[#This Row],[Descuento]]</f>
        <v>2600</v>
      </c>
      <c r="I948" s="34">
        <f>Ventas[[#This Row],[Total]]-Ventas[[#This Row],[Precio compra]]*Ventas[[#This Row],[Cantidad]]</f>
        <v>1301</v>
      </c>
      <c r="J948" s="34"/>
      <c r="K948" s="34">
        <f>Ventas[[#This Row],[Total]]*Ventas[[#This Row],[Total 3]]</f>
        <v>0</v>
      </c>
      <c r="L948" s="34"/>
      <c r="M948" s="34"/>
    </row>
    <row r="949" spans="1:13" ht="21.75" customHeight="1">
      <c r="A949" s="16"/>
      <c r="B949" s="39" t="s">
        <v>676</v>
      </c>
      <c r="C949" s="35" t="str">
        <f>VLOOKUP(Ventas[[#This Row],[Codigo]],Stock[#Data],2,FALSE)</f>
        <v>VAMP hechizo BLOOM</v>
      </c>
      <c r="D949" s="37">
        <f>VLOOKUP(Ventas[[#This Row],[Codigo]],Stock[#Data],4,FALSE)</f>
        <v>1200</v>
      </c>
      <c r="E949" s="33">
        <f>VLOOKUP(Ventas[[#This Row],[Codigo]],Stock[#Data],3,FALSE)</f>
        <v>600</v>
      </c>
      <c r="F949" s="38">
        <v>1</v>
      </c>
      <c r="G949">
        <v>40</v>
      </c>
      <c r="H949" s="36">
        <f>Ventas[[#This Row],[Precio Venta]]*Ventas[[#This Row],[Cantidad]]-Ventas[[#This Row],[Descuento]]</f>
        <v>1200</v>
      </c>
      <c r="I949" s="34">
        <f>Ventas[[#This Row],[Total]]-Ventas[[#This Row],[Precio compra]]*Ventas[[#This Row],[Cantidad]]</f>
        <v>600</v>
      </c>
      <c r="J949" s="34"/>
      <c r="K949" s="34">
        <f>Ventas[[#This Row],[Total]]*Ventas[[#This Row],[Total 3]]</f>
        <v>0</v>
      </c>
      <c r="L949" s="34"/>
      <c r="M949" s="34"/>
    </row>
    <row r="950" spans="1:13" ht="21.75" customHeight="1">
      <c r="A950" s="16"/>
      <c r="B950" s="39" t="s">
        <v>698</v>
      </c>
      <c r="C950" s="35" t="str">
        <f>VLOOKUP(Ventas[[#This Row],[Codigo]],Stock[#Data],2,FALSE)</f>
        <v>Bandeja Keep it Fresh Chica c/tapa</v>
      </c>
      <c r="D950" s="37">
        <f>VLOOKUP(Ventas[[#This Row],[Codigo]],Stock[#Data],4,FALSE)</f>
        <v>3400</v>
      </c>
      <c r="E950" s="33">
        <f>VLOOKUP(Ventas[[#This Row],[Codigo]],Stock[#Data],3,FALSE)</f>
        <v>1685</v>
      </c>
      <c r="F950" s="38">
        <v>1</v>
      </c>
      <c r="G950">
        <v>567</v>
      </c>
      <c r="H950" s="36">
        <f>Ventas[[#This Row],[Precio Venta]]*Ventas[[#This Row],[Cantidad]]-Ventas[[#This Row],[Descuento]]</f>
        <v>3400</v>
      </c>
      <c r="I950" s="34">
        <f>Ventas[[#This Row],[Total]]-Ventas[[#This Row],[Precio compra]]*Ventas[[#This Row],[Cantidad]]</f>
        <v>1715</v>
      </c>
      <c r="J950" s="34"/>
      <c r="K950" s="34">
        <f>Ventas[[#This Row],[Total]]*Ventas[[#This Row],[Total 3]]</f>
        <v>0</v>
      </c>
      <c r="L950" s="34"/>
      <c r="M950" s="34"/>
    </row>
    <row r="951" spans="1:13" ht="21.75" customHeight="1">
      <c r="A951" s="16"/>
      <c r="B951" s="39" t="s">
        <v>698</v>
      </c>
      <c r="C951" s="35" t="str">
        <f>VLOOKUP(Ventas[[#This Row],[Codigo]],Stock[#Data],2,FALSE)</f>
        <v>Lata Redonda Chica RAW</v>
      </c>
      <c r="D951" s="37">
        <f>VLOOKUP(Ventas[[#This Row],[Codigo]],Stock[#Data],4,FALSE)</f>
        <v>900</v>
      </c>
      <c r="E951" s="33">
        <f>VLOOKUP(Ventas[[#This Row],[Codigo]],Stock[#Data],3,FALSE)</f>
        <v>450</v>
      </c>
      <c r="F951" s="38">
        <v>1</v>
      </c>
      <c r="G951">
        <v>553</v>
      </c>
      <c r="H951" s="36">
        <f>Ventas[[#This Row],[Precio Venta]]*Ventas[[#This Row],[Cantidad]]-Ventas[[#This Row],[Descuento]]</f>
        <v>900</v>
      </c>
      <c r="I951" s="34">
        <f>Ventas[[#This Row],[Total]]-Ventas[[#This Row],[Precio compra]]*Ventas[[#This Row],[Cantidad]]</f>
        <v>450</v>
      </c>
      <c r="J951" s="34"/>
      <c r="K951" s="34">
        <f>Ventas[[#This Row],[Total]]*Ventas[[#This Row],[Total 3]]</f>
        <v>0</v>
      </c>
      <c r="L951" s="34"/>
      <c r="M951" s="34"/>
    </row>
    <row r="952" spans="1:13" ht="21.75" customHeight="1">
      <c r="A952" s="16"/>
      <c r="B952" s="39" t="s">
        <v>698</v>
      </c>
      <c r="C952" s="35" t="str">
        <f>VLOOKUP(Ventas[[#This Row],[Codigo]],Stock[#Data],2,FALSE)</f>
        <v>Sustrato Perlita</v>
      </c>
      <c r="D952" s="37">
        <f>VLOOKUP(Ventas[[#This Row],[Codigo]],Stock[#Data],4,FALSE)</f>
        <v>800</v>
      </c>
      <c r="E952" s="33">
        <f>VLOOKUP(Ventas[[#This Row],[Codigo]],Stock[#Data],3,FALSE)</f>
        <v>400</v>
      </c>
      <c r="F952" s="38">
        <v>2</v>
      </c>
      <c r="G952">
        <v>52</v>
      </c>
      <c r="H952" s="36">
        <f>Ventas[[#This Row],[Precio Venta]]*Ventas[[#This Row],[Cantidad]]-Ventas[[#This Row],[Descuento]]</f>
        <v>1600</v>
      </c>
      <c r="I952" s="34">
        <f>Ventas[[#This Row],[Total]]-Ventas[[#This Row],[Precio compra]]*Ventas[[#This Row],[Cantidad]]</f>
        <v>800</v>
      </c>
      <c r="J952" s="34"/>
      <c r="K952" s="34">
        <f>Ventas[[#This Row],[Total]]*Ventas[[#This Row],[Total 3]]</f>
        <v>0</v>
      </c>
      <c r="L952" s="34"/>
      <c r="M952" s="34"/>
    </row>
    <row r="953" spans="1:13" ht="21.75" customHeight="1">
      <c r="A953" s="16"/>
      <c r="B953" s="39" t="s">
        <v>698</v>
      </c>
      <c r="C953" s="35" t="str">
        <f>VLOOKUP(Ventas[[#This Row],[Codigo]],Stock[#Data],2,FALSE)</f>
        <v>Namaste Nutripack</v>
      </c>
      <c r="D953" s="37">
        <f>VLOOKUP(Ventas[[#This Row],[Codigo]],Stock[#Data],4,FALSE)</f>
        <v>6000</v>
      </c>
      <c r="E953" s="33">
        <f>VLOOKUP(Ventas[[#This Row],[Codigo]],Stock[#Data],3,FALSE)</f>
        <v>3376</v>
      </c>
      <c r="F953" s="38">
        <v>1</v>
      </c>
      <c r="G953">
        <v>346</v>
      </c>
      <c r="H953" s="36">
        <f>Ventas[[#This Row],[Precio Venta]]*Ventas[[#This Row],[Cantidad]]-Ventas[[#This Row],[Descuento]]</f>
        <v>6000</v>
      </c>
      <c r="I953" s="34">
        <f>Ventas[[#This Row],[Total]]-Ventas[[#This Row],[Precio compra]]*Ventas[[#This Row],[Cantidad]]</f>
        <v>2624</v>
      </c>
      <c r="J953" s="34"/>
      <c r="K953" s="34">
        <f>Ventas[[#This Row],[Total]]*Ventas[[#This Row],[Total 3]]</f>
        <v>0</v>
      </c>
      <c r="L953" s="34"/>
      <c r="M953" s="34"/>
    </row>
    <row r="954" spans="1:13" ht="21.75" customHeight="1">
      <c r="A954" s="16"/>
      <c r="B954" s="39" t="s">
        <v>708</v>
      </c>
      <c r="C954" s="35" t="str">
        <f>VLOOKUP(Ventas[[#This Row],[Codigo]],Stock[#Data],2,FALSE)</f>
        <v>VAMP Supermelaza</v>
      </c>
      <c r="D954" s="37">
        <f>VLOOKUP(Ventas[[#This Row],[Codigo]],Stock[#Data],4,FALSE)</f>
        <v>1800</v>
      </c>
      <c r="E954" s="33">
        <f>VLOOKUP(Ventas[[#This Row],[Codigo]],Stock[#Data],3,FALSE)</f>
        <v>908</v>
      </c>
      <c r="F954" s="38">
        <v>1</v>
      </c>
      <c r="G954">
        <v>36</v>
      </c>
      <c r="H954" s="36">
        <f>Ventas[[#This Row],[Precio Venta]]*Ventas[[#This Row],[Cantidad]]-Ventas[[#This Row],[Descuento]]</f>
        <v>1800</v>
      </c>
      <c r="I954" s="34">
        <f>Ventas[[#This Row],[Total]]-Ventas[[#This Row],[Precio compra]]*Ventas[[#This Row],[Cantidad]]</f>
        <v>892</v>
      </c>
      <c r="J954" s="34"/>
      <c r="K954" s="34">
        <f>Ventas[[#This Row],[Total]]*Ventas[[#This Row],[Total 3]]</f>
        <v>0</v>
      </c>
      <c r="L954" s="34"/>
      <c r="M954" s="34"/>
    </row>
    <row r="955" spans="1:13" ht="21.75" customHeight="1">
      <c r="A955" s="16"/>
      <c r="B955" s="39" t="s">
        <v>708</v>
      </c>
      <c r="C955" s="35" t="str">
        <f>VLOOKUP(Ventas[[#This Row],[Codigo]],Stock[#Data],2,FALSE)</f>
        <v>VAMP Guano de murcielago Flora</v>
      </c>
      <c r="D955" s="37">
        <f>VLOOKUP(Ventas[[#This Row],[Codigo]],Stock[#Data],4,FALSE)</f>
        <v>1000</v>
      </c>
      <c r="E955" s="33">
        <f>VLOOKUP(Ventas[[#This Row],[Codigo]],Stock[#Data],3,FALSE)</f>
        <v>510</v>
      </c>
      <c r="F955" s="38">
        <v>1</v>
      </c>
      <c r="G955">
        <v>38</v>
      </c>
      <c r="H955" s="36">
        <f>Ventas[[#This Row],[Precio Venta]]*Ventas[[#This Row],[Cantidad]]-Ventas[[#This Row],[Descuento]]</f>
        <v>1000</v>
      </c>
      <c r="I955" s="34">
        <f>Ventas[[#This Row],[Total]]-Ventas[[#This Row],[Precio compra]]*Ventas[[#This Row],[Cantidad]]</f>
        <v>490</v>
      </c>
      <c r="J955" s="34"/>
      <c r="K955" s="34">
        <f>Ventas[[#This Row],[Total]]*Ventas[[#This Row],[Total 3]]</f>
        <v>0</v>
      </c>
      <c r="L955" s="34"/>
      <c r="M955" s="34"/>
    </row>
    <row r="956" spans="1:13" ht="21.75" customHeight="1">
      <c r="A956" s="16"/>
      <c r="B956" s="39" t="s">
        <v>708</v>
      </c>
      <c r="C956" s="35" t="str">
        <f>VLOOKUP(Ventas[[#This Row],[Codigo]],Stock[#Data],2,FALSE)</f>
        <v>Picador Lion  Acrilico 2p</v>
      </c>
      <c r="D956" s="37">
        <f>VLOOKUP(Ventas[[#This Row],[Codigo]],Stock[#Data],4,FALSE)</f>
        <v>1600</v>
      </c>
      <c r="E956" s="33">
        <f>VLOOKUP(Ventas[[#This Row],[Codigo]],Stock[#Data],3,FALSE)</f>
        <v>770</v>
      </c>
      <c r="F956" s="38">
        <v>1</v>
      </c>
      <c r="G956">
        <v>475</v>
      </c>
      <c r="H956" s="36">
        <f>Ventas[[#This Row],[Precio Venta]]*Ventas[[#This Row],[Cantidad]]-Ventas[[#This Row],[Descuento]]</f>
        <v>1600</v>
      </c>
      <c r="I956" s="34">
        <f>Ventas[[#This Row],[Total]]-Ventas[[#This Row],[Precio compra]]*Ventas[[#This Row],[Cantidad]]</f>
        <v>830</v>
      </c>
      <c r="J956" s="34"/>
      <c r="K956" s="34">
        <f>Ventas[[#This Row],[Total]]*Ventas[[#This Row],[Total 3]]</f>
        <v>0</v>
      </c>
      <c r="L956" s="34"/>
      <c r="M956" s="34"/>
    </row>
    <row r="957" spans="1:13" ht="21.75" customHeight="1">
      <c r="A957" s="16"/>
      <c r="B957" s="39" t="s">
        <v>708</v>
      </c>
      <c r="C957" s="35" t="str">
        <f>VLOOKUP(Ventas[[#This Row],[Codigo]],Stock[#Data],2,FALSE)</f>
        <v>Cenicero Lion Rolling Circus</v>
      </c>
      <c r="D957" s="37">
        <f>VLOOKUP(Ventas[[#This Row],[Codigo]],Stock[#Data],4,FALSE)</f>
        <v>1000</v>
      </c>
      <c r="E957" s="33">
        <f>VLOOKUP(Ventas[[#This Row],[Codigo]],Stock[#Data],3,FALSE)</f>
        <v>494</v>
      </c>
      <c r="F957" s="38">
        <v>1</v>
      </c>
      <c r="G957">
        <v>139</v>
      </c>
      <c r="H957" s="36">
        <f>Ventas[[#This Row],[Precio Venta]]*Ventas[[#This Row],[Cantidad]]-Ventas[[#This Row],[Descuento]]</f>
        <v>1000</v>
      </c>
      <c r="I957" s="34">
        <f>Ventas[[#This Row],[Total]]-Ventas[[#This Row],[Precio compra]]*Ventas[[#This Row],[Cantidad]]</f>
        <v>506</v>
      </c>
      <c r="J957" s="34"/>
      <c r="K957" s="34">
        <f>Ventas[[#This Row],[Total]]*Ventas[[#This Row],[Total 3]]</f>
        <v>0</v>
      </c>
      <c r="L957" s="34"/>
      <c r="M957" s="34"/>
    </row>
    <row r="958" spans="1:13" ht="21.75" customHeight="1">
      <c r="A958" s="16"/>
      <c r="B958" s="39" t="s">
        <v>708</v>
      </c>
      <c r="C958" s="35" t="str">
        <f>VLOOKUP(Ventas[[#This Row],[Codigo]],Stock[#Data],2,FALSE)</f>
        <v>Sedas RAW 1/4 +tips BROWN</v>
      </c>
      <c r="D958" s="37">
        <f>VLOOKUP(Ventas[[#This Row],[Codigo]],Stock[#Data],4,FALSE)</f>
        <v>1150</v>
      </c>
      <c r="E958" s="33">
        <f>VLOOKUP(Ventas[[#This Row],[Codigo]],Stock[#Data],3,FALSE)</f>
        <v>568</v>
      </c>
      <c r="F958" s="38">
        <v>1</v>
      </c>
      <c r="G958">
        <v>80</v>
      </c>
      <c r="H958" s="36">
        <f>Ventas[[#This Row],[Precio Venta]]*Ventas[[#This Row],[Cantidad]]-Ventas[[#This Row],[Descuento]]</f>
        <v>1150</v>
      </c>
      <c r="I958" s="34">
        <f>Ventas[[#This Row],[Total]]-Ventas[[#This Row],[Precio compra]]*Ventas[[#This Row],[Cantidad]]</f>
        <v>582</v>
      </c>
      <c r="J958" s="34"/>
      <c r="K958" s="34">
        <f>Ventas[[#This Row],[Total]]*Ventas[[#This Row],[Total 3]]</f>
        <v>0</v>
      </c>
      <c r="L958" s="34"/>
      <c r="M958" s="34"/>
    </row>
    <row r="959" spans="1:13" ht="21.75" customHeight="1">
      <c r="A959" s="16"/>
      <c r="B959" s="39" t="s">
        <v>675</v>
      </c>
      <c r="C959" s="35" t="str">
        <f>VLOOKUP(Ventas[[#This Row],[Codigo]],Stock[#Data],2,FALSE)</f>
        <v>Sedas OCB 1/4 Organic  Bamboo</v>
      </c>
      <c r="D959" s="37">
        <f>VLOOKUP(Ventas[[#This Row],[Codigo]],Stock[#Data],4,FALSE)</f>
        <v>300</v>
      </c>
      <c r="E959" s="33">
        <f>VLOOKUP(Ventas[[#This Row],[Codigo]],Stock[#Data],3,FALSE)</f>
        <v>165</v>
      </c>
      <c r="F959" s="38">
        <v>1</v>
      </c>
      <c r="G959">
        <v>77</v>
      </c>
      <c r="H959" s="36">
        <f>Ventas[[#This Row],[Precio Venta]]*Ventas[[#This Row],[Cantidad]]-Ventas[[#This Row],[Descuento]]</f>
        <v>300</v>
      </c>
      <c r="I959" s="34">
        <f>Ventas[[#This Row],[Total]]-Ventas[[#This Row],[Precio compra]]*Ventas[[#This Row],[Cantidad]]</f>
        <v>135</v>
      </c>
      <c r="J959" s="34"/>
      <c r="K959" s="34">
        <f>Ventas[[#This Row],[Total]]*Ventas[[#This Row],[Total 3]]</f>
        <v>0</v>
      </c>
      <c r="L959" s="34"/>
      <c r="M959" s="34"/>
    </row>
    <row r="960" spans="1:13" ht="21.75" customHeight="1">
      <c r="A960" s="16"/>
      <c r="B960" s="39" t="s">
        <v>709</v>
      </c>
      <c r="C960" s="35" t="str">
        <f>VLOOKUP(Ventas[[#This Row],[Codigo]],Stock[#Data],2,FALSE)</f>
        <v>Tabaco Van Kiff Vainilla</v>
      </c>
      <c r="D960" s="37">
        <f>VLOOKUP(Ventas[[#This Row],[Codigo]],Stock[#Data],4,FALSE)</f>
        <v>850</v>
      </c>
      <c r="E960" s="33">
        <f>VLOOKUP(Ventas[[#This Row],[Codigo]],Stock[#Data],3,FALSE)</f>
        <v>580</v>
      </c>
      <c r="F960" s="38">
        <v>1</v>
      </c>
      <c r="G960">
        <v>120</v>
      </c>
      <c r="H960" s="36">
        <f>Ventas[[#This Row],[Precio Venta]]*Ventas[[#This Row],[Cantidad]]-Ventas[[#This Row],[Descuento]]</f>
        <v>850</v>
      </c>
      <c r="I960" s="34">
        <f>Ventas[[#This Row],[Total]]-Ventas[[#This Row],[Precio compra]]*Ventas[[#This Row],[Cantidad]]</f>
        <v>270</v>
      </c>
      <c r="J960" s="34"/>
      <c r="K960" s="34">
        <f>Ventas[[#This Row],[Total]]*Ventas[[#This Row],[Total 3]]</f>
        <v>0</v>
      </c>
      <c r="L960" s="34"/>
      <c r="M960" s="34"/>
    </row>
    <row r="961" spans="1:13" ht="21.75" customHeight="1">
      <c r="A961" s="16"/>
      <c r="B961" s="39" t="s">
        <v>709</v>
      </c>
      <c r="C961" s="35" t="str">
        <f>VLOOKUP(Ventas[[#This Row],[Codigo]],Stock[#Data],2,FALSE)</f>
        <v>Pulverizador 1,5 litros</v>
      </c>
      <c r="D961" s="37">
        <f>VLOOKUP(Ventas[[#This Row],[Codigo]],Stock[#Data],4,FALSE)</f>
        <v>2500</v>
      </c>
      <c r="E961" s="33">
        <f>VLOOKUP(Ventas[[#This Row],[Codigo]],Stock[#Data],3,FALSE)</f>
        <v>1250</v>
      </c>
      <c r="F961" s="38">
        <v>1</v>
      </c>
      <c r="G961">
        <v>571</v>
      </c>
      <c r="H961" s="36">
        <f>Ventas[[#This Row],[Precio Venta]]*Ventas[[#This Row],[Cantidad]]-Ventas[[#This Row],[Descuento]]</f>
        <v>2500</v>
      </c>
      <c r="I961" s="34">
        <f>Ventas[[#This Row],[Total]]-Ventas[[#This Row],[Precio compra]]*Ventas[[#This Row],[Cantidad]]</f>
        <v>1250</v>
      </c>
      <c r="J961" s="34"/>
      <c r="K961" s="34">
        <f>Ventas[[#This Row],[Total]]*Ventas[[#This Row],[Total 3]]</f>
        <v>0</v>
      </c>
      <c r="L961" s="34"/>
      <c r="M961" s="34"/>
    </row>
    <row r="962" spans="1:13" ht="21.75" customHeight="1">
      <c r="A962" s="16"/>
      <c r="B962" s="39" t="s">
        <v>709</v>
      </c>
      <c r="C962" s="35" t="str">
        <f>VLOOKUP(Ventas[[#This Row],[Codigo]],Stock[#Data],2,FALSE)</f>
        <v xml:space="preserve">tips moon </v>
      </c>
      <c r="D962" s="37">
        <f>VLOOKUP(Ventas[[#This Row],[Codigo]],Stock[#Data],4,FALSE)</f>
        <v>100</v>
      </c>
      <c r="E962" s="33">
        <f>VLOOKUP(Ventas[[#This Row],[Codigo]],Stock[#Data],3,FALSE)</f>
        <v>50</v>
      </c>
      <c r="F962" s="38">
        <v>1</v>
      </c>
      <c r="G962">
        <v>356</v>
      </c>
      <c r="H962" s="36">
        <f>Ventas[[#This Row],[Precio Venta]]*Ventas[[#This Row],[Cantidad]]-Ventas[[#This Row],[Descuento]]</f>
        <v>100</v>
      </c>
      <c r="I962" s="34">
        <f>Ventas[[#This Row],[Total]]-Ventas[[#This Row],[Precio compra]]*Ventas[[#This Row],[Cantidad]]</f>
        <v>50</v>
      </c>
      <c r="J962" s="34"/>
      <c r="K962" s="34">
        <f>Ventas[[#This Row],[Total]]*Ventas[[#This Row],[Total 3]]</f>
        <v>0</v>
      </c>
      <c r="L962" s="34"/>
      <c r="M962" s="34"/>
    </row>
    <row r="963" spans="1:13" ht="21.75" customHeight="1">
      <c r="A963" s="16"/>
      <c r="B963" s="39" t="s">
        <v>709</v>
      </c>
      <c r="C963" s="35" t="str">
        <f>VLOOKUP(Ventas[[#This Row],[Codigo]],Stock[#Data],2,FALSE)</f>
        <v>VAMP Supermelaza</v>
      </c>
      <c r="D963" s="37">
        <f>VLOOKUP(Ventas[[#This Row],[Codigo]],Stock[#Data],4,FALSE)</f>
        <v>1800</v>
      </c>
      <c r="E963" s="33">
        <f>VLOOKUP(Ventas[[#This Row],[Codigo]],Stock[#Data],3,FALSE)</f>
        <v>908</v>
      </c>
      <c r="F963" s="38">
        <v>2</v>
      </c>
      <c r="G963">
        <v>36</v>
      </c>
      <c r="H963" s="36">
        <f>Ventas[[#This Row],[Precio Venta]]*Ventas[[#This Row],[Cantidad]]-Ventas[[#This Row],[Descuento]]</f>
        <v>3600</v>
      </c>
      <c r="I963" s="34">
        <f>Ventas[[#This Row],[Total]]-Ventas[[#This Row],[Precio compra]]*Ventas[[#This Row],[Cantidad]]</f>
        <v>1784</v>
      </c>
      <c r="J963" s="34"/>
      <c r="K963" s="34">
        <f>Ventas[[#This Row],[Total]]*Ventas[[#This Row],[Total 3]]</f>
        <v>0</v>
      </c>
      <c r="L963" s="34"/>
      <c r="M963" s="34"/>
    </row>
    <row r="964" spans="1:13" ht="21.75" customHeight="1">
      <c r="A964" s="16"/>
      <c r="B964" s="39" t="s">
        <v>709</v>
      </c>
      <c r="C964" s="35" t="str">
        <f>VLOOKUP(Ventas[[#This Row],[Codigo]],Stock[#Data],2,FALSE)</f>
        <v>VAMP Guano de murcielago Flora</v>
      </c>
      <c r="D964" s="37">
        <f>VLOOKUP(Ventas[[#This Row],[Codigo]],Stock[#Data],4,FALSE)</f>
        <v>1000</v>
      </c>
      <c r="E964" s="33">
        <f>VLOOKUP(Ventas[[#This Row],[Codigo]],Stock[#Data],3,FALSE)</f>
        <v>510</v>
      </c>
      <c r="F964" s="38">
        <v>2</v>
      </c>
      <c r="G964">
        <v>38</v>
      </c>
      <c r="H964" s="36">
        <f>Ventas[[#This Row],[Precio Venta]]*Ventas[[#This Row],[Cantidad]]-Ventas[[#This Row],[Descuento]]</f>
        <v>2000</v>
      </c>
      <c r="I964" s="34">
        <f>Ventas[[#This Row],[Total]]-Ventas[[#This Row],[Precio compra]]*Ventas[[#This Row],[Cantidad]]</f>
        <v>980</v>
      </c>
      <c r="J964" s="34"/>
      <c r="K964" s="34">
        <f>Ventas[[#This Row],[Total]]*Ventas[[#This Row],[Total 3]]</f>
        <v>0</v>
      </c>
      <c r="L964" s="34"/>
      <c r="M964" s="34"/>
    </row>
    <row r="965" spans="1:13" ht="21.75" customHeight="1">
      <c r="A965" s="16"/>
      <c r="B965" s="39" t="s">
        <v>709</v>
      </c>
      <c r="C965" s="35" t="str">
        <f>VLOOKUP(Ventas[[#This Row],[Codigo]],Stock[#Data],2,FALSE)</f>
        <v>Organic Life jabón potásico</v>
      </c>
      <c r="D965" s="37">
        <f>VLOOKUP(Ventas[[#This Row],[Codigo]],Stock[#Data],4,FALSE)</f>
        <v>500</v>
      </c>
      <c r="E965" s="33">
        <f>VLOOKUP(Ventas[[#This Row],[Codigo]],Stock[#Data],3,FALSE)</f>
        <v>240</v>
      </c>
      <c r="F965" s="38">
        <v>1</v>
      </c>
      <c r="G965">
        <v>18</v>
      </c>
      <c r="H965" s="36">
        <f>Ventas[[#This Row],[Precio Venta]]*Ventas[[#This Row],[Cantidad]]-Ventas[[#This Row],[Descuento]]</f>
        <v>500</v>
      </c>
      <c r="I965" s="34">
        <f>Ventas[[#This Row],[Total]]-Ventas[[#This Row],[Precio compra]]*Ventas[[#This Row],[Cantidad]]</f>
        <v>260</v>
      </c>
      <c r="J965" s="34"/>
      <c r="K965" s="34">
        <f>Ventas[[#This Row],[Total]]*Ventas[[#This Row],[Total 3]]</f>
        <v>0</v>
      </c>
      <c r="L965" s="34"/>
      <c r="M965" s="34"/>
    </row>
    <row r="966" spans="1:13" ht="21.75" customHeight="1">
      <c r="A966" s="16"/>
      <c r="B966" s="39" t="s">
        <v>709</v>
      </c>
      <c r="C966" s="35" t="str">
        <f>VLOOKUP(Ventas[[#This Row],[Codigo]],Stock[#Data],2,FALSE)</f>
        <v>Bong Ceramica</v>
      </c>
      <c r="D966" s="37">
        <f>VLOOKUP(Ventas[[#This Row],[Codigo]],Stock[#Data],4,FALSE)</f>
        <v>7600</v>
      </c>
      <c r="E966" s="33">
        <f>VLOOKUP(Ventas[[#This Row],[Codigo]],Stock[#Data],3,FALSE)</f>
        <v>3791</v>
      </c>
      <c r="F966" s="38">
        <v>1</v>
      </c>
      <c r="G966">
        <v>175</v>
      </c>
      <c r="H966" s="36">
        <f>Ventas[[#This Row],[Precio Venta]]*Ventas[[#This Row],[Cantidad]]-Ventas[[#This Row],[Descuento]]</f>
        <v>7600</v>
      </c>
      <c r="I966" s="34">
        <f>Ventas[[#This Row],[Total]]-Ventas[[#This Row],[Precio compra]]*Ventas[[#This Row],[Cantidad]]</f>
        <v>3809</v>
      </c>
      <c r="J966" s="34"/>
      <c r="K966" s="34">
        <f>Ventas[[#This Row],[Total]]*Ventas[[#This Row],[Total 3]]</f>
        <v>0</v>
      </c>
      <c r="L966" s="34"/>
      <c r="M966" s="34"/>
    </row>
    <row r="967" spans="1:13" ht="21.75" customHeight="1">
      <c r="A967" s="16"/>
      <c r="B967" s="39" t="s">
        <v>709</v>
      </c>
      <c r="C967" s="35" t="str">
        <f>VLOOKUP(Ventas[[#This Row],[Codigo]],Stock[#Data],2,FALSE)</f>
        <v>Papel Rosin Lion Rolling Circus doble silicona</v>
      </c>
      <c r="D967" s="37">
        <f>VLOOKUP(Ventas[[#This Row],[Codigo]],Stock[#Data],4,FALSE)</f>
        <v>1500</v>
      </c>
      <c r="E967" s="33">
        <f>VLOOKUP(Ventas[[#This Row],[Codigo]],Stock[#Data],3,FALSE)</f>
        <v>843</v>
      </c>
      <c r="F967" s="38">
        <v>1</v>
      </c>
      <c r="G967">
        <v>109</v>
      </c>
      <c r="H967" s="36">
        <f>Ventas[[#This Row],[Precio Venta]]*Ventas[[#This Row],[Cantidad]]-Ventas[[#This Row],[Descuento]]</f>
        <v>1500</v>
      </c>
      <c r="I967" s="34">
        <f>Ventas[[#This Row],[Total]]-Ventas[[#This Row],[Precio compra]]*Ventas[[#This Row],[Cantidad]]</f>
        <v>657</v>
      </c>
      <c r="J967" s="34"/>
      <c r="K967" s="34">
        <f>Ventas[[#This Row],[Total]]*Ventas[[#This Row],[Total 3]]</f>
        <v>0</v>
      </c>
      <c r="L967" s="34"/>
      <c r="M967" s="34"/>
    </row>
    <row r="968" spans="1:13" ht="21.75" customHeight="1">
      <c r="A968" s="16"/>
      <c r="B968" s="39" t="s">
        <v>709</v>
      </c>
      <c r="C968" s="35" t="str">
        <f>VLOOKUP(Ventas[[#This Row],[Codigo]],Stock[#Data],2,FALSE)</f>
        <v>Sedas OCB 1/4 Organic  Bamboo</v>
      </c>
      <c r="D968" s="37">
        <f>VLOOKUP(Ventas[[#This Row],[Codigo]],Stock[#Data],4,FALSE)</f>
        <v>300</v>
      </c>
      <c r="E968" s="33">
        <f>VLOOKUP(Ventas[[#This Row],[Codigo]],Stock[#Data],3,FALSE)</f>
        <v>165</v>
      </c>
      <c r="F968" s="38">
        <v>1</v>
      </c>
      <c r="G968">
        <v>77</v>
      </c>
      <c r="H968" s="36">
        <f>Ventas[[#This Row],[Precio Venta]]*Ventas[[#This Row],[Cantidad]]-Ventas[[#This Row],[Descuento]]</f>
        <v>300</v>
      </c>
      <c r="I968" s="34">
        <f>Ventas[[#This Row],[Total]]-Ventas[[#This Row],[Precio compra]]*Ventas[[#This Row],[Cantidad]]</f>
        <v>135</v>
      </c>
      <c r="J968" s="34"/>
      <c r="K968" s="34">
        <f>Ventas[[#This Row],[Total]]*Ventas[[#This Row],[Total 3]]</f>
        <v>0</v>
      </c>
      <c r="L968" s="34"/>
      <c r="M968" s="34"/>
    </row>
    <row r="969" spans="1:13" ht="21.75" customHeight="1">
      <c r="A969" s="16"/>
      <c r="B969" s="39" t="s">
        <v>709</v>
      </c>
      <c r="C969" s="35" t="str">
        <f>VLOOKUP(Ventas[[#This Row],[Codigo]],Stock[#Data],2,FALSE)</f>
        <v xml:space="preserve">Tuqueros de Ceramica </v>
      </c>
      <c r="D969" s="37">
        <f>VLOOKUP(Ventas[[#This Row],[Codigo]],Stock[#Data],4,FALSE)</f>
        <v>1000</v>
      </c>
      <c r="E969" s="33">
        <f>VLOOKUP(Ventas[[#This Row],[Codigo]],Stock[#Data],3,FALSE)</f>
        <v>500</v>
      </c>
      <c r="F969" s="38">
        <v>1</v>
      </c>
      <c r="G969">
        <v>585</v>
      </c>
      <c r="H969" s="36">
        <f>Ventas[[#This Row],[Precio Venta]]*Ventas[[#This Row],[Cantidad]]-Ventas[[#This Row],[Descuento]]</f>
        <v>1000</v>
      </c>
      <c r="I969" s="34">
        <f>Ventas[[#This Row],[Total]]-Ventas[[#This Row],[Precio compra]]*Ventas[[#This Row],[Cantidad]]</f>
        <v>500</v>
      </c>
      <c r="J969" s="34"/>
      <c r="K969" s="34">
        <f>Ventas[[#This Row],[Total]]*Ventas[[#This Row],[Total 3]]</f>
        <v>0</v>
      </c>
      <c r="L969" s="34"/>
      <c r="M969" s="34"/>
    </row>
    <row r="970" spans="1:13" ht="21.75" customHeight="1">
      <c r="A970" s="16"/>
      <c r="B970" s="39" t="s">
        <v>709</v>
      </c>
      <c r="C970" s="35" t="str">
        <f>VLOOKUP(Ventas[[#This Row],[Codigo]],Stock[#Data],2,FALSE)</f>
        <v>Macetas Soplada 15L</v>
      </c>
      <c r="D970" s="37">
        <f>VLOOKUP(Ventas[[#This Row],[Codigo]],Stock[#Data],4,FALSE)</f>
        <v>450</v>
      </c>
      <c r="E970" s="33">
        <f>VLOOKUP(Ventas[[#This Row],[Codigo]],Stock[#Data],3,FALSE)</f>
        <v>222</v>
      </c>
      <c r="F970" s="38">
        <v>4</v>
      </c>
      <c r="G970">
        <v>380</v>
      </c>
      <c r="H970" s="36">
        <f>Ventas[[#This Row],[Precio Venta]]*Ventas[[#This Row],[Cantidad]]-Ventas[[#This Row],[Descuento]]</f>
        <v>1800</v>
      </c>
      <c r="I970" s="34">
        <f>Ventas[[#This Row],[Total]]-Ventas[[#This Row],[Precio compra]]*Ventas[[#This Row],[Cantidad]]</f>
        <v>912</v>
      </c>
      <c r="J970" s="34"/>
      <c r="K970" s="34">
        <f>Ventas[[#This Row],[Total]]*Ventas[[#This Row],[Total 3]]</f>
        <v>0</v>
      </c>
      <c r="L970" s="34"/>
      <c r="M970" s="34"/>
    </row>
    <row r="971" spans="1:13" ht="21.75" customHeight="1">
      <c r="A971" s="16"/>
      <c r="B971" s="39" t="s">
        <v>709</v>
      </c>
      <c r="C971" s="35" t="str">
        <f>VLOOKUP(Ventas[[#This Row],[Codigo]],Stock[#Data],2,FALSE)</f>
        <v>Tips STAMPS ECO</v>
      </c>
      <c r="D971" s="37">
        <f>VLOOKUP(Ventas[[#This Row],[Codigo]],Stock[#Data],4,FALSE)</f>
        <v>150</v>
      </c>
      <c r="E971" s="33">
        <f>VLOOKUP(Ventas[[#This Row],[Codigo]],Stock[#Data],3,FALSE)</f>
        <v>73</v>
      </c>
      <c r="F971" s="38">
        <v>1</v>
      </c>
      <c r="G971">
        <v>308</v>
      </c>
      <c r="H971" s="36">
        <f>Ventas[[#This Row],[Precio Venta]]*Ventas[[#This Row],[Cantidad]]-Ventas[[#This Row],[Descuento]]</f>
        <v>150</v>
      </c>
      <c r="I971" s="34">
        <f>Ventas[[#This Row],[Total]]-Ventas[[#This Row],[Precio compra]]*Ventas[[#This Row],[Cantidad]]</f>
        <v>77</v>
      </c>
      <c r="J971" s="34"/>
      <c r="K971" s="34">
        <f>Ventas[[#This Row],[Total]]*Ventas[[#This Row],[Total 3]]</f>
        <v>0</v>
      </c>
      <c r="L971" s="34"/>
      <c r="M971" s="34"/>
    </row>
    <row r="972" spans="1:13" ht="21.75" customHeight="1">
      <c r="A972" s="16"/>
      <c r="B972" s="39" t="s">
        <v>709</v>
      </c>
      <c r="C972" s="35" t="str">
        <f>VLOOKUP(Ventas[[#This Row],[Codigo]],Stock[#Data],2,FALSE)</f>
        <v xml:space="preserve">Encendedor Clipper </v>
      </c>
      <c r="D972" s="37">
        <f>VLOOKUP(Ventas[[#This Row],[Codigo]],Stock[#Data],4,FALSE)</f>
        <v>600</v>
      </c>
      <c r="E972" s="33">
        <f>VLOOKUP(Ventas[[#This Row],[Codigo]],Stock[#Data],3,FALSE)</f>
        <v>378</v>
      </c>
      <c r="F972" s="38">
        <v>1</v>
      </c>
      <c r="G972">
        <v>58</v>
      </c>
      <c r="H972" s="36">
        <f>Ventas[[#This Row],[Precio Venta]]*Ventas[[#This Row],[Cantidad]]-Ventas[[#This Row],[Descuento]]</f>
        <v>600</v>
      </c>
      <c r="I972" s="34">
        <f>Ventas[[#This Row],[Total]]-Ventas[[#This Row],[Precio compra]]*Ventas[[#This Row],[Cantidad]]</f>
        <v>222</v>
      </c>
      <c r="J972" s="34"/>
      <c r="K972" s="34">
        <f>Ventas[[#This Row],[Total]]*Ventas[[#This Row],[Total 3]]</f>
        <v>0</v>
      </c>
      <c r="L972" s="34"/>
      <c r="M972" s="34"/>
    </row>
    <row r="973" spans="1:13" ht="21.75" customHeight="1">
      <c r="A973" s="16"/>
      <c r="B973" s="39" t="s">
        <v>709</v>
      </c>
      <c r="C973" s="35" t="str">
        <f>VLOOKUP(Ventas[[#This Row],[Codigo]],Stock[#Data],2,FALSE)</f>
        <v xml:space="preserve">Sedas 3 Rayos Celulosa </v>
      </c>
      <c r="D973" s="37">
        <f>VLOOKUP(Ventas[[#This Row],[Codigo]],Stock[#Data],4,FALSE)</f>
        <v>400</v>
      </c>
      <c r="E973" s="33">
        <f>VLOOKUP(Ventas[[#This Row],[Codigo]],Stock[#Data],3,FALSE)</f>
        <v>211</v>
      </c>
      <c r="F973" s="38">
        <v>1</v>
      </c>
      <c r="G973">
        <v>310</v>
      </c>
      <c r="H973" s="36">
        <f>Ventas[[#This Row],[Precio Venta]]*Ventas[[#This Row],[Cantidad]]-Ventas[[#This Row],[Descuento]]</f>
        <v>400</v>
      </c>
      <c r="I973" s="34">
        <f>Ventas[[#This Row],[Total]]-Ventas[[#This Row],[Precio compra]]*Ventas[[#This Row],[Cantidad]]</f>
        <v>189</v>
      </c>
      <c r="J973" s="34"/>
      <c r="K973" s="34">
        <f>Ventas[[#This Row],[Total]]*Ventas[[#This Row],[Total 3]]</f>
        <v>0</v>
      </c>
      <c r="L973" s="34"/>
      <c r="M973" s="34"/>
    </row>
    <row r="974" spans="1:13" ht="21.75" customHeight="1">
      <c r="A974" s="16"/>
      <c r="B974" s="39">
        <v>44966</v>
      </c>
      <c r="C974" s="35" t="str">
        <f>VLOOKUP(Ventas[[#This Row],[Codigo]],Stock[#Data],2,FALSE)</f>
        <v>Picador 3 Rayos 4p Madera</v>
      </c>
      <c r="D974" s="37">
        <f>VLOOKUP(Ventas[[#This Row],[Codigo]],Stock[#Data],4,FALSE)</f>
        <v>4500</v>
      </c>
      <c r="E974" s="33">
        <f>VLOOKUP(Ventas[[#This Row],[Codigo]],Stock[#Data],3,FALSE)</f>
        <v>2188</v>
      </c>
      <c r="F974" s="38">
        <v>1</v>
      </c>
      <c r="G974">
        <v>582</v>
      </c>
      <c r="H974" s="36">
        <f>Ventas[[#This Row],[Precio Venta]]*Ventas[[#This Row],[Cantidad]]-Ventas[[#This Row],[Descuento]]</f>
        <v>4500</v>
      </c>
      <c r="I974" s="34">
        <f>Ventas[[#This Row],[Total]]-Ventas[[#This Row],[Precio compra]]*Ventas[[#This Row],[Cantidad]]</f>
        <v>2312</v>
      </c>
      <c r="J974" s="34"/>
      <c r="K974" s="34">
        <f>Ventas[[#This Row],[Total]]*Ventas[[#This Row],[Total 3]]</f>
        <v>0</v>
      </c>
      <c r="L974" s="34"/>
      <c r="M974" s="34"/>
    </row>
    <row r="975" spans="1:13" ht="21.75" customHeight="1">
      <c r="A975" s="16"/>
      <c r="B975" s="39">
        <v>44966</v>
      </c>
      <c r="C975" s="35" t="str">
        <f>VLOOKUP(Ventas[[#This Row],[Codigo]],Stock[#Data],2,FALSE)</f>
        <v>Namaste Shanti 100ml</v>
      </c>
      <c r="D975" s="37">
        <f>VLOOKUP(Ventas[[#This Row],[Codigo]],Stock[#Data],4,FALSE)</f>
        <v>2000</v>
      </c>
      <c r="E975" s="33">
        <f>VLOOKUP(Ventas[[#This Row],[Codigo]],Stock[#Data],3,FALSE)</f>
        <v>932</v>
      </c>
      <c r="F975" s="38">
        <v>1</v>
      </c>
      <c r="G975">
        <v>569</v>
      </c>
      <c r="H975" s="36">
        <f>Ventas[[#This Row],[Precio Venta]]*Ventas[[#This Row],[Cantidad]]-Ventas[[#This Row],[Descuento]]</f>
        <v>2000</v>
      </c>
      <c r="I975" s="34">
        <f>Ventas[[#This Row],[Total]]-Ventas[[#This Row],[Precio compra]]*Ventas[[#This Row],[Cantidad]]</f>
        <v>1068</v>
      </c>
      <c r="J975" s="34"/>
      <c r="K975" s="34">
        <f>Ventas[[#This Row],[Total]]*Ventas[[#This Row],[Total 3]]</f>
        <v>0</v>
      </c>
      <c r="L975" s="34"/>
      <c r="M975" s="34"/>
    </row>
    <row r="976" spans="1:13" ht="21.75" customHeight="1">
      <c r="A976" s="16"/>
      <c r="B976" s="39">
        <v>44966</v>
      </c>
      <c r="C976" s="35" t="str">
        <f>VLOOKUP(Ventas[[#This Row],[Codigo]],Stock[#Data],2,FALSE)</f>
        <v>Maca Brew 500cc</v>
      </c>
      <c r="D976" s="37">
        <f>VLOOKUP(Ventas[[#This Row],[Codigo]],Stock[#Data],4,FALSE)</f>
        <v>1000</v>
      </c>
      <c r="E976" s="33">
        <f>VLOOKUP(Ventas[[#This Row],[Codigo]],Stock[#Data],3,FALSE)</f>
        <v>470</v>
      </c>
      <c r="F976" s="38">
        <v>1</v>
      </c>
      <c r="G976">
        <v>12</v>
      </c>
      <c r="H976" s="36">
        <f>Ventas[[#This Row],[Precio Venta]]*Ventas[[#This Row],[Cantidad]]-Ventas[[#This Row],[Descuento]]</f>
        <v>1000</v>
      </c>
      <c r="I976" s="34">
        <f>Ventas[[#This Row],[Total]]-Ventas[[#This Row],[Precio compra]]*Ventas[[#This Row],[Cantidad]]</f>
        <v>530</v>
      </c>
      <c r="J976" s="34"/>
      <c r="K976" s="34">
        <f>Ventas[[#This Row],[Total]]*Ventas[[#This Row],[Total 3]]</f>
        <v>0</v>
      </c>
      <c r="L976" s="34"/>
      <c r="M976" s="34"/>
    </row>
    <row r="977" spans="1:13" ht="21.75" customHeight="1">
      <c r="A977" s="16"/>
      <c r="B977" s="39">
        <v>44966</v>
      </c>
      <c r="C977" s="35" t="str">
        <f>VLOOKUP(Ventas[[#This Row],[Codigo]],Stock[#Data],2,FALSE)</f>
        <v>CropSecret 250ml Booster Potion</v>
      </c>
      <c r="D977" s="37">
        <f>VLOOKUP(Ventas[[#This Row],[Codigo]],Stock[#Data],4,FALSE)</f>
        <v>2000</v>
      </c>
      <c r="E977" s="33">
        <f>VLOOKUP(Ventas[[#This Row],[Codigo]],Stock[#Data],3,FALSE)</f>
        <v>836</v>
      </c>
      <c r="F977" s="38">
        <v>1</v>
      </c>
      <c r="G977">
        <v>4</v>
      </c>
      <c r="H977" s="36">
        <f>Ventas[[#This Row],[Precio Venta]]*Ventas[[#This Row],[Cantidad]]-Ventas[[#This Row],[Descuento]]</f>
        <v>2000</v>
      </c>
      <c r="I977" s="34">
        <f>Ventas[[#This Row],[Total]]-Ventas[[#This Row],[Precio compra]]*Ventas[[#This Row],[Cantidad]]</f>
        <v>1164</v>
      </c>
      <c r="J977" s="34"/>
      <c r="K977" s="34">
        <f>Ventas[[#This Row],[Total]]*Ventas[[#This Row],[Total 3]]</f>
        <v>0</v>
      </c>
      <c r="L977" s="34"/>
      <c r="M977" s="34"/>
    </row>
    <row r="978" spans="1:13" ht="21.75" customHeight="1">
      <c r="A978" s="16"/>
      <c r="B978" s="39">
        <v>44966</v>
      </c>
      <c r="C978" s="35" t="str">
        <f>VLOOKUP(Ventas[[#This Row],[Codigo]],Stock[#Data],2,FALSE)</f>
        <v>Sustrato Perlita</v>
      </c>
      <c r="D978" s="37">
        <f>VLOOKUP(Ventas[[#This Row],[Codigo]],Stock[#Data],4,FALSE)</f>
        <v>800</v>
      </c>
      <c r="E978" s="33">
        <f>VLOOKUP(Ventas[[#This Row],[Codigo]],Stock[#Data],3,FALSE)</f>
        <v>400</v>
      </c>
      <c r="F978" s="38">
        <v>3</v>
      </c>
      <c r="G978">
        <v>52</v>
      </c>
      <c r="H978" s="36">
        <f>Ventas[[#This Row],[Precio Venta]]*Ventas[[#This Row],[Cantidad]]-Ventas[[#This Row],[Descuento]]</f>
        <v>2400</v>
      </c>
      <c r="I978" s="34">
        <f>Ventas[[#This Row],[Total]]-Ventas[[#This Row],[Precio compra]]*Ventas[[#This Row],[Cantidad]]</f>
        <v>1200</v>
      </c>
      <c r="J978" s="34"/>
      <c r="K978" s="34">
        <f>Ventas[[#This Row],[Total]]*Ventas[[#This Row],[Total 3]]</f>
        <v>0</v>
      </c>
      <c r="L978" s="34"/>
      <c r="M978" s="34"/>
    </row>
    <row r="979" spans="1:13" ht="21.75" customHeight="1">
      <c r="A979" s="16"/>
      <c r="B979" s="39">
        <v>44966</v>
      </c>
      <c r="C979" s="35" t="str">
        <f>VLOOKUP(Ventas[[#This Row],[Codigo]],Stock[#Data],2,FALSE)</f>
        <v>Tips Lion silver</v>
      </c>
      <c r="D979" s="37">
        <f>VLOOKUP(Ventas[[#This Row],[Codigo]],Stock[#Data],4,FALSE)</f>
        <v>250</v>
      </c>
      <c r="E979" s="33">
        <f>VLOOKUP(Ventas[[#This Row],[Codigo]],Stock[#Data],3,FALSE)</f>
        <v>137</v>
      </c>
      <c r="F979" s="38">
        <v>1</v>
      </c>
      <c r="G979">
        <v>457</v>
      </c>
      <c r="H979" s="36">
        <f>Ventas[[#This Row],[Precio Venta]]*Ventas[[#This Row],[Cantidad]]-Ventas[[#This Row],[Descuento]]</f>
        <v>250</v>
      </c>
      <c r="I979" s="34">
        <f>Ventas[[#This Row],[Total]]-Ventas[[#This Row],[Precio compra]]*Ventas[[#This Row],[Cantidad]]</f>
        <v>113</v>
      </c>
      <c r="J979" s="34"/>
      <c r="K979" s="34">
        <f>Ventas[[#This Row],[Total]]*Ventas[[#This Row],[Total 3]]</f>
        <v>0</v>
      </c>
      <c r="L979" s="34"/>
      <c r="M979" s="34"/>
    </row>
    <row r="980" spans="1:13" ht="21.75" customHeight="1">
      <c r="A980" s="16"/>
      <c r="B980" s="39">
        <v>44966</v>
      </c>
      <c r="C980" s="35" t="str">
        <f>VLOOKUP(Ventas[[#This Row],[Codigo]],Stock[#Data],2,FALSE)</f>
        <v xml:space="preserve">Sedas 3 Rayos Celulosa </v>
      </c>
      <c r="D980" s="37">
        <f>VLOOKUP(Ventas[[#This Row],[Codigo]],Stock[#Data],4,FALSE)</f>
        <v>400</v>
      </c>
      <c r="E980" s="33">
        <f>VLOOKUP(Ventas[[#This Row],[Codigo]],Stock[#Data],3,FALSE)</f>
        <v>211</v>
      </c>
      <c r="F980" s="38">
        <v>1</v>
      </c>
      <c r="G980">
        <v>310</v>
      </c>
      <c r="H980" s="36">
        <f>Ventas[[#This Row],[Precio Venta]]*Ventas[[#This Row],[Cantidad]]-Ventas[[#This Row],[Descuento]]</f>
        <v>400</v>
      </c>
      <c r="I980" s="34">
        <f>Ventas[[#This Row],[Total]]-Ventas[[#This Row],[Precio compra]]*Ventas[[#This Row],[Cantidad]]</f>
        <v>189</v>
      </c>
      <c r="J980" s="34"/>
      <c r="K980" s="34">
        <f>Ventas[[#This Row],[Total]]*Ventas[[#This Row],[Total 3]]</f>
        <v>0</v>
      </c>
      <c r="L980" s="34"/>
      <c r="M980" s="34"/>
    </row>
    <row r="981" spans="1:13" ht="21.75" customHeight="1">
      <c r="A981" s="16"/>
      <c r="B981" s="39">
        <v>44966</v>
      </c>
      <c r="C981" s="35" t="str">
        <f>VLOOKUP(Ventas[[#This Row],[Codigo]],Stock[#Data],2,FALSE)</f>
        <v>Sedas Blunt Rey 1/4 celulosa Verde</v>
      </c>
      <c r="D981" s="37">
        <f>VLOOKUP(Ventas[[#This Row],[Codigo]],Stock[#Data],4,FALSE)</f>
        <v>300</v>
      </c>
      <c r="E981" s="33">
        <f>VLOOKUP(Ventas[[#This Row],[Codigo]],Stock[#Data],3,FALSE)</f>
        <v>135</v>
      </c>
      <c r="F981" s="38">
        <v>1</v>
      </c>
      <c r="G981">
        <v>72</v>
      </c>
      <c r="H981" s="36">
        <f>Ventas[[#This Row],[Precio Venta]]*Ventas[[#This Row],[Cantidad]]-Ventas[[#This Row],[Descuento]]</f>
        <v>300</v>
      </c>
      <c r="I981" s="34">
        <f>Ventas[[#This Row],[Total]]-Ventas[[#This Row],[Precio compra]]*Ventas[[#This Row],[Cantidad]]</f>
        <v>165</v>
      </c>
      <c r="J981" s="34"/>
      <c r="K981" s="34">
        <f>Ventas[[#This Row],[Total]]*Ventas[[#This Row],[Total 3]]</f>
        <v>0</v>
      </c>
      <c r="L981" s="34"/>
      <c r="M981" s="34"/>
    </row>
    <row r="982" spans="1:13" ht="21.75" customHeight="1">
      <c r="A982" s="16"/>
      <c r="B982" s="39" t="s">
        <v>710</v>
      </c>
      <c r="C982" s="35" t="str">
        <f>VLOOKUP(Ventas[[#This Row],[Codigo]],Stock[#Data],2,FALSE)</f>
        <v>Sustrato Perlita</v>
      </c>
      <c r="D982" s="37">
        <f>VLOOKUP(Ventas[[#This Row],[Codigo]],Stock[#Data],4,FALSE)</f>
        <v>800</v>
      </c>
      <c r="E982" s="33">
        <f>VLOOKUP(Ventas[[#This Row],[Codigo]],Stock[#Data],3,FALSE)</f>
        <v>400</v>
      </c>
      <c r="F982" s="38">
        <v>2</v>
      </c>
      <c r="G982">
        <v>52</v>
      </c>
      <c r="H982" s="36">
        <f>Ventas[[#This Row],[Precio Venta]]*Ventas[[#This Row],[Cantidad]]-Ventas[[#This Row],[Descuento]]</f>
        <v>1600</v>
      </c>
      <c r="I982" s="34">
        <f>Ventas[[#This Row],[Total]]-Ventas[[#This Row],[Precio compra]]*Ventas[[#This Row],[Cantidad]]</f>
        <v>800</v>
      </c>
      <c r="J982" s="34"/>
      <c r="K982" s="34">
        <f>Ventas[[#This Row],[Total]]*Ventas[[#This Row],[Total 3]]</f>
        <v>0</v>
      </c>
      <c r="L982" s="34"/>
      <c r="M982" s="34"/>
    </row>
    <row r="983" spans="1:13" ht="21.75" customHeight="1">
      <c r="A983" s="16"/>
      <c r="B983" s="39" t="s">
        <v>710</v>
      </c>
      <c r="C983" s="35" t="str">
        <f>VLOOKUP(Ventas[[#This Row],[Codigo]],Stock[#Data],2,FALSE)</f>
        <v>VAMP hechizo BLOOM</v>
      </c>
      <c r="D983" s="37">
        <f>VLOOKUP(Ventas[[#This Row],[Codigo]],Stock[#Data],4,FALSE)</f>
        <v>1200</v>
      </c>
      <c r="E983" s="33">
        <f>VLOOKUP(Ventas[[#This Row],[Codigo]],Stock[#Data],3,FALSE)</f>
        <v>600</v>
      </c>
      <c r="F983" s="38">
        <v>1</v>
      </c>
      <c r="G983">
        <v>40</v>
      </c>
      <c r="H983" s="36">
        <f>Ventas[[#This Row],[Precio Venta]]*Ventas[[#This Row],[Cantidad]]-Ventas[[#This Row],[Descuento]]</f>
        <v>1200</v>
      </c>
      <c r="I983" s="34">
        <f>Ventas[[#This Row],[Total]]-Ventas[[#This Row],[Precio compra]]*Ventas[[#This Row],[Cantidad]]</f>
        <v>600</v>
      </c>
      <c r="J983" s="34"/>
      <c r="K983" s="34">
        <f>Ventas[[#This Row],[Total]]*Ventas[[#This Row],[Total 3]]</f>
        <v>0</v>
      </c>
      <c r="L983" s="34"/>
      <c r="M983" s="34"/>
    </row>
    <row r="984" spans="1:13" ht="21.75" customHeight="1">
      <c r="A984" s="16"/>
      <c r="B984" s="39" t="s">
        <v>710</v>
      </c>
      <c r="C984" s="35" t="str">
        <f>VLOOKUP(Ventas[[#This Row],[Codigo]],Stock[#Data],2,FALSE)</f>
        <v xml:space="preserve">tips moon </v>
      </c>
      <c r="D984" s="37">
        <f>VLOOKUP(Ventas[[#This Row],[Codigo]],Stock[#Data],4,FALSE)</f>
        <v>100</v>
      </c>
      <c r="E984" s="33">
        <f>VLOOKUP(Ventas[[#This Row],[Codigo]],Stock[#Data],3,FALSE)</f>
        <v>50</v>
      </c>
      <c r="F984" s="38">
        <v>2</v>
      </c>
      <c r="G984">
        <v>356</v>
      </c>
      <c r="H984" s="36">
        <f>Ventas[[#This Row],[Precio Venta]]*Ventas[[#This Row],[Cantidad]]-Ventas[[#This Row],[Descuento]]</f>
        <v>200</v>
      </c>
      <c r="I984" s="34">
        <f>Ventas[[#This Row],[Total]]-Ventas[[#This Row],[Precio compra]]*Ventas[[#This Row],[Cantidad]]</f>
        <v>100</v>
      </c>
      <c r="J984" s="34"/>
      <c r="K984" s="34">
        <f>Ventas[[#This Row],[Total]]*Ventas[[#This Row],[Total 3]]</f>
        <v>0</v>
      </c>
      <c r="L984" s="34"/>
      <c r="M984" s="34"/>
    </row>
    <row r="985" spans="1:13" ht="21.75" customHeight="1">
      <c r="A985" s="16"/>
      <c r="B985" s="39" t="s">
        <v>710</v>
      </c>
      <c r="C985" s="35" t="str">
        <f>VLOOKUP(Ventas[[#This Row],[Codigo]],Stock[#Data],2,FALSE)</f>
        <v xml:space="preserve">ocb ultimate </v>
      </c>
      <c r="D985" s="37">
        <f>VLOOKUP(Ventas[[#This Row],[Codigo]],Stock[#Data],4,FALSE)</f>
        <v>300</v>
      </c>
      <c r="E985" s="33">
        <f>VLOOKUP(Ventas[[#This Row],[Codigo]],Stock[#Data],3,FALSE)</f>
        <v>165</v>
      </c>
      <c r="F985" s="38">
        <v>1</v>
      </c>
      <c r="G985">
        <v>354</v>
      </c>
      <c r="H985" s="36">
        <f>Ventas[[#This Row],[Precio Venta]]*Ventas[[#This Row],[Cantidad]]-Ventas[[#This Row],[Descuento]]</f>
        <v>300</v>
      </c>
      <c r="I985" s="34">
        <f>Ventas[[#This Row],[Total]]-Ventas[[#This Row],[Precio compra]]*Ventas[[#This Row],[Cantidad]]</f>
        <v>135</v>
      </c>
      <c r="J985" s="34"/>
      <c r="K985" s="34">
        <f>Ventas[[#This Row],[Total]]*Ventas[[#This Row],[Total 3]]</f>
        <v>0</v>
      </c>
      <c r="L985" s="34"/>
      <c r="M985" s="34"/>
    </row>
    <row r="986" spans="1:13" ht="21.75" customHeight="1">
      <c r="A986" s="16"/>
      <c r="B986" s="39" t="s">
        <v>710</v>
      </c>
      <c r="C986" s="35" t="str">
        <f>VLOOKUP(Ventas[[#This Row],[Codigo]],Stock[#Data],2,FALSE)</f>
        <v>Sedas OCB 1/4 Virgin Papers</v>
      </c>
      <c r="D986" s="37">
        <f>VLOOKUP(Ventas[[#This Row],[Codigo]],Stock[#Data],4,FALSE)</f>
        <v>300</v>
      </c>
      <c r="E986" s="33">
        <f>VLOOKUP(Ventas[[#This Row],[Codigo]],Stock[#Data],3,FALSE)</f>
        <v>165</v>
      </c>
      <c r="F986" s="38">
        <v>2</v>
      </c>
      <c r="G986">
        <v>76</v>
      </c>
      <c r="H986" s="36">
        <f>Ventas[[#This Row],[Precio Venta]]*Ventas[[#This Row],[Cantidad]]-Ventas[[#This Row],[Descuento]]</f>
        <v>600</v>
      </c>
      <c r="I986" s="34">
        <f>Ventas[[#This Row],[Total]]-Ventas[[#This Row],[Precio compra]]*Ventas[[#This Row],[Cantidad]]</f>
        <v>270</v>
      </c>
      <c r="J986" s="34"/>
      <c r="K986" s="34">
        <f>Ventas[[#This Row],[Total]]*Ventas[[#This Row],[Total 3]]</f>
        <v>0</v>
      </c>
      <c r="L986" s="34"/>
      <c r="M986" s="34"/>
    </row>
    <row r="987" spans="1:13" ht="21.75" customHeight="1">
      <c r="A987" s="16"/>
      <c r="B987" s="39" t="s">
        <v>710</v>
      </c>
      <c r="C987" s="35" t="str">
        <f>VLOOKUP(Ventas[[#This Row],[Codigo]],Stock[#Data],2,FALSE)</f>
        <v>Sauver 1/4</v>
      </c>
      <c r="D987" s="37">
        <f>VLOOKUP(Ventas[[#This Row],[Codigo]],Stock[#Data],4,FALSE)</f>
        <v>200</v>
      </c>
      <c r="E987" s="33">
        <f>VLOOKUP(Ventas[[#This Row],[Codigo]],Stock[#Data],3,FALSE)</f>
        <v>75</v>
      </c>
      <c r="F987" s="38">
        <v>1</v>
      </c>
      <c r="G987">
        <v>149</v>
      </c>
      <c r="H987" s="36">
        <f>Ventas[[#This Row],[Precio Venta]]*Ventas[[#This Row],[Cantidad]]-Ventas[[#This Row],[Descuento]]</f>
        <v>200</v>
      </c>
      <c r="I987" s="34">
        <f>Ventas[[#This Row],[Total]]-Ventas[[#This Row],[Precio compra]]*Ventas[[#This Row],[Cantidad]]</f>
        <v>125</v>
      </c>
      <c r="J987" s="34"/>
      <c r="K987" s="34">
        <f>Ventas[[#This Row],[Total]]*Ventas[[#This Row],[Total 3]]</f>
        <v>0</v>
      </c>
      <c r="L987" s="34"/>
      <c r="M987" s="34"/>
    </row>
    <row r="988" spans="1:13" ht="21.75" customHeight="1">
      <c r="A988" s="16"/>
      <c r="B988" s="39" t="s">
        <v>710</v>
      </c>
      <c r="C988" s="35" t="str">
        <f>VLOOKUP(Ventas[[#This Row],[Codigo]],Stock[#Data],2,FALSE)</f>
        <v>Lata Lion Rolling Circus</v>
      </c>
      <c r="D988" s="37">
        <f>VLOOKUP(Ventas[[#This Row],[Codigo]],Stock[#Data],4,FALSE)</f>
        <v>1200</v>
      </c>
      <c r="E988" s="33">
        <f>VLOOKUP(Ventas[[#This Row],[Codigo]],Stock[#Data],3,FALSE)</f>
        <v>580</v>
      </c>
      <c r="F988" s="38">
        <v>1</v>
      </c>
      <c r="G988">
        <v>145</v>
      </c>
      <c r="H988" s="36">
        <f>Ventas[[#This Row],[Precio Venta]]*Ventas[[#This Row],[Cantidad]]-Ventas[[#This Row],[Descuento]]</f>
        <v>1200</v>
      </c>
      <c r="I988" s="34">
        <f>Ventas[[#This Row],[Total]]-Ventas[[#This Row],[Precio compra]]*Ventas[[#This Row],[Cantidad]]</f>
        <v>620</v>
      </c>
      <c r="J988" s="34"/>
      <c r="K988" s="34">
        <f>Ventas[[#This Row],[Total]]*Ventas[[#This Row],[Total 3]]</f>
        <v>0</v>
      </c>
      <c r="L988" s="34"/>
      <c r="M988" s="34"/>
    </row>
    <row r="989" spans="1:13" ht="21.75" customHeight="1">
      <c r="A989" s="16"/>
      <c r="B989" s="39" t="s">
        <v>710</v>
      </c>
      <c r="C989" s="35" t="str">
        <f>VLOOKUP(Ventas[[#This Row],[Codigo]],Stock[#Data],2,FALSE)</f>
        <v>Tabaco Van Kiff Vainilla</v>
      </c>
      <c r="D989" s="37">
        <f>VLOOKUP(Ventas[[#This Row],[Codigo]],Stock[#Data],4,FALSE)</f>
        <v>850</v>
      </c>
      <c r="E989" s="33">
        <f>VLOOKUP(Ventas[[#This Row],[Codigo]],Stock[#Data],3,FALSE)</f>
        <v>580</v>
      </c>
      <c r="F989" s="38">
        <v>1</v>
      </c>
      <c r="G989">
        <v>120</v>
      </c>
      <c r="H989" s="36">
        <f>Ventas[[#This Row],[Precio Venta]]*Ventas[[#This Row],[Cantidad]]-Ventas[[#This Row],[Descuento]]</f>
        <v>850</v>
      </c>
      <c r="I989" s="34">
        <f>Ventas[[#This Row],[Total]]-Ventas[[#This Row],[Precio compra]]*Ventas[[#This Row],[Cantidad]]</f>
        <v>270</v>
      </c>
      <c r="J989" s="34"/>
      <c r="K989" s="34">
        <f>Ventas[[#This Row],[Total]]*Ventas[[#This Row],[Total 3]]</f>
        <v>0</v>
      </c>
      <c r="L989" s="34"/>
      <c r="M989" s="34"/>
    </row>
    <row r="990" spans="1:13" ht="21.75" customHeight="1">
      <c r="A990" s="16"/>
      <c r="B990" s="39" t="s">
        <v>633</v>
      </c>
      <c r="C990" s="35" t="str">
        <f>VLOOKUP(Ventas[[#This Row],[Codigo]],Stock[#Data],2,FALSE)</f>
        <v>Tips Lion Unbleached</v>
      </c>
      <c r="D990" s="37">
        <f>VLOOKUP(Ventas[[#This Row],[Codigo]],Stock[#Data],4,FALSE)</f>
        <v>250</v>
      </c>
      <c r="E990" s="33">
        <f>VLOOKUP(Ventas[[#This Row],[Codigo]],Stock[#Data],3,FALSE)</f>
        <v>137</v>
      </c>
      <c r="F990" s="38">
        <v>1</v>
      </c>
      <c r="G990">
        <v>458</v>
      </c>
      <c r="H990" s="36">
        <f>Ventas[[#This Row],[Precio Venta]]*Ventas[[#This Row],[Cantidad]]-Ventas[[#This Row],[Descuento]]</f>
        <v>250</v>
      </c>
      <c r="I990" s="34">
        <f>Ventas[[#This Row],[Total]]-Ventas[[#This Row],[Precio compra]]*Ventas[[#This Row],[Cantidad]]</f>
        <v>113</v>
      </c>
      <c r="J990" s="34"/>
      <c r="K990" s="34">
        <f>Ventas[[#This Row],[Total]]*Ventas[[#This Row],[Total 3]]</f>
        <v>0</v>
      </c>
      <c r="L990" s="34"/>
      <c r="M990" s="34"/>
    </row>
    <row r="991" spans="1:13" ht="21.75" customHeight="1">
      <c r="A991" s="16"/>
      <c r="B991" s="39" t="s">
        <v>633</v>
      </c>
      <c r="C991" s="35" t="str">
        <f>VLOOKUP(Ventas[[#This Row],[Codigo]],Stock[#Data],2,FALSE)</f>
        <v xml:space="preserve">Picar StampsAcrilico 4 partes </v>
      </c>
      <c r="D991" s="37">
        <f>VLOOKUP(Ventas[[#This Row],[Codigo]],Stock[#Data],4,FALSE)</f>
        <v>1500</v>
      </c>
      <c r="E991" s="33">
        <f>VLOOKUP(Ventas[[#This Row],[Codigo]],Stock[#Data],3,FALSE)</f>
        <v>595</v>
      </c>
      <c r="F991" s="38">
        <v>1</v>
      </c>
      <c r="G991">
        <v>418</v>
      </c>
      <c r="H991" s="36">
        <f>Ventas[[#This Row],[Precio Venta]]*Ventas[[#This Row],[Cantidad]]-Ventas[[#This Row],[Descuento]]</f>
        <v>1500</v>
      </c>
      <c r="I991" s="34">
        <f>Ventas[[#This Row],[Total]]-Ventas[[#This Row],[Precio compra]]*Ventas[[#This Row],[Cantidad]]</f>
        <v>905</v>
      </c>
      <c r="J991" s="34"/>
      <c r="K991" s="34">
        <f>Ventas[[#This Row],[Total]]*Ventas[[#This Row],[Total 3]]</f>
        <v>0</v>
      </c>
      <c r="L991" s="34"/>
      <c r="M991" s="34"/>
    </row>
    <row r="992" spans="1:13" ht="21.75" customHeight="1">
      <c r="A992" s="16"/>
      <c r="B992" s="39" t="s">
        <v>633</v>
      </c>
      <c r="C992" s="35" t="str">
        <f>VLOOKUP(Ventas[[#This Row],[Codigo]],Stock[#Data],2,FALSE)</f>
        <v>Sedas OCB 1/4 Organic  Bamboo</v>
      </c>
      <c r="D992" s="37">
        <f>VLOOKUP(Ventas[[#This Row],[Codigo]],Stock[#Data],4,FALSE)</f>
        <v>300</v>
      </c>
      <c r="E992" s="33">
        <f>VLOOKUP(Ventas[[#This Row],[Codigo]],Stock[#Data],3,FALSE)</f>
        <v>165</v>
      </c>
      <c r="F992" s="38">
        <v>1</v>
      </c>
      <c r="G992">
        <v>77</v>
      </c>
      <c r="H992" s="36">
        <f>Ventas[[#This Row],[Precio Venta]]*Ventas[[#This Row],[Cantidad]]-Ventas[[#This Row],[Descuento]]</f>
        <v>300</v>
      </c>
      <c r="I992" s="34">
        <f>Ventas[[#This Row],[Total]]-Ventas[[#This Row],[Precio compra]]*Ventas[[#This Row],[Cantidad]]</f>
        <v>135</v>
      </c>
      <c r="J992" s="34"/>
      <c r="K992" s="34">
        <f>Ventas[[#This Row],[Total]]*Ventas[[#This Row],[Total 3]]</f>
        <v>0</v>
      </c>
      <c r="L992" s="34"/>
      <c r="M992" s="34"/>
    </row>
    <row r="993" spans="1:13" ht="21.75" customHeight="1">
      <c r="A993" s="16"/>
      <c r="B993" s="39" t="s">
        <v>633</v>
      </c>
      <c r="C993" s="35" t="str">
        <f>VLOOKUP(Ventas[[#This Row],[Codigo]],Stock[#Data],2,FALSE)</f>
        <v>Sauver XL</v>
      </c>
      <c r="D993" s="37">
        <f>VLOOKUP(Ventas[[#This Row],[Codigo]],Stock[#Data],4,FALSE)</f>
        <v>200</v>
      </c>
      <c r="E993" s="33">
        <f>VLOOKUP(Ventas[[#This Row],[Codigo]],Stock[#Data],3,FALSE)</f>
        <v>65</v>
      </c>
      <c r="F993" s="38">
        <v>2</v>
      </c>
      <c r="G993">
        <v>529</v>
      </c>
      <c r="H993" s="36">
        <f>Ventas[[#This Row],[Precio Venta]]*Ventas[[#This Row],[Cantidad]]-Ventas[[#This Row],[Descuento]]</f>
        <v>400</v>
      </c>
      <c r="I993" s="34">
        <f>Ventas[[#This Row],[Total]]-Ventas[[#This Row],[Precio compra]]*Ventas[[#This Row],[Cantidad]]</f>
        <v>270</v>
      </c>
      <c r="J993" s="34"/>
      <c r="K993" s="34">
        <f>Ventas[[#This Row],[Total]]*Ventas[[#This Row],[Total 3]]</f>
        <v>0</v>
      </c>
      <c r="L993" s="34"/>
      <c r="M993" s="34"/>
    </row>
    <row r="994" spans="1:13" ht="21.75" customHeight="1">
      <c r="A994" s="16"/>
      <c r="B994" s="39" t="s">
        <v>633</v>
      </c>
      <c r="C994" s="35" t="str">
        <f>VLOOKUP(Ventas[[#This Row],[Codigo]],Stock[#Data],2,FALSE)</f>
        <v xml:space="preserve">Sedas 3 Rayos Celulosa </v>
      </c>
      <c r="D994" s="37">
        <f>VLOOKUP(Ventas[[#This Row],[Codigo]],Stock[#Data],4,FALSE)</f>
        <v>400</v>
      </c>
      <c r="E994" s="33">
        <f>VLOOKUP(Ventas[[#This Row],[Codigo]],Stock[#Data],3,FALSE)</f>
        <v>211</v>
      </c>
      <c r="F994" s="38">
        <v>1</v>
      </c>
      <c r="G994">
        <v>310</v>
      </c>
      <c r="H994" s="36">
        <f>Ventas[[#This Row],[Precio Venta]]*Ventas[[#This Row],[Cantidad]]-Ventas[[#This Row],[Descuento]]</f>
        <v>400</v>
      </c>
      <c r="I994" s="34">
        <f>Ventas[[#This Row],[Total]]-Ventas[[#This Row],[Precio compra]]*Ventas[[#This Row],[Cantidad]]</f>
        <v>189</v>
      </c>
      <c r="J994" s="34"/>
      <c r="K994" s="34">
        <f>Ventas[[#This Row],[Total]]*Ventas[[#This Row],[Total 3]]</f>
        <v>0</v>
      </c>
      <c r="L994" s="34"/>
      <c r="M994" s="34"/>
    </row>
    <row r="995" spans="1:13" ht="21.75" customHeight="1">
      <c r="A995" s="16"/>
      <c r="B995" s="39" t="s">
        <v>633</v>
      </c>
      <c r="C995" s="35" t="str">
        <f>VLOOKUP(Ventas[[#This Row],[Codigo]],Stock[#Data],2,FALSE)</f>
        <v>Maca Brew 500cc</v>
      </c>
      <c r="D995" s="37">
        <f>VLOOKUP(Ventas[[#This Row],[Codigo]],Stock[#Data],4,FALSE)</f>
        <v>1000</v>
      </c>
      <c r="E995" s="33">
        <f>VLOOKUP(Ventas[[#This Row],[Codigo]],Stock[#Data],3,FALSE)</f>
        <v>470</v>
      </c>
      <c r="F995" s="38">
        <v>2</v>
      </c>
      <c r="G995">
        <v>12</v>
      </c>
      <c r="H995" s="36">
        <f>Ventas[[#This Row],[Precio Venta]]*Ventas[[#This Row],[Cantidad]]-Ventas[[#This Row],[Descuento]]</f>
        <v>2000</v>
      </c>
      <c r="I995" s="34">
        <f>Ventas[[#This Row],[Total]]-Ventas[[#This Row],[Precio compra]]*Ventas[[#This Row],[Cantidad]]</f>
        <v>1060</v>
      </c>
      <c r="J995" s="34"/>
      <c r="K995" s="34">
        <f>Ventas[[#This Row],[Total]]*Ventas[[#This Row],[Total 3]]</f>
        <v>0</v>
      </c>
      <c r="L995" s="34"/>
      <c r="M995" s="34"/>
    </row>
    <row r="996" spans="1:13" ht="21.75" customHeight="1">
      <c r="A996" s="16"/>
      <c r="B996" s="39" t="s">
        <v>633</v>
      </c>
      <c r="C996" s="35" t="str">
        <f>VLOOKUP(Ventas[[#This Row],[Codigo]],Stock[#Data],2,FALSE)</f>
        <v>TreeMIX A 45ml</v>
      </c>
      <c r="D996" s="37">
        <f>VLOOKUP(Ventas[[#This Row],[Codigo]],Stock[#Data],4,FALSE)</f>
        <v>500</v>
      </c>
      <c r="E996" s="33">
        <f>VLOOKUP(Ventas[[#This Row],[Codigo]],Stock[#Data],3,FALSE)</f>
        <v>260</v>
      </c>
      <c r="F996" s="38">
        <v>2</v>
      </c>
      <c r="G996">
        <v>21</v>
      </c>
      <c r="H996" s="36">
        <f>Ventas[[#This Row],[Precio Venta]]*Ventas[[#This Row],[Cantidad]]-Ventas[[#This Row],[Descuento]]</f>
        <v>1000</v>
      </c>
      <c r="I996" s="34">
        <f>Ventas[[#This Row],[Total]]-Ventas[[#This Row],[Precio compra]]*Ventas[[#This Row],[Cantidad]]</f>
        <v>480</v>
      </c>
      <c r="J996" s="34"/>
      <c r="K996" s="34">
        <f>Ventas[[#This Row],[Total]]*Ventas[[#This Row],[Total 3]]</f>
        <v>0</v>
      </c>
      <c r="L996" s="34"/>
      <c r="M996" s="34"/>
    </row>
    <row r="997" spans="1:13" ht="21.75" customHeight="1">
      <c r="A997" s="16"/>
      <c r="B997" s="39" t="s">
        <v>637</v>
      </c>
      <c r="C997" s="35" t="str">
        <f>VLOOKUP(Ventas[[#This Row],[Codigo]],Stock[#Data],2,FALSE)</f>
        <v>Sedas OCB 1/4 Virgin Papers</v>
      </c>
      <c r="D997" s="37">
        <f>VLOOKUP(Ventas[[#This Row],[Codigo]],Stock[#Data],4,FALSE)</f>
        <v>300</v>
      </c>
      <c r="E997" s="33">
        <f>VLOOKUP(Ventas[[#This Row],[Codigo]],Stock[#Data],3,FALSE)</f>
        <v>165</v>
      </c>
      <c r="F997" s="38">
        <v>2</v>
      </c>
      <c r="G997">
        <v>76</v>
      </c>
      <c r="H997" s="36">
        <f>Ventas[[#This Row],[Precio Venta]]*Ventas[[#This Row],[Cantidad]]-Ventas[[#This Row],[Descuento]]</f>
        <v>600</v>
      </c>
      <c r="I997" s="34">
        <f>Ventas[[#This Row],[Total]]-Ventas[[#This Row],[Precio compra]]*Ventas[[#This Row],[Cantidad]]</f>
        <v>270</v>
      </c>
      <c r="J997" s="34"/>
      <c r="K997" s="34">
        <f>Ventas[[#This Row],[Total]]*Ventas[[#This Row],[Total 3]]</f>
        <v>0</v>
      </c>
      <c r="L997" s="34"/>
      <c r="M997" s="34"/>
    </row>
    <row r="998" spans="1:13" ht="21.75" customHeight="1">
      <c r="A998" s="16"/>
      <c r="B998" s="39" t="s">
        <v>637</v>
      </c>
      <c r="C998" s="35" t="str">
        <f>VLOOKUP(Ventas[[#This Row],[Codigo]],Stock[#Data],2,FALSE)</f>
        <v xml:space="preserve">Tabaco Van Kiff American Blend </v>
      </c>
      <c r="D998" s="37">
        <f>VLOOKUP(Ventas[[#This Row],[Codigo]],Stock[#Data],4,FALSE)</f>
        <v>850</v>
      </c>
      <c r="E998" s="33">
        <f>VLOOKUP(Ventas[[#This Row],[Codigo]],Stock[#Data],3,FALSE)</f>
        <v>580</v>
      </c>
      <c r="F998" s="38">
        <v>1</v>
      </c>
      <c r="G998">
        <v>348</v>
      </c>
      <c r="H998" s="36">
        <f>Ventas[[#This Row],[Precio Venta]]*Ventas[[#This Row],[Cantidad]]-Ventas[[#This Row],[Descuento]]</f>
        <v>850</v>
      </c>
      <c r="I998" s="34">
        <f>Ventas[[#This Row],[Total]]-Ventas[[#This Row],[Precio compra]]*Ventas[[#This Row],[Cantidad]]</f>
        <v>270</v>
      </c>
      <c r="J998" s="34"/>
      <c r="K998" s="34">
        <f>Ventas[[#This Row],[Total]]*Ventas[[#This Row],[Total 3]]</f>
        <v>0</v>
      </c>
      <c r="L998" s="34"/>
      <c r="M998" s="34"/>
    </row>
    <row r="999" spans="1:13" ht="21.75" customHeight="1">
      <c r="A999" s="16"/>
      <c r="B999" s="39" t="s">
        <v>637</v>
      </c>
      <c r="C999" s="35" t="str">
        <f>VLOOKUP(Ventas[[#This Row],[Codigo]],Stock[#Data],2,FALSE)</f>
        <v xml:space="preserve">Filtros Stamp Bio </v>
      </c>
      <c r="D999" s="37">
        <f>VLOOKUP(Ventas[[#This Row],[Codigo]],Stock[#Data],4,FALSE)</f>
        <v>350</v>
      </c>
      <c r="E999" s="33">
        <f>VLOOKUP(Ventas[[#This Row],[Codigo]],Stock[#Data],3,FALSE)</f>
        <v>180</v>
      </c>
      <c r="F999" s="38">
        <v>1</v>
      </c>
      <c r="G999">
        <v>410</v>
      </c>
      <c r="H999" s="36">
        <f>Ventas[[#This Row],[Precio Venta]]*Ventas[[#This Row],[Cantidad]]-Ventas[[#This Row],[Descuento]]</f>
        <v>350</v>
      </c>
      <c r="I999" s="34">
        <f>Ventas[[#This Row],[Total]]-Ventas[[#This Row],[Precio compra]]*Ventas[[#This Row],[Cantidad]]</f>
        <v>170</v>
      </c>
      <c r="J999" s="34"/>
      <c r="K999" s="34">
        <f>Ventas[[#This Row],[Total]]*Ventas[[#This Row],[Total 3]]</f>
        <v>0</v>
      </c>
      <c r="L999" s="34"/>
      <c r="M999" s="34"/>
    </row>
    <row r="1000" spans="1:13" ht="21.75" customHeight="1">
      <c r="A1000" s="16"/>
      <c r="B1000" s="39" t="s">
        <v>637</v>
      </c>
      <c r="C1000" s="35" t="str">
        <f>VLOOKUP(Ventas[[#This Row],[Codigo]],Stock[#Data],2,FALSE)</f>
        <v>Tips Rok Organic</v>
      </c>
      <c r="D1000" s="37">
        <f>VLOOKUP(Ventas[[#This Row],[Codigo]],Stock[#Data],4,FALSE)</f>
        <v>100</v>
      </c>
      <c r="E1000" s="33">
        <f>VLOOKUP(Ventas[[#This Row],[Codigo]],Stock[#Data],3,FALSE)</f>
        <v>50</v>
      </c>
      <c r="F1000" s="38">
        <v>1</v>
      </c>
      <c r="G1000">
        <v>96</v>
      </c>
      <c r="H1000" s="36">
        <f>Ventas[[#This Row],[Precio Venta]]*Ventas[[#This Row],[Cantidad]]-Ventas[[#This Row],[Descuento]]</f>
        <v>100</v>
      </c>
      <c r="I1000" s="34">
        <f>Ventas[[#This Row],[Total]]-Ventas[[#This Row],[Precio compra]]*Ventas[[#This Row],[Cantidad]]</f>
        <v>50</v>
      </c>
      <c r="J1000" s="34"/>
      <c r="K1000" s="34">
        <f>Ventas[[#This Row],[Total]]*Ventas[[#This Row],[Total 3]]</f>
        <v>0</v>
      </c>
      <c r="L1000" s="34"/>
      <c r="M1000" s="34"/>
    </row>
    <row r="1001" spans="1:13" ht="21.75" customHeight="1">
      <c r="A1001" s="16"/>
      <c r="B1001" s="39" t="s">
        <v>637</v>
      </c>
      <c r="C1001" s="35" t="str">
        <f>VLOOKUP(Ventas[[#This Row],[Codigo]],Stock[#Data],2,FALSE)</f>
        <v>Sedas OCB 1/4 Organic  Bamboo</v>
      </c>
      <c r="D1001" s="37">
        <f>VLOOKUP(Ventas[[#This Row],[Codigo]],Stock[#Data],4,FALSE)</f>
        <v>300</v>
      </c>
      <c r="E1001" s="33">
        <f>VLOOKUP(Ventas[[#This Row],[Codigo]],Stock[#Data],3,FALSE)</f>
        <v>165</v>
      </c>
      <c r="F1001" s="38">
        <v>2</v>
      </c>
      <c r="G1001">
        <v>77</v>
      </c>
      <c r="H1001" s="36">
        <f>Ventas[[#This Row],[Precio Venta]]*Ventas[[#This Row],[Cantidad]]-Ventas[[#This Row],[Descuento]]</f>
        <v>600</v>
      </c>
      <c r="I1001" s="34">
        <f>Ventas[[#This Row],[Total]]-Ventas[[#This Row],[Precio compra]]*Ventas[[#This Row],[Cantidad]]</f>
        <v>270</v>
      </c>
      <c r="J1001" s="34"/>
      <c r="K1001" s="34">
        <f>Ventas[[#This Row],[Total]]*Ventas[[#This Row],[Total 3]]</f>
        <v>0</v>
      </c>
      <c r="L1001" s="34"/>
      <c r="M1001" s="34"/>
    </row>
    <row r="1002" spans="1:13" ht="21.75" customHeight="1">
      <c r="A1002" s="16"/>
      <c r="B1002" s="39" t="s">
        <v>630</v>
      </c>
      <c r="C1002" s="35" t="str">
        <f>VLOOKUP(Ventas[[#This Row],[Codigo]],Stock[#Data],2,FALSE)</f>
        <v>Porta porros 420</v>
      </c>
      <c r="D1002" s="37">
        <f>VLOOKUP(Ventas[[#This Row],[Codigo]],Stock[#Data],4,FALSE)</f>
        <v>200</v>
      </c>
      <c r="E1002" s="33">
        <f>VLOOKUP(Ventas[[#This Row],[Codigo]],Stock[#Data],3,FALSE)</f>
        <v>73</v>
      </c>
      <c r="F1002" s="38">
        <v>1</v>
      </c>
      <c r="G1002">
        <v>421</v>
      </c>
      <c r="H1002" s="36">
        <f>Ventas[[#This Row],[Precio Venta]]*Ventas[[#This Row],[Cantidad]]-Ventas[[#This Row],[Descuento]]</f>
        <v>200</v>
      </c>
      <c r="I1002" s="34">
        <f>Ventas[[#This Row],[Total]]-Ventas[[#This Row],[Precio compra]]*Ventas[[#This Row],[Cantidad]]</f>
        <v>127</v>
      </c>
      <c r="J1002" s="34"/>
      <c r="K1002" s="34">
        <f>Ventas[[#This Row],[Total]]*Ventas[[#This Row],[Total 3]]</f>
        <v>0</v>
      </c>
      <c r="L1002" s="34"/>
      <c r="M1002" s="34"/>
    </row>
    <row r="1003" spans="1:13" ht="21.75" customHeight="1">
      <c r="A1003" s="16"/>
      <c r="B1003" s="39" t="s">
        <v>630</v>
      </c>
      <c r="C1003" s="35" t="str">
        <f>VLOOKUP(Ventas[[#This Row],[Codigo]],Stock[#Data],2,FALSE)</f>
        <v>CropSecret 250ml Booster Potion</v>
      </c>
      <c r="D1003" s="37">
        <f>VLOOKUP(Ventas[[#This Row],[Codigo]],Stock[#Data],4,FALSE)</f>
        <v>2000</v>
      </c>
      <c r="E1003" s="33">
        <f>VLOOKUP(Ventas[[#This Row],[Codigo]],Stock[#Data],3,FALSE)</f>
        <v>836</v>
      </c>
      <c r="F1003" s="38">
        <v>2</v>
      </c>
      <c r="G1003">
        <v>4</v>
      </c>
      <c r="H1003" s="36">
        <f>Ventas[[#This Row],[Precio Venta]]*Ventas[[#This Row],[Cantidad]]-Ventas[[#This Row],[Descuento]]</f>
        <v>4000</v>
      </c>
      <c r="I1003" s="34">
        <f>Ventas[[#This Row],[Total]]-Ventas[[#This Row],[Precio compra]]*Ventas[[#This Row],[Cantidad]]</f>
        <v>2328</v>
      </c>
      <c r="J1003" s="34"/>
      <c r="K1003" s="34">
        <f>Ventas[[#This Row],[Total]]*Ventas[[#This Row],[Total 3]]</f>
        <v>0</v>
      </c>
      <c r="L1003" s="34"/>
      <c r="M1003" s="34"/>
    </row>
    <row r="1004" spans="1:13" ht="21.75" customHeight="1">
      <c r="A1004" s="16"/>
      <c r="B1004" s="39" t="s">
        <v>630</v>
      </c>
      <c r="C1004" s="35" t="str">
        <f>VLOOKUP(Ventas[[#This Row],[Codigo]],Stock[#Data],2,FALSE)</f>
        <v>Sedas OCB 1/4 Virgin Papers</v>
      </c>
      <c r="D1004" s="37">
        <f>VLOOKUP(Ventas[[#This Row],[Codigo]],Stock[#Data],4,FALSE)</f>
        <v>300</v>
      </c>
      <c r="E1004" s="33">
        <f>VLOOKUP(Ventas[[#This Row],[Codigo]],Stock[#Data],3,FALSE)</f>
        <v>165</v>
      </c>
      <c r="F1004" s="38">
        <v>1</v>
      </c>
      <c r="G1004">
        <v>76</v>
      </c>
      <c r="H1004" s="36">
        <f>Ventas[[#This Row],[Precio Venta]]*Ventas[[#This Row],[Cantidad]]-Ventas[[#This Row],[Descuento]]</f>
        <v>300</v>
      </c>
      <c r="I1004" s="34">
        <f>Ventas[[#This Row],[Total]]-Ventas[[#This Row],[Precio compra]]*Ventas[[#This Row],[Cantidad]]</f>
        <v>135</v>
      </c>
      <c r="J1004" s="34"/>
      <c r="K1004" s="34">
        <f>Ventas[[#This Row],[Total]]*Ventas[[#This Row],[Total 3]]</f>
        <v>0</v>
      </c>
      <c r="L1004" s="34"/>
      <c r="M1004" s="34"/>
    </row>
    <row r="1005" spans="1:13" ht="21.75" customHeight="1">
      <c r="A1005" s="16"/>
      <c r="B1005" s="39" t="s">
        <v>630</v>
      </c>
      <c r="C1005" s="35" t="str">
        <f>VLOOKUP(Ventas[[#This Row],[Codigo]],Stock[#Data],2,FALSE)</f>
        <v>Tree Mix  Candy 200ml</v>
      </c>
      <c r="D1005" s="37">
        <f>VLOOKUP(Ventas[[#This Row],[Codigo]],Stock[#Data],4,FALSE)</f>
        <v>1000</v>
      </c>
      <c r="E1005" s="33">
        <f>VLOOKUP(Ventas[[#This Row],[Codigo]],Stock[#Data],3,FALSE)</f>
        <v>520</v>
      </c>
      <c r="F1005" s="38">
        <v>1</v>
      </c>
      <c r="G1005">
        <v>450</v>
      </c>
      <c r="H1005" s="36">
        <f>Ventas[[#This Row],[Precio Venta]]*Ventas[[#This Row],[Cantidad]]-Ventas[[#This Row],[Descuento]]</f>
        <v>1000</v>
      </c>
      <c r="I1005" s="34">
        <f>Ventas[[#This Row],[Total]]-Ventas[[#This Row],[Precio compra]]*Ventas[[#This Row],[Cantidad]]</f>
        <v>480</v>
      </c>
      <c r="J1005" s="34"/>
      <c r="K1005" s="34">
        <f>Ventas[[#This Row],[Total]]*Ventas[[#This Row],[Total 3]]</f>
        <v>0</v>
      </c>
      <c r="L1005" s="34"/>
      <c r="M1005" s="34"/>
    </row>
    <row r="1006" spans="1:13" ht="21.75" customHeight="1">
      <c r="A1006" s="16"/>
      <c r="B1006" s="39" t="s">
        <v>630</v>
      </c>
      <c r="C1006" s="35" t="str">
        <f>VLOOKUP(Ventas[[#This Row],[Codigo]],Stock[#Data],2,FALSE)</f>
        <v>VAMP Guano de murcielago Flora</v>
      </c>
      <c r="D1006" s="37">
        <f>VLOOKUP(Ventas[[#This Row],[Codigo]],Stock[#Data],4,FALSE)</f>
        <v>1000</v>
      </c>
      <c r="E1006" s="33">
        <f>VLOOKUP(Ventas[[#This Row],[Codigo]],Stock[#Data],3,FALSE)</f>
        <v>510</v>
      </c>
      <c r="F1006" s="38">
        <v>3</v>
      </c>
      <c r="G1006">
        <v>38</v>
      </c>
      <c r="H1006" s="36">
        <f>Ventas[[#This Row],[Precio Venta]]*Ventas[[#This Row],[Cantidad]]-Ventas[[#This Row],[Descuento]]</f>
        <v>3000</v>
      </c>
      <c r="I1006" s="34">
        <f>Ventas[[#This Row],[Total]]-Ventas[[#This Row],[Precio compra]]*Ventas[[#This Row],[Cantidad]]</f>
        <v>1470</v>
      </c>
      <c r="J1006" s="34"/>
      <c r="K1006" s="34">
        <f>Ventas[[#This Row],[Total]]*Ventas[[#This Row],[Total 3]]</f>
        <v>0</v>
      </c>
      <c r="L1006" s="34"/>
      <c r="M1006" s="34"/>
    </row>
    <row r="1007" spans="1:13" ht="21.75" customHeight="1">
      <c r="A1007" s="16"/>
      <c r="B1007" s="39" t="s">
        <v>630</v>
      </c>
      <c r="C1007" s="35" t="str">
        <f>VLOOKUP(Ventas[[#This Row],[Codigo]],Stock[#Data],2,FALSE)</f>
        <v>Tabaco Van Kiff Vainilla</v>
      </c>
      <c r="D1007" s="37">
        <f>VLOOKUP(Ventas[[#This Row],[Codigo]],Stock[#Data],4,FALSE)</f>
        <v>850</v>
      </c>
      <c r="E1007" s="33">
        <f>VLOOKUP(Ventas[[#This Row],[Codigo]],Stock[#Data],3,FALSE)</f>
        <v>580</v>
      </c>
      <c r="F1007" s="38">
        <v>1</v>
      </c>
      <c r="G1007">
        <v>120</v>
      </c>
      <c r="H1007" s="36">
        <f>Ventas[[#This Row],[Precio Venta]]*Ventas[[#This Row],[Cantidad]]-Ventas[[#This Row],[Descuento]]</f>
        <v>850</v>
      </c>
      <c r="I1007" s="34">
        <f>Ventas[[#This Row],[Total]]-Ventas[[#This Row],[Precio compra]]*Ventas[[#This Row],[Cantidad]]</f>
        <v>270</v>
      </c>
      <c r="J1007" s="34"/>
      <c r="K1007" s="34">
        <f>Ventas[[#This Row],[Total]]*Ventas[[#This Row],[Total 3]]</f>
        <v>0</v>
      </c>
      <c r="L1007" s="34"/>
      <c r="M1007" s="34"/>
    </row>
    <row r="1008" spans="1:13" ht="21.75" customHeight="1">
      <c r="A1008" s="16"/>
      <c r="B1008" s="39" t="s">
        <v>630</v>
      </c>
      <c r="C1008" s="35" t="str">
        <f>VLOOKUP(Ventas[[#This Row],[Codigo]],Stock[#Data],2,FALSE)</f>
        <v>Sustrato Perlita</v>
      </c>
      <c r="D1008" s="37">
        <f>VLOOKUP(Ventas[[#This Row],[Codigo]],Stock[#Data],4,FALSE)</f>
        <v>800</v>
      </c>
      <c r="E1008" s="33">
        <f>VLOOKUP(Ventas[[#This Row],[Codigo]],Stock[#Data],3,FALSE)</f>
        <v>400</v>
      </c>
      <c r="F1008" s="38">
        <v>1</v>
      </c>
      <c r="G1008">
        <v>52</v>
      </c>
      <c r="H1008" s="36">
        <f>Ventas[[#This Row],[Precio Venta]]*Ventas[[#This Row],[Cantidad]]-Ventas[[#This Row],[Descuento]]</f>
        <v>800</v>
      </c>
      <c r="I1008" s="34">
        <f>Ventas[[#This Row],[Total]]-Ventas[[#This Row],[Precio compra]]*Ventas[[#This Row],[Cantidad]]</f>
        <v>400</v>
      </c>
      <c r="J1008" s="34"/>
      <c r="K1008" s="34">
        <f>Ventas[[#This Row],[Total]]*Ventas[[#This Row],[Total 3]]</f>
        <v>0</v>
      </c>
      <c r="L1008" s="34"/>
      <c r="M1008" s="34"/>
    </row>
    <row r="1009" spans="1:13" ht="21.75" customHeight="1">
      <c r="A1009" s="16"/>
      <c r="B1009" s="39" t="s">
        <v>630</v>
      </c>
      <c r="C1009" s="35" t="str">
        <f>VLOOKUP(Ventas[[#This Row],[Codigo]],Stock[#Data],2,FALSE)</f>
        <v>Sedas Lion Rolling Circus 1/4 celulosa</v>
      </c>
      <c r="D1009" s="37">
        <f>VLOOKUP(Ventas[[#This Row],[Codigo]],Stock[#Data],4,FALSE)</f>
        <v>700</v>
      </c>
      <c r="E1009" s="33">
        <f>VLOOKUP(Ventas[[#This Row],[Codigo]],Stock[#Data],3,FALSE)</f>
        <v>348</v>
      </c>
      <c r="F1009" s="38">
        <v>1</v>
      </c>
      <c r="G1009">
        <v>65</v>
      </c>
      <c r="H1009" s="36">
        <f>Ventas[[#This Row],[Precio Venta]]*Ventas[[#This Row],[Cantidad]]-Ventas[[#This Row],[Descuento]]</f>
        <v>700</v>
      </c>
      <c r="I1009" s="34">
        <f>Ventas[[#This Row],[Total]]-Ventas[[#This Row],[Precio compra]]*Ventas[[#This Row],[Cantidad]]</f>
        <v>352</v>
      </c>
      <c r="J1009" s="34"/>
      <c r="K1009" s="34">
        <f>Ventas[[#This Row],[Total]]*Ventas[[#This Row],[Total 3]]</f>
        <v>0</v>
      </c>
      <c r="L1009" s="34"/>
      <c r="M1009" s="34"/>
    </row>
    <row r="1010" spans="1:13" ht="21.75" customHeight="1">
      <c r="A1010" s="16"/>
      <c r="B1010" s="39" t="s">
        <v>630</v>
      </c>
      <c r="C1010" s="35" t="str">
        <f>VLOOKUP(Ventas[[#This Row],[Codigo]],Stock[#Data],2,FALSE)</f>
        <v>Namaste Flora Booster 500ml</v>
      </c>
      <c r="D1010" s="37">
        <f>VLOOKUP(Ventas[[#This Row],[Codigo]],Stock[#Data],4,FALSE)</f>
        <v>2500</v>
      </c>
      <c r="E1010" s="33">
        <f>VLOOKUP(Ventas[[#This Row],[Codigo]],Stock[#Data],3,FALSE)</f>
        <v>1377</v>
      </c>
      <c r="F1010" s="38">
        <v>2</v>
      </c>
      <c r="G1010">
        <v>496</v>
      </c>
      <c r="H1010" s="36">
        <f>Ventas[[#This Row],[Precio Venta]]*Ventas[[#This Row],[Cantidad]]-Ventas[[#This Row],[Descuento]]</f>
        <v>5000</v>
      </c>
      <c r="I1010" s="34">
        <f>Ventas[[#This Row],[Total]]-Ventas[[#This Row],[Precio compra]]*Ventas[[#This Row],[Cantidad]]</f>
        <v>2246</v>
      </c>
      <c r="J1010" s="34"/>
      <c r="K1010" s="34">
        <f>Ventas[[#This Row],[Total]]*Ventas[[#This Row],[Total 3]]</f>
        <v>0</v>
      </c>
      <c r="L1010" s="34"/>
      <c r="M1010" s="34"/>
    </row>
    <row r="1011" spans="1:13" ht="21.75" customHeight="1">
      <c r="A1011" s="16"/>
      <c r="B1011" s="39" t="s">
        <v>630</v>
      </c>
      <c r="C1011" s="35" t="str">
        <f>VLOOKUP(Ventas[[#This Row],[Codigo]],Stock[#Data],2,FALSE)</f>
        <v>TreeMIX PRO 200ml</v>
      </c>
      <c r="D1011" s="37">
        <f>VLOOKUP(Ventas[[#This Row],[Codigo]],Stock[#Data],4,FALSE)</f>
        <v>1500</v>
      </c>
      <c r="E1011" s="33">
        <f>VLOOKUP(Ventas[[#This Row],[Codigo]],Stock[#Data],3,FALSE)</f>
        <v>700</v>
      </c>
      <c r="F1011" s="38">
        <v>1</v>
      </c>
      <c r="G1011">
        <v>30</v>
      </c>
      <c r="H1011" s="36">
        <f>Ventas[[#This Row],[Precio Venta]]*Ventas[[#This Row],[Cantidad]]-Ventas[[#This Row],[Descuento]]</f>
        <v>1500</v>
      </c>
      <c r="I1011" s="34">
        <f>Ventas[[#This Row],[Total]]-Ventas[[#This Row],[Precio compra]]*Ventas[[#This Row],[Cantidad]]</f>
        <v>800</v>
      </c>
      <c r="J1011" s="34"/>
      <c r="K1011" s="34">
        <f>Ventas[[#This Row],[Total]]*Ventas[[#This Row],[Total 3]]</f>
        <v>0</v>
      </c>
      <c r="L1011" s="34"/>
      <c r="M1011" s="34"/>
    </row>
    <row r="1012" spans="1:13" ht="21.75" customHeight="1">
      <c r="A1012" s="16"/>
      <c r="B1012" s="39" t="s">
        <v>630</v>
      </c>
      <c r="C1012" s="35" t="str">
        <f>VLOOKUP(Ventas[[#This Row],[Codigo]],Stock[#Data],2,FALSE)</f>
        <v>4 en 1 250ml Green Leaf Insumos</v>
      </c>
      <c r="D1012" s="37">
        <f>VLOOKUP(Ventas[[#This Row],[Codigo]],Stock[#Data],4,FALSE)</f>
        <v>2300</v>
      </c>
      <c r="E1012" s="33">
        <f>VLOOKUP(Ventas[[#This Row],[Codigo]],Stock[#Data],3,FALSE)</f>
        <v>1179</v>
      </c>
      <c r="F1012" s="38">
        <v>1</v>
      </c>
      <c r="G1012">
        <v>576</v>
      </c>
      <c r="H1012" s="36">
        <f>Ventas[[#This Row],[Precio Venta]]*Ventas[[#This Row],[Cantidad]]-Ventas[[#This Row],[Descuento]]</f>
        <v>2300</v>
      </c>
      <c r="I1012" s="34">
        <f>Ventas[[#This Row],[Total]]-Ventas[[#This Row],[Precio compra]]*Ventas[[#This Row],[Cantidad]]</f>
        <v>1121</v>
      </c>
      <c r="J1012" s="34"/>
      <c r="K1012" s="34">
        <f>Ventas[[#This Row],[Total]]*Ventas[[#This Row],[Total 3]]</f>
        <v>0</v>
      </c>
      <c r="L1012" s="34"/>
      <c r="M1012" s="34"/>
    </row>
    <row r="1013" spans="1:13" ht="21.75" customHeight="1">
      <c r="A1013" s="16"/>
      <c r="B1013" s="39" t="s">
        <v>630</v>
      </c>
      <c r="C1013" s="35" t="str">
        <f>VLOOKUP(Ventas[[#This Row],[Codigo]],Stock[#Data],2,FALSE)</f>
        <v>VAMP Guano de murcielago Flora</v>
      </c>
      <c r="D1013" s="37">
        <f>VLOOKUP(Ventas[[#This Row],[Codigo]],Stock[#Data],4,FALSE)</f>
        <v>1000</v>
      </c>
      <c r="E1013" s="33">
        <f>VLOOKUP(Ventas[[#This Row],[Codigo]],Stock[#Data],3,FALSE)</f>
        <v>510</v>
      </c>
      <c r="F1013" s="38">
        <v>1</v>
      </c>
      <c r="G1013">
        <v>38</v>
      </c>
      <c r="H1013" s="36">
        <f>Ventas[[#This Row],[Precio Venta]]*Ventas[[#This Row],[Cantidad]]-Ventas[[#This Row],[Descuento]]</f>
        <v>1000</v>
      </c>
      <c r="I1013" s="34">
        <f>Ventas[[#This Row],[Total]]-Ventas[[#This Row],[Precio compra]]*Ventas[[#This Row],[Cantidad]]</f>
        <v>490</v>
      </c>
      <c r="J1013" s="34"/>
      <c r="K1013" s="34">
        <f>Ventas[[#This Row],[Total]]*Ventas[[#This Row],[Total 3]]</f>
        <v>0</v>
      </c>
      <c r="L1013" s="34"/>
      <c r="M1013" s="34"/>
    </row>
    <row r="1014" spans="1:13" ht="21.75" customHeight="1">
      <c r="A1014" s="16"/>
      <c r="B1014" s="39" t="s">
        <v>630</v>
      </c>
      <c r="C1014" s="35" t="str">
        <f>VLOOKUP(Ventas[[#This Row],[Codigo]],Stock[#Data],2,FALSE)</f>
        <v>VAMP Guano de murcielago Vegetativo</v>
      </c>
      <c r="D1014" s="37">
        <f>VLOOKUP(Ventas[[#This Row],[Codigo]],Stock[#Data],4,FALSE)</f>
        <v>1000</v>
      </c>
      <c r="E1014" s="33">
        <f>VLOOKUP(Ventas[[#This Row],[Codigo]],Stock[#Data],3,FALSE)</f>
        <v>510</v>
      </c>
      <c r="F1014" s="38">
        <v>1</v>
      </c>
      <c r="G1014">
        <v>37</v>
      </c>
      <c r="H1014" s="36">
        <f>Ventas[[#This Row],[Precio Venta]]*Ventas[[#This Row],[Cantidad]]-Ventas[[#This Row],[Descuento]]</f>
        <v>1000</v>
      </c>
      <c r="I1014" s="34">
        <f>Ventas[[#This Row],[Total]]-Ventas[[#This Row],[Precio compra]]*Ventas[[#This Row],[Cantidad]]</f>
        <v>490</v>
      </c>
      <c r="J1014" s="34"/>
      <c r="K1014" s="34">
        <f>Ventas[[#This Row],[Total]]*Ventas[[#This Row],[Total 3]]</f>
        <v>0</v>
      </c>
      <c r="L1014" s="34"/>
      <c r="M1014" s="34"/>
    </row>
    <row r="1015" spans="1:13" ht="21.75" customHeight="1">
      <c r="A1015" s="16"/>
      <c r="B1015" s="39" t="s">
        <v>630</v>
      </c>
      <c r="C1015" s="35" t="str">
        <f>VLOOKUP(Ventas[[#This Row],[Codigo]],Stock[#Data],2,FALSE)</f>
        <v>Nostress Dolomita</v>
      </c>
      <c r="D1015" s="37">
        <f>VLOOKUP(Ventas[[#This Row],[Codigo]],Stock[#Data],4,FALSE)</f>
        <v>500</v>
      </c>
      <c r="E1015" s="33">
        <f>VLOOKUP(Ventas[[#This Row],[Codigo]],Stock[#Data],3,FALSE)</f>
        <v>230</v>
      </c>
      <c r="F1015" s="38">
        <v>1</v>
      </c>
      <c r="G1015">
        <v>452</v>
      </c>
      <c r="H1015" s="36">
        <f>Ventas[[#This Row],[Precio Venta]]*Ventas[[#This Row],[Cantidad]]-Ventas[[#This Row],[Descuento]]</f>
        <v>500</v>
      </c>
      <c r="I1015" s="34">
        <f>Ventas[[#This Row],[Total]]-Ventas[[#This Row],[Precio compra]]*Ventas[[#This Row],[Cantidad]]</f>
        <v>270</v>
      </c>
      <c r="J1015" s="34"/>
      <c r="K1015" s="34">
        <f>Ventas[[#This Row],[Total]]*Ventas[[#This Row],[Total 3]]</f>
        <v>0</v>
      </c>
      <c r="L1015" s="34"/>
      <c r="M1015" s="34"/>
    </row>
    <row r="1016" spans="1:13" ht="21.75" customHeight="1">
      <c r="A1016" s="16"/>
      <c r="B1016" s="39" t="s">
        <v>630</v>
      </c>
      <c r="C1016" s="35" t="str">
        <f>VLOOKUP(Ventas[[#This Row],[Codigo]],Stock[#Data],2,FALSE)</f>
        <v>VAMP Supermelaza</v>
      </c>
      <c r="D1016" s="37">
        <f>VLOOKUP(Ventas[[#This Row],[Codigo]],Stock[#Data],4,FALSE)</f>
        <v>1800</v>
      </c>
      <c r="E1016" s="33">
        <f>VLOOKUP(Ventas[[#This Row],[Codigo]],Stock[#Data],3,FALSE)</f>
        <v>908</v>
      </c>
      <c r="F1016" s="38">
        <v>1</v>
      </c>
      <c r="G1016">
        <v>36</v>
      </c>
      <c r="H1016" s="36">
        <f>Ventas[[#This Row],[Precio Venta]]*Ventas[[#This Row],[Cantidad]]-Ventas[[#This Row],[Descuento]]</f>
        <v>1800</v>
      </c>
      <c r="I1016" s="34">
        <f>Ventas[[#This Row],[Total]]-Ventas[[#This Row],[Precio compra]]*Ventas[[#This Row],[Cantidad]]</f>
        <v>892</v>
      </c>
      <c r="J1016" s="34"/>
      <c r="K1016" s="34">
        <f>Ventas[[#This Row],[Total]]*Ventas[[#This Row],[Total 3]]</f>
        <v>0</v>
      </c>
      <c r="L1016" s="34"/>
      <c r="M1016" s="34"/>
    </row>
    <row r="1017" spans="1:13" ht="21.75" customHeight="1">
      <c r="A1017" s="16"/>
      <c r="B1017" s="39" t="s">
        <v>630</v>
      </c>
      <c r="C1017" s="35" t="str">
        <f>VLOOKUP(Ventas[[#This Row],[Codigo]],Stock[#Data],2,FALSE)</f>
        <v>Namaste Oro Negro 500ml</v>
      </c>
      <c r="D1017" s="37">
        <f>VLOOKUP(Ventas[[#This Row],[Codigo]],Stock[#Data],4,FALSE)</f>
        <v>2500</v>
      </c>
      <c r="E1017" s="33">
        <f>VLOOKUP(Ventas[[#This Row],[Codigo]],Stock[#Data],3,FALSE)</f>
        <v>1390</v>
      </c>
      <c r="F1017" s="38">
        <v>1</v>
      </c>
      <c r="G1017">
        <v>497</v>
      </c>
      <c r="H1017" s="36">
        <f>Ventas[[#This Row],[Precio Venta]]*Ventas[[#This Row],[Cantidad]]-Ventas[[#This Row],[Descuento]]</f>
        <v>2500</v>
      </c>
      <c r="I1017" s="34">
        <f>Ventas[[#This Row],[Total]]-Ventas[[#This Row],[Precio compra]]*Ventas[[#This Row],[Cantidad]]</f>
        <v>1110</v>
      </c>
      <c r="J1017" s="34"/>
      <c r="K1017" s="34">
        <f>Ventas[[#This Row],[Total]]*Ventas[[#This Row],[Total 3]]</f>
        <v>0</v>
      </c>
      <c r="L1017" s="34"/>
      <c r="M1017" s="34"/>
    </row>
    <row r="1018" spans="1:13" ht="21.75" customHeight="1">
      <c r="A1018" s="16"/>
      <c r="B1018" s="39" t="s">
        <v>630</v>
      </c>
      <c r="C1018" s="35" t="str">
        <f>VLOOKUP(Ventas[[#This Row],[Codigo]],Stock[#Data],2,FALSE)</f>
        <v>Bandeja OCB con tapa</v>
      </c>
      <c r="D1018" s="37">
        <f>VLOOKUP(Ventas[[#This Row],[Codigo]],Stock[#Data],4,FALSE)</f>
        <v>3000</v>
      </c>
      <c r="E1018" s="33">
        <f>VLOOKUP(Ventas[[#This Row],[Codigo]],Stock[#Data],3,FALSE)</f>
        <v>1321</v>
      </c>
      <c r="F1018" s="38">
        <v>1</v>
      </c>
      <c r="G1018">
        <v>546</v>
      </c>
      <c r="H1018" s="36">
        <f>Ventas[[#This Row],[Precio Venta]]*Ventas[[#This Row],[Cantidad]]-Ventas[[#This Row],[Descuento]]</f>
        <v>3000</v>
      </c>
      <c r="I1018" s="34">
        <f>Ventas[[#This Row],[Total]]-Ventas[[#This Row],[Precio compra]]*Ventas[[#This Row],[Cantidad]]</f>
        <v>1679</v>
      </c>
      <c r="J1018" s="34"/>
      <c r="K1018" s="34">
        <f>Ventas[[#This Row],[Total]]*Ventas[[#This Row],[Total 3]]</f>
        <v>0</v>
      </c>
      <c r="L1018" s="34"/>
      <c r="M1018" s="34"/>
    </row>
    <row r="1019" spans="1:13" ht="21.75" customHeight="1">
      <c r="A1019" s="16"/>
      <c r="B1019" s="39" t="s">
        <v>630</v>
      </c>
      <c r="C1019" s="35" t="str">
        <f>VLOOKUP(Ventas[[#This Row],[Codigo]],Stock[#Data],2,FALSE)</f>
        <v>Sauver 1/4</v>
      </c>
      <c r="D1019" s="37">
        <f>VLOOKUP(Ventas[[#This Row],[Codigo]],Stock[#Data],4,FALSE)</f>
        <v>200</v>
      </c>
      <c r="E1019" s="33">
        <f>VLOOKUP(Ventas[[#This Row],[Codigo]],Stock[#Data],3,FALSE)</f>
        <v>75</v>
      </c>
      <c r="F1019" s="38">
        <v>1</v>
      </c>
      <c r="G1019">
        <v>149</v>
      </c>
      <c r="H1019" s="36">
        <f>Ventas[[#This Row],[Precio Venta]]*Ventas[[#This Row],[Cantidad]]-Ventas[[#This Row],[Descuento]]</f>
        <v>200</v>
      </c>
      <c r="I1019" s="34">
        <f>Ventas[[#This Row],[Total]]-Ventas[[#This Row],[Precio compra]]*Ventas[[#This Row],[Cantidad]]</f>
        <v>125</v>
      </c>
      <c r="J1019" s="34"/>
      <c r="K1019" s="34">
        <f>Ventas[[#This Row],[Total]]*Ventas[[#This Row],[Total 3]]</f>
        <v>0</v>
      </c>
      <c r="L1019" s="34"/>
      <c r="M1019" s="34"/>
    </row>
    <row r="1020" spans="1:13" ht="21.75" customHeight="1">
      <c r="A1020" s="16"/>
      <c r="B1020" s="39" t="s">
        <v>630</v>
      </c>
      <c r="C1020" s="35" t="str">
        <f>VLOOKUP(Ventas[[#This Row],[Codigo]],Stock[#Data],2,FALSE)</f>
        <v>Picador Lion  Acrilico 2p</v>
      </c>
      <c r="D1020" s="37">
        <f>VLOOKUP(Ventas[[#This Row],[Codigo]],Stock[#Data],4,FALSE)</f>
        <v>1600</v>
      </c>
      <c r="E1020" s="33">
        <f>VLOOKUP(Ventas[[#This Row],[Codigo]],Stock[#Data],3,FALSE)</f>
        <v>770</v>
      </c>
      <c r="F1020" s="38">
        <v>1</v>
      </c>
      <c r="G1020">
        <v>475</v>
      </c>
      <c r="H1020" s="36">
        <f>Ventas[[#This Row],[Precio Venta]]*Ventas[[#This Row],[Cantidad]]-Ventas[[#This Row],[Descuento]]</f>
        <v>1600</v>
      </c>
      <c r="I1020" s="34">
        <f>Ventas[[#This Row],[Total]]-Ventas[[#This Row],[Precio compra]]*Ventas[[#This Row],[Cantidad]]</f>
        <v>830</v>
      </c>
      <c r="J1020" s="34"/>
      <c r="K1020" s="34">
        <f>Ventas[[#This Row],[Total]]*Ventas[[#This Row],[Total 3]]</f>
        <v>0</v>
      </c>
      <c r="L1020" s="34"/>
      <c r="M1020" s="34"/>
    </row>
    <row r="1021" spans="1:13" ht="21.75" customHeight="1">
      <c r="A1021" s="16"/>
      <c r="B1021" s="39" t="s">
        <v>630</v>
      </c>
      <c r="C1021" s="35" t="str">
        <f>VLOOKUP(Ventas[[#This Row],[Codigo]],Stock[#Data],2,FALSE)</f>
        <v>Sedas GIZEH Kz Pink</v>
      </c>
      <c r="D1021" s="37">
        <f>VLOOKUP(Ventas[[#This Row],[Codigo]],Stock[#Data],4,FALSE)</f>
        <v>600</v>
      </c>
      <c r="E1021" s="33">
        <f>VLOOKUP(Ventas[[#This Row],[Codigo]],Stock[#Data],3,FALSE)</f>
        <v>298</v>
      </c>
      <c r="F1021" s="38">
        <v>1</v>
      </c>
      <c r="G1021">
        <v>86</v>
      </c>
      <c r="H1021" s="36">
        <f>Ventas[[#This Row],[Precio Venta]]*Ventas[[#This Row],[Cantidad]]-Ventas[[#This Row],[Descuento]]</f>
        <v>600</v>
      </c>
      <c r="I1021" s="34">
        <f>Ventas[[#This Row],[Total]]-Ventas[[#This Row],[Precio compra]]*Ventas[[#This Row],[Cantidad]]</f>
        <v>302</v>
      </c>
      <c r="J1021" s="34"/>
      <c r="K1021" s="34">
        <f>Ventas[[#This Row],[Total]]*Ventas[[#This Row],[Total 3]]</f>
        <v>0</v>
      </c>
      <c r="L1021" s="34"/>
      <c r="M1021" s="34"/>
    </row>
    <row r="1022" spans="1:13" ht="21.75" customHeight="1">
      <c r="A1022" s="16"/>
      <c r="B1022" s="39" t="s">
        <v>627</v>
      </c>
      <c r="C1022" s="35" t="str">
        <f>VLOOKUP(Ventas[[#This Row],[Codigo]],Stock[#Data],2,FALSE)</f>
        <v>4 en 1 100ml Green Leaf Insumos</v>
      </c>
      <c r="D1022" s="37">
        <f>VLOOKUP(Ventas[[#This Row],[Codigo]],Stock[#Data],4,FALSE)</f>
        <v>1000</v>
      </c>
      <c r="E1022" s="33">
        <f>VLOOKUP(Ventas[[#This Row],[Codigo]],Stock[#Data],3,FALSE)</f>
        <v>498</v>
      </c>
      <c r="F1022" s="38">
        <v>1</v>
      </c>
      <c r="G1022">
        <v>575</v>
      </c>
      <c r="H1022" s="36">
        <f>Ventas[[#This Row],[Precio Venta]]*Ventas[[#This Row],[Cantidad]]-Ventas[[#This Row],[Descuento]]</f>
        <v>1000</v>
      </c>
      <c r="I1022" s="34">
        <f>Ventas[[#This Row],[Total]]-Ventas[[#This Row],[Precio compra]]*Ventas[[#This Row],[Cantidad]]</f>
        <v>502</v>
      </c>
      <c r="J1022" s="34"/>
      <c r="K1022" s="34">
        <f>Ventas[[#This Row],[Total]]*Ventas[[#This Row],[Total 3]]</f>
        <v>0</v>
      </c>
      <c r="L1022" s="34"/>
      <c r="M1022" s="34"/>
    </row>
    <row r="1023" spans="1:13" ht="21.75" customHeight="1">
      <c r="A1023" s="16"/>
      <c r="B1023" s="39" t="s">
        <v>627</v>
      </c>
      <c r="C1023" s="35" t="str">
        <f>VLOOKUP(Ventas[[#This Row],[Codigo]],Stock[#Data],2,FALSE)</f>
        <v>Sustrato Perlita</v>
      </c>
      <c r="D1023" s="37">
        <f>VLOOKUP(Ventas[[#This Row],[Codigo]],Stock[#Data],4,FALSE)</f>
        <v>800</v>
      </c>
      <c r="E1023" s="33">
        <f>VLOOKUP(Ventas[[#This Row],[Codigo]],Stock[#Data],3,FALSE)</f>
        <v>400</v>
      </c>
      <c r="F1023" s="38">
        <v>1</v>
      </c>
      <c r="G1023">
        <v>52</v>
      </c>
      <c r="H1023" s="36">
        <f>Ventas[[#This Row],[Precio Venta]]*Ventas[[#This Row],[Cantidad]]-Ventas[[#This Row],[Descuento]]</f>
        <v>800</v>
      </c>
      <c r="I1023" s="34">
        <f>Ventas[[#This Row],[Total]]-Ventas[[#This Row],[Precio compra]]*Ventas[[#This Row],[Cantidad]]</f>
        <v>400</v>
      </c>
      <c r="J1023" s="34"/>
      <c r="K1023" s="34">
        <f>Ventas[[#This Row],[Total]]*Ventas[[#This Row],[Total 3]]</f>
        <v>0</v>
      </c>
      <c r="L1023" s="34"/>
      <c r="M1023" s="34"/>
    </row>
    <row r="1024" spans="1:13" ht="21.75" customHeight="1">
      <c r="A1024" s="16"/>
      <c r="B1024" s="39" t="s">
        <v>627</v>
      </c>
      <c r="C1024" s="35" t="str">
        <f>VLOOKUP(Ventas[[#This Row],[Codigo]],Stock[#Data],2,FALSE)</f>
        <v>Geotextiles 30l Dgrow</v>
      </c>
      <c r="D1024" s="37">
        <f>VLOOKUP(Ventas[[#This Row],[Codigo]],Stock[#Data],4,FALSE)</f>
        <v>800</v>
      </c>
      <c r="E1024" s="33">
        <f>VLOOKUP(Ventas[[#This Row],[Codigo]],Stock[#Data],3,FALSE)</f>
        <v>400</v>
      </c>
      <c r="F1024" s="38">
        <v>1</v>
      </c>
      <c r="G1024">
        <v>579</v>
      </c>
      <c r="H1024" s="36">
        <f>Ventas[[#This Row],[Precio Venta]]*Ventas[[#This Row],[Cantidad]]-Ventas[[#This Row],[Descuento]]</f>
        <v>800</v>
      </c>
      <c r="I1024" s="34">
        <f>Ventas[[#This Row],[Total]]-Ventas[[#This Row],[Precio compra]]*Ventas[[#This Row],[Cantidad]]</f>
        <v>400</v>
      </c>
      <c r="J1024" s="34"/>
      <c r="K1024" s="34">
        <f>Ventas[[#This Row],[Total]]*Ventas[[#This Row],[Total 3]]</f>
        <v>0</v>
      </c>
      <c r="L1024" s="34"/>
      <c r="M1024" s="34"/>
    </row>
    <row r="1025" spans="1:13" ht="21.75" customHeight="1">
      <c r="A1025" s="16"/>
      <c r="B1025" s="39" t="s">
        <v>627</v>
      </c>
      <c r="C1025" s="35" t="str">
        <f>VLOOKUP(Ventas[[#This Row],[Codigo]],Stock[#Data],2,FALSE)</f>
        <v xml:space="preserve">Clipper Raw </v>
      </c>
      <c r="D1025" s="37">
        <f>VLOOKUP(Ventas[[#This Row],[Codigo]],Stock[#Data],4,FALSE)</f>
        <v>550</v>
      </c>
      <c r="E1025" s="33">
        <f>VLOOKUP(Ventas[[#This Row],[Codigo]],Stock[#Data],3,FALSE)</f>
        <v>276</v>
      </c>
      <c r="F1025" s="38">
        <v>1</v>
      </c>
      <c r="G1025">
        <v>502</v>
      </c>
      <c r="H1025" s="36">
        <f>Ventas[[#This Row],[Precio Venta]]*Ventas[[#This Row],[Cantidad]]-Ventas[[#This Row],[Descuento]]</f>
        <v>550</v>
      </c>
      <c r="I1025" s="34">
        <f>Ventas[[#This Row],[Total]]-Ventas[[#This Row],[Precio compra]]*Ventas[[#This Row],[Cantidad]]</f>
        <v>274</v>
      </c>
      <c r="J1025" s="34"/>
      <c r="K1025" s="34">
        <f>Ventas[[#This Row],[Total]]*Ventas[[#This Row],[Total 3]]</f>
        <v>0</v>
      </c>
      <c r="L1025" s="34"/>
      <c r="M1025" s="34"/>
    </row>
    <row r="1026" spans="1:13" ht="21.75" customHeight="1">
      <c r="A1026" s="16"/>
      <c r="B1026" s="39" t="s">
        <v>627</v>
      </c>
      <c r="C1026" s="35" t="str">
        <f>VLOOKUP(Ventas[[#This Row],[Codigo]],Stock[#Data],2,FALSE)</f>
        <v>Tijeras Garden High Pro curva</v>
      </c>
      <c r="D1026" s="37">
        <f>VLOOKUP(Ventas[[#This Row],[Codigo]],Stock[#Data],4,FALSE)</f>
        <v>4000</v>
      </c>
      <c r="E1026" s="33">
        <f>VLOOKUP(Ventas[[#This Row],[Codigo]],Stock[#Data],3,FALSE)</f>
        <v>1926</v>
      </c>
      <c r="F1026" s="38">
        <v>1</v>
      </c>
      <c r="G1026">
        <v>306</v>
      </c>
      <c r="H1026" s="36">
        <f>Ventas[[#This Row],[Precio Venta]]*Ventas[[#This Row],[Cantidad]]-Ventas[[#This Row],[Descuento]]</f>
        <v>4000</v>
      </c>
      <c r="I1026" s="34">
        <f>Ventas[[#This Row],[Total]]-Ventas[[#This Row],[Precio compra]]*Ventas[[#This Row],[Cantidad]]</f>
        <v>2074</v>
      </c>
      <c r="J1026" s="34"/>
      <c r="K1026" s="34">
        <f>Ventas[[#This Row],[Total]]*Ventas[[#This Row],[Total 3]]</f>
        <v>0</v>
      </c>
      <c r="L1026" s="34"/>
      <c r="M1026" s="34"/>
    </row>
    <row r="1027" spans="1:13" ht="21.75" customHeight="1">
      <c r="A1027" s="16"/>
      <c r="B1027" s="39" t="s">
        <v>627</v>
      </c>
      <c r="C1027" s="35" t="str">
        <f>VLOOKUP(Ventas[[#This Row],[Codigo]],Stock[#Data],2,FALSE)</f>
        <v>Picador Dk Calavera 3p</v>
      </c>
      <c r="D1027" s="37">
        <f>VLOOKUP(Ventas[[#This Row],[Codigo]],Stock[#Data],4,FALSE)</f>
        <v>2500</v>
      </c>
      <c r="E1027" s="33">
        <f>VLOOKUP(Ventas[[#This Row],[Codigo]],Stock[#Data],3,FALSE)</f>
        <v>1250</v>
      </c>
      <c r="F1027" s="38">
        <v>1</v>
      </c>
      <c r="G1027">
        <v>434</v>
      </c>
      <c r="H1027" s="36">
        <f>Ventas[[#This Row],[Precio Venta]]*Ventas[[#This Row],[Cantidad]]-Ventas[[#This Row],[Descuento]]</f>
        <v>2500</v>
      </c>
      <c r="I1027" s="34">
        <f>Ventas[[#This Row],[Total]]-Ventas[[#This Row],[Precio compra]]*Ventas[[#This Row],[Cantidad]]</f>
        <v>1250</v>
      </c>
      <c r="J1027" s="34"/>
      <c r="K1027" s="34">
        <f>Ventas[[#This Row],[Total]]*Ventas[[#This Row],[Total 3]]</f>
        <v>0</v>
      </c>
      <c r="L1027" s="34"/>
      <c r="M1027" s="34"/>
    </row>
    <row r="1028" spans="1:13" ht="21.75" customHeight="1">
      <c r="A1028" s="16"/>
      <c r="B1028" s="39" t="s">
        <v>621</v>
      </c>
      <c r="C1028" s="35" t="str">
        <f>VLOOKUP(Ventas[[#This Row],[Codigo]],Stock[#Data],2,FALSE)</f>
        <v>Namaste Oro Negro 500ml</v>
      </c>
      <c r="D1028" s="37">
        <f>VLOOKUP(Ventas[[#This Row],[Codigo]],Stock[#Data],4,FALSE)</f>
        <v>2500</v>
      </c>
      <c r="E1028" s="33">
        <f>VLOOKUP(Ventas[[#This Row],[Codigo]],Stock[#Data],3,FALSE)</f>
        <v>1390</v>
      </c>
      <c r="F1028" s="38">
        <v>1</v>
      </c>
      <c r="G1028">
        <v>497</v>
      </c>
      <c r="H1028" s="36">
        <f>Ventas[[#This Row],[Precio Venta]]*Ventas[[#This Row],[Cantidad]]-Ventas[[#This Row],[Descuento]]</f>
        <v>2500</v>
      </c>
      <c r="I1028" s="34">
        <f>Ventas[[#This Row],[Total]]-Ventas[[#This Row],[Precio compra]]*Ventas[[#This Row],[Cantidad]]</f>
        <v>1110</v>
      </c>
      <c r="J1028" s="34"/>
      <c r="K1028" s="34">
        <f>Ventas[[#This Row],[Total]]*Ventas[[#This Row],[Total 3]]</f>
        <v>0</v>
      </c>
      <c r="L1028" s="34"/>
      <c r="M1028" s="34"/>
    </row>
    <row r="1029" spans="1:13" ht="21.75" customHeight="1">
      <c r="A1029" s="16"/>
      <c r="B1029" s="39" t="s">
        <v>621</v>
      </c>
      <c r="C1029" s="35" t="str">
        <f>VLOOKUP(Ventas[[#This Row],[Codigo]],Stock[#Data],2,FALSE)</f>
        <v xml:space="preserve">Filtros Gizhe + Sedas </v>
      </c>
      <c r="D1029" s="37">
        <f>VLOOKUP(Ventas[[#This Row],[Codigo]],Stock[#Data],4,FALSE)</f>
        <v>350</v>
      </c>
      <c r="E1029" s="33">
        <f>VLOOKUP(Ventas[[#This Row],[Codigo]],Stock[#Data],3,FALSE)</f>
        <v>150</v>
      </c>
      <c r="F1029" s="38">
        <v>1</v>
      </c>
      <c r="G1029">
        <v>476</v>
      </c>
      <c r="H1029" s="36">
        <f>Ventas[[#This Row],[Precio Venta]]*Ventas[[#This Row],[Cantidad]]-Ventas[[#This Row],[Descuento]]</f>
        <v>350</v>
      </c>
      <c r="I1029" s="34">
        <f>Ventas[[#This Row],[Total]]-Ventas[[#This Row],[Precio compra]]*Ventas[[#This Row],[Cantidad]]</f>
        <v>200</v>
      </c>
      <c r="J1029" s="34"/>
      <c r="K1029" s="34">
        <f>Ventas[[#This Row],[Total]]*Ventas[[#This Row],[Total 3]]</f>
        <v>0</v>
      </c>
      <c r="L1029" s="34"/>
      <c r="M1029" s="34"/>
    </row>
    <row r="1030" spans="1:13" ht="21.75" customHeight="1">
      <c r="A1030" s="16"/>
      <c r="B1030" s="39" t="s">
        <v>621</v>
      </c>
      <c r="C1030" s="35" t="str">
        <f>VLOOKUP(Ventas[[#This Row],[Codigo]],Stock[#Data],2,FALSE)</f>
        <v>Trichodermas Cultivate</v>
      </c>
      <c r="D1030" s="37">
        <f>VLOOKUP(Ventas[[#This Row],[Codigo]],Stock[#Data],4,FALSE)</f>
        <v>1900</v>
      </c>
      <c r="E1030" s="33">
        <f>VLOOKUP(Ventas[[#This Row],[Codigo]],Stock[#Data],3,FALSE)</f>
        <v>957</v>
      </c>
      <c r="F1030" s="38">
        <v>1</v>
      </c>
      <c r="G1030">
        <v>578</v>
      </c>
      <c r="H1030" s="36">
        <f>Ventas[[#This Row],[Precio Venta]]*Ventas[[#This Row],[Cantidad]]-Ventas[[#This Row],[Descuento]]</f>
        <v>1900</v>
      </c>
      <c r="I1030" s="34">
        <f>Ventas[[#This Row],[Total]]-Ventas[[#This Row],[Precio compra]]*Ventas[[#This Row],[Cantidad]]</f>
        <v>943</v>
      </c>
      <c r="J1030" s="34"/>
      <c r="K1030" s="34">
        <f>Ventas[[#This Row],[Total]]*Ventas[[#This Row],[Total 3]]</f>
        <v>0</v>
      </c>
      <c r="L1030" s="34"/>
      <c r="M1030" s="34"/>
    </row>
    <row r="1031" spans="1:13" ht="21.75" customHeight="1">
      <c r="A1031" s="16"/>
      <c r="B1031" s="39" t="s">
        <v>621</v>
      </c>
      <c r="C1031" s="35" t="str">
        <f>VLOOKUP(Ventas[[#This Row],[Codigo]],Stock[#Data],2,FALSE)</f>
        <v>Sedas Lion Rolling Circus 1/4 alfalfa</v>
      </c>
      <c r="D1031" s="37">
        <f>VLOOKUP(Ventas[[#This Row],[Codigo]],Stock[#Data],4,FALSE)</f>
        <v>300</v>
      </c>
      <c r="E1031" s="33">
        <f>VLOOKUP(Ventas[[#This Row],[Codigo]],Stock[#Data],3,FALSE)</f>
        <v>150</v>
      </c>
      <c r="F1031" s="38">
        <v>1</v>
      </c>
      <c r="G1031">
        <v>63</v>
      </c>
      <c r="H1031" s="36">
        <f>Ventas[[#This Row],[Precio Venta]]*Ventas[[#This Row],[Cantidad]]-Ventas[[#This Row],[Descuento]]</f>
        <v>300</v>
      </c>
      <c r="I1031" s="34">
        <f>Ventas[[#This Row],[Total]]-Ventas[[#This Row],[Precio compra]]*Ventas[[#This Row],[Cantidad]]</f>
        <v>150</v>
      </c>
      <c r="J1031" s="34"/>
      <c r="K1031" s="34">
        <f>Ventas[[#This Row],[Total]]*Ventas[[#This Row],[Total 3]]</f>
        <v>0</v>
      </c>
      <c r="L1031" s="34"/>
      <c r="M1031" s="34"/>
    </row>
    <row r="1032" spans="1:13" ht="21.75" customHeight="1">
      <c r="A1032" s="16"/>
      <c r="B1032" s="39" t="s">
        <v>621</v>
      </c>
      <c r="C1032" s="35" t="str">
        <f>VLOOKUP(Ventas[[#This Row],[Codigo]],Stock[#Data],2,FALSE)</f>
        <v>Tips OCB Organic</v>
      </c>
      <c r="D1032" s="37">
        <f>VLOOKUP(Ventas[[#This Row],[Codigo]],Stock[#Data],4,FALSE)</f>
        <v>300</v>
      </c>
      <c r="E1032" s="33">
        <f>VLOOKUP(Ventas[[#This Row],[Codigo]],Stock[#Data],3,FALSE)</f>
        <v>156</v>
      </c>
      <c r="F1032" s="38">
        <v>1</v>
      </c>
      <c r="G1032">
        <v>95</v>
      </c>
      <c r="H1032" s="36">
        <f>Ventas[[#This Row],[Precio Venta]]*Ventas[[#This Row],[Cantidad]]-Ventas[[#This Row],[Descuento]]</f>
        <v>300</v>
      </c>
      <c r="I1032" s="34">
        <f>Ventas[[#This Row],[Total]]-Ventas[[#This Row],[Precio compra]]*Ventas[[#This Row],[Cantidad]]</f>
        <v>144</v>
      </c>
      <c r="J1032" s="34"/>
      <c r="K1032" s="34">
        <f>Ventas[[#This Row],[Total]]*Ventas[[#This Row],[Total 3]]</f>
        <v>0</v>
      </c>
      <c r="L1032" s="34"/>
      <c r="M1032" s="34"/>
    </row>
    <row r="1033" spans="1:13" ht="21.75" customHeight="1">
      <c r="A1033" s="16"/>
      <c r="B1033" s="39" t="s">
        <v>621</v>
      </c>
      <c r="C1033" s="35" t="str">
        <f>VLOOKUP(Ventas[[#This Row],[Codigo]],Stock[#Data],2,FALSE)</f>
        <v>4 en 1 250ml Green Leaf Insumos</v>
      </c>
      <c r="D1033" s="37">
        <f>VLOOKUP(Ventas[[#This Row],[Codigo]],Stock[#Data],4,FALSE)</f>
        <v>2300</v>
      </c>
      <c r="E1033" s="33">
        <f>VLOOKUP(Ventas[[#This Row],[Codigo]],Stock[#Data],3,FALSE)</f>
        <v>1179</v>
      </c>
      <c r="F1033" s="38">
        <v>1</v>
      </c>
      <c r="G1033">
        <v>576</v>
      </c>
      <c r="H1033" s="36">
        <f>Ventas[[#This Row],[Precio Venta]]*Ventas[[#This Row],[Cantidad]]-Ventas[[#This Row],[Descuento]]</f>
        <v>2300</v>
      </c>
      <c r="I1033" s="34">
        <f>Ventas[[#This Row],[Total]]-Ventas[[#This Row],[Precio compra]]*Ventas[[#This Row],[Cantidad]]</f>
        <v>1121</v>
      </c>
      <c r="J1033" s="34"/>
      <c r="K1033" s="34">
        <f>Ventas[[#This Row],[Total]]*Ventas[[#This Row],[Total 3]]</f>
        <v>0</v>
      </c>
      <c r="L1033" s="34"/>
      <c r="M1033" s="34"/>
    </row>
    <row r="1034" spans="1:13" ht="21.75" customHeight="1">
      <c r="A1034" s="16"/>
      <c r="B1034" s="39" t="s">
        <v>621</v>
      </c>
      <c r="C1034" s="35" t="str">
        <f>VLOOKUP(Ventas[[#This Row],[Codigo]],Stock[#Data],2,FALSE)</f>
        <v>VAMP Supermelaza</v>
      </c>
      <c r="D1034" s="37">
        <f>VLOOKUP(Ventas[[#This Row],[Codigo]],Stock[#Data],4,FALSE)</f>
        <v>1800</v>
      </c>
      <c r="E1034" s="33">
        <f>VLOOKUP(Ventas[[#This Row],[Codigo]],Stock[#Data],3,FALSE)</f>
        <v>908</v>
      </c>
      <c r="F1034" s="38">
        <v>1</v>
      </c>
      <c r="G1034">
        <v>36</v>
      </c>
      <c r="H1034" s="36">
        <f>Ventas[[#This Row],[Precio Venta]]*Ventas[[#This Row],[Cantidad]]-Ventas[[#This Row],[Descuento]]</f>
        <v>1800</v>
      </c>
      <c r="I1034" s="34">
        <f>Ventas[[#This Row],[Total]]-Ventas[[#This Row],[Precio compra]]*Ventas[[#This Row],[Cantidad]]</f>
        <v>892</v>
      </c>
      <c r="J1034" s="34"/>
      <c r="K1034" s="34">
        <f>Ventas[[#This Row],[Total]]*Ventas[[#This Row],[Total 3]]</f>
        <v>0</v>
      </c>
      <c r="L1034" s="34"/>
      <c r="M1034" s="34"/>
    </row>
    <row r="1035" spans="1:13" ht="21.75" customHeight="1">
      <c r="A1035" s="16"/>
      <c r="B1035" s="39" t="s">
        <v>621</v>
      </c>
      <c r="C1035" s="35" t="str">
        <f>VLOOKUP(Ventas[[#This Row],[Codigo]],Stock[#Data],2,FALSE)</f>
        <v>Maca Brew 500cc</v>
      </c>
      <c r="D1035" s="37">
        <f>VLOOKUP(Ventas[[#This Row],[Codigo]],Stock[#Data],4,FALSE)</f>
        <v>1000</v>
      </c>
      <c r="E1035" s="33">
        <f>VLOOKUP(Ventas[[#This Row],[Codigo]],Stock[#Data],3,FALSE)</f>
        <v>470</v>
      </c>
      <c r="F1035" s="38">
        <v>1</v>
      </c>
      <c r="G1035">
        <v>12</v>
      </c>
      <c r="H1035" s="36">
        <f>Ventas[[#This Row],[Precio Venta]]*Ventas[[#This Row],[Cantidad]]-Ventas[[#This Row],[Descuento]]</f>
        <v>1000</v>
      </c>
      <c r="I1035" s="34">
        <f>Ventas[[#This Row],[Total]]-Ventas[[#This Row],[Precio compra]]*Ventas[[#This Row],[Cantidad]]</f>
        <v>530</v>
      </c>
      <c r="J1035" s="34"/>
      <c r="K1035" s="34">
        <f>Ventas[[#This Row],[Total]]*Ventas[[#This Row],[Total 3]]</f>
        <v>0</v>
      </c>
      <c r="L1035" s="34"/>
      <c r="M1035" s="34"/>
    </row>
    <row r="1036" spans="1:13" ht="21.75" customHeight="1">
      <c r="A1036" s="16"/>
      <c r="B1036" s="39" t="s">
        <v>620</v>
      </c>
      <c r="C1036" s="35" t="str">
        <f>VLOOKUP(Ventas[[#This Row],[Codigo]],Stock[#Data],2,FALSE)</f>
        <v>Pipa de Madera Intervenida Chica</v>
      </c>
      <c r="D1036" s="37">
        <f>VLOOKUP(Ventas[[#This Row],[Codigo]],Stock[#Data],4,FALSE)</f>
        <v>600</v>
      </c>
      <c r="E1036" s="33">
        <f>VLOOKUP(Ventas[[#This Row],[Codigo]],Stock[#Data],3,FALSE)</f>
        <v>300</v>
      </c>
      <c r="F1036" s="38">
        <v>1</v>
      </c>
      <c r="G1036">
        <v>520</v>
      </c>
      <c r="H1036" s="36">
        <f>Ventas[[#This Row],[Precio Venta]]*Ventas[[#This Row],[Cantidad]]-Ventas[[#This Row],[Descuento]]</f>
        <v>600</v>
      </c>
      <c r="I1036" s="34">
        <f>Ventas[[#This Row],[Total]]-Ventas[[#This Row],[Precio compra]]*Ventas[[#This Row],[Cantidad]]</f>
        <v>300</v>
      </c>
      <c r="J1036" s="34"/>
      <c r="K1036" s="34">
        <f>Ventas[[#This Row],[Total]]*Ventas[[#This Row],[Total 3]]</f>
        <v>0</v>
      </c>
      <c r="L1036" s="34"/>
      <c r="M1036" s="34"/>
    </row>
    <row r="1037" spans="1:13" ht="21.75" customHeight="1">
      <c r="A1037" s="16"/>
      <c r="B1037" s="39" t="s">
        <v>620</v>
      </c>
      <c r="C1037" s="35" t="str">
        <f>VLOOKUP(Ventas[[#This Row],[Codigo]],Stock[#Data],2,FALSE)</f>
        <v>Namaste Trico+ 250gr</v>
      </c>
      <c r="D1037" s="37">
        <f>VLOOKUP(Ventas[[#This Row],[Codigo]],Stock[#Data],4,FALSE)</f>
        <v>2000</v>
      </c>
      <c r="E1037" s="33">
        <f>VLOOKUP(Ventas[[#This Row],[Codigo]],Stock[#Data],3,FALSE)</f>
        <v>1033</v>
      </c>
      <c r="F1037" s="38">
        <v>1</v>
      </c>
      <c r="G1037">
        <v>500</v>
      </c>
      <c r="H1037" s="36">
        <f>Ventas[[#This Row],[Precio Venta]]*Ventas[[#This Row],[Cantidad]]-Ventas[[#This Row],[Descuento]]</f>
        <v>2000</v>
      </c>
      <c r="I1037" s="34">
        <f>Ventas[[#This Row],[Total]]-Ventas[[#This Row],[Precio compra]]*Ventas[[#This Row],[Cantidad]]</f>
        <v>967</v>
      </c>
      <c r="J1037" s="34"/>
      <c r="K1037" s="34">
        <f>Ventas[[#This Row],[Total]]*Ventas[[#This Row],[Total 3]]</f>
        <v>0</v>
      </c>
      <c r="L1037" s="34"/>
      <c r="M1037" s="34"/>
    </row>
    <row r="1038" spans="1:13" ht="21.75" customHeight="1">
      <c r="A1038" s="16"/>
      <c r="B1038" s="39" t="s">
        <v>620</v>
      </c>
      <c r="C1038" s="35" t="str">
        <f>VLOOKUP(Ventas[[#This Row],[Codigo]],Stock[#Data],2,FALSE)</f>
        <v>Filtros GIZEH biodegradable</v>
      </c>
      <c r="D1038" s="37">
        <f>VLOOKUP(Ventas[[#This Row],[Codigo]],Stock[#Data],4,FALSE)</f>
        <v>450</v>
      </c>
      <c r="E1038" s="33">
        <f>VLOOKUP(Ventas[[#This Row],[Codigo]],Stock[#Data],3,FALSE)</f>
        <v>280</v>
      </c>
      <c r="F1038" s="38">
        <v>2</v>
      </c>
      <c r="G1038">
        <v>107</v>
      </c>
      <c r="H1038" s="36">
        <f>Ventas[[#This Row],[Precio Venta]]*Ventas[[#This Row],[Cantidad]]-Ventas[[#This Row],[Descuento]]</f>
        <v>900</v>
      </c>
      <c r="I1038" s="34">
        <f>Ventas[[#This Row],[Total]]-Ventas[[#This Row],[Precio compra]]*Ventas[[#This Row],[Cantidad]]</f>
        <v>340</v>
      </c>
      <c r="J1038" s="34"/>
      <c r="K1038" s="34">
        <f>Ventas[[#This Row],[Total]]*Ventas[[#This Row],[Total 3]]</f>
        <v>0</v>
      </c>
      <c r="L1038" s="34"/>
      <c r="M1038" s="34"/>
    </row>
    <row r="1039" spans="1:13" ht="21.75" customHeight="1">
      <c r="A1039" s="16"/>
      <c r="B1039" s="39" t="s">
        <v>620</v>
      </c>
      <c r="C1039" s="35" t="str">
        <f>VLOOKUP(Ventas[[#This Row],[Codigo]],Stock[#Data],2,FALSE)</f>
        <v>Tabaco Van Kiff Natural</v>
      </c>
      <c r="D1039" s="37">
        <f>VLOOKUP(Ventas[[#This Row],[Codigo]],Stock[#Data],4,FALSE)</f>
        <v>850</v>
      </c>
      <c r="E1039" s="33">
        <f>VLOOKUP(Ventas[[#This Row],[Codigo]],Stock[#Data],3,FALSE)</f>
        <v>580</v>
      </c>
      <c r="F1039" s="38">
        <v>1</v>
      </c>
      <c r="G1039">
        <v>117</v>
      </c>
      <c r="H1039" s="36">
        <f>Ventas[[#This Row],[Precio Venta]]*Ventas[[#This Row],[Cantidad]]-Ventas[[#This Row],[Descuento]]</f>
        <v>850</v>
      </c>
      <c r="I1039" s="34">
        <f>Ventas[[#This Row],[Total]]-Ventas[[#This Row],[Precio compra]]*Ventas[[#This Row],[Cantidad]]</f>
        <v>270</v>
      </c>
      <c r="J1039" s="34"/>
      <c r="K1039" s="34">
        <f>Ventas[[#This Row],[Total]]*Ventas[[#This Row],[Total 3]]</f>
        <v>0</v>
      </c>
      <c r="L1039" s="34"/>
      <c r="M1039" s="34"/>
    </row>
    <row r="1040" spans="1:13" ht="21.75" customHeight="1">
      <c r="A1040" s="16"/>
      <c r="B1040" s="39" t="s">
        <v>620</v>
      </c>
      <c r="C1040" s="35" t="str">
        <f>VLOOKUP(Ventas[[#This Row],[Codigo]],Stock[#Data],2,FALSE)</f>
        <v>Sustrato Perlita</v>
      </c>
      <c r="D1040" s="37">
        <f>VLOOKUP(Ventas[[#This Row],[Codigo]],Stock[#Data],4,FALSE)</f>
        <v>800</v>
      </c>
      <c r="E1040" s="33">
        <f>VLOOKUP(Ventas[[#This Row],[Codigo]],Stock[#Data],3,FALSE)</f>
        <v>400</v>
      </c>
      <c r="F1040" s="38">
        <v>1</v>
      </c>
      <c r="G1040">
        <v>52</v>
      </c>
      <c r="H1040" s="36">
        <f>Ventas[[#This Row],[Precio Venta]]*Ventas[[#This Row],[Cantidad]]-Ventas[[#This Row],[Descuento]]</f>
        <v>800</v>
      </c>
      <c r="I1040" s="34">
        <f>Ventas[[#This Row],[Total]]-Ventas[[#This Row],[Precio compra]]*Ventas[[#This Row],[Cantidad]]</f>
        <v>400</v>
      </c>
      <c r="J1040" s="34"/>
      <c r="K1040" s="34">
        <f>Ventas[[#This Row],[Total]]*Ventas[[#This Row],[Total 3]]</f>
        <v>0</v>
      </c>
      <c r="L1040" s="34"/>
      <c r="M1040" s="34"/>
    </row>
    <row r="1041" spans="1:13" ht="21.75" customHeight="1">
      <c r="A1041" s="16"/>
      <c r="B1041" s="39" t="s">
        <v>620</v>
      </c>
      <c r="C1041" s="35" t="str">
        <f>VLOOKUP(Ventas[[#This Row],[Codigo]],Stock[#Data],2,FALSE)</f>
        <v>Namaste Shanti 100ml</v>
      </c>
      <c r="D1041" s="37">
        <f>VLOOKUP(Ventas[[#This Row],[Codigo]],Stock[#Data],4,FALSE)</f>
        <v>2000</v>
      </c>
      <c r="E1041" s="33">
        <f>VLOOKUP(Ventas[[#This Row],[Codigo]],Stock[#Data],3,FALSE)</f>
        <v>932</v>
      </c>
      <c r="F1041" s="38">
        <v>1</v>
      </c>
      <c r="G1041">
        <v>569</v>
      </c>
      <c r="H1041" s="36">
        <f>Ventas[[#This Row],[Precio Venta]]*Ventas[[#This Row],[Cantidad]]-Ventas[[#This Row],[Descuento]]</f>
        <v>2000</v>
      </c>
      <c r="I1041" s="34">
        <f>Ventas[[#This Row],[Total]]-Ventas[[#This Row],[Precio compra]]*Ventas[[#This Row],[Cantidad]]</f>
        <v>1068</v>
      </c>
      <c r="J1041" s="34"/>
      <c r="K1041" s="34">
        <f>Ventas[[#This Row],[Total]]*Ventas[[#This Row],[Total 3]]</f>
        <v>0</v>
      </c>
      <c r="L1041" s="34"/>
      <c r="M1041" s="34"/>
    </row>
    <row r="1042" spans="1:13" ht="21.75" customHeight="1">
      <c r="A1042" s="16"/>
      <c r="B1042" s="39" t="s">
        <v>620</v>
      </c>
      <c r="C1042" s="35" t="str">
        <f>VLOOKUP(Ventas[[#This Row],[Codigo]],Stock[#Data],2,FALSE)</f>
        <v>Sauver 1/4</v>
      </c>
      <c r="D1042" s="37">
        <f>VLOOKUP(Ventas[[#This Row],[Codigo]],Stock[#Data],4,FALSE)</f>
        <v>200</v>
      </c>
      <c r="E1042" s="33">
        <f>VLOOKUP(Ventas[[#This Row],[Codigo]],Stock[#Data],3,FALSE)</f>
        <v>75</v>
      </c>
      <c r="F1042" s="38">
        <v>1</v>
      </c>
      <c r="G1042">
        <v>149</v>
      </c>
      <c r="H1042" s="36">
        <f>Ventas[[#This Row],[Precio Venta]]*Ventas[[#This Row],[Cantidad]]-Ventas[[#This Row],[Descuento]]</f>
        <v>200</v>
      </c>
      <c r="I1042" s="34">
        <f>Ventas[[#This Row],[Total]]-Ventas[[#This Row],[Precio compra]]*Ventas[[#This Row],[Cantidad]]</f>
        <v>125</v>
      </c>
      <c r="J1042" s="34"/>
      <c r="K1042" s="34">
        <f>Ventas[[#This Row],[Total]]*Ventas[[#This Row],[Total 3]]</f>
        <v>0</v>
      </c>
      <c r="L1042" s="34"/>
      <c r="M1042" s="34"/>
    </row>
    <row r="1043" spans="1:13" ht="21.75" customHeight="1">
      <c r="A1043" s="16"/>
      <c r="B1043" s="39" t="s">
        <v>620</v>
      </c>
      <c r="C1043" s="35" t="str">
        <f>VLOOKUP(Ventas[[#This Row],[Codigo]],Stock[#Data],2,FALSE)</f>
        <v>Lata Lion Rolling Circus</v>
      </c>
      <c r="D1043" s="37">
        <f>VLOOKUP(Ventas[[#This Row],[Codigo]],Stock[#Data],4,FALSE)</f>
        <v>1200</v>
      </c>
      <c r="E1043" s="33">
        <f>VLOOKUP(Ventas[[#This Row],[Codigo]],Stock[#Data],3,FALSE)</f>
        <v>580</v>
      </c>
      <c r="F1043" s="38">
        <v>1</v>
      </c>
      <c r="G1043">
        <v>145</v>
      </c>
      <c r="H1043" s="36">
        <f>Ventas[[#This Row],[Precio Venta]]*Ventas[[#This Row],[Cantidad]]-Ventas[[#This Row],[Descuento]]</f>
        <v>1200</v>
      </c>
      <c r="I1043" s="34">
        <f>Ventas[[#This Row],[Total]]-Ventas[[#This Row],[Precio compra]]*Ventas[[#This Row],[Cantidad]]</f>
        <v>620</v>
      </c>
      <c r="J1043" s="34"/>
      <c r="K1043" s="34">
        <f>Ventas[[#This Row],[Total]]*Ventas[[#This Row],[Total 3]]</f>
        <v>0</v>
      </c>
      <c r="L1043" s="34"/>
      <c r="M1043" s="34"/>
    </row>
    <row r="1044" spans="1:13" ht="21.75" customHeight="1">
      <c r="A1044" s="16"/>
      <c r="B1044" s="39" t="s">
        <v>620</v>
      </c>
      <c r="C1044" s="35" t="str">
        <f>VLOOKUP(Ventas[[#This Row],[Codigo]],Stock[#Data],2,FALSE)</f>
        <v xml:space="preserve">Turbina Bujia </v>
      </c>
      <c r="D1044" s="37">
        <f>VLOOKUP(Ventas[[#This Row],[Codigo]],Stock[#Data],4,FALSE)</f>
        <v>2000</v>
      </c>
      <c r="E1044" s="33">
        <f>VLOOKUP(Ventas[[#This Row],[Codigo]],Stock[#Data],3,FALSE)</f>
        <v>525</v>
      </c>
      <c r="F1044" s="38">
        <v>1</v>
      </c>
      <c r="G1044">
        <v>432</v>
      </c>
      <c r="H1044" s="36">
        <f>Ventas[[#This Row],[Precio Venta]]*Ventas[[#This Row],[Cantidad]]-Ventas[[#This Row],[Descuento]]</f>
        <v>2000</v>
      </c>
      <c r="I1044" s="34">
        <f>Ventas[[#This Row],[Total]]-Ventas[[#This Row],[Precio compra]]*Ventas[[#This Row],[Cantidad]]</f>
        <v>1475</v>
      </c>
      <c r="J1044" s="34"/>
      <c r="K1044" s="34">
        <f>Ventas[[#This Row],[Total]]*Ventas[[#This Row],[Total 3]]</f>
        <v>0</v>
      </c>
      <c r="L1044" s="34"/>
      <c r="M1044" s="34"/>
    </row>
    <row r="1045" spans="1:13" ht="21.75" customHeight="1">
      <c r="A1045" s="16"/>
      <c r="B1045" s="39" t="s">
        <v>620</v>
      </c>
      <c r="C1045" s="35" t="str">
        <f>VLOOKUP(Ventas[[#This Row],[Codigo]],Stock[#Data],2,FALSE)</f>
        <v>VAMP Supermelaza</v>
      </c>
      <c r="D1045" s="37">
        <f>VLOOKUP(Ventas[[#This Row],[Codigo]],Stock[#Data],4,FALSE)</f>
        <v>1800</v>
      </c>
      <c r="E1045" s="33">
        <f>VLOOKUP(Ventas[[#This Row],[Codigo]],Stock[#Data],3,FALSE)</f>
        <v>908</v>
      </c>
      <c r="F1045" s="38">
        <v>1</v>
      </c>
      <c r="G1045">
        <v>36</v>
      </c>
      <c r="H1045" s="36">
        <f>Ventas[[#This Row],[Precio Venta]]*Ventas[[#This Row],[Cantidad]]-Ventas[[#This Row],[Descuento]]</f>
        <v>1800</v>
      </c>
      <c r="I1045" s="34">
        <f>Ventas[[#This Row],[Total]]-Ventas[[#This Row],[Precio compra]]*Ventas[[#This Row],[Cantidad]]</f>
        <v>892</v>
      </c>
      <c r="J1045" s="34"/>
      <c r="K1045" s="34">
        <f>Ventas[[#This Row],[Total]]*Ventas[[#This Row],[Total 3]]</f>
        <v>0</v>
      </c>
      <c r="L1045" s="34"/>
      <c r="M1045" s="34"/>
    </row>
    <row r="1046" spans="1:13" ht="21.75" customHeight="1">
      <c r="A1046" s="16"/>
      <c r="B1046" s="39" t="s">
        <v>620</v>
      </c>
      <c r="C1046" s="35" t="str">
        <f>VLOOKUP(Ventas[[#This Row],[Codigo]],Stock[#Data],2,FALSE)</f>
        <v xml:space="preserve">Clipper Raw </v>
      </c>
      <c r="D1046" s="37">
        <f>VLOOKUP(Ventas[[#This Row],[Codigo]],Stock[#Data],4,FALSE)</f>
        <v>550</v>
      </c>
      <c r="E1046" s="33">
        <f>VLOOKUP(Ventas[[#This Row],[Codigo]],Stock[#Data],3,FALSE)</f>
        <v>276</v>
      </c>
      <c r="F1046" s="38">
        <v>1</v>
      </c>
      <c r="G1046">
        <v>502</v>
      </c>
      <c r="H1046" s="36">
        <f>Ventas[[#This Row],[Precio Venta]]*Ventas[[#This Row],[Cantidad]]-Ventas[[#This Row],[Descuento]]</f>
        <v>550</v>
      </c>
      <c r="I1046" s="34">
        <f>Ventas[[#This Row],[Total]]-Ventas[[#This Row],[Precio compra]]*Ventas[[#This Row],[Cantidad]]</f>
        <v>274</v>
      </c>
      <c r="J1046" s="34"/>
      <c r="K1046" s="34">
        <f>Ventas[[#This Row],[Total]]*Ventas[[#This Row],[Total 3]]</f>
        <v>0</v>
      </c>
      <c r="L1046" s="34"/>
      <c r="M1046" s="34"/>
    </row>
    <row r="1047" spans="1:13" ht="21.75" customHeight="1">
      <c r="A1047" s="16"/>
      <c r="B1047" s="39" t="s">
        <v>620</v>
      </c>
      <c r="C1047" s="35" t="str">
        <f>VLOOKUP(Ventas[[#This Row],[Codigo]],Stock[#Data],2,FALSE)</f>
        <v>Pulverizador 1,5 litros</v>
      </c>
      <c r="D1047" s="37">
        <f>VLOOKUP(Ventas[[#This Row],[Codigo]],Stock[#Data],4,FALSE)</f>
        <v>2500</v>
      </c>
      <c r="E1047" s="33">
        <f>VLOOKUP(Ventas[[#This Row],[Codigo]],Stock[#Data],3,FALSE)</f>
        <v>1250</v>
      </c>
      <c r="F1047" s="38">
        <v>1</v>
      </c>
      <c r="G1047">
        <v>571</v>
      </c>
      <c r="H1047" s="36">
        <f>Ventas[[#This Row],[Precio Venta]]*Ventas[[#This Row],[Cantidad]]-Ventas[[#This Row],[Descuento]]</f>
        <v>2500</v>
      </c>
      <c r="I1047" s="34">
        <f>Ventas[[#This Row],[Total]]-Ventas[[#This Row],[Precio compra]]*Ventas[[#This Row],[Cantidad]]</f>
        <v>1250</v>
      </c>
      <c r="J1047" s="34"/>
      <c r="K1047" s="34">
        <f>Ventas[[#This Row],[Total]]*Ventas[[#This Row],[Total 3]]</f>
        <v>0</v>
      </c>
      <c r="L1047" s="34"/>
      <c r="M1047" s="34"/>
    </row>
    <row r="1048" spans="1:13" ht="21.75" customHeight="1">
      <c r="A1048" s="16"/>
      <c r="B1048" s="39" t="s">
        <v>617</v>
      </c>
      <c r="C1048" s="35" t="str">
        <f>VLOOKUP(Ventas[[#This Row],[Codigo]],Stock[#Data],2,FALSE)</f>
        <v>Namaste Nutripack</v>
      </c>
      <c r="D1048" s="37">
        <f>VLOOKUP(Ventas[[#This Row],[Codigo]],Stock[#Data],4,FALSE)</f>
        <v>6000</v>
      </c>
      <c r="E1048" s="33">
        <f>VLOOKUP(Ventas[[#This Row],[Codigo]],Stock[#Data],3,FALSE)</f>
        <v>3376</v>
      </c>
      <c r="F1048" s="38">
        <v>1</v>
      </c>
      <c r="G1048">
        <v>346</v>
      </c>
      <c r="H1048" s="36">
        <f>Ventas[[#This Row],[Precio Venta]]*Ventas[[#This Row],[Cantidad]]-Ventas[[#This Row],[Descuento]]</f>
        <v>6000</v>
      </c>
      <c r="I1048" s="34">
        <f>Ventas[[#This Row],[Total]]-Ventas[[#This Row],[Precio compra]]*Ventas[[#This Row],[Cantidad]]</f>
        <v>2624</v>
      </c>
      <c r="J1048" s="34"/>
      <c r="K1048" s="34">
        <f>Ventas[[#This Row],[Total]]*Ventas[[#This Row],[Total 3]]</f>
        <v>0</v>
      </c>
      <c r="L1048" s="34"/>
      <c r="M1048" s="34"/>
    </row>
    <row r="1049" spans="1:13" ht="21.75" customHeight="1">
      <c r="A1049" s="16"/>
      <c r="B1049" s="39" t="s">
        <v>617</v>
      </c>
      <c r="C1049" s="35" t="str">
        <f>VLOOKUP(Ventas[[#This Row],[Codigo]],Stock[#Data],2,FALSE)</f>
        <v xml:space="preserve">ocb white </v>
      </c>
      <c r="D1049" s="37">
        <f>VLOOKUP(Ventas[[#This Row],[Codigo]],Stock[#Data],4,FALSE)</f>
        <v>250</v>
      </c>
      <c r="E1049" s="33">
        <f>VLOOKUP(Ventas[[#This Row],[Codigo]],Stock[#Data],3,FALSE)</f>
        <v>115</v>
      </c>
      <c r="F1049" s="38">
        <v>1</v>
      </c>
      <c r="G1049">
        <v>355</v>
      </c>
      <c r="H1049" s="36">
        <f>Ventas[[#This Row],[Precio Venta]]*Ventas[[#This Row],[Cantidad]]-Ventas[[#This Row],[Descuento]]</f>
        <v>250</v>
      </c>
      <c r="I1049" s="34">
        <f>Ventas[[#This Row],[Total]]-Ventas[[#This Row],[Precio compra]]*Ventas[[#This Row],[Cantidad]]</f>
        <v>135</v>
      </c>
      <c r="J1049" s="34"/>
      <c r="K1049" s="34">
        <f>Ventas[[#This Row],[Total]]*Ventas[[#This Row],[Total 3]]</f>
        <v>0</v>
      </c>
      <c r="L1049" s="34"/>
      <c r="M1049" s="34"/>
    </row>
    <row r="1050" spans="1:13" ht="21.75" customHeight="1">
      <c r="A1050" s="16"/>
      <c r="B1050" s="39" t="s">
        <v>617</v>
      </c>
      <c r="C1050" s="35" t="str">
        <f>VLOOKUP(Ventas[[#This Row],[Codigo]],Stock[#Data],2,FALSE)</f>
        <v>Sedas OCB 1/4 Organic  Bamboo</v>
      </c>
      <c r="D1050" s="37">
        <f>VLOOKUP(Ventas[[#This Row],[Codigo]],Stock[#Data],4,FALSE)</f>
        <v>300</v>
      </c>
      <c r="E1050" s="33">
        <f>VLOOKUP(Ventas[[#This Row],[Codigo]],Stock[#Data],3,FALSE)</f>
        <v>165</v>
      </c>
      <c r="F1050" s="38">
        <v>1</v>
      </c>
      <c r="G1050">
        <v>77</v>
      </c>
      <c r="H1050" s="36">
        <f>Ventas[[#This Row],[Precio Venta]]*Ventas[[#This Row],[Cantidad]]-Ventas[[#This Row],[Descuento]]</f>
        <v>300</v>
      </c>
      <c r="I1050" s="34">
        <f>Ventas[[#This Row],[Total]]-Ventas[[#This Row],[Precio compra]]*Ventas[[#This Row],[Cantidad]]</f>
        <v>135</v>
      </c>
      <c r="J1050" s="34"/>
      <c r="K1050" s="34">
        <f>Ventas[[#This Row],[Total]]*Ventas[[#This Row],[Total 3]]</f>
        <v>0</v>
      </c>
      <c r="L1050" s="34"/>
      <c r="M1050" s="34"/>
    </row>
    <row r="1051" spans="1:13" ht="21.75" customHeight="1">
      <c r="A1051" s="16"/>
      <c r="B1051" s="39" t="s">
        <v>617</v>
      </c>
      <c r="C1051" s="35" t="str">
        <f>VLOOKUP(Ventas[[#This Row],[Codigo]],Stock[#Data],2,FALSE)</f>
        <v>Namaste Oro Negro 100ml</v>
      </c>
      <c r="D1051" s="37">
        <f>VLOOKUP(Ventas[[#This Row],[Codigo]],Stock[#Data],4,FALSE)</f>
        <v>1000</v>
      </c>
      <c r="E1051" s="33">
        <f>VLOOKUP(Ventas[[#This Row],[Codigo]],Stock[#Data],3,FALSE)</f>
        <v>515</v>
      </c>
      <c r="F1051" s="38">
        <v>1</v>
      </c>
      <c r="G1051">
        <v>478</v>
      </c>
      <c r="H1051" s="36">
        <f>Ventas[[#This Row],[Precio Venta]]*Ventas[[#This Row],[Cantidad]]-Ventas[[#This Row],[Descuento]]</f>
        <v>1000</v>
      </c>
      <c r="I1051" s="34">
        <f>Ventas[[#This Row],[Total]]-Ventas[[#This Row],[Precio compra]]*Ventas[[#This Row],[Cantidad]]</f>
        <v>485</v>
      </c>
      <c r="J1051" s="34"/>
      <c r="K1051" s="34">
        <f>Ventas[[#This Row],[Total]]*Ventas[[#This Row],[Total 3]]</f>
        <v>0</v>
      </c>
      <c r="L1051" s="34"/>
      <c r="M1051" s="34"/>
    </row>
    <row r="1052" spans="1:13" ht="21.75" customHeight="1">
      <c r="A1052" s="16"/>
      <c r="B1052" s="39" t="s">
        <v>617</v>
      </c>
      <c r="C1052" s="35" t="str">
        <f>VLOOKUP(Ventas[[#This Row],[Codigo]],Stock[#Data],2,FALSE)</f>
        <v>Namaste Shanti 100ml</v>
      </c>
      <c r="D1052" s="37">
        <f>VLOOKUP(Ventas[[#This Row],[Codigo]],Stock[#Data],4,FALSE)</f>
        <v>2000</v>
      </c>
      <c r="E1052" s="33">
        <f>VLOOKUP(Ventas[[#This Row],[Codigo]],Stock[#Data],3,FALSE)</f>
        <v>932</v>
      </c>
      <c r="F1052" s="38">
        <v>2</v>
      </c>
      <c r="G1052">
        <v>569</v>
      </c>
      <c r="H1052" s="36">
        <f>Ventas[[#This Row],[Precio Venta]]*Ventas[[#This Row],[Cantidad]]-Ventas[[#This Row],[Descuento]]</f>
        <v>4000</v>
      </c>
      <c r="I1052" s="34">
        <f>Ventas[[#This Row],[Total]]-Ventas[[#This Row],[Precio compra]]*Ventas[[#This Row],[Cantidad]]</f>
        <v>2136</v>
      </c>
      <c r="J1052" s="34"/>
      <c r="K1052" s="34">
        <f>Ventas[[#This Row],[Total]]*Ventas[[#This Row],[Total 3]]</f>
        <v>0</v>
      </c>
      <c r="L1052" s="34"/>
      <c r="M1052" s="34"/>
    </row>
    <row r="1053" spans="1:13" ht="21.75" customHeight="1">
      <c r="A1053" s="16"/>
      <c r="B1053" s="39" t="s">
        <v>617</v>
      </c>
      <c r="C1053" s="35" t="str">
        <f>VLOOKUP(Ventas[[#This Row],[Codigo]],Stock[#Data],2,FALSE)</f>
        <v>Sustrato Perlita</v>
      </c>
      <c r="D1053" s="37">
        <f>VLOOKUP(Ventas[[#This Row],[Codigo]],Stock[#Data],4,FALSE)</f>
        <v>800</v>
      </c>
      <c r="E1053" s="33">
        <f>VLOOKUP(Ventas[[#This Row],[Codigo]],Stock[#Data],3,FALSE)</f>
        <v>400</v>
      </c>
      <c r="F1053" s="38">
        <v>2</v>
      </c>
      <c r="G1053">
        <v>52</v>
      </c>
      <c r="H1053" s="36">
        <f>Ventas[[#This Row],[Precio Venta]]*Ventas[[#This Row],[Cantidad]]-Ventas[[#This Row],[Descuento]]</f>
        <v>1600</v>
      </c>
      <c r="I1053" s="34">
        <f>Ventas[[#This Row],[Total]]-Ventas[[#This Row],[Precio compra]]*Ventas[[#This Row],[Cantidad]]</f>
        <v>800</v>
      </c>
      <c r="J1053" s="34"/>
      <c r="K1053" s="34">
        <f>Ventas[[#This Row],[Total]]*Ventas[[#This Row],[Total 3]]</f>
        <v>0</v>
      </c>
      <c r="L1053" s="34"/>
      <c r="M1053" s="34"/>
    </row>
    <row r="1054" spans="1:13" ht="21.75" customHeight="1">
      <c r="A1054" s="16"/>
      <c r="B1054" s="39">
        <v>44960</v>
      </c>
      <c r="C1054" s="35" t="str">
        <f>VLOOKUP(Ventas[[#This Row],[Codigo]],Stock[#Data],2,FALSE)</f>
        <v xml:space="preserve">Sedas GIZEH 1/4 +tips </v>
      </c>
      <c r="D1054" s="37">
        <f>VLOOKUP(Ventas[[#This Row],[Codigo]],Stock[#Data],4,FALSE)</f>
        <v>600</v>
      </c>
      <c r="E1054" s="33">
        <f>VLOOKUP(Ventas[[#This Row],[Codigo]],Stock[#Data],3,FALSE)</f>
        <v>310</v>
      </c>
      <c r="F1054" s="38">
        <v>1</v>
      </c>
      <c r="G1054">
        <v>87</v>
      </c>
      <c r="H1054" s="36">
        <f>Ventas[[#This Row],[Precio Venta]]*Ventas[[#This Row],[Cantidad]]-Ventas[[#This Row],[Descuento]]</f>
        <v>600</v>
      </c>
      <c r="I1054" s="34">
        <f>Ventas[[#This Row],[Total]]-Ventas[[#This Row],[Precio compra]]*Ventas[[#This Row],[Cantidad]]</f>
        <v>290</v>
      </c>
      <c r="J1054" s="34"/>
      <c r="K1054" s="34">
        <f>Ventas[[#This Row],[Total]]*Ventas[[#This Row],[Total 3]]</f>
        <v>0</v>
      </c>
      <c r="L1054" s="34"/>
      <c r="M1054" s="34"/>
    </row>
    <row r="1055" spans="1:13" ht="21.75" customHeight="1">
      <c r="A1055" s="16"/>
      <c r="B1055" s="39">
        <v>44960</v>
      </c>
      <c r="C1055" s="35" t="str">
        <f>VLOOKUP(Ventas[[#This Row],[Codigo]],Stock[#Data],2,FALSE)</f>
        <v>Banger 14mm</v>
      </c>
      <c r="D1055" s="37">
        <f>VLOOKUP(Ventas[[#This Row],[Codigo]],Stock[#Data],4,FALSE)</f>
        <v>5000</v>
      </c>
      <c r="E1055" s="33">
        <f>VLOOKUP(Ventas[[#This Row],[Codigo]],Stock[#Data],3,FALSE)</f>
        <v>2484</v>
      </c>
      <c r="F1055" s="38">
        <v>1</v>
      </c>
      <c r="G1055">
        <v>320</v>
      </c>
      <c r="H1055" s="36">
        <f>Ventas[[#This Row],[Precio Venta]]*Ventas[[#This Row],[Cantidad]]-Ventas[[#This Row],[Descuento]]</f>
        <v>5000</v>
      </c>
      <c r="I1055" s="34">
        <f>Ventas[[#This Row],[Total]]-Ventas[[#This Row],[Precio compra]]*Ventas[[#This Row],[Cantidad]]</f>
        <v>2516</v>
      </c>
      <c r="J1055" s="34"/>
      <c r="K1055" s="34">
        <f>Ventas[[#This Row],[Total]]*Ventas[[#This Row],[Total 3]]</f>
        <v>0</v>
      </c>
      <c r="L1055" s="34"/>
      <c r="M1055" s="34"/>
    </row>
    <row r="1056" spans="1:13" ht="21.75" customHeight="1">
      <c r="A1056" s="16"/>
      <c r="B1056" s="39">
        <v>44960</v>
      </c>
      <c r="C1056" s="35" t="str">
        <f>VLOOKUP(Ventas[[#This Row],[Codigo]],Stock[#Data],2,FALSE)</f>
        <v>Sedas OCB 1/4 Organic  Bamboo</v>
      </c>
      <c r="D1056" s="37">
        <f>VLOOKUP(Ventas[[#This Row],[Codigo]],Stock[#Data],4,FALSE)</f>
        <v>300</v>
      </c>
      <c r="E1056" s="33">
        <f>VLOOKUP(Ventas[[#This Row],[Codigo]],Stock[#Data],3,FALSE)</f>
        <v>165</v>
      </c>
      <c r="F1056" s="38">
        <v>1</v>
      </c>
      <c r="G1056">
        <v>77</v>
      </c>
      <c r="H1056" s="36">
        <f>Ventas[[#This Row],[Precio Venta]]*Ventas[[#This Row],[Cantidad]]-Ventas[[#This Row],[Descuento]]</f>
        <v>300</v>
      </c>
      <c r="I1056" s="34">
        <f>Ventas[[#This Row],[Total]]-Ventas[[#This Row],[Precio compra]]*Ventas[[#This Row],[Cantidad]]</f>
        <v>135</v>
      </c>
      <c r="J1056" s="34"/>
      <c r="K1056" s="34">
        <f>Ventas[[#This Row],[Total]]*Ventas[[#This Row],[Total 3]]</f>
        <v>0</v>
      </c>
      <c r="L1056" s="34"/>
      <c r="M1056" s="34"/>
    </row>
    <row r="1057" spans="1:13" ht="21.75" customHeight="1">
      <c r="A1057" s="16"/>
      <c r="B1057" s="39">
        <v>44960</v>
      </c>
      <c r="C1057" s="35" t="str">
        <f>VLOOKUP(Ventas[[#This Row],[Codigo]],Stock[#Data],2,FALSE)</f>
        <v>Sedas OCB 1/4 Virgin Papers</v>
      </c>
      <c r="D1057" s="37">
        <f>VLOOKUP(Ventas[[#This Row],[Codigo]],Stock[#Data],4,FALSE)</f>
        <v>300</v>
      </c>
      <c r="E1057" s="33">
        <f>VLOOKUP(Ventas[[#This Row],[Codigo]],Stock[#Data],3,FALSE)</f>
        <v>165</v>
      </c>
      <c r="F1057" s="38">
        <v>1</v>
      </c>
      <c r="G1057">
        <v>76</v>
      </c>
      <c r="H1057" s="36">
        <f>Ventas[[#This Row],[Precio Venta]]*Ventas[[#This Row],[Cantidad]]-Ventas[[#This Row],[Descuento]]</f>
        <v>300</v>
      </c>
      <c r="I1057" s="34">
        <f>Ventas[[#This Row],[Total]]-Ventas[[#This Row],[Precio compra]]*Ventas[[#This Row],[Cantidad]]</f>
        <v>135</v>
      </c>
      <c r="J1057" s="34"/>
      <c r="K1057" s="34">
        <f>Ventas[[#This Row],[Total]]*Ventas[[#This Row],[Total 3]]</f>
        <v>0</v>
      </c>
      <c r="L1057" s="34"/>
      <c r="M1057" s="34"/>
    </row>
    <row r="1058" spans="1:13" ht="21.75" customHeight="1">
      <c r="A1058" s="16"/>
      <c r="B1058" s="39">
        <v>44960</v>
      </c>
      <c r="C1058" s="35" t="str">
        <f>VLOOKUP(Ventas[[#This Row],[Codigo]],Stock[#Data],2,FALSE)</f>
        <v>Picador Zeus 3p Plastico</v>
      </c>
      <c r="D1058" s="37">
        <f>VLOOKUP(Ventas[[#This Row],[Codigo]],Stock[#Data],4,FALSE)</f>
        <v>1000</v>
      </c>
      <c r="E1058" s="33">
        <f>VLOOKUP(Ventas[[#This Row],[Codigo]],Stock[#Data],3,FALSE)</f>
        <v>460</v>
      </c>
      <c r="F1058" s="38">
        <v>1</v>
      </c>
      <c r="G1058">
        <v>564</v>
      </c>
      <c r="H1058" s="36">
        <f>Ventas[[#This Row],[Precio Venta]]*Ventas[[#This Row],[Cantidad]]-Ventas[[#This Row],[Descuento]]</f>
        <v>1000</v>
      </c>
      <c r="I1058" s="34">
        <f>Ventas[[#This Row],[Total]]-Ventas[[#This Row],[Precio compra]]*Ventas[[#This Row],[Cantidad]]</f>
        <v>540</v>
      </c>
      <c r="J1058" s="34"/>
      <c r="K1058" s="34">
        <f>Ventas[[#This Row],[Total]]*Ventas[[#This Row],[Total 3]]</f>
        <v>0</v>
      </c>
      <c r="L1058" s="34"/>
      <c r="M1058" s="34"/>
    </row>
    <row r="1059" spans="1:13" ht="21.75" customHeight="1">
      <c r="A1059" s="16"/>
      <c r="B1059" s="39">
        <v>44960</v>
      </c>
      <c r="C1059" s="35" t="str">
        <f>VLOOKUP(Ventas[[#This Row],[Codigo]],Stock[#Data],2,FALSE)</f>
        <v>Namaste Trico+ 100gr</v>
      </c>
      <c r="D1059" s="37">
        <f>VLOOKUP(Ventas[[#This Row],[Codigo]],Stock[#Data],4,FALSE)</f>
        <v>1000</v>
      </c>
      <c r="E1059" s="33">
        <f>VLOOKUP(Ventas[[#This Row],[Codigo]],Stock[#Data],3,FALSE)</f>
        <v>541</v>
      </c>
      <c r="F1059" s="38">
        <v>1</v>
      </c>
      <c r="G1059">
        <v>479</v>
      </c>
      <c r="H1059" s="36">
        <f>Ventas[[#This Row],[Precio Venta]]*Ventas[[#This Row],[Cantidad]]-Ventas[[#This Row],[Descuento]]</f>
        <v>1000</v>
      </c>
      <c r="I1059" s="34">
        <f>Ventas[[#This Row],[Total]]-Ventas[[#This Row],[Precio compra]]*Ventas[[#This Row],[Cantidad]]</f>
        <v>459</v>
      </c>
      <c r="J1059" s="34"/>
      <c r="K1059" s="34">
        <f>Ventas[[#This Row],[Total]]*Ventas[[#This Row],[Total 3]]</f>
        <v>0</v>
      </c>
      <c r="L1059" s="34"/>
      <c r="M1059" s="34"/>
    </row>
    <row r="1060" spans="1:13" ht="21.75" customHeight="1">
      <c r="A1060" s="16"/>
      <c r="B1060" s="39">
        <v>44960</v>
      </c>
      <c r="C1060" s="35" t="str">
        <f>VLOOKUP(Ventas[[#This Row],[Codigo]],Stock[#Data],2,FALSE)</f>
        <v>Namaste Flora Booster 100ml</v>
      </c>
      <c r="D1060" s="37">
        <f>VLOOKUP(Ventas[[#This Row],[Codigo]],Stock[#Data],4,FALSE)</f>
        <v>1000</v>
      </c>
      <c r="E1060" s="33">
        <f>VLOOKUP(Ventas[[#This Row],[Codigo]],Stock[#Data],3,FALSE)</f>
        <v>517</v>
      </c>
      <c r="F1060" s="38">
        <v>1</v>
      </c>
      <c r="G1060">
        <v>480</v>
      </c>
      <c r="H1060" s="36">
        <f>Ventas[[#This Row],[Precio Venta]]*Ventas[[#This Row],[Cantidad]]-Ventas[[#This Row],[Descuento]]</f>
        <v>1000</v>
      </c>
      <c r="I1060" s="34">
        <f>Ventas[[#This Row],[Total]]-Ventas[[#This Row],[Precio compra]]*Ventas[[#This Row],[Cantidad]]</f>
        <v>483</v>
      </c>
      <c r="J1060" s="34"/>
      <c r="K1060" s="34">
        <f>Ventas[[#This Row],[Total]]*Ventas[[#This Row],[Total 3]]</f>
        <v>0</v>
      </c>
      <c r="L1060" s="34"/>
      <c r="M1060" s="34"/>
    </row>
    <row r="1061" spans="1:13" ht="21.75" customHeight="1">
      <c r="A1061" s="16"/>
      <c r="B1061" s="39">
        <v>44960</v>
      </c>
      <c r="C1061" s="35" t="str">
        <f>VLOOKUP(Ventas[[#This Row],[Codigo]],Stock[#Data],2,FALSE)</f>
        <v>TreeMIX A 45ml</v>
      </c>
      <c r="D1061" s="37">
        <f>VLOOKUP(Ventas[[#This Row],[Codigo]],Stock[#Data],4,FALSE)</f>
        <v>500</v>
      </c>
      <c r="E1061" s="33">
        <f>VLOOKUP(Ventas[[#This Row],[Codigo]],Stock[#Data],3,FALSE)</f>
        <v>260</v>
      </c>
      <c r="F1061" s="38">
        <v>1</v>
      </c>
      <c r="G1061">
        <v>21</v>
      </c>
      <c r="H1061" s="36">
        <f>Ventas[[#This Row],[Precio Venta]]*Ventas[[#This Row],[Cantidad]]-Ventas[[#This Row],[Descuento]]</f>
        <v>500</v>
      </c>
      <c r="I1061" s="34">
        <f>Ventas[[#This Row],[Total]]-Ventas[[#This Row],[Precio compra]]*Ventas[[#This Row],[Cantidad]]</f>
        <v>240</v>
      </c>
      <c r="J1061" s="34"/>
      <c r="K1061" s="34">
        <f>Ventas[[#This Row],[Total]]*Ventas[[#This Row],[Total 3]]</f>
        <v>0</v>
      </c>
      <c r="L1061" s="34"/>
      <c r="M1061" s="34"/>
    </row>
    <row r="1062" spans="1:13" ht="21.75" customHeight="1">
      <c r="A1062" s="16"/>
      <c r="B1062" s="39">
        <v>44960</v>
      </c>
      <c r="C1062" s="35" t="str">
        <f>VLOOKUP(Ventas[[#This Row],[Codigo]],Stock[#Data],2,FALSE)</f>
        <v>Sustrato Perlita</v>
      </c>
      <c r="D1062" s="37">
        <f>VLOOKUP(Ventas[[#This Row],[Codigo]],Stock[#Data],4,FALSE)</f>
        <v>800</v>
      </c>
      <c r="E1062" s="33">
        <f>VLOOKUP(Ventas[[#This Row],[Codigo]],Stock[#Data],3,FALSE)</f>
        <v>400</v>
      </c>
      <c r="F1062" s="38">
        <v>6</v>
      </c>
      <c r="G1062">
        <v>52</v>
      </c>
      <c r="H1062" s="36">
        <f>Ventas[[#This Row],[Precio Venta]]*Ventas[[#This Row],[Cantidad]]-Ventas[[#This Row],[Descuento]]</f>
        <v>4800</v>
      </c>
      <c r="I1062" s="34">
        <f>Ventas[[#This Row],[Total]]-Ventas[[#This Row],[Precio compra]]*Ventas[[#This Row],[Cantidad]]</f>
        <v>2400</v>
      </c>
      <c r="J1062" s="34"/>
      <c r="K1062" s="34">
        <f>Ventas[[#This Row],[Total]]*Ventas[[#This Row],[Total 3]]</f>
        <v>0</v>
      </c>
      <c r="L1062" s="34"/>
      <c r="M1062" s="34"/>
    </row>
    <row r="1063" spans="1:13" ht="21.75" customHeight="1">
      <c r="A1063" s="16"/>
      <c r="B1063" s="39">
        <v>44960</v>
      </c>
      <c r="C1063" s="35" t="str">
        <f>VLOOKUP(Ventas[[#This Row],[Codigo]],Stock[#Data],2,FALSE)</f>
        <v>Namaste Trico+ 100gr</v>
      </c>
      <c r="D1063" s="37">
        <f>VLOOKUP(Ventas[[#This Row],[Codigo]],Stock[#Data],4,FALSE)</f>
        <v>1000</v>
      </c>
      <c r="E1063" s="33">
        <f>VLOOKUP(Ventas[[#This Row],[Codigo]],Stock[#Data],3,FALSE)</f>
        <v>541</v>
      </c>
      <c r="F1063" s="38">
        <v>1</v>
      </c>
      <c r="G1063">
        <v>479</v>
      </c>
      <c r="H1063" s="36">
        <f>Ventas[[#This Row],[Precio Venta]]*Ventas[[#This Row],[Cantidad]]-Ventas[[#This Row],[Descuento]]</f>
        <v>1000</v>
      </c>
      <c r="I1063" s="34">
        <f>Ventas[[#This Row],[Total]]-Ventas[[#This Row],[Precio compra]]*Ventas[[#This Row],[Cantidad]]</f>
        <v>459</v>
      </c>
      <c r="J1063" s="34"/>
      <c r="K1063" s="34">
        <f>Ventas[[#This Row],[Total]]*Ventas[[#This Row],[Total 3]]</f>
        <v>0</v>
      </c>
      <c r="L1063" s="34"/>
      <c r="M1063" s="34"/>
    </row>
    <row r="1064" spans="1:13" ht="21.75" customHeight="1">
      <c r="A1064" s="16"/>
      <c r="B1064" s="39">
        <v>44960</v>
      </c>
      <c r="C1064" s="35" t="str">
        <f>VLOOKUP(Ventas[[#This Row],[Codigo]],Stock[#Data],2,FALSE)</f>
        <v>Namaste Flora Booster 100ml</v>
      </c>
      <c r="D1064" s="37">
        <f>VLOOKUP(Ventas[[#This Row],[Codigo]],Stock[#Data],4,FALSE)</f>
        <v>1000</v>
      </c>
      <c r="E1064" s="33">
        <f>VLOOKUP(Ventas[[#This Row],[Codigo]],Stock[#Data],3,FALSE)</f>
        <v>517</v>
      </c>
      <c r="F1064" s="38">
        <v>1</v>
      </c>
      <c r="G1064">
        <v>480</v>
      </c>
      <c r="H1064" s="36">
        <f>Ventas[[#This Row],[Precio Venta]]*Ventas[[#This Row],[Cantidad]]-Ventas[[#This Row],[Descuento]]</f>
        <v>1000</v>
      </c>
      <c r="I1064" s="34">
        <f>Ventas[[#This Row],[Total]]-Ventas[[#This Row],[Precio compra]]*Ventas[[#This Row],[Cantidad]]</f>
        <v>483</v>
      </c>
      <c r="J1064" s="34"/>
      <c r="K1064" s="34">
        <f>Ventas[[#This Row],[Total]]*Ventas[[#This Row],[Total 3]]</f>
        <v>0</v>
      </c>
      <c r="L1064" s="34"/>
      <c r="M1064" s="34"/>
    </row>
    <row r="1065" spans="1:13" ht="21.75" customHeight="1">
      <c r="A1065" s="16"/>
      <c r="B1065" s="39">
        <v>44960</v>
      </c>
      <c r="C1065" s="35" t="str">
        <f>VLOOKUP(Ventas[[#This Row],[Codigo]],Stock[#Data],2,FALSE)</f>
        <v>4 en 1 100ml Green Leaf Insumos</v>
      </c>
      <c r="D1065" s="37">
        <f>VLOOKUP(Ventas[[#This Row],[Codigo]],Stock[#Data],4,FALSE)</f>
        <v>1000</v>
      </c>
      <c r="E1065" s="33">
        <f>VLOOKUP(Ventas[[#This Row],[Codigo]],Stock[#Data],3,FALSE)</f>
        <v>498</v>
      </c>
      <c r="F1065" s="38">
        <v>1</v>
      </c>
      <c r="G1065">
        <v>575</v>
      </c>
      <c r="H1065" s="36">
        <f>Ventas[[#This Row],[Precio Venta]]*Ventas[[#This Row],[Cantidad]]-Ventas[[#This Row],[Descuento]]</f>
        <v>1000</v>
      </c>
      <c r="I1065" s="34">
        <f>Ventas[[#This Row],[Total]]-Ventas[[#This Row],[Precio compra]]*Ventas[[#This Row],[Cantidad]]</f>
        <v>502</v>
      </c>
      <c r="J1065" s="34"/>
      <c r="K1065" s="34">
        <f>Ventas[[#This Row],[Total]]*Ventas[[#This Row],[Total 3]]</f>
        <v>0</v>
      </c>
      <c r="L1065" s="34"/>
      <c r="M1065" s="34"/>
    </row>
    <row r="1066" spans="1:13" ht="21.75" customHeight="1">
      <c r="A1066" s="16"/>
      <c r="B1066" s="39" t="s">
        <v>616</v>
      </c>
      <c r="C1066" s="35" t="str">
        <f>VLOOKUP(Ventas[[#This Row],[Codigo]],Stock[#Data],2,FALSE)</f>
        <v xml:space="preserve">Filtros Gizhe + Sedas </v>
      </c>
      <c r="D1066" s="37">
        <f>VLOOKUP(Ventas[[#This Row],[Codigo]],Stock[#Data],4,FALSE)</f>
        <v>350</v>
      </c>
      <c r="E1066" s="33">
        <f>VLOOKUP(Ventas[[#This Row],[Codigo]],Stock[#Data],3,FALSE)</f>
        <v>150</v>
      </c>
      <c r="F1066" s="38">
        <v>1</v>
      </c>
      <c r="G1066">
        <v>476</v>
      </c>
      <c r="H1066" s="36">
        <f>Ventas[[#This Row],[Precio Venta]]*Ventas[[#This Row],[Cantidad]]-Ventas[[#This Row],[Descuento]]</f>
        <v>350</v>
      </c>
      <c r="I1066" s="34">
        <f>Ventas[[#This Row],[Total]]-Ventas[[#This Row],[Precio compra]]*Ventas[[#This Row],[Cantidad]]</f>
        <v>200</v>
      </c>
      <c r="J1066" s="34"/>
      <c r="K1066" s="34">
        <f>Ventas[[#This Row],[Total]]*Ventas[[#This Row],[Total 3]]</f>
        <v>0</v>
      </c>
      <c r="L1066" s="34"/>
      <c r="M1066" s="34"/>
    </row>
    <row r="1067" spans="1:13" ht="21.75" customHeight="1">
      <c r="A1067" s="16"/>
      <c r="B1067" s="39" t="s">
        <v>616</v>
      </c>
      <c r="C1067" s="35" t="str">
        <f>VLOOKUP(Ventas[[#This Row],[Codigo]],Stock[#Data],2,FALSE)</f>
        <v>Tabaco Van Kiff Natural</v>
      </c>
      <c r="D1067" s="37">
        <f>VLOOKUP(Ventas[[#This Row],[Codigo]],Stock[#Data],4,FALSE)</f>
        <v>850</v>
      </c>
      <c r="E1067" s="33">
        <f>VLOOKUP(Ventas[[#This Row],[Codigo]],Stock[#Data],3,FALSE)</f>
        <v>580</v>
      </c>
      <c r="F1067" s="38">
        <v>1</v>
      </c>
      <c r="G1067">
        <v>117</v>
      </c>
      <c r="H1067" s="36">
        <f>Ventas[[#This Row],[Precio Venta]]*Ventas[[#This Row],[Cantidad]]-Ventas[[#This Row],[Descuento]]</f>
        <v>850</v>
      </c>
      <c r="I1067" s="34">
        <f>Ventas[[#This Row],[Total]]-Ventas[[#This Row],[Precio compra]]*Ventas[[#This Row],[Cantidad]]</f>
        <v>270</v>
      </c>
      <c r="J1067" s="34"/>
      <c r="K1067" s="34">
        <f>Ventas[[#This Row],[Total]]*Ventas[[#This Row],[Total 3]]</f>
        <v>0</v>
      </c>
      <c r="L1067" s="34"/>
      <c r="M1067" s="34"/>
    </row>
    <row r="1068" spans="1:13" ht="21.75" customHeight="1">
      <c r="A1068" s="16"/>
      <c r="B1068" s="39" t="s">
        <v>616</v>
      </c>
      <c r="C1068" s="35" t="str">
        <f>VLOOKUP(Ventas[[#This Row],[Codigo]],Stock[#Data],2,FALSE)</f>
        <v>Sustrato Perlita</v>
      </c>
      <c r="D1068" s="37">
        <f>VLOOKUP(Ventas[[#This Row],[Codigo]],Stock[#Data],4,FALSE)</f>
        <v>800</v>
      </c>
      <c r="E1068" s="33">
        <f>VLOOKUP(Ventas[[#This Row],[Codigo]],Stock[#Data],3,FALSE)</f>
        <v>400</v>
      </c>
      <c r="F1068" s="38">
        <v>2</v>
      </c>
      <c r="G1068">
        <v>52</v>
      </c>
      <c r="H1068" s="36">
        <f>Ventas[[#This Row],[Precio Venta]]*Ventas[[#This Row],[Cantidad]]-Ventas[[#This Row],[Descuento]]</f>
        <v>1600</v>
      </c>
      <c r="I1068" s="34">
        <f>Ventas[[#This Row],[Total]]-Ventas[[#This Row],[Precio compra]]*Ventas[[#This Row],[Cantidad]]</f>
        <v>800</v>
      </c>
      <c r="J1068" s="34"/>
      <c r="K1068" s="34">
        <f>Ventas[[#This Row],[Total]]*Ventas[[#This Row],[Total 3]]</f>
        <v>0</v>
      </c>
      <c r="L1068" s="34"/>
      <c r="M1068" s="34"/>
    </row>
    <row r="1069" spans="1:13" ht="21.75" customHeight="1">
      <c r="A1069" s="16"/>
      <c r="B1069" s="39" t="s">
        <v>610</v>
      </c>
      <c r="C1069" s="35" t="str">
        <f>VLOOKUP(Ventas[[#This Row],[Codigo]],Stock[#Data],2,FALSE)</f>
        <v>Sustrato Perlita</v>
      </c>
      <c r="D1069" s="37">
        <f>VLOOKUP(Ventas[[#This Row],[Codigo]],Stock[#Data],4,FALSE)</f>
        <v>800</v>
      </c>
      <c r="E1069" s="33">
        <f>VLOOKUP(Ventas[[#This Row],[Codigo]],Stock[#Data],3,FALSE)</f>
        <v>400</v>
      </c>
      <c r="F1069" s="38">
        <v>2</v>
      </c>
      <c r="G1069">
        <v>52</v>
      </c>
      <c r="H1069" s="36">
        <f>Ventas[[#This Row],[Precio Venta]]*Ventas[[#This Row],[Cantidad]]-Ventas[[#This Row],[Descuento]]</f>
        <v>1600</v>
      </c>
      <c r="I1069" s="34">
        <f>Ventas[[#This Row],[Total]]-Ventas[[#This Row],[Precio compra]]*Ventas[[#This Row],[Cantidad]]</f>
        <v>800</v>
      </c>
      <c r="J1069" s="34"/>
      <c r="K1069" s="34">
        <f>Ventas[[#This Row],[Total]]*Ventas[[#This Row],[Total 3]]</f>
        <v>0</v>
      </c>
      <c r="L1069" s="34"/>
      <c r="M1069" s="34"/>
    </row>
    <row r="1070" spans="1:13" ht="21.75" customHeight="1">
      <c r="A1070" s="16"/>
      <c r="B1070" s="39" t="s">
        <v>610</v>
      </c>
      <c r="C1070" s="35" t="str">
        <f>VLOOKUP(Ventas[[#This Row],[Codigo]],Stock[#Data],2,FALSE)</f>
        <v>Top Crop Top Bloom</v>
      </c>
      <c r="D1070" s="37">
        <f>VLOOKUP(Ventas[[#This Row],[Codigo]],Stock[#Data],4,FALSE)</f>
        <v>2200</v>
      </c>
      <c r="E1070" s="33">
        <f>VLOOKUP(Ventas[[#This Row],[Codigo]],Stock[#Data],3,FALSE)</f>
        <v>1082</v>
      </c>
      <c r="F1070" s="38">
        <v>1</v>
      </c>
      <c r="G1070">
        <v>9</v>
      </c>
      <c r="H1070" s="36">
        <f>Ventas[[#This Row],[Precio Venta]]*Ventas[[#This Row],[Cantidad]]-Ventas[[#This Row],[Descuento]]</f>
        <v>2200</v>
      </c>
      <c r="I1070" s="34">
        <f>Ventas[[#This Row],[Total]]-Ventas[[#This Row],[Precio compra]]*Ventas[[#This Row],[Cantidad]]</f>
        <v>1118</v>
      </c>
      <c r="J1070" s="34"/>
      <c r="K1070" s="34">
        <f>Ventas[[#This Row],[Total]]*Ventas[[#This Row],[Total 3]]</f>
        <v>0</v>
      </c>
      <c r="L1070" s="34"/>
      <c r="M1070" s="34"/>
    </row>
    <row r="1071" spans="1:13" ht="21.75" customHeight="1">
      <c r="A1071" s="16"/>
      <c r="B1071" s="39" t="s">
        <v>610</v>
      </c>
      <c r="C1071" s="35" t="str">
        <f>VLOOKUP(Ventas[[#This Row],[Codigo]],Stock[#Data],2,FALSE)</f>
        <v>TreeMIX A 45ml</v>
      </c>
      <c r="D1071" s="37">
        <f>VLOOKUP(Ventas[[#This Row],[Codigo]],Stock[#Data],4,FALSE)</f>
        <v>500</v>
      </c>
      <c r="E1071" s="33">
        <f>VLOOKUP(Ventas[[#This Row],[Codigo]],Stock[#Data],3,FALSE)</f>
        <v>260</v>
      </c>
      <c r="F1071" s="38">
        <v>1</v>
      </c>
      <c r="G1071">
        <v>21</v>
      </c>
      <c r="H1071" s="36">
        <f>Ventas[[#This Row],[Precio Venta]]*Ventas[[#This Row],[Cantidad]]-Ventas[[#This Row],[Descuento]]</f>
        <v>500</v>
      </c>
      <c r="I1071" s="34">
        <f>Ventas[[#This Row],[Total]]-Ventas[[#This Row],[Precio compra]]*Ventas[[#This Row],[Cantidad]]</f>
        <v>240</v>
      </c>
      <c r="J1071" s="34"/>
      <c r="K1071" s="34">
        <f>Ventas[[#This Row],[Total]]*Ventas[[#This Row],[Total 3]]</f>
        <v>0</v>
      </c>
      <c r="L1071" s="34"/>
      <c r="M1071" s="34"/>
    </row>
    <row r="1072" spans="1:13" ht="21.75" customHeight="1">
      <c r="A1072" s="16"/>
      <c r="B1072" s="39" t="s">
        <v>610</v>
      </c>
      <c r="C1072" s="35" t="str">
        <f>VLOOKUP(Ventas[[#This Row],[Codigo]],Stock[#Data],2,FALSE)</f>
        <v>VAMP hechizo BOOM</v>
      </c>
      <c r="D1072" s="37">
        <f>VLOOKUP(Ventas[[#This Row],[Codigo]],Stock[#Data],4,FALSE)</f>
        <v>1200</v>
      </c>
      <c r="E1072" s="33">
        <f>VLOOKUP(Ventas[[#This Row],[Codigo]],Stock[#Data],3,FALSE)</f>
        <v>600</v>
      </c>
      <c r="F1072" s="38">
        <v>1</v>
      </c>
      <c r="G1072">
        <v>39</v>
      </c>
      <c r="H1072" s="36">
        <f>Ventas[[#This Row],[Precio Venta]]*Ventas[[#This Row],[Cantidad]]-Ventas[[#This Row],[Descuento]]</f>
        <v>1200</v>
      </c>
      <c r="I1072" s="34">
        <f>Ventas[[#This Row],[Total]]-Ventas[[#This Row],[Precio compra]]*Ventas[[#This Row],[Cantidad]]</f>
        <v>600</v>
      </c>
      <c r="J1072" s="34"/>
      <c r="K1072" s="34">
        <f>Ventas[[#This Row],[Total]]*Ventas[[#This Row],[Total 3]]</f>
        <v>0</v>
      </c>
      <c r="L1072" s="34"/>
      <c r="M1072" s="34"/>
    </row>
    <row r="1073" spans="1:13" ht="21.75" customHeight="1">
      <c r="A1073" s="16"/>
      <c r="B1073" s="39" t="s">
        <v>610</v>
      </c>
      <c r="C1073" s="35" t="str">
        <f>VLOOKUP(Ventas[[#This Row],[Codigo]],Stock[#Data],2,FALSE)</f>
        <v xml:space="preserve">Sedas 3 Rayos Celulosa </v>
      </c>
      <c r="D1073" s="37">
        <f>VLOOKUP(Ventas[[#This Row],[Codigo]],Stock[#Data],4,FALSE)</f>
        <v>400</v>
      </c>
      <c r="E1073" s="33">
        <f>VLOOKUP(Ventas[[#This Row],[Codigo]],Stock[#Data],3,FALSE)</f>
        <v>211</v>
      </c>
      <c r="F1073" s="38">
        <v>1</v>
      </c>
      <c r="G1073">
        <v>310</v>
      </c>
      <c r="H1073" s="36">
        <f>Ventas[[#This Row],[Precio Venta]]*Ventas[[#This Row],[Cantidad]]-Ventas[[#This Row],[Descuento]]</f>
        <v>400</v>
      </c>
      <c r="I1073" s="34">
        <f>Ventas[[#This Row],[Total]]-Ventas[[#This Row],[Precio compra]]*Ventas[[#This Row],[Cantidad]]</f>
        <v>189</v>
      </c>
      <c r="J1073" s="34"/>
      <c r="K1073" s="34">
        <f>Ventas[[#This Row],[Total]]*Ventas[[#This Row],[Total 3]]</f>
        <v>0</v>
      </c>
      <c r="L1073" s="34"/>
      <c r="M1073" s="34"/>
    </row>
    <row r="1074" spans="1:13" ht="21.75" customHeight="1">
      <c r="A1074" s="16"/>
      <c r="B1074" s="39" t="s">
        <v>610</v>
      </c>
      <c r="C1074" s="35" t="str">
        <f>VLOOKUP(Ventas[[#This Row],[Codigo]],Stock[#Data],2,FALSE)</f>
        <v>Sedas Blunt Rey Kz celulosa Orange</v>
      </c>
      <c r="D1074" s="37">
        <f>VLOOKUP(Ventas[[#This Row],[Codigo]],Stock[#Data],4,FALSE)</f>
        <v>400</v>
      </c>
      <c r="E1074" s="33">
        <f>VLOOKUP(Ventas[[#This Row],[Codigo]],Stock[#Data],3,FALSE)</f>
        <v>167</v>
      </c>
      <c r="F1074" s="38">
        <v>2</v>
      </c>
      <c r="G1074">
        <v>68</v>
      </c>
      <c r="H1074" s="36">
        <f>Ventas[[#This Row],[Precio Venta]]*Ventas[[#This Row],[Cantidad]]-Ventas[[#This Row],[Descuento]]</f>
        <v>800</v>
      </c>
      <c r="I1074" s="34">
        <f>Ventas[[#This Row],[Total]]-Ventas[[#This Row],[Precio compra]]*Ventas[[#This Row],[Cantidad]]</f>
        <v>466</v>
      </c>
      <c r="J1074" s="34"/>
      <c r="K1074" s="34">
        <f>Ventas[[#This Row],[Total]]*Ventas[[#This Row],[Total 3]]</f>
        <v>0</v>
      </c>
      <c r="L1074" s="34"/>
      <c r="M1074" s="34"/>
    </row>
    <row r="1075" spans="1:13" ht="21.75" customHeight="1">
      <c r="A1075" s="16"/>
      <c r="B1075" s="39" t="s">
        <v>610</v>
      </c>
      <c r="C1075" s="35" t="str">
        <f>VLOOKUP(Ventas[[#This Row],[Codigo]],Stock[#Data],2,FALSE)</f>
        <v>Sedas RAW 1/4 +tips BLACK</v>
      </c>
      <c r="D1075" s="37">
        <f>VLOOKUP(Ventas[[#This Row],[Codigo]],Stock[#Data],4,FALSE)</f>
        <v>1000</v>
      </c>
      <c r="E1075" s="33">
        <f>VLOOKUP(Ventas[[#This Row],[Codigo]],Stock[#Data],3,FALSE)</f>
        <v>514</v>
      </c>
      <c r="F1075" s="38">
        <v>1</v>
      </c>
      <c r="G1075">
        <v>81</v>
      </c>
      <c r="H1075" s="36">
        <f>Ventas[[#This Row],[Precio Venta]]*Ventas[[#This Row],[Cantidad]]-Ventas[[#This Row],[Descuento]]</f>
        <v>1000</v>
      </c>
      <c r="I1075" s="34">
        <f>Ventas[[#This Row],[Total]]-Ventas[[#This Row],[Precio compra]]*Ventas[[#This Row],[Cantidad]]</f>
        <v>486</v>
      </c>
      <c r="J1075" s="34"/>
      <c r="K1075" s="34">
        <f>Ventas[[#This Row],[Total]]*Ventas[[#This Row],[Total 3]]</f>
        <v>0</v>
      </c>
      <c r="L1075" s="34"/>
      <c r="M1075" s="34"/>
    </row>
    <row r="1076" spans="1:13" ht="21.75" customHeight="1">
      <c r="A1076" s="16"/>
      <c r="B1076" s="39" t="s">
        <v>610</v>
      </c>
      <c r="C1076" s="35" t="str">
        <f>VLOOKUP(Ventas[[#This Row],[Codigo]],Stock[#Data],2,FALSE)</f>
        <v>4 en 1 100ml Green Leaf Insumos</v>
      </c>
      <c r="D1076" s="37">
        <f>VLOOKUP(Ventas[[#This Row],[Codigo]],Stock[#Data],4,FALSE)</f>
        <v>1000</v>
      </c>
      <c r="E1076" s="33">
        <f>VLOOKUP(Ventas[[#This Row],[Codigo]],Stock[#Data],3,FALSE)</f>
        <v>498</v>
      </c>
      <c r="F1076" s="38">
        <v>1</v>
      </c>
      <c r="G1076">
        <v>575</v>
      </c>
      <c r="H1076" s="36">
        <f>Ventas[[#This Row],[Precio Venta]]*Ventas[[#This Row],[Cantidad]]-Ventas[[#This Row],[Descuento]]</f>
        <v>1000</v>
      </c>
      <c r="I1076" s="34">
        <f>Ventas[[#This Row],[Total]]-Ventas[[#This Row],[Precio compra]]*Ventas[[#This Row],[Cantidad]]</f>
        <v>502</v>
      </c>
      <c r="J1076" s="34"/>
      <c r="K1076" s="34">
        <f>Ventas[[#This Row],[Total]]*Ventas[[#This Row],[Total 3]]</f>
        <v>0</v>
      </c>
      <c r="L1076" s="34"/>
      <c r="M1076" s="34"/>
    </row>
    <row r="1077" spans="1:13" ht="21.75" customHeight="1">
      <c r="A1077" s="16"/>
      <c r="B1077" s="39" t="s">
        <v>609</v>
      </c>
      <c r="C1077" s="35" t="str">
        <f>VLOOKUP(Ventas[[#This Row],[Codigo]],Stock[#Data],2,FALSE)</f>
        <v>Namaste Flora Booster 100ml</v>
      </c>
      <c r="D1077" s="37">
        <f>VLOOKUP(Ventas[[#This Row],[Codigo]],Stock[#Data],4,FALSE)</f>
        <v>1000</v>
      </c>
      <c r="E1077" s="33">
        <f>VLOOKUP(Ventas[[#This Row],[Codigo]],Stock[#Data],3,FALSE)</f>
        <v>517</v>
      </c>
      <c r="F1077" s="38">
        <v>1</v>
      </c>
      <c r="G1077">
        <v>480</v>
      </c>
      <c r="H1077" s="36">
        <f>Ventas[[#This Row],[Precio Venta]]*Ventas[[#This Row],[Cantidad]]-Ventas[[#This Row],[Descuento]]</f>
        <v>1000</v>
      </c>
      <c r="I1077" s="34">
        <f>Ventas[[#This Row],[Total]]-Ventas[[#This Row],[Precio compra]]*Ventas[[#This Row],[Cantidad]]</f>
        <v>483</v>
      </c>
      <c r="J1077" s="34"/>
      <c r="K1077" s="34">
        <f>Ventas[[#This Row],[Total]]*Ventas[[#This Row],[Total 3]]</f>
        <v>0</v>
      </c>
      <c r="L1077" s="34"/>
      <c r="M1077" s="34"/>
    </row>
    <row r="1078" spans="1:13" ht="21.75" customHeight="1">
      <c r="A1078" s="16"/>
      <c r="B1078" s="39" t="s">
        <v>610</v>
      </c>
      <c r="C1078" s="35" t="str">
        <f>VLOOKUP(Ventas[[#This Row],[Codigo]],Stock[#Data],2,FALSE)</f>
        <v>VAMP Guano de murcielago Flora</v>
      </c>
      <c r="D1078" s="37">
        <f>VLOOKUP(Ventas[[#This Row],[Codigo]],Stock[#Data],4,FALSE)</f>
        <v>1000</v>
      </c>
      <c r="E1078" s="33">
        <f>VLOOKUP(Ventas[[#This Row],[Codigo]],Stock[#Data],3,FALSE)</f>
        <v>510</v>
      </c>
      <c r="F1078" s="38">
        <v>2</v>
      </c>
      <c r="G1078">
        <v>38</v>
      </c>
      <c r="H1078" s="36">
        <f>Ventas[[#This Row],[Precio Venta]]*Ventas[[#This Row],[Cantidad]]-Ventas[[#This Row],[Descuento]]</f>
        <v>2000</v>
      </c>
      <c r="I1078" s="34">
        <f>Ventas[[#This Row],[Total]]-Ventas[[#This Row],[Precio compra]]*Ventas[[#This Row],[Cantidad]]</f>
        <v>980</v>
      </c>
      <c r="J1078" s="34"/>
      <c r="K1078" s="34">
        <f>Ventas[[#This Row],[Total]]*Ventas[[#This Row],[Total 3]]</f>
        <v>0</v>
      </c>
      <c r="L1078" s="34"/>
      <c r="M1078" s="34"/>
    </row>
    <row r="1079" spans="1:13" ht="21.75" customHeight="1">
      <c r="A1079" s="16"/>
      <c r="B1079" s="39" t="s">
        <v>610</v>
      </c>
      <c r="C1079" s="35" t="str">
        <f>VLOOKUP(Ventas[[#This Row],[Codigo]],Stock[#Data],2,FALSE)</f>
        <v>TreeMIX KILL BTI 45 ml</v>
      </c>
      <c r="D1079" s="37">
        <f>VLOOKUP(Ventas[[#This Row],[Codigo]],Stock[#Data],4,FALSE)</f>
        <v>850</v>
      </c>
      <c r="E1079" s="33">
        <f>VLOOKUP(Ventas[[#This Row],[Codigo]],Stock[#Data],3,FALSE)</f>
        <v>420</v>
      </c>
      <c r="F1079" s="38">
        <v>1</v>
      </c>
      <c r="G1079">
        <v>28</v>
      </c>
      <c r="H1079" s="36">
        <f>Ventas[[#This Row],[Precio Venta]]*Ventas[[#This Row],[Cantidad]]-Ventas[[#This Row],[Descuento]]</f>
        <v>850</v>
      </c>
      <c r="I1079" s="34">
        <f>Ventas[[#This Row],[Total]]-Ventas[[#This Row],[Precio compra]]*Ventas[[#This Row],[Cantidad]]</f>
        <v>430</v>
      </c>
      <c r="J1079" s="34"/>
      <c r="K1079" s="34">
        <f>Ventas[[#This Row],[Total]]*Ventas[[#This Row],[Total 3]]</f>
        <v>0</v>
      </c>
      <c r="L1079" s="34"/>
      <c r="M1079" s="34"/>
    </row>
    <row r="1080" spans="1:13" ht="21.75" customHeight="1">
      <c r="A1080" s="16"/>
      <c r="B1080" s="39" t="s">
        <v>610</v>
      </c>
      <c r="C1080" s="35" t="str">
        <f>VLOOKUP(Ventas[[#This Row],[Codigo]],Stock[#Data],2,FALSE)</f>
        <v>TreeMIX CANDY 45 ml</v>
      </c>
      <c r="D1080" s="37">
        <f>VLOOKUP(Ventas[[#This Row],[Codigo]],Stock[#Data],4,FALSE)</f>
        <v>500</v>
      </c>
      <c r="E1080" s="33">
        <f>VLOOKUP(Ventas[[#This Row],[Codigo]],Stock[#Data],3,FALSE)</f>
        <v>220</v>
      </c>
      <c r="F1080" s="38">
        <v>1</v>
      </c>
      <c r="G1080">
        <v>26</v>
      </c>
      <c r="H1080" s="36">
        <f>Ventas[[#This Row],[Precio Venta]]*Ventas[[#This Row],[Cantidad]]-Ventas[[#This Row],[Descuento]]</f>
        <v>500</v>
      </c>
      <c r="I1080" s="34">
        <f>Ventas[[#This Row],[Total]]-Ventas[[#This Row],[Precio compra]]*Ventas[[#This Row],[Cantidad]]</f>
        <v>280</v>
      </c>
      <c r="J1080" s="34"/>
      <c r="K1080" s="34">
        <f>Ventas[[#This Row],[Total]]*Ventas[[#This Row],[Total 3]]</f>
        <v>0</v>
      </c>
      <c r="L1080" s="34"/>
      <c r="M1080" s="34"/>
    </row>
    <row r="1081" spans="1:13" ht="21.75" customHeight="1">
      <c r="A1081" s="16"/>
      <c r="B1081" s="39" t="s">
        <v>610</v>
      </c>
      <c r="C1081" s="35" t="str">
        <f>VLOOKUP(Ventas[[#This Row],[Codigo]],Stock[#Data],2,FALSE)</f>
        <v>TreeMIX F 45ml</v>
      </c>
      <c r="D1081" s="37">
        <f>VLOOKUP(Ventas[[#This Row],[Codigo]],Stock[#Data],4,FALSE)</f>
        <v>550</v>
      </c>
      <c r="E1081" s="33">
        <f>VLOOKUP(Ventas[[#This Row],[Codigo]],Stock[#Data],3,FALSE)</f>
        <v>275</v>
      </c>
      <c r="F1081" s="38">
        <v>1</v>
      </c>
      <c r="G1081">
        <v>22</v>
      </c>
      <c r="H1081" s="36">
        <f>Ventas[[#This Row],[Precio Venta]]*Ventas[[#This Row],[Cantidad]]-Ventas[[#This Row],[Descuento]]</f>
        <v>550</v>
      </c>
      <c r="I1081" s="34">
        <f>Ventas[[#This Row],[Total]]-Ventas[[#This Row],[Precio compra]]*Ventas[[#This Row],[Cantidad]]</f>
        <v>275</v>
      </c>
      <c r="J1081" s="34"/>
      <c r="K1081" s="34">
        <f>Ventas[[#This Row],[Total]]*Ventas[[#This Row],[Total 3]]</f>
        <v>0</v>
      </c>
      <c r="L1081" s="34"/>
      <c r="M1081" s="34"/>
    </row>
    <row r="1082" spans="1:13" ht="21.75" customHeight="1">
      <c r="A1082" s="16"/>
      <c r="B1082" s="39" t="s">
        <v>610</v>
      </c>
      <c r="C1082" s="35" t="str">
        <f>VLOOKUP(Ventas[[#This Row],[Codigo]],Stock[#Data],2,FALSE)</f>
        <v>TreeMIX A 45ml</v>
      </c>
      <c r="D1082" s="37">
        <f>VLOOKUP(Ventas[[#This Row],[Codigo]],Stock[#Data],4,FALSE)</f>
        <v>500</v>
      </c>
      <c r="E1082" s="33">
        <f>VLOOKUP(Ventas[[#This Row],[Codigo]],Stock[#Data],3,FALSE)</f>
        <v>260</v>
      </c>
      <c r="F1082" s="38">
        <v>1</v>
      </c>
      <c r="G1082">
        <v>21</v>
      </c>
      <c r="H1082" s="36">
        <f>Ventas[[#This Row],[Precio Venta]]*Ventas[[#This Row],[Cantidad]]-Ventas[[#This Row],[Descuento]]</f>
        <v>500</v>
      </c>
      <c r="I1082" s="34">
        <f>Ventas[[#This Row],[Total]]-Ventas[[#This Row],[Precio compra]]*Ventas[[#This Row],[Cantidad]]</f>
        <v>240</v>
      </c>
      <c r="J1082" s="34"/>
      <c r="K1082" s="34">
        <f>Ventas[[#This Row],[Total]]*Ventas[[#This Row],[Total 3]]</f>
        <v>0</v>
      </c>
      <c r="L1082" s="34"/>
      <c r="M1082" s="34"/>
    </row>
    <row r="1083" spans="1:13" ht="21.75" customHeight="1">
      <c r="A1083" s="16"/>
      <c r="B1083" s="39" t="s">
        <v>610</v>
      </c>
      <c r="C1083" s="35" t="str">
        <f>VLOOKUP(Ventas[[#This Row],[Codigo]],Stock[#Data],2,FALSE)</f>
        <v>TreeMIX N 45ml</v>
      </c>
      <c r="D1083" s="37">
        <f>VLOOKUP(Ventas[[#This Row],[Codigo]],Stock[#Data],4,FALSE)</f>
        <v>500</v>
      </c>
      <c r="E1083" s="33">
        <f>VLOOKUP(Ventas[[#This Row],[Codigo]],Stock[#Data],3,FALSE)</f>
        <v>260</v>
      </c>
      <c r="F1083" s="38">
        <v>1</v>
      </c>
      <c r="G1083">
        <v>23</v>
      </c>
      <c r="H1083" s="36">
        <f>Ventas[[#This Row],[Precio Venta]]*Ventas[[#This Row],[Cantidad]]-Ventas[[#This Row],[Descuento]]</f>
        <v>500</v>
      </c>
      <c r="I1083" s="34">
        <f>Ventas[[#This Row],[Total]]-Ventas[[#This Row],[Precio compra]]*Ventas[[#This Row],[Cantidad]]</f>
        <v>240</v>
      </c>
      <c r="J1083" s="34"/>
      <c r="K1083" s="34">
        <f>Ventas[[#This Row],[Total]]*Ventas[[#This Row],[Total 3]]</f>
        <v>0</v>
      </c>
      <c r="L1083" s="34"/>
      <c r="M1083" s="34"/>
    </row>
    <row r="1084" spans="1:13" ht="21.75" customHeight="1">
      <c r="A1084" s="16"/>
      <c r="B1084" s="39" t="s">
        <v>610</v>
      </c>
      <c r="C1084" s="35" t="str">
        <f>VLOOKUP(Ventas[[#This Row],[Codigo]],Stock[#Data],2,FALSE)</f>
        <v>TreeMIX PRO 45ml</v>
      </c>
      <c r="D1084" s="37">
        <f>VLOOKUP(Ventas[[#This Row],[Codigo]],Stock[#Data],4,FALSE)</f>
        <v>700</v>
      </c>
      <c r="E1084" s="33">
        <f>VLOOKUP(Ventas[[#This Row],[Codigo]],Stock[#Data],3,FALSE)</f>
        <v>345</v>
      </c>
      <c r="F1084" s="38">
        <v>1</v>
      </c>
      <c r="G1084">
        <v>25</v>
      </c>
      <c r="H1084" s="36">
        <f>Ventas[[#This Row],[Precio Venta]]*Ventas[[#This Row],[Cantidad]]-Ventas[[#This Row],[Descuento]]</f>
        <v>700</v>
      </c>
      <c r="I1084" s="34">
        <f>Ventas[[#This Row],[Total]]-Ventas[[#This Row],[Precio compra]]*Ventas[[#This Row],[Cantidad]]</f>
        <v>355</v>
      </c>
      <c r="J1084" s="34"/>
      <c r="K1084" s="34">
        <f>Ventas[[#This Row],[Total]]*Ventas[[#This Row],[Total 3]]</f>
        <v>0</v>
      </c>
      <c r="L1084" s="34"/>
      <c r="M1084" s="34"/>
    </row>
    <row r="1085" spans="1:13" ht="21.75" customHeight="1">
      <c r="A1085" s="16"/>
      <c r="B1085" s="39" t="s">
        <v>610</v>
      </c>
      <c r="C1085" s="35" t="str">
        <f>VLOOKUP(Ventas[[#This Row],[Codigo]],Stock[#Data],2,FALSE)</f>
        <v>Namaste Trico+ 100gr</v>
      </c>
      <c r="D1085" s="37">
        <f>VLOOKUP(Ventas[[#This Row],[Codigo]],Stock[#Data],4,FALSE)</f>
        <v>1000</v>
      </c>
      <c r="E1085" s="33">
        <f>VLOOKUP(Ventas[[#This Row],[Codigo]],Stock[#Data],3,FALSE)</f>
        <v>541</v>
      </c>
      <c r="F1085" s="38">
        <v>1</v>
      </c>
      <c r="G1085">
        <v>479</v>
      </c>
      <c r="H1085" s="36">
        <f>Ventas[[#This Row],[Precio Venta]]*Ventas[[#This Row],[Cantidad]]-Ventas[[#This Row],[Descuento]]</f>
        <v>1000</v>
      </c>
      <c r="I1085" s="34">
        <f>Ventas[[#This Row],[Total]]-Ventas[[#This Row],[Precio compra]]*Ventas[[#This Row],[Cantidad]]</f>
        <v>459</v>
      </c>
      <c r="J1085" s="34"/>
      <c r="K1085" s="34">
        <f>Ventas[[#This Row],[Total]]*Ventas[[#This Row],[Total 3]]</f>
        <v>0</v>
      </c>
      <c r="L1085" s="34"/>
      <c r="M1085" s="34"/>
    </row>
    <row r="1086" spans="1:13" ht="21.75" customHeight="1">
      <c r="A1086" s="16"/>
      <c r="B1086" s="39" t="s">
        <v>610</v>
      </c>
      <c r="C1086" s="35" t="str">
        <f>VLOOKUP(Ventas[[#This Row],[Codigo]],Stock[#Data],2,FALSE)</f>
        <v>Namaste Flora Booster 100ml</v>
      </c>
      <c r="D1086" s="37">
        <f>VLOOKUP(Ventas[[#This Row],[Codigo]],Stock[#Data],4,FALSE)</f>
        <v>1000</v>
      </c>
      <c r="E1086" s="33">
        <f>VLOOKUP(Ventas[[#This Row],[Codigo]],Stock[#Data],3,FALSE)</f>
        <v>517</v>
      </c>
      <c r="F1086" s="38">
        <v>1</v>
      </c>
      <c r="G1086">
        <v>480</v>
      </c>
      <c r="H1086" s="36">
        <f>Ventas[[#This Row],[Precio Venta]]*Ventas[[#This Row],[Cantidad]]-Ventas[[#This Row],[Descuento]]</f>
        <v>1000</v>
      </c>
      <c r="I1086" s="34">
        <f>Ventas[[#This Row],[Total]]-Ventas[[#This Row],[Precio compra]]*Ventas[[#This Row],[Cantidad]]</f>
        <v>483</v>
      </c>
      <c r="J1086" s="34"/>
      <c r="K1086" s="34">
        <f>Ventas[[#This Row],[Total]]*Ventas[[#This Row],[Total 3]]</f>
        <v>0</v>
      </c>
      <c r="L1086" s="34"/>
      <c r="M1086" s="34"/>
    </row>
    <row r="1087" spans="1:13" ht="21.75" customHeight="1">
      <c r="A1087" s="16"/>
      <c r="B1087" s="39" t="s">
        <v>610</v>
      </c>
      <c r="C1087" s="35" t="str">
        <f>VLOOKUP(Ventas[[#This Row],[Codigo]],Stock[#Data],2,FALSE)</f>
        <v>TreeMIX A 200ml</v>
      </c>
      <c r="D1087" s="37">
        <f>VLOOKUP(Ventas[[#This Row],[Codigo]],Stock[#Data],4,FALSE)</f>
        <v>1400</v>
      </c>
      <c r="E1087" s="33">
        <f>VLOOKUP(Ventas[[#This Row],[Codigo]],Stock[#Data],3,FALSE)</f>
        <v>700</v>
      </c>
      <c r="F1087" s="38">
        <v>1</v>
      </c>
      <c r="G1087">
        <v>31</v>
      </c>
      <c r="H1087" s="36">
        <f>Ventas[[#This Row],[Precio Venta]]*Ventas[[#This Row],[Cantidad]]-Ventas[[#This Row],[Descuento]]</f>
        <v>1400</v>
      </c>
      <c r="I1087" s="34">
        <f>Ventas[[#This Row],[Total]]-Ventas[[#This Row],[Precio compra]]*Ventas[[#This Row],[Cantidad]]</f>
        <v>700</v>
      </c>
      <c r="J1087" s="34"/>
      <c r="K1087" s="34">
        <f>Ventas[[#This Row],[Total]]*Ventas[[#This Row],[Total 3]]</f>
        <v>0</v>
      </c>
      <c r="L1087" s="34"/>
      <c r="M1087" s="34"/>
    </row>
    <row r="1088" spans="1:13" ht="21.75" customHeight="1">
      <c r="A1088" s="16"/>
      <c r="B1088" s="39" t="s">
        <v>610</v>
      </c>
      <c r="C1088" s="35" t="str">
        <f>VLOOKUP(Ventas[[#This Row],[Codigo]],Stock[#Data],2,FALSE)</f>
        <v>Picador Lion Cubo</v>
      </c>
      <c r="D1088" s="37">
        <f>VLOOKUP(Ventas[[#This Row],[Codigo]],Stock[#Data],4,FALSE)</f>
        <v>6500</v>
      </c>
      <c r="E1088" s="33">
        <f>VLOOKUP(Ventas[[#This Row],[Codigo]],Stock[#Data],3,FALSE)</f>
        <v>3562</v>
      </c>
      <c r="F1088" s="38">
        <v>1</v>
      </c>
      <c r="G1088">
        <v>369</v>
      </c>
      <c r="H1088" s="36">
        <f>Ventas[[#This Row],[Precio Venta]]*Ventas[[#This Row],[Cantidad]]-Ventas[[#This Row],[Descuento]]</f>
        <v>6500</v>
      </c>
      <c r="I1088" s="34">
        <f>Ventas[[#This Row],[Total]]-Ventas[[#This Row],[Precio compra]]*Ventas[[#This Row],[Cantidad]]</f>
        <v>2938</v>
      </c>
      <c r="J1088" s="34"/>
      <c r="K1088" s="34">
        <f>Ventas[[#This Row],[Total]]*Ventas[[#This Row],[Total 3]]</f>
        <v>0</v>
      </c>
      <c r="L1088" s="34"/>
      <c r="M1088" s="34"/>
    </row>
    <row r="1089" spans="1:13" ht="21.75" customHeight="1">
      <c r="A1089" s="16"/>
      <c r="B1089" s="39" t="s">
        <v>610</v>
      </c>
      <c r="C1089" s="35" t="str">
        <f>VLOOKUP(Ventas[[#This Row],[Codigo]],Stock[#Data],2,FALSE)</f>
        <v xml:space="preserve">filtros gizhe slim 6mm </v>
      </c>
      <c r="D1089" s="37">
        <f>VLOOKUP(Ventas[[#This Row],[Codigo]],Stock[#Data],4,FALSE)</f>
        <v>350</v>
      </c>
      <c r="E1089" s="33">
        <f>VLOOKUP(Ventas[[#This Row],[Codigo]],Stock[#Data],3,FALSE)</f>
        <v>175</v>
      </c>
      <c r="F1089" s="38">
        <v>2</v>
      </c>
      <c r="G1089">
        <v>361</v>
      </c>
      <c r="H1089" s="36">
        <f>Ventas[[#This Row],[Precio Venta]]*Ventas[[#This Row],[Cantidad]]-Ventas[[#This Row],[Descuento]]</f>
        <v>700</v>
      </c>
      <c r="I1089" s="34">
        <f>Ventas[[#This Row],[Total]]-Ventas[[#This Row],[Precio compra]]*Ventas[[#This Row],[Cantidad]]</f>
        <v>350</v>
      </c>
      <c r="J1089" s="34"/>
      <c r="K1089" s="34">
        <f>Ventas[[#This Row],[Total]]*Ventas[[#This Row],[Total 3]]</f>
        <v>0</v>
      </c>
      <c r="L1089" s="34"/>
      <c r="M1089" s="34"/>
    </row>
    <row r="1090" spans="1:13" ht="21.75" customHeight="1">
      <c r="A1090" s="16"/>
      <c r="B1090" s="39" t="s">
        <v>610</v>
      </c>
      <c r="C1090" s="35" t="str">
        <f>VLOOKUP(Ventas[[#This Row],[Codigo]],Stock[#Data],2,FALSE)</f>
        <v>Sedas Lion Rolling Circus 1/4 alfalfa</v>
      </c>
      <c r="D1090" s="37">
        <f>VLOOKUP(Ventas[[#This Row],[Codigo]],Stock[#Data],4,FALSE)</f>
        <v>300</v>
      </c>
      <c r="E1090" s="33">
        <f>VLOOKUP(Ventas[[#This Row],[Codigo]],Stock[#Data],3,FALSE)</f>
        <v>150</v>
      </c>
      <c r="F1090" s="38">
        <v>1</v>
      </c>
      <c r="G1090">
        <v>63</v>
      </c>
      <c r="H1090" s="36">
        <f>Ventas[[#This Row],[Precio Venta]]*Ventas[[#This Row],[Cantidad]]-Ventas[[#This Row],[Descuento]]</f>
        <v>300</v>
      </c>
      <c r="I1090" s="34">
        <f>Ventas[[#This Row],[Total]]-Ventas[[#This Row],[Precio compra]]*Ventas[[#This Row],[Cantidad]]</f>
        <v>150</v>
      </c>
      <c r="J1090" s="34"/>
      <c r="K1090" s="34">
        <f>Ventas[[#This Row],[Total]]*Ventas[[#This Row],[Total 3]]</f>
        <v>0</v>
      </c>
      <c r="L1090" s="34"/>
      <c r="M1090" s="34"/>
    </row>
    <row r="1091" spans="1:13" ht="21.75" customHeight="1">
      <c r="A1091" s="16"/>
      <c r="B1091" s="39" t="s">
        <v>610</v>
      </c>
      <c r="C1091" s="35" t="str">
        <f>VLOOKUP(Ventas[[#This Row],[Codigo]],Stock[#Data],2,FALSE)</f>
        <v xml:space="preserve">Aceite de Cannabis 30 ml </v>
      </c>
      <c r="D1091" s="37">
        <f>VLOOKUP(Ventas[[#This Row],[Codigo]],Stock[#Data],4,FALSE)</f>
        <v>7500</v>
      </c>
      <c r="E1091" s="33">
        <f>VLOOKUP(Ventas[[#This Row],[Codigo]],Stock[#Data],3,FALSE)</f>
        <v>5500</v>
      </c>
      <c r="F1091" s="38">
        <v>1</v>
      </c>
      <c r="G1091">
        <v>525</v>
      </c>
      <c r="H1091" s="36">
        <f>Ventas[[#This Row],[Precio Venta]]*Ventas[[#This Row],[Cantidad]]-Ventas[[#This Row],[Descuento]]</f>
        <v>7500</v>
      </c>
      <c r="I1091" s="34">
        <f>Ventas[[#This Row],[Total]]-Ventas[[#This Row],[Precio compra]]*Ventas[[#This Row],[Cantidad]]</f>
        <v>2000</v>
      </c>
      <c r="J1091" s="34"/>
      <c r="K1091" s="34">
        <f>Ventas[[#This Row],[Total]]*Ventas[[#This Row],[Total 3]]</f>
        <v>0</v>
      </c>
      <c r="L1091" s="34"/>
      <c r="M1091" s="34"/>
    </row>
    <row r="1092" spans="1:13" ht="21.75" customHeight="1">
      <c r="A1092" s="16"/>
      <c r="B1092" s="39" t="s">
        <v>608</v>
      </c>
      <c r="C1092" s="35" t="str">
        <f>VLOOKUP(Ventas[[#This Row],[Codigo]],Stock[#Data],2,FALSE)</f>
        <v>Bandeja Motivos Varios</v>
      </c>
      <c r="D1092" s="37">
        <f>VLOOKUP(Ventas[[#This Row],[Codigo]],Stock[#Data],4,FALSE)</f>
        <v>2100</v>
      </c>
      <c r="E1092" s="33">
        <f>VLOOKUP(Ventas[[#This Row],[Codigo]],Stock[#Data],3,FALSE)</f>
        <v>1047</v>
      </c>
      <c r="F1092" s="38">
        <v>1</v>
      </c>
      <c r="G1092">
        <v>135</v>
      </c>
      <c r="H1092" s="36">
        <f>Ventas[[#This Row],[Precio Venta]]*Ventas[[#This Row],[Cantidad]]-Ventas[[#This Row],[Descuento]]</f>
        <v>2100</v>
      </c>
      <c r="I1092" s="34">
        <f>Ventas[[#This Row],[Total]]-Ventas[[#This Row],[Precio compra]]*Ventas[[#This Row],[Cantidad]]</f>
        <v>1053</v>
      </c>
      <c r="J1092" s="34"/>
      <c r="K1092" s="34">
        <f>Ventas[[#This Row],[Total]]*Ventas[[#This Row],[Total 3]]</f>
        <v>0</v>
      </c>
      <c r="L1092" s="34"/>
      <c r="M1092" s="34"/>
    </row>
    <row r="1093" spans="1:13" ht="21.75" customHeight="1">
      <c r="A1093" s="16"/>
      <c r="B1093" s="39" t="s">
        <v>604</v>
      </c>
      <c r="C1093" s="35" t="str">
        <f>VLOOKUP(Ventas[[#This Row],[Codigo]],Stock[#Data],2,FALSE)</f>
        <v>Porta porros 420</v>
      </c>
      <c r="D1093" s="37">
        <f>VLOOKUP(Ventas[[#This Row],[Codigo]],Stock[#Data],4,FALSE)</f>
        <v>200</v>
      </c>
      <c r="E1093" s="33">
        <f>VLOOKUP(Ventas[[#This Row],[Codigo]],Stock[#Data],3,FALSE)</f>
        <v>73</v>
      </c>
      <c r="F1093" s="38">
        <v>1</v>
      </c>
      <c r="G1093">
        <v>421</v>
      </c>
      <c r="H1093" s="36">
        <f>Ventas[[#This Row],[Precio Venta]]*Ventas[[#This Row],[Cantidad]]-Ventas[[#This Row],[Descuento]]</f>
        <v>200</v>
      </c>
      <c r="I1093" s="34">
        <f>Ventas[[#This Row],[Total]]-Ventas[[#This Row],[Precio compra]]*Ventas[[#This Row],[Cantidad]]</f>
        <v>127</v>
      </c>
      <c r="J1093" s="34"/>
      <c r="K1093" s="34">
        <f>Ventas[[#This Row],[Total]]*Ventas[[#This Row],[Total 3]]</f>
        <v>0</v>
      </c>
      <c r="L1093" s="34"/>
      <c r="M1093" s="34"/>
    </row>
    <row r="1094" spans="1:13" ht="21.75" customHeight="1">
      <c r="A1094" s="16"/>
      <c r="B1094" s="39" t="s">
        <v>604</v>
      </c>
      <c r="C1094" s="35" t="str">
        <f>VLOOKUP(Ventas[[#This Row],[Codigo]],Stock[#Data],2,FALSE)</f>
        <v>Picador Scuadarfum triangulo</v>
      </c>
      <c r="D1094" s="37">
        <f>VLOOKUP(Ventas[[#This Row],[Codigo]],Stock[#Data],4,FALSE)</f>
        <v>1200</v>
      </c>
      <c r="E1094" s="33">
        <f>VLOOKUP(Ventas[[#This Row],[Codigo]],Stock[#Data],3,FALSE)</f>
        <v>575</v>
      </c>
      <c r="F1094" s="38">
        <v>1</v>
      </c>
      <c r="G1094">
        <v>462</v>
      </c>
      <c r="H1094" s="36">
        <f>Ventas[[#This Row],[Precio Venta]]*Ventas[[#This Row],[Cantidad]]-Ventas[[#This Row],[Descuento]]</f>
        <v>1200</v>
      </c>
      <c r="I1094" s="34">
        <f>Ventas[[#This Row],[Total]]-Ventas[[#This Row],[Precio compra]]*Ventas[[#This Row],[Cantidad]]</f>
        <v>625</v>
      </c>
      <c r="J1094" s="34"/>
      <c r="K1094" s="34">
        <f>Ventas[[#This Row],[Total]]*Ventas[[#This Row],[Total 3]]</f>
        <v>0</v>
      </c>
      <c r="L1094" s="34"/>
      <c r="M1094" s="34"/>
    </row>
    <row r="1095" spans="1:13" ht="21.75" customHeight="1">
      <c r="A1095" s="16"/>
      <c r="B1095" s="39" t="s">
        <v>604</v>
      </c>
      <c r="C1095" s="35" t="str">
        <f>VLOOKUP(Ventas[[#This Row],[Codigo]],Stock[#Data],2,FALSE)</f>
        <v>TreeMIX A 45ml</v>
      </c>
      <c r="D1095" s="37">
        <f>VLOOKUP(Ventas[[#This Row],[Codigo]],Stock[#Data],4,FALSE)</f>
        <v>500</v>
      </c>
      <c r="E1095" s="33">
        <f>VLOOKUP(Ventas[[#This Row],[Codigo]],Stock[#Data],3,FALSE)</f>
        <v>260</v>
      </c>
      <c r="F1095" s="38">
        <v>1</v>
      </c>
      <c r="G1095">
        <v>21</v>
      </c>
      <c r="H1095" s="36">
        <f>Ventas[[#This Row],[Precio Venta]]*Ventas[[#This Row],[Cantidad]]-Ventas[[#This Row],[Descuento]]</f>
        <v>500</v>
      </c>
      <c r="I1095" s="34">
        <f>Ventas[[#This Row],[Total]]-Ventas[[#This Row],[Precio compra]]*Ventas[[#This Row],[Cantidad]]</f>
        <v>240</v>
      </c>
      <c r="J1095" s="34"/>
      <c r="K1095" s="34">
        <f>Ventas[[#This Row],[Total]]*Ventas[[#This Row],[Total 3]]</f>
        <v>0</v>
      </c>
      <c r="L1095" s="34"/>
      <c r="M1095" s="34"/>
    </row>
    <row r="1096" spans="1:13" ht="21.75" customHeight="1">
      <c r="A1096" s="16"/>
      <c r="B1096" s="39" t="s">
        <v>604</v>
      </c>
      <c r="C1096" s="35" t="str">
        <f>VLOOKUP(Ventas[[#This Row],[Codigo]],Stock[#Data],2,FALSE)</f>
        <v>Tips Rok Organic</v>
      </c>
      <c r="D1096" s="37">
        <f>VLOOKUP(Ventas[[#This Row],[Codigo]],Stock[#Data],4,FALSE)</f>
        <v>100</v>
      </c>
      <c r="E1096" s="33">
        <f>VLOOKUP(Ventas[[#This Row],[Codigo]],Stock[#Data],3,FALSE)</f>
        <v>50</v>
      </c>
      <c r="F1096" s="38">
        <v>1</v>
      </c>
      <c r="G1096">
        <v>96</v>
      </c>
      <c r="H1096" s="36">
        <f>Ventas[[#This Row],[Precio Venta]]*Ventas[[#This Row],[Cantidad]]-Ventas[[#This Row],[Descuento]]</f>
        <v>100</v>
      </c>
      <c r="I1096" s="34">
        <f>Ventas[[#This Row],[Total]]-Ventas[[#This Row],[Precio compra]]*Ventas[[#This Row],[Cantidad]]</f>
        <v>50</v>
      </c>
      <c r="J1096" s="34"/>
      <c r="K1096" s="34">
        <f>Ventas[[#This Row],[Total]]*Ventas[[#This Row],[Total 3]]</f>
        <v>0</v>
      </c>
      <c r="L1096" s="34"/>
      <c r="M1096" s="34"/>
    </row>
    <row r="1097" spans="1:13" ht="21.75" customHeight="1">
      <c r="A1097" s="16"/>
      <c r="B1097" s="39" t="s">
        <v>604</v>
      </c>
      <c r="C1097" s="35" t="str">
        <f>VLOOKUP(Ventas[[#This Row],[Codigo]],Stock[#Data],2,FALSE)</f>
        <v xml:space="preserve">Picador Bronce </v>
      </c>
      <c r="D1097" s="37">
        <f>VLOOKUP(Ventas[[#This Row],[Codigo]],Stock[#Data],4,FALSE)</f>
        <v>2500</v>
      </c>
      <c r="E1097" s="33">
        <f>VLOOKUP(Ventas[[#This Row],[Codigo]],Stock[#Data],3,FALSE)</f>
        <v>1330</v>
      </c>
      <c r="F1097" s="38">
        <v>1</v>
      </c>
      <c r="G1097">
        <v>340</v>
      </c>
      <c r="H1097" s="36">
        <f>Ventas[[#This Row],[Precio Venta]]*Ventas[[#This Row],[Cantidad]]-Ventas[[#This Row],[Descuento]]</f>
        <v>2500</v>
      </c>
      <c r="I1097" s="34">
        <f>Ventas[[#This Row],[Total]]-Ventas[[#This Row],[Precio compra]]*Ventas[[#This Row],[Cantidad]]</f>
        <v>1170</v>
      </c>
      <c r="J1097" s="34"/>
      <c r="K1097" s="34">
        <f>Ventas[[#This Row],[Total]]*Ventas[[#This Row],[Total 3]]</f>
        <v>0</v>
      </c>
      <c r="L1097" s="34"/>
      <c r="M1097" s="34"/>
    </row>
    <row r="1098" spans="1:13" ht="21.75" customHeight="1">
      <c r="A1098" s="16"/>
      <c r="B1098" s="39" t="s">
        <v>604</v>
      </c>
      <c r="C1098" s="35" t="str">
        <f>VLOOKUP(Ventas[[#This Row],[Codigo]],Stock[#Data],2,FALSE)</f>
        <v>gas butano clear 250cc</v>
      </c>
      <c r="D1098" s="37">
        <f>VLOOKUP(Ventas[[#This Row],[Codigo]],Stock[#Data],4,FALSE)</f>
        <v>1000</v>
      </c>
      <c r="E1098" s="33">
        <f>VLOOKUP(Ventas[[#This Row],[Codigo]],Stock[#Data],3,FALSE)</f>
        <v>425</v>
      </c>
      <c r="F1098" s="38">
        <v>1</v>
      </c>
      <c r="G1098">
        <v>358</v>
      </c>
      <c r="H1098" s="36">
        <f>Ventas[[#This Row],[Precio Venta]]*Ventas[[#This Row],[Cantidad]]-Ventas[[#This Row],[Descuento]]</f>
        <v>1000</v>
      </c>
      <c r="I1098" s="34">
        <f>Ventas[[#This Row],[Total]]-Ventas[[#This Row],[Precio compra]]*Ventas[[#This Row],[Cantidad]]</f>
        <v>575</v>
      </c>
      <c r="J1098" s="34"/>
      <c r="K1098" s="34">
        <f>Ventas[[#This Row],[Total]]*Ventas[[#This Row],[Total 3]]</f>
        <v>0</v>
      </c>
      <c r="L1098" s="34"/>
      <c r="M1098" s="34"/>
    </row>
    <row r="1099" spans="1:13" ht="21.75" customHeight="1">
      <c r="A1099" s="16"/>
      <c r="B1099" s="39" t="s">
        <v>604</v>
      </c>
      <c r="C1099" s="35" t="str">
        <f>VLOOKUP(Ventas[[#This Row],[Codigo]],Stock[#Data],2,FALSE)</f>
        <v>CropSecret 250ml Floral Session</v>
      </c>
      <c r="D1099" s="37">
        <f>VLOOKUP(Ventas[[#This Row],[Codigo]],Stock[#Data],4,FALSE)</f>
        <v>2000</v>
      </c>
      <c r="E1099" s="33">
        <f>VLOOKUP(Ventas[[#This Row],[Codigo]],Stock[#Data],3,FALSE)</f>
        <v>836</v>
      </c>
      <c r="F1099" s="38">
        <v>1</v>
      </c>
      <c r="G1099">
        <v>6</v>
      </c>
      <c r="H1099" s="36">
        <f>Ventas[[#This Row],[Precio Venta]]*Ventas[[#This Row],[Cantidad]]-Ventas[[#This Row],[Descuento]]</f>
        <v>2000</v>
      </c>
      <c r="I1099" s="34">
        <f>Ventas[[#This Row],[Total]]-Ventas[[#This Row],[Precio compra]]*Ventas[[#This Row],[Cantidad]]</f>
        <v>1164</v>
      </c>
      <c r="J1099" s="34"/>
      <c r="K1099" s="34">
        <f>Ventas[[#This Row],[Total]]*Ventas[[#This Row],[Total 3]]</f>
        <v>0</v>
      </c>
      <c r="L1099" s="34"/>
      <c r="M1099" s="34"/>
    </row>
    <row r="1100" spans="1:13" ht="21.75" customHeight="1">
      <c r="A1100" s="16"/>
      <c r="B1100" s="39" t="s">
        <v>604</v>
      </c>
      <c r="C1100" s="35" t="str">
        <f>VLOOKUP(Ventas[[#This Row],[Codigo]],Stock[#Data],2,FALSE)</f>
        <v xml:space="preserve"> Sedas LION Kz Ultra fina</v>
      </c>
      <c r="D1100" s="37">
        <f>VLOOKUP(Ventas[[#This Row],[Codigo]],Stock[#Data],4,FALSE)</f>
        <v>150</v>
      </c>
      <c r="E1100" s="33">
        <f>VLOOKUP(Ventas[[#This Row],[Codigo]],Stock[#Data],3,FALSE)</f>
        <v>65</v>
      </c>
      <c r="F1100" s="38">
        <v>1</v>
      </c>
      <c r="G1100">
        <v>78</v>
      </c>
      <c r="H1100" s="36">
        <f>Ventas[[#This Row],[Precio Venta]]*Ventas[[#This Row],[Cantidad]]-Ventas[[#This Row],[Descuento]]</f>
        <v>150</v>
      </c>
      <c r="I1100" s="34">
        <f>Ventas[[#This Row],[Total]]-Ventas[[#This Row],[Precio compra]]*Ventas[[#This Row],[Cantidad]]</f>
        <v>85</v>
      </c>
      <c r="J1100" s="34"/>
      <c r="K1100" s="34">
        <f>Ventas[[#This Row],[Total]]*Ventas[[#This Row],[Total 3]]</f>
        <v>0</v>
      </c>
      <c r="L1100" s="34"/>
      <c r="M1100" s="34"/>
    </row>
    <row r="1101" spans="1:13" ht="21.75" customHeight="1">
      <c r="A1101" s="16"/>
      <c r="B1101" s="39" t="s">
        <v>604</v>
      </c>
      <c r="C1101" s="35" t="str">
        <f>VLOOKUP(Ventas[[#This Row],[Codigo]],Stock[#Data],2,FALSE)</f>
        <v>Sedas OCB 1/4 Organic  Bamboo</v>
      </c>
      <c r="D1101" s="37">
        <f>VLOOKUP(Ventas[[#This Row],[Codigo]],Stock[#Data],4,FALSE)</f>
        <v>300</v>
      </c>
      <c r="E1101" s="33">
        <f>VLOOKUP(Ventas[[#This Row],[Codigo]],Stock[#Data],3,FALSE)</f>
        <v>165</v>
      </c>
      <c r="F1101" s="38">
        <v>1</v>
      </c>
      <c r="G1101">
        <v>77</v>
      </c>
      <c r="H1101" s="36">
        <f>Ventas[[#This Row],[Precio Venta]]*Ventas[[#This Row],[Cantidad]]-Ventas[[#This Row],[Descuento]]</f>
        <v>300</v>
      </c>
      <c r="I1101" s="34">
        <f>Ventas[[#This Row],[Total]]-Ventas[[#This Row],[Precio compra]]*Ventas[[#This Row],[Cantidad]]</f>
        <v>135</v>
      </c>
      <c r="J1101" s="34"/>
      <c r="K1101" s="34">
        <f>Ventas[[#This Row],[Total]]*Ventas[[#This Row],[Total 3]]</f>
        <v>0</v>
      </c>
      <c r="L1101" s="34"/>
      <c r="M1101" s="34"/>
    </row>
    <row r="1102" spans="1:13" ht="21.75" customHeight="1">
      <c r="A1102" s="16"/>
      <c r="B1102" s="39" t="s">
        <v>604</v>
      </c>
      <c r="C1102" s="35" t="str">
        <f>VLOOKUP(Ventas[[#This Row],[Codigo]],Stock[#Data],2,FALSE)</f>
        <v>Blunt Lion Hemp Wraps Natural</v>
      </c>
      <c r="D1102" s="37">
        <f>VLOOKUP(Ventas[[#This Row],[Codigo]],Stock[#Data],4,FALSE)</f>
        <v>550</v>
      </c>
      <c r="E1102" s="33">
        <f>VLOOKUP(Ventas[[#This Row],[Codigo]],Stock[#Data],3,FALSE)</f>
        <v>316</v>
      </c>
      <c r="F1102" s="38">
        <v>1</v>
      </c>
      <c r="G1102">
        <v>561</v>
      </c>
      <c r="H1102" s="36">
        <f>Ventas[[#This Row],[Precio Venta]]*Ventas[[#This Row],[Cantidad]]-Ventas[[#This Row],[Descuento]]</f>
        <v>550</v>
      </c>
      <c r="I1102" s="34">
        <f>Ventas[[#This Row],[Total]]-Ventas[[#This Row],[Precio compra]]*Ventas[[#This Row],[Cantidad]]</f>
        <v>234</v>
      </c>
      <c r="J1102" s="34"/>
      <c r="K1102" s="34">
        <f>Ventas[[#This Row],[Total]]*Ventas[[#This Row],[Total 3]]</f>
        <v>0</v>
      </c>
      <c r="L1102" s="34"/>
      <c r="M1102" s="34"/>
    </row>
    <row r="1103" spans="1:13" ht="21.75" customHeight="1">
      <c r="A1103" s="16"/>
      <c r="B1103" s="39" t="s">
        <v>604</v>
      </c>
      <c r="C1103" s="35" t="str">
        <f>VLOOKUP(Ventas[[#This Row],[Codigo]],Stock[#Data],2,FALSE)</f>
        <v>Cultivate Insecticida 100ml</v>
      </c>
      <c r="D1103" s="37">
        <f>VLOOKUP(Ventas[[#This Row],[Codigo]],Stock[#Data],4,FALSE)</f>
        <v>1500</v>
      </c>
      <c r="E1103" s="33">
        <f>VLOOKUP(Ventas[[#This Row],[Codigo]],Stock[#Data],3,FALSE)</f>
        <v>740</v>
      </c>
      <c r="F1103" s="38">
        <v>1</v>
      </c>
      <c r="G1103">
        <v>544</v>
      </c>
      <c r="H1103" s="36">
        <f>Ventas[[#This Row],[Precio Venta]]*Ventas[[#This Row],[Cantidad]]-Ventas[[#This Row],[Descuento]]</f>
        <v>1500</v>
      </c>
      <c r="I1103" s="34">
        <f>Ventas[[#This Row],[Total]]-Ventas[[#This Row],[Precio compra]]*Ventas[[#This Row],[Cantidad]]</f>
        <v>760</v>
      </c>
      <c r="J1103" s="34"/>
      <c r="K1103" s="34">
        <f>Ventas[[#This Row],[Total]]*Ventas[[#This Row],[Total 3]]</f>
        <v>0</v>
      </c>
      <c r="L1103" s="34"/>
      <c r="M1103" s="34"/>
    </row>
    <row r="1104" spans="1:13" ht="21.75" customHeight="1">
      <c r="A1104" s="16"/>
      <c r="B1104" s="39" t="s">
        <v>604</v>
      </c>
      <c r="C1104" s="35" t="str">
        <f>VLOOKUP(Ventas[[#This Row],[Codigo]],Stock[#Data],2,FALSE)</f>
        <v>Revienta Cogollos 100cc</v>
      </c>
      <c r="D1104" s="37">
        <f>VLOOKUP(Ventas[[#This Row],[Codigo]],Stock[#Data],4,FALSE)</f>
        <v>2500</v>
      </c>
      <c r="E1104" s="33">
        <f>VLOOKUP(Ventas[[#This Row],[Codigo]],Stock[#Data],3,FALSE)</f>
        <v>1250</v>
      </c>
      <c r="F1104" s="38">
        <v>2</v>
      </c>
      <c r="G1104">
        <v>495</v>
      </c>
      <c r="H1104" s="36">
        <f>Ventas[[#This Row],[Precio Venta]]*Ventas[[#This Row],[Cantidad]]-Ventas[[#This Row],[Descuento]]</f>
        <v>5000</v>
      </c>
      <c r="I1104" s="34">
        <f>Ventas[[#This Row],[Total]]-Ventas[[#This Row],[Precio compra]]*Ventas[[#This Row],[Cantidad]]</f>
        <v>2500</v>
      </c>
      <c r="J1104" s="34"/>
      <c r="K1104" s="34">
        <f>Ventas[[#This Row],[Total]]*Ventas[[#This Row],[Total 3]]</f>
        <v>0</v>
      </c>
      <c r="L1104" s="34"/>
      <c r="M1104" s="34"/>
    </row>
    <row r="1105" spans="1:13" ht="21.75" customHeight="1">
      <c r="A1105" s="16"/>
      <c r="B1105" s="39" t="s">
        <v>604</v>
      </c>
      <c r="C1105" s="35" t="str">
        <f>VLOOKUP(Ventas[[#This Row],[Codigo]],Stock[#Data],2,FALSE)</f>
        <v>Namaste Shanti 100ml</v>
      </c>
      <c r="D1105" s="37">
        <f>VLOOKUP(Ventas[[#This Row],[Codigo]],Stock[#Data],4,FALSE)</f>
        <v>2000</v>
      </c>
      <c r="E1105" s="33">
        <f>VLOOKUP(Ventas[[#This Row],[Codigo]],Stock[#Data],3,FALSE)</f>
        <v>932</v>
      </c>
      <c r="F1105" s="38">
        <v>1</v>
      </c>
      <c r="G1105">
        <v>569</v>
      </c>
      <c r="H1105" s="36">
        <f>Ventas[[#This Row],[Precio Venta]]*Ventas[[#This Row],[Cantidad]]-Ventas[[#This Row],[Descuento]]</f>
        <v>2000</v>
      </c>
      <c r="I1105" s="34">
        <f>Ventas[[#This Row],[Total]]-Ventas[[#This Row],[Precio compra]]*Ventas[[#This Row],[Cantidad]]</f>
        <v>1068</v>
      </c>
      <c r="J1105" s="34"/>
      <c r="K1105" s="34">
        <f>Ventas[[#This Row],[Total]]*Ventas[[#This Row],[Total 3]]</f>
        <v>0</v>
      </c>
      <c r="L1105" s="34"/>
      <c r="M1105" s="34"/>
    </row>
    <row r="1106" spans="1:13" ht="21.75" customHeight="1">
      <c r="A1106" s="16"/>
      <c r="B1106" s="39" t="s">
        <v>598</v>
      </c>
      <c r="C1106" s="35" t="str">
        <f>VLOOKUP(Ventas[[#This Row],[Codigo]],Stock[#Data],2,FALSE)</f>
        <v>Sedas Blunt Rey 1/4  Hemp</v>
      </c>
      <c r="D1106" s="37">
        <f>VLOOKUP(Ventas[[#This Row],[Codigo]],Stock[#Data],4,FALSE)</f>
        <v>250</v>
      </c>
      <c r="E1106" s="33">
        <f>VLOOKUP(Ventas[[#This Row],[Codigo]],Stock[#Data],3,FALSE)</f>
        <v>120</v>
      </c>
      <c r="F1106" s="38">
        <v>1</v>
      </c>
      <c r="G1106">
        <v>287</v>
      </c>
      <c r="H1106" s="36">
        <f>Ventas[[#This Row],[Precio Venta]]*Ventas[[#This Row],[Cantidad]]-Ventas[[#This Row],[Descuento]]</f>
        <v>250</v>
      </c>
      <c r="I1106" s="34">
        <f>Ventas[[#This Row],[Total]]-Ventas[[#This Row],[Precio compra]]*Ventas[[#This Row],[Cantidad]]</f>
        <v>130</v>
      </c>
      <c r="J1106" s="34"/>
      <c r="K1106" s="34">
        <f>Ventas[[#This Row],[Total]]*Ventas[[#This Row],[Total 3]]</f>
        <v>0</v>
      </c>
      <c r="L1106" s="34"/>
      <c r="M1106" s="34"/>
    </row>
    <row r="1107" spans="1:13" ht="21.75" customHeight="1">
      <c r="A1107" s="16"/>
      <c r="B1107" s="39" t="s">
        <v>598</v>
      </c>
      <c r="C1107" s="35" t="str">
        <f>VLOOKUP(Ventas[[#This Row],[Codigo]],Stock[#Data],2,FALSE)</f>
        <v>Pipa Silicona</v>
      </c>
      <c r="D1107" s="37">
        <f>VLOOKUP(Ventas[[#This Row],[Codigo]],Stock[#Data],4,FALSE)</f>
        <v>3800</v>
      </c>
      <c r="E1107" s="33">
        <f>VLOOKUP(Ventas[[#This Row],[Codigo]],Stock[#Data],3,FALSE)</f>
        <v>1895</v>
      </c>
      <c r="F1107" s="38">
        <v>1</v>
      </c>
      <c r="G1107">
        <v>157</v>
      </c>
      <c r="H1107" s="36">
        <f>Ventas[[#This Row],[Precio Venta]]*Ventas[[#This Row],[Cantidad]]-Ventas[[#This Row],[Descuento]]</f>
        <v>3800</v>
      </c>
      <c r="I1107" s="34">
        <f>Ventas[[#This Row],[Total]]-Ventas[[#This Row],[Precio compra]]*Ventas[[#This Row],[Cantidad]]</f>
        <v>1905</v>
      </c>
      <c r="J1107" s="34"/>
      <c r="K1107" s="34">
        <f>Ventas[[#This Row],[Total]]*Ventas[[#This Row],[Total 3]]</f>
        <v>0</v>
      </c>
      <c r="L1107" s="34"/>
      <c r="M1107" s="34"/>
    </row>
    <row r="1108" spans="1:13" ht="21.75" customHeight="1">
      <c r="A1108" s="16"/>
      <c r="B1108" s="39" t="s">
        <v>598</v>
      </c>
      <c r="C1108" s="35" t="str">
        <f>VLOOKUP(Ventas[[#This Row],[Codigo]],Stock[#Data],2,FALSE)</f>
        <v>Juego REFUMANYI</v>
      </c>
      <c r="D1108" s="37">
        <f>VLOOKUP(Ventas[[#This Row],[Codigo]],Stock[#Data],4,FALSE)</f>
        <v>4000</v>
      </c>
      <c r="E1108" s="33">
        <f>VLOOKUP(Ventas[[#This Row],[Codigo]],Stock[#Data],3,FALSE)</f>
        <v>252</v>
      </c>
      <c r="F1108" s="38">
        <v>1</v>
      </c>
      <c r="G1108">
        <v>202</v>
      </c>
      <c r="H1108" s="36">
        <f>Ventas[[#This Row],[Precio Venta]]*Ventas[[#This Row],[Cantidad]]-Ventas[[#This Row],[Descuento]]</f>
        <v>4000</v>
      </c>
      <c r="I1108" s="34">
        <f>Ventas[[#This Row],[Total]]-Ventas[[#This Row],[Precio compra]]*Ventas[[#This Row],[Cantidad]]</f>
        <v>3748</v>
      </c>
      <c r="J1108" s="34"/>
      <c r="K1108" s="34">
        <f>Ventas[[#This Row],[Total]]*Ventas[[#This Row],[Total 3]]</f>
        <v>0</v>
      </c>
      <c r="L1108" s="34"/>
      <c r="M1108" s="34"/>
    </row>
    <row r="1109" spans="1:13" ht="21.75" customHeight="1">
      <c r="A1109" s="16"/>
      <c r="B1109" s="39" t="s">
        <v>598</v>
      </c>
      <c r="C1109" s="35" t="str">
        <f>VLOOKUP(Ventas[[#This Row],[Codigo]],Stock[#Data],2,FALSE)</f>
        <v>Red de Scrog 80x80</v>
      </c>
      <c r="D1109" s="37">
        <f>VLOOKUP(Ventas[[#This Row],[Codigo]],Stock[#Data],4,FALSE)</f>
        <v>1100</v>
      </c>
      <c r="E1109" s="33">
        <f>VLOOKUP(Ventas[[#This Row],[Codigo]],Stock[#Data],3,FALSE)</f>
        <v>540</v>
      </c>
      <c r="F1109" s="38">
        <v>1</v>
      </c>
      <c r="G1109">
        <v>194</v>
      </c>
      <c r="H1109" s="36">
        <f>Ventas[[#This Row],[Precio Venta]]*Ventas[[#This Row],[Cantidad]]-Ventas[[#This Row],[Descuento]]</f>
        <v>1100</v>
      </c>
      <c r="I1109" s="34">
        <f>Ventas[[#This Row],[Total]]-Ventas[[#This Row],[Precio compra]]*Ventas[[#This Row],[Cantidad]]</f>
        <v>560</v>
      </c>
      <c r="J1109" s="34"/>
      <c r="K1109" s="34">
        <f>Ventas[[#This Row],[Total]]*Ventas[[#This Row],[Total 3]]</f>
        <v>0</v>
      </c>
      <c r="L1109" s="34"/>
      <c r="M1109" s="34"/>
    </row>
    <row r="1110" spans="1:13" ht="21.75" customHeight="1">
      <c r="A1110" s="16"/>
      <c r="B1110" s="39" t="s">
        <v>598</v>
      </c>
      <c r="C1110" s="35" t="str">
        <f>VLOOKUP(Ventas[[#This Row],[Codigo]],Stock[#Data],2,FALSE)</f>
        <v xml:space="preserve">Sedas 3 Rayos Celulosa </v>
      </c>
      <c r="D1110" s="37">
        <f>VLOOKUP(Ventas[[#This Row],[Codigo]],Stock[#Data],4,FALSE)</f>
        <v>400</v>
      </c>
      <c r="E1110" s="33">
        <f>VLOOKUP(Ventas[[#This Row],[Codigo]],Stock[#Data],3,FALSE)</f>
        <v>211</v>
      </c>
      <c r="F1110" s="38">
        <v>2</v>
      </c>
      <c r="G1110">
        <v>310</v>
      </c>
      <c r="H1110" s="36">
        <f>Ventas[[#This Row],[Precio Venta]]*Ventas[[#This Row],[Cantidad]]-Ventas[[#This Row],[Descuento]]</f>
        <v>800</v>
      </c>
      <c r="I1110" s="34">
        <f>Ventas[[#This Row],[Total]]-Ventas[[#This Row],[Precio compra]]*Ventas[[#This Row],[Cantidad]]</f>
        <v>378</v>
      </c>
      <c r="J1110" s="34"/>
      <c r="K1110" s="34">
        <f>Ventas[[#This Row],[Total]]*Ventas[[#This Row],[Total 3]]</f>
        <v>0</v>
      </c>
      <c r="L1110" s="34"/>
      <c r="M1110" s="34"/>
    </row>
    <row r="1111" spans="1:13" ht="21.75" customHeight="1">
      <c r="A1111" s="16"/>
      <c r="B1111" s="39" t="s">
        <v>598</v>
      </c>
      <c r="C1111" s="35" t="str">
        <f>VLOOKUP(Ventas[[#This Row],[Codigo]],Stock[#Data],2,FALSE)</f>
        <v>Namaste Flora Booster 500ml</v>
      </c>
      <c r="D1111" s="37">
        <f>VLOOKUP(Ventas[[#This Row],[Codigo]],Stock[#Data],4,FALSE)</f>
        <v>2500</v>
      </c>
      <c r="E1111" s="33">
        <f>VLOOKUP(Ventas[[#This Row],[Codigo]],Stock[#Data],3,FALSE)</f>
        <v>1377</v>
      </c>
      <c r="F1111" s="38">
        <v>1</v>
      </c>
      <c r="G1111">
        <v>496</v>
      </c>
      <c r="H1111" s="36">
        <f>Ventas[[#This Row],[Precio Venta]]*Ventas[[#This Row],[Cantidad]]-Ventas[[#This Row],[Descuento]]</f>
        <v>2500</v>
      </c>
      <c r="I1111" s="34">
        <f>Ventas[[#This Row],[Total]]-Ventas[[#This Row],[Precio compra]]*Ventas[[#This Row],[Cantidad]]</f>
        <v>1123</v>
      </c>
      <c r="J1111" s="34"/>
      <c r="K1111" s="34">
        <f>Ventas[[#This Row],[Total]]*Ventas[[#This Row],[Total 3]]</f>
        <v>0</v>
      </c>
      <c r="L1111" s="34"/>
      <c r="M1111" s="34"/>
    </row>
    <row r="1112" spans="1:13" ht="21.75" customHeight="1">
      <c r="A1112" s="16"/>
      <c r="B1112" s="39" t="s">
        <v>598</v>
      </c>
      <c r="C1112" s="35" t="str">
        <f>VLOOKUP(Ventas[[#This Row],[Codigo]],Stock[#Data],2,FALSE)</f>
        <v>Namaste Trico+ 250gr</v>
      </c>
      <c r="D1112" s="37">
        <f>VLOOKUP(Ventas[[#This Row],[Codigo]],Stock[#Data],4,FALSE)</f>
        <v>2000</v>
      </c>
      <c r="E1112" s="33">
        <f>VLOOKUP(Ventas[[#This Row],[Codigo]],Stock[#Data],3,FALSE)</f>
        <v>1033</v>
      </c>
      <c r="F1112" s="38">
        <v>1</v>
      </c>
      <c r="G1112">
        <v>500</v>
      </c>
      <c r="H1112" s="36">
        <f>Ventas[[#This Row],[Precio Venta]]*Ventas[[#This Row],[Cantidad]]-Ventas[[#This Row],[Descuento]]</f>
        <v>2000</v>
      </c>
      <c r="I1112" s="34">
        <f>Ventas[[#This Row],[Total]]-Ventas[[#This Row],[Precio compra]]*Ventas[[#This Row],[Cantidad]]</f>
        <v>967</v>
      </c>
      <c r="J1112" s="34"/>
      <c r="K1112" s="34">
        <f>Ventas[[#This Row],[Total]]*Ventas[[#This Row],[Total 3]]</f>
        <v>0</v>
      </c>
      <c r="L1112" s="34"/>
      <c r="M1112" s="34"/>
    </row>
    <row r="1113" spans="1:13" ht="21.75" customHeight="1">
      <c r="A1113" s="16"/>
      <c r="B1113" s="39" t="s">
        <v>598</v>
      </c>
      <c r="C1113" s="35" t="str">
        <f>VLOOKUP(Ventas[[#This Row],[Codigo]],Stock[#Data],2,FALSE)</f>
        <v>Namaste Shanti 500ml</v>
      </c>
      <c r="D1113" s="37">
        <f>VLOOKUP(Ventas[[#This Row],[Codigo]],Stock[#Data],4,FALSE)</f>
        <v>6000</v>
      </c>
      <c r="E1113" s="33">
        <f>VLOOKUP(Ventas[[#This Row],[Codigo]],Stock[#Data],3,FALSE)</f>
        <v>3216</v>
      </c>
      <c r="F1113" s="38">
        <v>1</v>
      </c>
      <c r="G1113">
        <v>539</v>
      </c>
      <c r="H1113" s="36">
        <f>Ventas[[#This Row],[Precio Venta]]*Ventas[[#This Row],[Cantidad]]-Ventas[[#This Row],[Descuento]]</f>
        <v>6000</v>
      </c>
      <c r="I1113" s="34">
        <f>Ventas[[#This Row],[Total]]-Ventas[[#This Row],[Precio compra]]*Ventas[[#This Row],[Cantidad]]</f>
        <v>2784</v>
      </c>
      <c r="J1113" s="34"/>
      <c r="K1113" s="34">
        <f>Ventas[[#This Row],[Total]]*Ventas[[#This Row],[Total 3]]</f>
        <v>0</v>
      </c>
      <c r="L1113" s="34"/>
      <c r="M1113" s="34"/>
    </row>
    <row r="1114" spans="1:13" ht="21.75" customHeight="1">
      <c r="A1114" s="16"/>
      <c r="B1114" s="39" t="s">
        <v>598</v>
      </c>
      <c r="C1114" s="35" t="str">
        <f>VLOOKUP(Ventas[[#This Row],[Codigo]],Stock[#Data],2,FALSE)</f>
        <v>Sedas RAW 1/4 +tips BROWN</v>
      </c>
      <c r="D1114" s="37">
        <f>VLOOKUP(Ventas[[#This Row],[Codigo]],Stock[#Data],4,FALSE)</f>
        <v>1150</v>
      </c>
      <c r="E1114" s="33">
        <f>VLOOKUP(Ventas[[#This Row],[Codigo]],Stock[#Data],3,FALSE)</f>
        <v>568</v>
      </c>
      <c r="F1114" s="38">
        <v>1</v>
      </c>
      <c r="G1114">
        <v>80</v>
      </c>
      <c r="H1114" s="36">
        <f>Ventas[[#This Row],[Precio Venta]]*Ventas[[#This Row],[Cantidad]]-Ventas[[#This Row],[Descuento]]</f>
        <v>1150</v>
      </c>
      <c r="I1114" s="34">
        <f>Ventas[[#This Row],[Total]]-Ventas[[#This Row],[Precio compra]]*Ventas[[#This Row],[Cantidad]]</f>
        <v>582</v>
      </c>
      <c r="J1114" s="34"/>
      <c r="K1114" s="34">
        <f>Ventas[[#This Row],[Total]]*Ventas[[#This Row],[Total 3]]</f>
        <v>0</v>
      </c>
      <c r="L1114" s="34"/>
      <c r="M1114" s="34"/>
    </row>
    <row r="1115" spans="1:13" ht="21.75" customHeight="1">
      <c r="A1115" s="16"/>
      <c r="B1115" s="39" t="s">
        <v>598</v>
      </c>
      <c r="C1115" s="35" t="str">
        <f>VLOOKUP(Ventas[[#This Row],[Codigo]],Stock[#Data],2,FALSE)</f>
        <v>Picador D&amp;K Granada</v>
      </c>
      <c r="D1115" s="37">
        <f>VLOOKUP(Ventas[[#This Row],[Codigo]],Stock[#Data],4,FALSE)</f>
        <v>4400</v>
      </c>
      <c r="E1115" s="33">
        <f>VLOOKUP(Ventas[[#This Row],[Codigo]],Stock[#Data],3,FALSE)</f>
        <v>2200</v>
      </c>
      <c r="F1115" s="38">
        <v>1</v>
      </c>
      <c r="G1115">
        <v>327</v>
      </c>
      <c r="H1115" s="36">
        <f>Ventas[[#This Row],[Precio Venta]]*Ventas[[#This Row],[Cantidad]]-Ventas[[#This Row],[Descuento]]</f>
        <v>4400</v>
      </c>
      <c r="I1115" s="34">
        <f>Ventas[[#This Row],[Total]]-Ventas[[#This Row],[Precio compra]]*Ventas[[#This Row],[Cantidad]]</f>
        <v>2200</v>
      </c>
      <c r="J1115" s="34"/>
      <c r="K1115" s="34">
        <f>Ventas[[#This Row],[Total]]*Ventas[[#This Row],[Total 3]]</f>
        <v>0</v>
      </c>
      <c r="L1115" s="34"/>
      <c r="M1115" s="34"/>
    </row>
    <row r="1116" spans="1:13" ht="21.75" customHeight="1">
      <c r="A1116" s="16"/>
      <c r="B1116" s="39" t="s">
        <v>598</v>
      </c>
      <c r="C1116" s="35" t="str">
        <f>VLOOKUP(Ventas[[#This Row],[Codigo]],Stock[#Data],2,FALSE)</f>
        <v>Namaste Shanti 100ml</v>
      </c>
      <c r="D1116" s="37">
        <f>VLOOKUP(Ventas[[#This Row],[Codigo]],Stock[#Data],4,FALSE)</f>
        <v>2000</v>
      </c>
      <c r="E1116" s="33">
        <f>VLOOKUP(Ventas[[#This Row],[Codigo]],Stock[#Data],3,FALSE)</f>
        <v>932</v>
      </c>
      <c r="F1116" s="38">
        <v>1</v>
      </c>
      <c r="G1116">
        <v>569</v>
      </c>
      <c r="H1116" s="36">
        <f>Ventas[[#This Row],[Precio Venta]]*Ventas[[#This Row],[Cantidad]]-Ventas[[#This Row],[Descuento]]</f>
        <v>2000</v>
      </c>
      <c r="I1116" s="34">
        <f>Ventas[[#This Row],[Total]]-Ventas[[#This Row],[Precio compra]]*Ventas[[#This Row],[Cantidad]]</f>
        <v>1068</v>
      </c>
      <c r="J1116" s="34"/>
      <c r="K1116" s="34">
        <f>Ventas[[#This Row],[Total]]*Ventas[[#This Row],[Total 3]]</f>
        <v>0</v>
      </c>
      <c r="L1116" s="34"/>
      <c r="M1116" s="34"/>
    </row>
    <row r="1117" spans="1:13" ht="21.75" customHeight="1">
      <c r="A1117" s="16"/>
      <c r="B1117" s="39" t="s">
        <v>598</v>
      </c>
      <c r="C1117" s="35" t="str">
        <f>VLOOKUP(Ventas[[#This Row],[Codigo]],Stock[#Data],2,FALSE)</f>
        <v>Namaste Amazonia 150gr</v>
      </c>
      <c r="D1117" s="37">
        <f>VLOOKUP(Ventas[[#This Row],[Codigo]],Stock[#Data],4,FALSE)</f>
        <v>2200</v>
      </c>
      <c r="E1117" s="33">
        <f>VLOOKUP(Ventas[[#This Row],[Codigo]],Stock[#Data],3,FALSE)</f>
        <v>1218</v>
      </c>
      <c r="F1117" s="38">
        <v>1</v>
      </c>
      <c r="G1117">
        <v>477</v>
      </c>
      <c r="H1117" s="36">
        <f>Ventas[[#This Row],[Precio Venta]]*Ventas[[#This Row],[Cantidad]]-Ventas[[#This Row],[Descuento]]</f>
        <v>2200</v>
      </c>
      <c r="I1117" s="34">
        <f>Ventas[[#This Row],[Total]]-Ventas[[#This Row],[Precio compra]]*Ventas[[#This Row],[Cantidad]]</f>
        <v>982</v>
      </c>
      <c r="J1117" s="34"/>
      <c r="K1117" s="34">
        <f>Ventas[[#This Row],[Total]]*Ventas[[#This Row],[Total 3]]</f>
        <v>0</v>
      </c>
      <c r="L1117" s="34"/>
      <c r="M1117" s="34"/>
    </row>
    <row r="1118" spans="1:13" ht="21.75" customHeight="1">
      <c r="A1118" s="16"/>
      <c r="B1118" s="39" t="s">
        <v>598</v>
      </c>
      <c r="C1118" s="35" t="str">
        <f>VLOOKUP(Ventas[[#This Row],[Codigo]],Stock[#Data],2,FALSE)</f>
        <v>Namaste Trico+ 100gr</v>
      </c>
      <c r="D1118" s="37">
        <f>VLOOKUP(Ventas[[#This Row],[Codigo]],Stock[#Data],4,FALSE)</f>
        <v>1000</v>
      </c>
      <c r="E1118" s="33">
        <f>VLOOKUP(Ventas[[#This Row],[Codigo]],Stock[#Data],3,FALSE)</f>
        <v>541</v>
      </c>
      <c r="F1118" s="38">
        <v>1</v>
      </c>
      <c r="G1118">
        <v>479</v>
      </c>
      <c r="H1118" s="36">
        <f>Ventas[[#This Row],[Precio Venta]]*Ventas[[#This Row],[Cantidad]]-Ventas[[#This Row],[Descuento]]</f>
        <v>1000</v>
      </c>
      <c r="I1118" s="34">
        <f>Ventas[[#This Row],[Total]]-Ventas[[#This Row],[Precio compra]]*Ventas[[#This Row],[Cantidad]]</f>
        <v>459</v>
      </c>
      <c r="J1118" s="34"/>
      <c r="K1118" s="34">
        <f>Ventas[[#This Row],[Total]]*Ventas[[#This Row],[Total 3]]</f>
        <v>0</v>
      </c>
      <c r="L1118" s="34"/>
      <c r="M1118" s="34"/>
    </row>
    <row r="1119" spans="1:13" ht="21.75" customHeight="1">
      <c r="A1119" s="16"/>
      <c r="B1119" s="39" t="s">
        <v>598</v>
      </c>
      <c r="C1119" s="35" t="str">
        <f>VLOOKUP(Ventas[[#This Row],[Codigo]],Stock[#Data],2,FALSE)</f>
        <v>Namaste Flora Booster 100ml</v>
      </c>
      <c r="D1119" s="37">
        <f>VLOOKUP(Ventas[[#This Row],[Codigo]],Stock[#Data],4,FALSE)</f>
        <v>1000</v>
      </c>
      <c r="E1119" s="33">
        <f>VLOOKUP(Ventas[[#This Row],[Codigo]],Stock[#Data],3,FALSE)</f>
        <v>517</v>
      </c>
      <c r="F1119" s="38">
        <v>1</v>
      </c>
      <c r="G1119">
        <v>480</v>
      </c>
      <c r="H1119" s="36">
        <f>Ventas[[#This Row],[Precio Venta]]*Ventas[[#This Row],[Cantidad]]-Ventas[[#This Row],[Descuento]]</f>
        <v>1000</v>
      </c>
      <c r="I1119" s="34">
        <f>Ventas[[#This Row],[Total]]-Ventas[[#This Row],[Precio compra]]*Ventas[[#This Row],[Cantidad]]</f>
        <v>483</v>
      </c>
      <c r="J1119" s="34"/>
      <c r="K1119" s="34">
        <f>Ventas[[#This Row],[Total]]*Ventas[[#This Row],[Total 3]]</f>
        <v>0</v>
      </c>
      <c r="L1119" s="34"/>
      <c r="M1119" s="34"/>
    </row>
    <row r="1120" spans="1:13" ht="21.75" customHeight="1">
      <c r="A1120" s="16"/>
      <c r="B1120" s="39" t="s">
        <v>598</v>
      </c>
      <c r="C1120" s="35" t="str">
        <f>VLOOKUP(Ventas[[#This Row],[Codigo]],Stock[#Data],2,FALSE)</f>
        <v>Namaste Oro Negro 100ml</v>
      </c>
      <c r="D1120" s="37">
        <f>VLOOKUP(Ventas[[#This Row],[Codigo]],Stock[#Data],4,FALSE)</f>
        <v>1000</v>
      </c>
      <c r="E1120" s="33">
        <f>VLOOKUP(Ventas[[#This Row],[Codigo]],Stock[#Data],3,FALSE)</f>
        <v>515</v>
      </c>
      <c r="F1120" s="38">
        <v>1</v>
      </c>
      <c r="G1120">
        <v>478</v>
      </c>
      <c r="H1120" s="36">
        <f>Ventas[[#This Row],[Precio Venta]]*Ventas[[#This Row],[Cantidad]]-Ventas[[#This Row],[Descuento]]</f>
        <v>1000</v>
      </c>
      <c r="I1120" s="34">
        <f>Ventas[[#This Row],[Total]]-Ventas[[#This Row],[Precio compra]]*Ventas[[#This Row],[Cantidad]]</f>
        <v>485</v>
      </c>
      <c r="J1120" s="34"/>
      <c r="K1120" s="34">
        <f>Ventas[[#This Row],[Total]]*Ventas[[#This Row],[Total 3]]</f>
        <v>0</v>
      </c>
      <c r="L1120" s="34"/>
      <c r="M1120" s="34"/>
    </row>
    <row r="1121" spans="1:13" ht="21.75" customHeight="1">
      <c r="A1121" s="16"/>
      <c r="B1121" s="39" t="s">
        <v>598</v>
      </c>
      <c r="C1121" s="35" t="str">
        <f>VLOOKUP(Ventas[[#This Row],[Codigo]],Stock[#Data],2,FALSE)</f>
        <v>Dabber #4</v>
      </c>
      <c r="D1121" s="37">
        <f>VLOOKUP(Ventas[[#This Row],[Codigo]],Stock[#Data],4,FALSE)</f>
        <v>2500</v>
      </c>
      <c r="E1121" s="33">
        <f>VLOOKUP(Ventas[[#This Row],[Codigo]],Stock[#Data],3,FALSE)</f>
        <v>1200</v>
      </c>
      <c r="F1121" s="38">
        <v>1</v>
      </c>
      <c r="G1121">
        <v>299</v>
      </c>
      <c r="H1121" s="36">
        <f>Ventas[[#This Row],[Precio Venta]]*Ventas[[#This Row],[Cantidad]]-Ventas[[#This Row],[Descuento]]</f>
        <v>2500</v>
      </c>
      <c r="I1121" s="34">
        <f>Ventas[[#This Row],[Total]]-Ventas[[#This Row],[Precio compra]]*Ventas[[#This Row],[Cantidad]]</f>
        <v>1300</v>
      </c>
      <c r="J1121" s="34"/>
      <c r="K1121" s="34">
        <f>Ventas[[#This Row],[Total]]*Ventas[[#This Row],[Total 3]]</f>
        <v>0</v>
      </c>
      <c r="L1121" s="34"/>
      <c r="M1121" s="34"/>
    </row>
    <row r="1122" spans="1:13" ht="21.75" customHeight="1">
      <c r="A1122" s="16"/>
      <c r="B1122" s="39" t="s">
        <v>598</v>
      </c>
      <c r="C1122" s="35" t="str">
        <f>VLOOKUP(Ventas[[#This Row],[Codigo]],Stock[#Data],2,FALSE)</f>
        <v>Tabaco Van Kiff Natural</v>
      </c>
      <c r="D1122" s="37">
        <f>VLOOKUP(Ventas[[#This Row],[Codigo]],Stock[#Data],4,FALSE)</f>
        <v>850</v>
      </c>
      <c r="E1122" s="33">
        <f>VLOOKUP(Ventas[[#This Row],[Codigo]],Stock[#Data],3,FALSE)</f>
        <v>580</v>
      </c>
      <c r="F1122" s="38">
        <v>1</v>
      </c>
      <c r="G1122">
        <v>117</v>
      </c>
      <c r="H1122" s="36">
        <f>Ventas[[#This Row],[Precio Venta]]*Ventas[[#This Row],[Cantidad]]-Ventas[[#This Row],[Descuento]]</f>
        <v>850</v>
      </c>
      <c r="I1122" s="34">
        <f>Ventas[[#This Row],[Total]]-Ventas[[#This Row],[Precio compra]]*Ventas[[#This Row],[Cantidad]]</f>
        <v>270</v>
      </c>
      <c r="J1122" s="34"/>
      <c r="K1122" s="34">
        <f>Ventas[[#This Row],[Total]]*Ventas[[#This Row],[Total 3]]</f>
        <v>0</v>
      </c>
      <c r="L1122" s="34"/>
      <c r="M1122" s="34"/>
    </row>
    <row r="1123" spans="1:13" ht="21.75" customHeight="1">
      <c r="A1123" s="16"/>
      <c r="B1123" s="39" t="s">
        <v>598</v>
      </c>
      <c r="C1123" s="35" t="str">
        <f>VLOOKUP(Ventas[[#This Row],[Codigo]],Stock[#Data],2,FALSE)</f>
        <v xml:space="preserve">Tapa Banger Chupete </v>
      </c>
      <c r="D1123" s="37">
        <f>VLOOKUP(Ventas[[#This Row],[Codigo]],Stock[#Data],4,FALSE)</f>
        <v>4000</v>
      </c>
      <c r="E1123" s="33">
        <f>VLOOKUP(Ventas[[#This Row],[Codigo]],Stock[#Data],3,FALSE)</f>
        <v>2485</v>
      </c>
      <c r="F1123" s="38">
        <v>1</v>
      </c>
      <c r="G1123">
        <v>347</v>
      </c>
      <c r="H1123" s="36">
        <f>Ventas[[#This Row],[Precio Venta]]*Ventas[[#This Row],[Cantidad]]-Ventas[[#This Row],[Descuento]]</f>
        <v>4000</v>
      </c>
      <c r="I1123" s="34">
        <f>Ventas[[#This Row],[Total]]-Ventas[[#This Row],[Precio compra]]*Ventas[[#This Row],[Cantidad]]</f>
        <v>1515</v>
      </c>
      <c r="J1123" s="34"/>
      <c r="K1123" s="34">
        <f>Ventas[[#This Row],[Total]]*Ventas[[#This Row],[Total 3]]</f>
        <v>0</v>
      </c>
      <c r="L1123" s="34"/>
      <c r="M1123" s="34"/>
    </row>
    <row r="1124" spans="1:13" ht="21.75" customHeight="1">
      <c r="A1124" s="16"/>
      <c r="B1124" s="39" t="s">
        <v>598</v>
      </c>
      <c r="C1124" s="35" t="str">
        <f>VLOOKUP(Ventas[[#This Row],[Codigo]],Stock[#Data],2,FALSE)</f>
        <v>Namaste Amazonia 150gr</v>
      </c>
      <c r="D1124" s="37">
        <f>VLOOKUP(Ventas[[#This Row],[Codigo]],Stock[#Data],4,FALSE)</f>
        <v>2200</v>
      </c>
      <c r="E1124" s="33">
        <f>VLOOKUP(Ventas[[#This Row],[Codigo]],Stock[#Data],3,FALSE)</f>
        <v>1218</v>
      </c>
      <c r="F1124" s="38">
        <v>1</v>
      </c>
      <c r="G1124">
        <v>477</v>
      </c>
      <c r="H1124" s="36">
        <f>Ventas[[#This Row],[Precio Venta]]*Ventas[[#This Row],[Cantidad]]-Ventas[[#This Row],[Descuento]]</f>
        <v>2200</v>
      </c>
      <c r="I1124" s="34">
        <f>Ventas[[#This Row],[Total]]-Ventas[[#This Row],[Precio compra]]*Ventas[[#This Row],[Cantidad]]</f>
        <v>982</v>
      </c>
      <c r="J1124" s="34"/>
      <c r="K1124" s="34">
        <f>Ventas[[#This Row],[Total]]*Ventas[[#This Row],[Total 3]]</f>
        <v>0</v>
      </c>
      <c r="L1124" s="34"/>
      <c r="M1124" s="34"/>
    </row>
    <row r="1125" spans="1:13" ht="21.75" customHeight="1">
      <c r="A1125" s="16"/>
      <c r="B1125" s="39" t="s">
        <v>598</v>
      </c>
      <c r="C1125" s="35" t="str">
        <f>VLOOKUP(Ventas[[#This Row],[Codigo]],Stock[#Data],2,FALSE)</f>
        <v>Sustrato Perlita</v>
      </c>
      <c r="D1125" s="37">
        <f>VLOOKUP(Ventas[[#This Row],[Codigo]],Stock[#Data],4,FALSE)</f>
        <v>800</v>
      </c>
      <c r="E1125" s="33">
        <f>VLOOKUP(Ventas[[#This Row],[Codigo]],Stock[#Data],3,FALSE)</f>
        <v>400</v>
      </c>
      <c r="F1125" s="38">
        <v>1</v>
      </c>
      <c r="G1125">
        <v>52</v>
      </c>
      <c r="H1125" s="36">
        <f>Ventas[[#This Row],[Precio Venta]]*Ventas[[#This Row],[Cantidad]]-Ventas[[#This Row],[Descuento]]</f>
        <v>800</v>
      </c>
      <c r="I1125" s="34">
        <f>Ventas[[#This Row],[Total]]-Ventas[[#This Row],[Precio compra]]*Ventas[[#This Row],[Cantidad]]</f>
        <v>400</v>
      </c>
      <c r="J1125" s="34"/>
      <c r="K1125" s="34">
        <f>Ventas[[#This Row],[Total]]*Ventas[[#This Row],[Total 3]]</f>
        <v>0</v>
      </c>
      <c r="L1125" s="34"/>
      <c r="M1125" s="34"/>
    </row>
    <row r="1126" spans="1:13" ht="21.75" customHeight="1">
      <c r="A1126" s="16"/>
      <c r="B1126" s="39" t="s">
        <v>598</v>
      </c>
      <c r="C1126" s="35" t="str">
        <f>VLOOKUP(Ventas[[#This Row],[Codigo]],Stock[#Data],2,FALSE)</f>
        <v>Namaste Shanti 100ml</v>
      </c>
      <c r="D1126" s="37">
        <f>VLOOKUP(Ventas[[#This Row],[Codigo]],Stock[#Data],4,FALSE)</f>
        <v>2000</v>
      </c>
      <c r="E1126" s="33">
        <f>VLOOKUP(Ventas[[#This Row],[Codigo]],Stock[#Data],3,FALSE)</f>
        <v>932</v>
      </c>
      <c r="F1126" s="38">
        <v>1</v>
      </c>
      <c r="G1126">
        <v>569</v>
      </c>
      <c r="H1126" s="36">
        <f>Ventas[[#This Row],[Precio Venta]]*Ventas[[#This Row],[Cantidad]]-Ventas[[#This Row],[Descuento]]</f>
        <v>2000</v>
      </c>
      <c r="I1126" s="34">
        <f>Ventas[[#This Row],[Total]]-Ventas[[#This Row],[Precio compra]]*Ventas[[#This Row],[Cantidad]]</f>
        <v>1068</v>
      </c>
      <c r="J1126" s="34"/>
      <c r="K1126" s="34">
        <f>Ventas[[#This Row],[Total]]*Ventas[[#This Row],[Total 3]]</f>
        <v>0</v>
      </c>
      <c r="L1126" s="34"/>
      <c r="M1126" s="34"/>
    </row>
    <row r="1127" spans="1:13" ht="21.75" customHeight="1">
      <c r="A1127" s="16"/>
      <c r="B1127" s="39" t="s">
        <v>598</v>
      </c>
      <c r="C1127" s="35" t="str">
        <f>VLOOKUP(Ventas[[#This Row],[Codigo]],Stock[#Data],2,FALSE)</f>
        <v xml:space="preserve">Bong de vidrio cuello curbo Dk </v>
      </c>
      <c r="D1127" s="37">
        <f>VLOOKUP(Ventas[[#This Row],[Codigo]],Stock[#Data],4,FALSE)</f>
        <v>12000</v>
      </c>
      <c r="E1127" s="33">
        <f>VLOOKUP(Ventas[[#This Row],[Codigo]],Stock[#Data],3,FALSE)</f>
        <v>6700</v>
      </c>
      <c r="F1127" s="38">
        <v>1</v>
      </c>
      <c r="G1127">
        <v>385</v>
      </c>
      <c r="H1127" s="36">
        <f>Ventas[[#This Row],[Precio Venta]]*Ventas[[#This Row],[Cantidad]]-Ventas[[#This Row],[Descuento]]</f>
        <v>12000</v>
      </c>
      <c r="I1127" s="34">
        <f>Ventas[[#This Row],[Total]]-Ventas[[#This Row],[Precio compra]]*Ventas[[#This Row],[Cantidad]]</f>
        <v>5300</v>
      </c>
      <c r="J1127" s="34"/>
      <c r="K1127" s="34">
        <f>Ventas[[#This Row],[Total]]*Ventas[[#This Row],[Total 3]]</f>
        <v>0</v>
      </c>
      <c r="L1127" s="34"/>
      <c r="M1127" s="34"/>
    </row>
    <row r="1128" spans="1:13" ht="21.75" customHeight="1">
      <c r="A1128" s="16"/>
      <c r="B1128" s="39" t="s">
        <v>595</v>
      </c>
      <c r="C1128" s="35" t="str">
        <f>VLOOKUP(Ventas[[#This Row],[Codigo]],Stock[#Data],2,FALSE)</f>
        <v>Sustrato Perlita</v>
      </c>
      <c r="D1128" s="37">
        <f>VLOOKUP(Ventas[[#This Row],[Codigo]],Stock[#Data],4,FALSE)</f>
        <v>800</v>
      </c>
      <c r="E1128" s="33">
        <f>VLOOKUP(Ventas[[#This Row],[Codigo]],Stock[#Data],3,FALSE)</f>
        <v>400</v>
      </c>
      <c r="F1128" s="38">
        <v>5</v>
      </c>
      <c r="G1128">
        <v>52</v>
      </c>
      <c r="H1128" s="36">
        <f>Ventas[[#This Row],[Precio Venta]]*Ventas[[#This Row],[Cantidad]]-Ventas[[#This Row],[Descuento]]</f>
        <v>4000</v>
      </c>
      <c r="I1128" s="34">
        <f>Ventas[[#This Row],[Total]]-Ventas[[#This Row],[Precio compra]]*Ventas[[#This Row],[Cantidad]]</f>
        <v>2000</v>
      </c>
      <c r="J1128" s="34"/>
      <c r="K1128" s="34">
        <f>Ventas[[#This Row],[Total]]*Ventas[[#This Row],[Total 3]]</f>
        <v>0</v>
      </c>
      <c r="L1128" s="34"/>
      <c r="M1128" s="34"/>
    </row>
    <row r="1129" spans="1:13" ht="21.75" customHeight="1">
      <c r="A1129" s="16"/>
      <c r="B1129" s="39" t="s">
        <v>597</v>
      </c>
      <c r="C1129" s="35" t="str">
        <f>VLOOKUP(Ventas[[#This Row],[Codigo]],Stock[#Data],2,FALSE)</f>
        <v>Cultivate Melaza 250ml</v>
      </c>
      <c r="D1129" s="37">
        <f>VLOOKUP(Ventas[[#This Row],[Codigo]],Stock[#Data],4,FALSE)</f>
        <v>1300</v>
      </c>
      <c r="E1129" s="33">
        <f>VLOOKUP(Ventas[[#This Row],[Codigo]],Stock[#Data],3,FALSE)</f>
        <v>650</v>
      </c>
      <c r="F1129" s="38">
        <v>1</v>
      </c>
      <c r="G1129">
        <v>543</v>
      </c>
      <c r="H1129" s="36">
        <f>Ventas[[#This Row],[Precio Venta]]*Ventas[[#This Row],[Cantidad]]-Ventas[[#This Row],[Descuento]]</f>
        <v>1300</v>
      </c>
      <c r="I1129" s="34">
        <f>Ventas[[#This Row],[Total]]-Ventas[[#This Row],[Precio compra]]*Ventas[[#This Row],[Cantidad]]</f>
        <v>650</v>
      </c>
      <c r="J1129" s="34"/>
      <c r="K1129" s="34">
        <f>Ventas[[#This Row],[Total]]*Ventas[[#This Row],[Total 3]]</f>
        <v>0</v>
      </c>
      <c r="L1129" s="34"/>
      <c r="M1129" s="34"/>
    </row>
    <row r="1130" spans="1:13" ht="21.75" customHeight="1">
      <c r="A1130" s="16"/>
      <c r="B1130" s="39" t="s">
        <v>592</v>
      </c>
      <c r="C1130" s="35" t="str">
        <f>VLOOKUP(Ventas[[#This Row],[Codigo]],Stock[#Data],2,FALSE)</f>
        <v>Namaste Flora Booster 500ml</v>
      </c>
      <c r="D1130" s="37">
        <f>VLOOKUP(Ventas[[#This Row],[Codigo]],Stock[#Data],4,FALSE)</f>
        <v>2500</v>
      </c>
      <c r="E1130" s="33">
        <f>VLOOKUP(Ventas[[#This Row],[Codigo]],Stock[#Data],3,FALSE)</f>
        <v>1377</v>
      </c>
      <c r="F1130" s="38">
        <v>1</v>
      </c>
      <c r="G1130">
        <v>496</v>
      </c>
      <c r="H1130" s="36">
        <f>Ventas[[#This Row],[Precio Venta]]*Ventas[[#This Row],[Cantidad]]-Ventas[[#This Row],[Descuento]]</f>
        <v>2500</v>
      </c>
      <c r="I1130" s="34">
        <f>Ventas[[#This Row],[Total]]-Ventas[[#This Row],[Precio compra]]*Ventas[[#This Row],[Cantidad]]</f>
        <v>1123</v>
      </c>
      <c r="J1130" s="34"/>
      <c r="K1130" s="34">
        <f>Ventas[[#This Row],[Total]]*Ventas[[#This Row],[Total 3]]</f>
        <v>0</v>
      </c>
      <c r="L1130" s="34"/>
      <c r="M1130" s="34"/>
    </row>
    <row r="1131" spans="1:13" ht="21.75" customHeight="1">
      <c r="A1131" s="16"/>
      <c r="B1131" s="39" t="s">
        <v>595</v>
      </c>
      <c r="C1131" s="35" t="str">
        <f>VLOOKUP(Ventas[[#This Row],[Codigo]],Stock[#Data],2,FALSE)</f>
        <v>Namaste Flora Booster 500ml</v>
      </c>
      <c r="D1131" s="37">
        <f>VLOOKUP(Ventas[[#This Row],[Codigo]],Stock[#Data],4,FALSE)</f>
        <v>2500</v>
      </c>
      <c r="E1131" s="33">
        <f>VLOOKUP(Ventas[[#This Row],[Codigo]],Stock[#Data],3,FALSE)</f>
        <v>1377</v>
      </c>
      <c r="F1131" s="38">
        <v>1</v>
      </c>
      <c r="G1131">
        <v>496</v>
      </c>
      <c r="H1131" s="36">
        <f>Ventas[[#This Row],[Precio Venta]]*Ventas[[#This Row],[Cantidad]]-Ventas[[#This Row],[Descuento]]</f>
        <v>2500</v>
      </c>
      <c r="I1131" s="34">
        <f>Ventas[[#This Row],[Total]]-Ventas[[#This Row],[Precio compra]]*Ventas[[#This Row],[Cantidad]]</f>
        <v>1123</v>
      </c>
      <c r="J1131" s="34"/>
      <c r="K1131" s="34">
        <f>Ventas[[#This Row],[Total]]*Ventas[[#This Row],[Total 3]]</f>
        <v>0</v>
      </c>
      <c r="L1131" s="34"/>
      <c r="M1131" s="34"/>
    </row>
    <row r="1132" spans="1:13" ht="21.75" customHeight="1">
      <c r="A1132" s="16"/>
      <c r="B1132" s="39" t="s">
        <v>595</v>
      </c>
      <c r="C1132" s="35" t="str">
        <f>VLOOKUP(Ventas[[#This Row],[Codigo]],Stock[#Data],2,FALSE)</f>
        <v>Macetas Soplada 15L</v>
      </c>
      <c r="D1132" s="37">
        <f>VLOOKUP(Ventas[[#This Row],[Codigo]],Stock[#Data],4,FALSE)</f>
        <v>450</v>
      </c>
      <c r="E1132" s="33">
        <f>VLOOKUP(Ventas[[#This Row],[Codigo]],Stock[#Data],3,FALSE)</f>
        <v>222</v>
      </c>
      <c r="F1132" s="38">
        <v>1</v>
      </c>
      <c r="G1132">
        <v>380</v>
      </c>
      <c r="H1132" s="36">
        <f>Ventas[[#This Row],[Precio Venta]]*Ventas[[#This Row],[Cantidad]]-Ventas[[#This Row],[Descuento]]</f>
        <v>450</v>
      </c>
      <c r="I1132" s="34">
        <f>Ventas[[#This Row],[Total]]-Ventas[[#This Row],[Precio compra]]*Ventas[[#This Row],[Cantidad]]</f>
        <v>228</v>
      </c>
      <c r="J1132" s="34"/>
      <c r="K1132" s="34">
        <f>Ventas[[#This Row],[Total]]*Ventas[[#This Row],[Total 3]]</f>
        <v>0</v>
      </c>
      <c r="L1132" s="34"/>
      <c r="M1132" s="34"/>
    </row>
    <row r="1133" spans="1:13" ht="21.75" customHeight="1">
      <c r="A1133" s="16"/>
      <c r="B1133" s="39" t="s">
        <v>595</v>
      </c>
      <c r="C1133" s="35" t="str">
        <f>VLOOKUP(Ventas[[#This Row],[Codigo]],Stock[#Data],2,FALSE)</f>
        <v>TreeMIX CANDY 45 ml</v>
      </c>
      <c r="D1133" s="37">
        <f>VLOOKUP(Ventas[[#This Row],[Codigo]],Stock[#Data],4,FALSE)</f>
        <v>500</v>
      </c>
      <c r="E1133" s="33">
        <f>VLOOKUP(Ventas[[#This Row],[Codigo]],Stock[#Data],3,FALSE)</f>
        <v>220</v>
      </c>
      <c r="F1133" s="38">
        <v>1</v>
      </c>
      <c r="G1133">
        <v>26</v>
      </c>
      <c r="H1133" s="36">
        <f>Ventas[[#This Row],[Precio Venta]]*Ventas[[#This Row],[Cantidad]]-Ventas[[#This Row],[Descuento]]</f>
        <v>500</v>
      </c>
      <c r="I1133" s="34">
        <f>Ventas[[#This Row],[Total]]-Ventas[[#This Row],[Precio compra]]*Ventas[[#This Row],[Cantidad]]</f>
        <v>280</v>
      </c>
      <c r="J1133" s="34"/>
      <c r="K1133" s="34">
        <f>Ventas[[#This Row],[Total]]*Ventas[[#This Row],[Total 3]]</f>
        <v>0</v>
      </c>
      <c r="L1133" s="34"/>
      <c r="M1133" s="34"/>
    </row>
    <row r="1134" spans="1:13" ht="21.75" customHeight="1">
      <c r="A1134" s="16"/>
      <c r="B1134" s="39" t="s">
        <v>595</v>
      </c>
      <c r="C1134" s="35" t="str">
        <f>VLOOKUP(Ventas[[#This Row],[Codigo]],Stock[#Data],2,FALSE)</f>
        <v>Namaste Trico+ 100gr</v>
      </c>
      <c r="D1134" s="37">
        <f>VLOOKUP(Ventas[[#This Row],[Codigo]],Stock[#Data],4,FALSE)</f>
        <v>1000</v>
      </c>
      <c r="E1134" s="33">
        <f>VLOOKUP(Ventas[[#This Row],[Codigo]],Stock[#Data],3,FALSE)</f>
        <v>541</v>
      </c>
      <c r="F1134" s="38">
        <v>1</v>
      </c>
      <c r="G1134">
        <v>479</v>
      </c>
      <c r="H1134" s="36">
        <f>Ventas[[#This Row],[Precio Venta]]*Ventas[[#This Row],[Cantidad]]-Ventas[[#This Row],[Descuento]]</f>
        <v>1000</v>
      </c>
      <c r="I1134" s="34">
        <f>Ventas[[#This Row],[Total]]-Ventas[[#This Row],[Precio compra]]*Ventas[[#This Row],[Cantidad]]</f>
        <v>459</v>
      </c>
      <c r="J1134" s="34"/>
      <c r="K1134" s="34">
        <f>Ventas[[#This Row],[Total]]*Ventas[[#This Row],[Total 3]]</f>
        <v>0</v>
      </c>
      <c r="L1134" s="34"/>
      <c r="M1134" s="34"/>
    </row>
    <row r="1135" spans="1:13" ht="21.75" customHeight="1">
      <c r="A1135" s="16"/>
      <c r="B1135" s="39" t="s">
        <v>595</v>
      </c>
      <c r="C1135" s="35" t="str">
        <f>VLOOKUP(Ventas[[#This Row],[Codigo]],Stock[#Data],2,FALSE)</f>
        <v>Namaste Oro Negro 100ml</v>
      </c>
      <c r="D1135" s="37">
        <f>VLOOKUP(Ventas[[#This Row],[Codigo]],Stock[#Data],4,FALSE)</f>
        <v>1000</v>
      </c>
      <c r="E1135" s="33">
        <f>VLOOKUP(Ventas[[#This Row],[Codigo]],Stock[#Data],3,FALSE)</f>
        <v>515</v>
      </c>
      <c r="F1135" s="38">
        <v>1</v>
      </c>
      <c r="G1135">
        <v>478</v>
      </c>
      <c r="H1135" s="36">
        <f>Ventas[[#This Row],[Precio Venta]]*Ventas[[#This Row],[Cantidad]]-Ventas[[#This Row],[Descuento]]</f>
        <v>1000</v>
      </c>
      <c r="I1135" s="34">
        <f>Ventas[[#This Row],[Total]]-Ventas[[#This Row],[Precio compra]]*Ventas[[#This Row],[Cantidad]]</f>
        <v>485</v>
      </c>
      <c r="J1135" s="34"/>
      <c r="K1135" s="34">
        <f>Ventas[[#This Row],[Total]]*Ventas[[#This Row],[Total 3]]</f>
        <v>0</v>
      </c>
      <c r="L1135" s="34"/>
      <c r="M1135" s="34"/>
    </row>
    <row r="1136" spans="1:13" ht="21.75" customHeight="1">
      <c r="A1136" s="16"/>
      <c r="B1136" s="39" t="s">
        <v>595</v>
      </c>
      <c r="C1136" s="35" t="str">
        <f>VLOOKUP(Ventas[[#This Row],[Codigo]],Stock[#Data],2,FALSE)</f>
        <v>Namaste Flora Booster 100ml</v>
      </c>
      <c r="D1136" s="37">
        <f>VLOOKUP(Ventas[[#This Row],[Codigo]],Stock[#Data],4,FALSE)</f>
        <v>1000</v>
      </c>
      <c r="E1136" s="33">
        <f>VLOOKUP(Ventas[[#This Row],[Codigo]],Stock[#Data],3,FALSE)</f>
        <v>517</v>
      </c>
      <c r="F1136" s="38">
        <v>1</v>
      </c>
      <c r="G1136">
        <v>480</v>
      </c>
      <c r="H1136" s="36">
        <f>Ventas[[#This Row],[Precio Venta]]*Ventas[[#This Row],[Cantidad]]-Ventas[[#This Row],[Descuento]]</f>
        <v>1000</v>
      </c>
      <c r="I1136" s="34">
        <f>Ventas[[#This Row],[Total]]-Ventas[[#This Row],[Precio compra]]*Ventas[[#This Row],[Cantidad]]</f>
        <v>483</v>
      </c>
      <c r="J1136" s="34"/>
      <c r="K1136" s="34">
        <f>Ventas[[#This Row],[Total]]*Ventas[[#This Row],[Total 3]]</f>
        <v>0</v>
      </c>
      <c r="L1136" s="34"/>
      <c r="M1136" s="34"/>
    </row>
    <row r="1137" spans="1:13" ht="21.75" customHeight="1">
      <c r="A1137" s="16"/>
      <c r="B1137" s="39" t="s">
        <v>595</v>
      </c>
      <c r="C1137" s="35" t="str">
        <f>VLOOKUP(Ventas[[#This Row],[Codigo]],Stock[#Data],2,FALSE)</f>
        <v>Namaste Shanti 100ml</v>
      </c>
      <c r="D1137" s="37">
        <f>VLOOKUP(Ventas[[#This Row],[Codigo]],Stock[#Data],4,FALSE)</f>
        <v>2000</v>
      </c>
      <c r="E1137" s="33">
        <f>VLOOKUP(Ventas[[#This Row],[Codigo]],Stock[#Data],3,FALSE)</f>
        <v>932</v>
      </c>
      <c r="F1137" s="38">
        <v>1</v>
      </c>
      <c r="G1137">
        <v>569</v>
      </c>
      <c r="H1137" s="36">
        <f>Ventas[[#This Row],[Precio Venta]]*Ventas[[#This Row],[Cantidad]]-Ventas[[#This Row],[Descuento]]</f>
        <v>2000</v>
      </c>
      <c r="I1137" s="34">
        <f>Ventas[[#This Row],[Total]]-Ventas[[#This Row],[Precio compra]]*Ventas[[#This Row],[Cantidad]]</f>
        <v>1068</v>
      </c>
      <c r="J1137" s="34"/>
      <c r="K1137" s="34">
        <f>Ventas[[#This Row],[Total]]*Ventas[[#This Row],[Total 3]]</f>
        <v>0</v>
      </c>
      <c r="L1137" s="34"/>
      <c r="M1137" s="34"/>
    </row>
    <row r="1138" spans="1:13" ht="21.75" customHeight="1">
      <c r="A1138" s="16"/>
      <c r="B1138" s="39" t="s">
        <v>595</v>
      </c>
      <c r="C1138" s="35" t="str">
        <f>VLOOKUP(Ventas[[#This Row],[Codigo]],Stock[#Data],2,FALSE)</f>
        <v>Nostress aceite de neem</v>
      </c>
      <c r="D1138" s="37">
        <f>VLOOKUP(Ventas[[#This Row],[Codigo]],Stock[#Data],4,FALSE)</f>
        <v>900</v>
      </c>
      <c r="E1138" s="33">
        <f>VLOOKUP(Ventas[[#This Row],[Codigo]],Stock[#Data],3,FALSE)</f>
        <v>430</v>
      </c>
      <c r="F1138" s="38">
        <v>1</v>
      </c>
      <c r="G1138">
        <v>20</v>
      </c>
      <c r="H1138" s="36">
        <f>Ventas[[#This Row],[Precio Venta]]*Ventas[[#This Row],[Cantidad]]-Ventas[[#This Row],[Descuento]]</f>
        <v>900</v>
      </c>
      <c r="I1138" s="34">
        <f>Ventas[[#This Row],[Total]]-Ventas[[#This Row],[Precio compra]]*Ventas[[#This Row],[Cantidad]]</f>
        <v>470</v>
      </c>
      <c r="J1138" s="34"/>
      <c r="K1138" s="34">
        <f>Ventas[[#This Row],[Total]]*Ventas[[#This Row],[Total 3]]</f>
        <v>0</v>
      </c>
      <c r="L1138" s="34"/>
      <c r="M1138" s="34"/>
    </row>
    <row r="1139" spans="1:13" ht="21.75" customHeight="1">
      <c r="A1139" s="16"/>
      <c r="B1139" s="39" t="s">
        <v>595</v>
      </c>
      <c r="C1139" s="35" t="str">
        <f>VLOOKUP(Ventas[[#This Row],[Codigo]],Stock[#Data],2,FALSE)</f>
        <v xml:space="preserve">Pangea kit profesional </v>
      </c>
      <c r="D1139" s="37">
        <f>VLOOKUP(Ventas[[#This Row],[Codigo]],Stock[#Data],4,FALSE)</f>
        <v>7600</v>
      </c>
      <c r="E1139" s="33">
        <f>VLOOKUP(Ventas[[#This Row],[Codigo]],Stock[#Data],3,FALSE)</f>
        <v>4025</v>
      </c>
      <c r="F1139" s="38">
        <v>1</v>
      </c>
      <c r="G1139">
        <v>398</v>
      </c>
      <c r="H1139" s="36">
        <f>Ventas[[#This Row],[Precio Venta]]*Ventas[[#This Row],[Cantidad]]-Ventas[[#This Row],[Descuento]]</f>
        <v>7600</v>
      </c>
      <c r="I1139" s="34">
        <f>Ventas[[#This Row],[Total]]-Ventas[[#This Row],[Precio compra]]*Ventas[[#This Row],[Cantidad]]</f>
        <v>3575</v>
      </c>
      <c r="J1139" s="34"/>
      <c r="K1139" s="34">
        <f>Ventas[[#This Row],[Total]]*Ventas[[#This Row],[Total 3]]</f>
        <v>0</v>
      </c>
      <c r="L1139" s="34"/>
      <c r="M1139" s="34"/>
    </row>
    <row r="1140" spans="1:13" ht="21.75" customHeight="1">
      <c r="A1140" s="16"/>
      <c r="B1140" s="39" t="s">
        <v>595</v>
      </c>
      <c r="C1140" s="35" t="str">
        <f>VLOOKUP(Ventas[[#This Row],[Codigo]],Stock[#Data],2,FALSE)</f>
        <v>Sauver 1/4</v>
      </c>
      <c r="D1140" s="37">
        <f>VLOOKUP(Ventas[[#This Row],[Codigo]],Stock[#Data],4,FALSE)</f>
        <v>200</v>
      </c>
      <c r="E1140" s="33">
        <f>VLOOKUP(Ventas[[#This Row],[Codigo]],Stock[#Data],3,FALSE)</f>
        <v>75</v>
      </c>
      <c r="F1140" s="38">
        <v>2</v>
      </c>
      <c r="G1140">
        <v>149</v>
      </c>
      <c r="H1140" s="36">
        <f>Ventas[[#This Row],[Precio Venta]]*Ventas[[#This Row],[Cantidad]]-Ventas[[#This Row],[Descuento]]</f>
        <v>400</v>
      </c>
      <c r="I1140" s="34">
        <f>Ventas[[#This Row],[Total]]-Ventas[[#This Row],[Precio compra]]*Ventas[[#This Row],[Cantidad]]</f>
        <v>250</v>
      </c>
      <c r="J1140" s="34"/>
      <c r="K1140" s="34">
        <f>Ventas[[#This Row],[Total]]*Ventas[[#This Row],[Total 3]]</f>
        <v>0</v>
      </c>
      <c r="L1140" s="34"/>
      <c r="M1140" s="34"/>
    </row>
    <row r="1141" spans="1:13" ht="21.75" customHeight="1">
      <c r="A1141" s="16"/>
      <c r="B1141" s="39" t="s">
        <v>595</v>
      </c>
      <c r="C1141" s="35" t="str">
        <f>VLOOKUP(Ventas[[#This Row],[Codigo]],Stock[#Data],2,FALSE)</f>
        <v>Porta porros 420</v>
      </c>
      <c r="D1141" s="37">
        <f>VLOOKUP(Ventas[[#This Row],[Codigo]],Stock[#Data],4,FALSE)</f>
        <v>200</v>
      </c>
      <c r="E1141" s="33">
        <f>VLOOKUP(Ventas[[#This Row],[Codigo]],Stock[#Data],3,FALSE)</f>
        <v>73</v>
      </c>
      <c r="F1141" s="38">
        <v>1</v>
      </c>
      <c r="G1141">
        <v>421</v>
      </c>
      <c r="H1141" s="36">
        <f>Ventas[[#This Row],[Precio Venta]]*Ventas[[#This Row],[Cantidad]]-Ventas[[#This Row],[Descuento]]</f>
        <v>200</v>
      </c>
      <c r="I1141" s="34">
        <f>Ventas[[#This Row],[Total]]-Ventas[[#This Row],[Precio compra]]*Ventas[[#This Row],[Cantidad]]</f>
        <v>127</v>
      </c>
      <c r="J1141" s="34"/>
      <c r="K1141" s="34">
        <f>Ventas[[#This Row],[Total]]*Ventas[[#This Row],[Total 3]]</f>
        <v>0</v>
      </c>
      <c r="L1141" s="34"/>
      <c r="M1141" s="34"/>
    </row>
    <row r="1142" spans="1:13" ht="21.75" customHeight="1">
      <c r="A1142" s="16"/>
      <c r="B1142" s="39" t="s">
        <v>595</v>
      </c>
      <c r="C1142" s="35" t="str">
        <f>VLOOKUP(Ventas[[#This Row],[Codigo]],Stock[#Data],2,FALSE)</f>
        <v xml:space="preserve">Encendedor Clipper </v>
      </c>
      <c r="D1142" s="37">
        <f>VLOOKUP(Ventas[[#This Row],[Codigo]],Stock[#Data],4,FALSE)</f>
        <v>600</v>
      </c>
      <c r="E1142" s="33">
        <f>VLOOKUP(Ventas[[#This Row],[Codigo]],Stock[#Data],3,FALSE)</f>
        <v>378</v>
      </c>
      <c r="F1142" s="38">
        <v>3</v>
      </c>
      <c r="G1142">
        <v>58</v>
      </c>
      <c r="H1142" s="36">
        <f>Ventas[[#This Row],[Precio Venta]]*Ventas[[#This Row],[Cantidad]]-Ventas[[#This Row],[Descuento]]</f>
        <v>1800</v>
      </c>
      <c r="I1142" s="34">
        <f>Ventas[[#This Row],[Total]]-Ventas[[#This Row],[Precio compra]]*Ventas[[#This Row],[Cantidad]]</f>
        <v>666</v>
      </c>
      <c r="J1142" s="34"/>
      <c r="K1142" s="34">
        <f>Ventas[[#This Row],[Total]]*Ventas[[#This Row],[Total 3]]</f>
        <v>0</v>
      </c>
      <c r="L1142" s="34"/>
      <c r="M1142" s="34"/>
    </row>
    <row r="1143" spans="1:13" ht="21.75" customHeight="1">
      <c r="A1143" s="16"/>
      <c r="B1143" s="39" t="s">
        <v>595</v>
      </c>
      <c r="C1143" s="35" t="str">
        <f>VLOOKUP(Ventas[[#This Row],[Codigo]],Stock[#Data],2,FALSE)</f>
        <v>Picador Lion  Acrilico 2p</v>
      </c>
      <c r="D1143" s="37">
        <f>VLOOKUP(Ventas[[#This Row],[Codigo]],Stock[#Data],4,FALSE)</f>
        <v>1600</v>
      </c>
      <c r="E1143" s="33">
        <f>VLOOKUP(Ventas[[#This Row],[Codigo]],Stock[#Data],3,FALSE)</f>
        <v>770</v>
      </c>
      <c r="F1143" s="38">
        <v>1</v>
      </c>
      <c r="G1143">
        <v>475</v>
      </c>
      <c r="H1143" s="36">
        <f>Ventas[[#This Row],[Precio Venta]]*Ventas[[#This Row],[Cantidad]]-Ventas[[#This Row],[Descuento]]</f>
        <v>1600</v>
      </c>
      <c r="I1143" s="34">
        <f>Ventas[[#This Row],[Total]]-Ventas[[#This Row],[Precio compra]]*Ventas[[#This Row],[Cantidad]]</f>
        <v>830</v>
      </c>
      <c r="J1143" s="34"/>
      <c r="K1143" s="34">
        <f>Ventas[[#This Row],[Total]]*Ventas[[#This Row],[Total 3]]</f>
        <v>0</v>
      </c>
      <c r="L1143" s="34"/>
      <c r="M1143" s="34"/>
    </row>
    <row r="1144" spans="1:13" ht="21.75" customHeight="1">
      <c r="A1144" s="16"/>
      <c r="B1144" s="39" t="s">
        <v>595</v>
      </c>
      <c r="C1144" s="35" t="str">
        <f>VLOOKUP(Ventas[[#This Row],[Codigo]],Stock[#Data],2,FALSE)</f>
        <v>Sedas Lion Rolling Circus Ultra Thin</v>
      </c>
      <c r="D1144" s="37">
        <f>VLOOKUP(Ventas[[#This Row],[Codigo]],Stock[#Data],4,FALSE)</f>
        <v>250</v>
      </c>
      <c r="E1144" s="33">
        <f>VLOOKUP(Ventas[[#This Row],[Codigo]],Stock[#Data],3,FALSE)</f>
        <v>123</v>
      </c>
      <c r="F1144" s="38">
        <v>1</v>
      </c>
      <c r="G1144">
        <v>309</v>
      </c>
      <c r="H1144" s="36">
        <f>Ventas[[#This Row],[Precio Venta]]*Ventas[[#This Row],[Cantidad]]-Ventas[[#This Row],[Descuento]]</f>
        <v>250</v>
      </c>
      <c r="I1144" s="34">
        <f>Ventas[[#This Row],[Total]]-Ventas[[#This Row],[Precio compra]]*Ventas[[#This Row],[Cantidad]]</f>
        <v>127</v>
      </c>
      <c r="J1144" s="34"/>
      <c r="K1144" s="34">
        <f>Ventas[[#This Row],[Total]]*Ventas[[#This Row],[Total 3]]</f>
        <v>0</v>
      </c>
      <c r="L1144" s="34"/>
      <c r="M1144" s="34"/>
    </row>
    <row r="1145" spans="1:13" ht="21.75" customHeight="1">
      <c r="A1145" s="16"/>
      <c r="B1145" s="39" t="s">
        <v>595</v>
      </c>
      <c r="C1145" s="35" t="str">
        <f>VLOOKUP(Ventas[[#This Row],[Codigo]],Stock[#Data],2,FALSE)</f>
        <v>Sedas Lion Rolling Circus 1/4 saborizada Menta</v>
      </c>
      <c r="D1145" s="37">
        <f>VLOOKUP(Ventas[[#This Row],[Codigo]],Stock[#Data],4,FALSE)</f>
        <v>450</v>
      </c>
      <c r="E1145" s="33">
        <f>VLOOKUP(Ventas[[#This Row],[Codigo]],Stock[#Data],3,FALSE)</f>
        <v>217</v>
      </c>
      <c r="F1145" s="38">
        <v>1</v>
      </c>
      <c r="G1145">
        <v>66</v>
      </c>
      <c r="H1145" s="36">
        <f>Ventas[[#This Row],[Precio Venta]]*Ventas[[#This Row],[Cantidad]]-Ventas[[#This Row],[Descuento]]</f>
        <v>450</v>
      </c>
      <c r="I1145" s="34">
        <f>Ventas[[#This Row],[Total]]-Ventas[[#This Row],[Precio compra]]*Ventas[[#This Row],[Cantidad]]</f>
        <v>233</v>
      </c>
      <c r="J1145" s="34"/>
      <c r="K1145" s="34">
        <f>Ventas[[#This Row],[Total]]*Ventas[[#This Row],[Total 3]]</f>
        <v>0</v>
      </c>
      <c r="L1145" s="34"/>
      <c r="M1145" s="34"/>
    </row>
    <row r="1146" spans="1:13" ht="21.75" customHeight="1">
      <c r="A1146" s="16"/>
      <c r="B1146" s="39" t="s">
        <v>595</v>
      </c>
      <c r="C1146" s="35" t="str">
        <f>VLOOKUP(Ventas[[#This Row],[Codigo]],Stock[#Data],2,FALSE)</f>
        <v>Sedas OCB 1/4 Virgin Papers</v>
      </c>
      <c r="D1146" s="37">
        <f>VLOOKUP(Ventas[[#This Row],[Codigo]],Stock[#Data],4,FALSE)</f>
        <v>300</v>
      </c>
      <c r="E1146" s="33">
        <f>VLOOKUP(Ventas[[#This Row],[Codigo]],Stock[#Data],3,FALSE)</f>
        <v>165</v>
      </c>
      <c r="F1146" s="38">
        <v>1</v>
      </c>
      <c r="G1146">
        <v>76</v>
      </c>
      <c r="H1146" s="36">
        <f>Ventas[[#This Row],[Precio Venta]]*Ventas[[#This Row],[Cantidad]]-Ventas[[#This Row],[Descuento]]</f>
        <v>300</v>
      </c>
      <c r="I1146" s="34">
        <f>Ventas[[#This Row],[Total]]-Ventas[[#This Row],[Precio compra]]*Ventas[[#This Row],[Cantidad]]</f>
        <v>135</v>
      </c>
      <c r="J1146" s="34"/>
      <c r="K1146" s="34">
        <f>Ventas[[#This Row],[Total]]*Ventas[[#This Row],[Total 3]]</f>
        <v>0</v>
      </c>
      <c r="L1146" s="34"/>
      <c r="M1146" s="34"/>
    </row>
    <row r="1147" spans="1:13" ht="21.75" customHeight="1">
      <c r="A1147" s="16"/>
      <c r="B1147" s="39" t="s">
        <v>595</v>
      </c>
      <c r="C1147" s="35" t="str">
        <f>VLOOKUP(Ventas[[#This Row],[Codigo]],Stock[#Data],2,FALSE)</f>
        <v xml:space="preserve">ocb ultimate </v>
      </c>
      <c r="D1147" s="37">
        <f>VLOOKUP(Ventas[[#This Row],[Codigo]],Stock[#Data],4,FALSE)</f>
        <v>300</v>
      </c>
      <c r="E1147" s="33">
        <f>VLOOKUP(Ventas[[#This Row],[Codigo]],Stock[#Data],3,FALSE)</f>
        <v>165</v>
      </c>
      <c r="F1147" s="38">
        <v>1</v>
      </c>
      <c r="G1147">
        <v>354</v>
      </c>
      <c r="H1147" s="36">
        <f>Ventas[[#This Row],[Precio Venta]]*Ventas[[#This Row],[Cantidad]]-Ventas[[#This Row],[Descuento]]</f>
        <v>300</v>
      </c>
      <c r="I1147" s="34">
        <f>Ventas[[#This Row],[Total]]-Ventas[[#This Row],[Precio compra]]*Ventas[[#This Row],[Cantidad]]</f>
        <v>135</v>
      </c>
      <c r="J1147" s="34"/>
      <c r="K1147" s="34">
        <f>Ventas[[#This Row],[Total]]*Ventas[[#This Row],[Total 3]]</f>
        <v>0</v>
      </c>
      <c r="L1147" s="34"/>
      <c r="M1147" s="34"/>
    </row>
    <row r="1148" spans="1:13" ht="21.75" customHeight="1">
      <c r="A1148" s="16"/>
      <c r="B1148" s="39" t="s">
        <v>595</v>
      </c>
      <c r="C1148" s="35" t="str">
        <f>VLOOKUP(Ventas[[#This Row],[Codigo]],Stock[#Data],2,FALSE)</f>
        <v>Namaste Flora Booster 500ml</v>
      </c>
      <c r="D1148" s="37">
        <f>VLOOKUP(Ventas[[#This Row],[Codigo]],Stock[#Data],4,FALSE)</f>
        <v>2500</v>
      </c>
      <c r="E1148" s="33">
        <f>VLOOKUP(Ventas[[#This Row],[Codigo]],Stock[#Data],3,FALSE)</f>
        <v>1377</v>
      </c>
      <c r="F1148" s="38">
        <v>1</v>
      </c>
      <c r="G1148">
        <v>496</v>
      </c>
      <c r="H1148" s="36">
        <f>Ventas[[#This Row],[Precio Venta]]*Ventas[[#This Row],[Cantidad]]-Ventas[[#This Row],[Descuento]]</f>
        <v>2500</v>
      </c>
      <c r="I1148" s="34">
        <f>Ventas[[#This Row],[Total]]-Ventas[[#This Row],[Precio compra]]*Ventas[[#This Row],[Cantidad]]</f>
        <v>1123</v>
      </c>
      <c r="J1148" s="34"/>
      <c r="K1148" s="34">
        <f>Ventas[[#This Row],[Total]]*Ventas[[#This Row],[Total 3]]</f>
        <v>0</v>
      </c>
      <c r="L1148" s="34"/>
      <c r="M1148" s="34"/>
    </row>
    <row r="1149" spans="1:13" ht="21.75" customHeight="1">
      <c r="A1149" s="16"/>
      <c r="B1149" s="39" t="s">
        <v>595</v>
      </c>
      <c r="C1149" s="35" t="str">
        <f>VLOOKUP(Ventas[[#This Row],[Codigo]],Stock[#Data],2,FALSE)</f>
        <v>TreeMIX A 200ml</v>
      </c>
      <c r="D1149" s="37">
        <f>VLOOKUP(Ventas[[#This Row],[Codigo]],Stock[#Data],4,FALSE)</f>
        <v>1400</v>
      </c>
      <c r="E1149" s="33">
        <f>VLOOKUP(Ventas[[#This Row],[Codigo]],Stock[#Data],3,FALSE)</f>
        <v>700</v>
      </c>
      <c r="F1149" s="38">
        <v>1</v>
      </c>
      <c r="G1149">
        <v>31</v>
      </c>
      <c r="H1149" s="36">
        <f>Ventas[[#This Row],[Precio Venta]]*Ventas[[#This Row],[Cantidad]]-Ventas[[#This Row],[Descuento]]</f>
        <v>1400</v>
      </c>
      <c r="I1149" s="34">
        <f>Ventas[[#This Row],[Total]]-Ventas[[#This Row],[Precio compra]]*Ventas[[#This Row],[Cantidad]]</f>
        <v>700</v>
      </c>
      <c r="J1149" s="34"/>
      <c r="K1149" s="34">
        <f>Ventas[[#This Row],[Total]]*Ventas[[#This Row],[Total 3]]</f>
        <v>0</v>
      </c>
      <c r="L1149" s="34"/>
      <c r="M1149" s="34"/>
    </row>
    <row r="1150" spans="1:13" ht="21.75" customHeight="1">
      <c r="A1150" s="16"/>
      <c r="B1150" s="39" t="s">
        <v>595</v>
      </c>
      <c r="C1150" s="35" t="str">
        <f>VLOOKUP(Ventas[[#This Row],[Codigo]],Stock[#Data],2,FALSE)</f>
        <v>Medidor de Electroconductividad</v>
      </c>
      <c r="D1150" s="37">
        <f>VLOOKUP(Ventas[[#This Row],[Codigo]],Stock[#Data],4,FALSE)</f>
        <v>2000</v>
      </c>
      <c r="E1150" s="33">
        <f>VLOOKUP(Ventas[[#This Row],[Codigo]],Stock[#Data],3,FALSE)</f>
        <v>879</v>
      </c>
      <c r="F1150" s="38">
        <v>1</v>
      </c>
      <c r="G1150">
        <v>186</v>
      </c>
      <c r="H1150" s="36">
        <f>Ventas[[#This Row],[Precio Venta]]*Ventas[[#This Row],[Cantidad]]-Ventas[[#This Row],[Descuento]]</f>
        <v>2000</v>
      </c>
      <c r="I1150" s="34">
        <f>Ventas[[#This Row],[Total]]-Ventas[[#This Row],[Precio compra]]*Ventas[[#This Row],[Cantidad]]</f>
        <v>1121</v>
      </c>
      <c r="J1150" s="34"/>
      <c r="K1150" s="34">
        <f>Ventas[[#This Row],[Total]]*Ventas[[#This Row],[Total 3]]</f>
        <v>0</v>
      </c>
      <c r="L1150" s="34"/>
      <c r="M1150" s="34"/>
    </row>
    <row r="1151" spans="1:13" ht="21.75" customHeight="1">
      <c r="A1151" s="16"/>
      <c r="B1151" s="39" t="s">
        <v>595</v>
      </c>
      <c r="C1151" s="35" t="str">
        <f>VLOOKUP(Ventas[[#This Row],[Codigo]],Stock[#Data],2,FALSE)</f>
        <v>Pulverizador 1,5 litros</v>
      </c>
      <c r="D1151" s="37">
        <f>VLOOKUP(Ventas[[#This Row],[Codigo]],Stock[#Data],4,FALSE)</f>
        <v>2500</v>
      </c>
      <c r="E1151" s="33">
        <f>VLOOKUP(Ventas[[#This Row],[Codigo]],Stock[#Data],3,FALSE)</f>
        <v>1250</v>
      </c>
      <c r="F1151" s="38">
        <v>1</v>
      </c>
      <c r="G1151">
        <v>571</v>
      </c>
      <c r="H1151" s="36">
        <f>Ventas[[#This Row],[Precio Venta]]*Ventas[[#This Row],[Cantidad]]-Ventas[[#This Row],[Descuento]]</f>
        <v>2500</v>
      </c>
      <c r="I1151" s="34">
        <f>Ventas[[#This Row],[Total]]-Ventas[[#This Row],[Precio compra]]*Ventas[[#This Row],[Cantidad]]</f>
        <v>1250</v>
      </c>
      <c r="J1151" s="34"/>
      <c r="K1151" s="34">
        <f>Ventas[[#This Row],[Total]]*Ventas[[#This Row],[Total 3]]</f>
        <v>0</v>
      </c>
      <c r="L1151" s="34"/>
      <c r="M1151" s="34"/>
    </row>
    <row r="1152" spans="1:13" ht="21.75" customHeight="1">
      <c r="A1152" s="16"/>
      <c r="B1152" s="39" t="s">
        <v>595</v>
      </c>
      <c r="C1152" s="35" t="str">
        <f>VLOOKUP(Ventas[[#This Row],[Codigo]],Stock[#Data],2,FALSE)</f>
        <v xml:space="preserve">Sedas 3 Rayos Celulosa </v>
      </c>
      <c r="D1152" s="37">
        <f>VLOOKUP(Ventas[[#This Row],[Codigo]],Stock[#Data],4,FALSE)</f>
        <v>400</v>
      </c>
      <c r="E1152" s="33">
        <f>VLOOKUP(Ventas[[#This Row],[Codigo]],Stock[#Data],3,FALSE)</f>
        <v>211</v>
      </c>
      <c r="F1152" s="38">
        <v>1</v>
      </c>
      <c r="G1152">
        <v>310</v>
      </c>
      <c r="H1152" s="36">
        <f>Ventas[[#This Row],[Precio Venta]]*Ventas[[#This Row],[Cantidad]]-Ventas[[#This Row],[Descuento]]</f>
        <v>400</v>
      </c>
      <c r="I1152" s="34">
        <f>Ventas[[#This Row],[Total]]-Ventas[[#This Row],[Precio compra]]*Ventas[[#This Row],[Cantidad]]</f>
        <v>189</v>
      </c>
      <c r="J1152" s="34"/>
      <c r="K1152" s="34">
        <f>Ventas[[#This Row],[Total]]*Ventas[[#This Row],[Total 3]]</f>
        <v>0</v>
      </c>
      <c r="L1152" s="34"/>
      <c r="M1152" s="34"/>
    </row>
    <row r="1153" spans="1:13" ht="21.75" customHeight="1">
      <c r="A1153" s="16"/>
      <c r="B1153" s="39" t="s">
        <v>595</v>
      </c>
      <c r="C1153" s="35" t="str">
        <f>VLOOKUP(Ventas[[#This Row],[Codigo]],Stock[#Data],2,FALSE)</f>
        <v>TreeMIX KILL MIX 45ml</v>
      </c>
      <c r="D1153" s="37">
        <f>VLOOKUP(Ventas[[#This Row],[Codigo]],Stock[#Data],4,FALSE)</f>
        <v>650</v>
      </c>
      <c r="E1153" s="33">
        <f>VLOOKUP(Ventas[[#This Row],[Codigo]],Stock[#Data],3,FALSE)</f>
        <v>320</v>
      </c>
      <c r="F1153" s="38">
        <v>2</v>
      </c>
      <c r="G1153">
        <v>27</v>
      </c>
      <c r="H1153" s="36">
        <f>Ventas[[#This Row],[Precio Venta]]*Ventas[[#This Row],[Cantidad]]-Ventas[[#This Row],[Descuento]]</f>
        <v>1300</v>
      </c>
      <c r="I1153" s="34">
        <f>Ventas[[#This Row],[Total]]-Ventas[[#This Row],[Precio compra]]*Ventas[[#This Row],[Cantidad]]</f>
        <v>660</v>
      </c>
      <c r="J1153" s="34"/>
      <c r="K1153" s="34">
        <f>Ventas[[#This Row],[Total]]*Ventas[[#This Row],[Total 3]]</f>
        <v>0</v>
      </c>
      <c r="L1153" s="34"/>
      <c r="M1153" s="34"/>
    </row>
    <row r="1154" spans="1:13" ht="21.75" customHeight="1">
      <c r="A1154" s="16"/>
      <c r="B1154" s="39" t="s">
        <v>595</v>
      </c>
      <c r="C1154" s="35" t="str">
        <f>VLOOKUP(Ventas[[#This Row],[Codigo]],Stock[#Data],2,FALSE)</f>
        <v>Maca Brew 500cc</v>
      </c>
      <c r="D1154" s="37">
        <f>VLOOKUP(Ventas[[#This Row],[Codigo]],Stock[#Data],4,FALSE)</f>
        <v>1000</v>
      </c>
      <c r="E1154" s="33">
        <f>VLOOKUP(Ventas[[#This Row],[Codigo]],Stock[#Data],3,FALSE)</f>
        <v>470</v>
      </c>
      <c r="F1154" s="38">
        <v>1</v>
      </c>
      <c r="G1154">
        <v>12</v>
      </c>
      <c r="H1154" s="36">
        <f>Ventas[[#This Row],[Precio Venta]]*Ventas[[#This Row],[Cantidad]]-Ventas[[#This Row],[Descuento]]</f>
        <v>1000</v>
      </c>
      <c r="I1154" s="34">
        <f>Ventas[[#This Row],[Total]]-Ventas[[#This Row],[Precio compra]]*Ventas[[#This Row],[Cantidad]]</f>
        <v>530</v>
      </c>
      <c r="J1154" s="34"/>
      <c r="K1154" s="34">
        <f>Ventas[[#This Row],[Total]]*Ventas[[#This Row],[Total 3]]</f>
        <v>0</v>
      </c>
      <c r="L1154" s="34"/>
      <c r="M1154" s="34"/>
    </row>
    <row r="1155" spans="1:13" ht="21.75" customHeight="1">
      <c r="A1155" s="16"/>
      <c r="B1155" s="39" t="s">
        <v>594</v>
      </c>
      <c r="C1155" s="35" t="str">
        <f>VLOOKUP(Ventas[[#This Row],[Codigo]],Stock[#Data],2,FALSE)</f>
        <v>CropSecret 250ml Floral Session</v>
      </c>
      <c r="D1155" s="37">
        <f>VLOOKUP(Ventas[[#This Row],[Codigo]],Stock[#Data],4,FALSE)</f>
        <v>2000</v>
      </c>
      <c r="E1155" s="33">
        <f>VLOOKUP(Ventas[[#This Row],[Codigo]],Stock[#Data],3,FALSE)</f>
        <v>836</v>
      </c>
      <c r="F1155" s="38">
        <v>1</v>
      </c>
      <c r="G1155">
        <v>6</v>
      </c>
      <c r="H1155" s="36">
        <f>Ventas[[#This Row],[Precio Venta]]*Ventas[[#This Row],[Cantidad]]-Ventas[[#This Row],[Descuento]]</f>
        <v>2000</v>
      </c>
      <c r="I1155" s="34">
        <f>Ventas[[#This Row],[Total]]-Ventas[[#This Row],[Precio compra]]*Ventas[[#This Row],[Cantidad]]</f>
        <v>1164</v>
      </c>
      <c r="J1155" s="34"/>
      <c r="K1155" s="34">
        <f>Ventas[[#This Row],[Total]]*Ventas[[#This Row],[Total 3]]</f>
        <v>0</v>
      </c>
      <c r="L1155" s="34"/>
      <c r="M1155" s="34"/>
    </row>
    <row r="1156" spans="1:13" ht="21.75" customHeight="1">
      <c r="A1156" s="16"/>
      <c r="B1156" s="39" t="s">
        <v>594</v>
      </c>
      <c r="C1156" s="35" t="str">
        <f>VLOOKUP(Ventas[[#This Row],[Codigo]],Stock[#Data],2,FALSE)</f>
        <v xml:space="preserve">Clipper Raw </v>
      </c>
      <c r="D1156" s="37">
        <f>VLOOKUP(Ventas[[#This Row],[Codigo]],Stock[#Data],4,FALSE)</f>
        <v>550</v>
      </c>
      <c r="E1156" s="33">
        <f>VLOOKUP(Ventas[[#This Row],[Codigo]],Stock[#Data],3,FALSE)</f>
        <v>276</v>
      </c>
      <c r="F1156" s="38">
        <v>1</v>
      </c>
      <c r="G1156">
        <v>502</v>
      </c>
      <c r="H1156" s="36">
        <f>Ventas[[#This Row],[Precio Venta]]*Ventas[[#This Row],[Cantidad]]-Ventas[[#This Row],[Descuento]]</f>
        <v>550</v>
      </c>
      <c r="I1156" s="34">
        <f>Ventas[[#This Row],[Total]]-Ventas[[#This Row],[Precio compra]]*Ventas[[#This Row],[Cantidad]]</f>
        <v>274</v>
      </c>
      <c r="J1156" s="34"/>
      <c r="K1156" s="34">
        <f>Ventas[[#This Row],[Total]]*Ventas[[#This Row],[Total 3]]</f>
        <v>0</v>
      </c>
      <c r="L1156" s="34"/>
      <c r="M1156" s="34"/>
    </row>
    <row r="1157" spans="1:13" ht="21.75" customHeight="1">
      <c r="A1157" s="16"/>
      <c r="B1157" s="39" t="s">
        <v>594</v>
      </c>
      <c r="C1157" s="35" t="str">
        <f>VLOOKUP(Ventas[[#This Row],[Codigo]],Stock[#Data],2,FALSE)</f>
        <v>Sedas OCB 1/4 Organic  Bamboo</v>
      </c>
      <c r="D1157" s="37">
        <f>VLOOKUP(Ventas[[#This Row],[Codigo]],Stock[#Data],4,FALSE)</f>
        <v>300</v>
      </c>
      <c r="E1157" s="33">
        <f>VLOOKUP(Ventas[[#This Row],[Codigo]],Stock[#Data],3,FALSE)</f>
        <v>165</v>
      </c>
      <c r="F1157" s="38">
        <v>1</v>
      </c>
      <c r="G1157">
        <v>77</v>
      </c>
      <c r="H1157" s="36">
        <f>Ventas[[#This Row],[Precio Venta]]*Ventas[[#This Row],[Cantidad]]-Ventas[[#This Row],[Descuento]]</f>
        <v>300</v>
      </c>
      <c r="I1157" s="34">
        <f>Ventas[[#This Row],[Total]]-Ventas[[#This Row],[Precio compra]]*Ventas[[#This Row],[Cantidad]]</f>
        <v>135</v>
      </c>
      <c r="J1157" s="34"/>
      <c r="K1157" s="34">
        <f>Ventas[[#This Row],[Total]]*Ventas[[#This Row],[Total 3]]</f>
        <v>0</v>
      </c>
      <c r="L1157" s="34"/>
      <c r="M1157" s="34"/>
    </row>
    <row r="1158" spans="1:13" ht="21.75" customHeight="1">
      <c r="A1158" s="16"/>
      <c r="B1158" s="39" t="s">
        <v>594</v>
      </c>
      <c r="C1158" s="35" t="str">
        <f>VLOOKUP(Ventas[[#This Row],[Codigo]],Stock[#Data],2,FALSE)</f>
        <v>TreeMIX A 45ml</v>
      </c>
      <c r="D1158" s="37">
        <f>VLOOKUP(Ventas[[#This Row],[Codigo]],Stock[#Data],4,FALSE)</f>
        <v>500</v>
      </c>
      <c r="E1158" s="33">
        <f>VLOOKUP(Ventas[[#This Row],[Codigo]],Stock[#Data],3,FALSE)</f>
        <v>260</v>
      </c>
      <c r="F1158" s="38">
        <v>1</v>
      </c>
      <c r="G1158">
        <v>21</v>
      </c>
      <c r="H1158" s="36">
        <f>Ventas[[#This Row],[Precio Venta]]*Ventas[[#This Row],[Cantidad]]-Ventas[[#This Row],[Descuento]]</f>
        <v>500</v>
      </c>
      <c r="I1158" s="34">
        <f>Ventas[[#This Row],[Total]]-Ventas[[#This Row],[Precio compra]]*Ventas[[#This Row],[Cantidad]]</f>
        <v>240</v>
      </c>
      <c r="J1158" s="34"/>
      <c r="K1158" s="34">
        <f>Ventas[[#This Row],[Total]]*Ventas[[#This Row],[Total 3]]</f>
        <v>0</v>
      </c>
      <c r="L1158" s="34"/>
      <c r="M1158" s="34"/>
    </row>
    <row r="1159" spans="1:13" ht="21.75" customHeight="1">
      <c r="A1159" s="16"/>
      <c r="B1159" s="39" t="s">
        <v>594</v>
      </c>
      <c r="C1159" s="35" t="str">
        <f>VLOOKUP(Ventas[[#This Row],[Codigo]],Stock[#Data],2,FALSE)</f>
        <v>Namaste Flora Booster 100ml</v>
      </c>
      <c r="D1159" s="37">
        <f>VLOOKUP(Ventas[[#This Row],[Codigo]],Stock[#Data],4,FALSE)</f>
        <v>1000</v>
      </c>
      <c r="E1159" s="33">
        <f>VLOOKUP(Ventas[[#This Row],[Codigo]],Stock[#Data],3,FALSE)</f>
        <v>517</v>
      </c>
      <c r="F1159" s="38">
        <v>1</v>
      </c>
      <c r="G1159">
        <v>480</v>
      </c>
      <c r="H1159" s="36">
        <f>Ventas[[#This Row],[Precio Venta]]*Ventas[[#This Row],[Cantidad]]-Ventas[[#This Row],[Descuento]]</f>
        <v>1000</v>
      </c>
      <c r="I1159" s="34">
        <f>Ventas[[#This Row],[Total]]-Ventas[[#This Row],[Precio compra]]*Ventas[[#This Row],[Cantidad]]</f>
        <v>483</v>
      </c>
      <c r="J1159" s="34"/>
      <c r="K1159" s="34">
        <f>Ventas[[#This Row],[Total]]*Ventas[[#This Row],[Total 3]]</f>
        <v>0</v>
      </c>
      <c r="L1159" s="34"/>
      <c r="M1159" s="34"/>
    </row>
    <row r="1160" spans="1:13" ht="21.75" customHeight="1">
      <c r="A1160" s="16"/>
      <c r="B1160" s="39" t="s">
        <v>594</v>
      </c>
      <c r="C1160" s="35" t="str">
        <f>VLOOKUP(Ventas[[#This Row],[Codigo]],Stock[#Data],2,FALSE)</f>
        <v>El Duende Jabon Potasico con Neem y Canela 250ml</v>
      </c>
      <c r="D1160" s="37">
        <f>VLOOKUP(Ventas[[#This Row],[Codigo]],Stock[#Data],4,FALSE)</f>
        <v>1300</v>
      </c>
      <c r="E1160" s="33">
        <f>VLOOKUP(Ventas[[#This Row],[Codigo]],Stock[#Data],3,FALSE)</f>
        <v>645</v>
      </c>
      <c r="F1160" s="38">
        <v>1</v>
      </c>
      <c r="G1160">
        <v>570</v>
      </c>
      <c r="H1160" s="36">
        <f>Ventas[[#This Row],[Precio Venta]]*Ventas[[#This Row],[Cantidad]]-Ventas[[#This Row],[Descuento]]</f>
        <v>1300</v>
      </c>
      <c r="I1160" s="34">
        <f>Ventas[[#This Row],[Total]]-Ventas[[#This Row],[Precio compra]]*Ventas[[#This Row],[Cantidad]]</f>
        <v>655</v>
      </c>
      <c r="J1160" s="34"/>
      <c r="K1160" s="34">
        <f>Ventas[[#This Row],[Total]]*Ventas[[#This Row],[Total 3]]</f>
        <v>0</v>
      </c>
      <c r="L1160" s="34"/>
      <c r="M1160" s="34"/>
    </row>
    <row r="1161" spans="1:13" ht="21.75" customHeight="1">
      <c r="A1161" s="16"/>
      <c r="B1161" s="39">
        <v>44953</v>
      </c>
      <c r="C1161" s="35" t="str">
        <f>VLOOKUP(Ventas[[#This Row],[Codigo]],Stock[#Data],2,FALSE)</f>
        <v>Macetas Soplada 15L</v>
      </c>
      <c r="D1161" s="37">
        <f>VLOOKUP(Ventas[[#This Row],[Codigo]],Stock[#Data],4,FALSE)</f>
        <v>450</v>
      </c>
      <c r="E1161" s="33">
        <f>VLOOKUP(Ventas[[#This Row],[Codigo]],Stock[#Data],3,FALSE)</f>
        <v>222</v>
      </c>
      <c r="F1161" s="38">
        <v>3</v>
      </c>
      <c r="G1161">
        <v>380</v>
      </c>
      <c r="H1161" s="36">
        <f>Ventas[[#This Row],[Precio Venta]]*Ventas[[#This Row],[Cantidad]]-Ventas[[#This Row],[Descuento]]</f>
        <v>1350</v>
      </c>
      <c r="I1161" s="34">
        <f>Ventas[[#This Row],[Total]]-Ventas[[#This Row],[Precio compra]]*Ventas[[#This Row],[Cantidad]]</f>
        <v>684</v>
      </c>
      <c r="J1161" s="34"/>
      <c r="K1161" s="34">
        <f>Ventas[[#This Row],[Total]]*Ventas[[#This Row],[Total 3]]</f>
        <v>0</v>
      </c>
      <c r="L1161" s="34"/>
      <c r="M1161" s="34"/>
    </row>
    <row r="1162" spans="1:13" ht="21.75" customHeight="1">
      <c r="A1162" s="16"/>
      <c r="B1162" s="39">
        <v>44953</v>
      </c>
      <c r="C1162" s="35" t="str">
        <f>VLOOKUP(Ventas[[#This Row],[Codigo]],Stock[#Data],2,FALSE)</f>
        <v>Namaste Nutripack</v>
      </c>
      <c r="D1162" s="37">
        <f>VLOOKUP(Ventas[[#This Row],[Codigo]],Stock[#Data],4,FALSE)</f>
        <v>6000</v>
      </c>
      <c r="E1162" s="33">
        <f>VLOOKUP(Ventas[[#This Row],[Codigo]],Stock[#Data],3,FALSE)</f>
        <v>3376</v>
      </c>
      <c r="F1162" s="38">
        <v>1</v>
      </c>
      <c r="G1162">
        <v>346</v>
      </c>
      <c r="H1162" s="36">
        <f>Ventas[[#This Row],[Precio Venta]]*Ventas[[#This Row],[Cantidad]]-Ventas[[#This Row],[Descuento]]</f>
        <v>6000</v>
      </c>
      <c r="I1162" s="34">
        <f>Ventas[[#This Row],[Total]]-Ventas[[#This Row],[Precio compra]]*Ventas[[#This Row],[Cantidad]]</f>
        <v>2624</v>
      </c>
      <c r="J1162" s="34"/>
      <c r="K1162" s="34">
        <f>Ventas[[#This Row],[Total]]*Ventas[[#This Row],[Total 3]]</f>
        <v>0</v>
      </c>
      <c r="L1162" s="34"/>
      <c r="M1162" s="34"/>
    </row>
    <row r="1163" spans="1:13" ht="21.75" customHeight="1">
      <c r="A1163" s="16"/>
      <c r="B1163" s="39" t="s">
        <v>594</v>
      </c>
      <c r="C1163" s="35" t="str">
        <f>VLOOKUP(Ventas[[#This Row],[Codigo]],Stock[#Data],2,FALSE)</f>
        <v>Namaste Nutripack</v>
      </c>
      <c r="D1163" s="37">
        <f>VLOOKUP(Ventas[[#This Row],[Codigo]],Stock[#Data],4,FALSE)</f>
        <v>6000</v>
      </c>
      <c r="E1163" s="33">
        <f>VLOOKUP(Ventas[[#This Row],[Codigo]],Stock[#Data],3,FALSE)</f>
        <v>3376</v>
      </c>
      <c r="F1163" s="38">
        <v>1</v>
      </c>
      <c r="G1163">
        <v>346</v>
      </c>
      <c r="H1163" s="36">
        <f>Ventas[[#This Row],[Precio Venta]]*Ventas[[#This Row],[Cantidad]]-Ventas[[#This Row],[Descuento]]</f>
        <v>6000</v>
      </c>
      <c r="I1163" s="34">
        <f>Ventas[[#This Row],[Total]]-Ventas[[#This Row],[Precio compra]]*Ventas[[#This Row],[Cantidad]]</f>
        <v>2624</v>
      </c>
      <c r="J1163" s="34"/>
      <c r="K1163" s="34">
        <f>Ventas[[#This Row],[Total]]*Ventas[[#This Row],[Total 3]]</f>
        <v>0</v>
      </c>
      <c r="L1163" s="34"/>
      <c r="M1163" s="34"/>
    </row>
    <row r="1164" spans="1:13" ht="21.75" customHeight="1">
      <c r="A1164" s="16"/>
      <c r="B1164" s="39" t="s">
        <v>594</v>
      </c>
      <c r="C1164" s="35" t="str">
        <f>VLOOKUP(Ventas[[#This Row],[Codigo]],Stock[#Data],2,FALSE)</f>
        <v>TreeMIX A 200ml</v>
      </c>
      <c r="D1164" s="37">
        <f>VLOOKUP(Ventas[[#This Row],[Codigo]],Stock[#Data],4,FALSE)</f>
        <v>1400</v>
      </c>
      <c r="E1164" s="33">
        <f>VLOOKUP(Ventas[[#This Row],[Codigo]],Stock[#Data],3,FALSE)</f>
        <v>700</v>
      </c>
      <c r="F1164" s="38">
        <v>1</v>
      </c>
      <c r="G1164">
        <v>31</v>
      </c>
      <c r="H1164" s="36">
        <f>Ventas[[#This Row],[Precio Venta]]*Ventas[[#This Row],[Cantidad]]-Ventas[[#This Row],[Descuento]]</f>
        <v>1400</v>
      </c>
      <c r="I1164" s="34">
        <f>Ventas[[#This Row],[Total]]-Ventas[[#This Row],[Precio compra]]*Ventas[[#This Row],[Cantidad]]</f>
        <v>700</v>
      </c>
      <c r="J1164" s="34"/>
      <c r="K1164" s="34">
        <f>Ventas[[#This Row],[Total]]*Ventas[[#This Row],[Total 3]]</f>
        <v>0</v>
      </c>
      <c r="L1164" s="34"/>
      <c r="M1164" s="34"/>
    </row>
    <row r="1165" spans="1:13" ht="21.75" customHeight="1">
      <c r="A1165" s="16"/>
      <c r="B1165" s="39" t="s">
        <v>594</v>
      </c>
      <c r="C1165" s="35" t="str">
        <f>VLOOKUP(Ventas[[#This Row],[Codigo]],Stock[#Data],2,FALSE)</f>
        <v>VAMP Guano de murcielago Flora</v>
      </c>
      <c r="D1165" s="37">
        <f>VLOOKUP(Ventas[[#This Row],[Codigo]],Stock[#Data],4,FALSE)</f>
        <v>1000</v>
      </c>
      <c r="E1165" s="33">
        <f>VLOOKUP(Ventas[[#This Row],[Codigo]],Stock[#Data],3,FALSE)</f>
        <v>510</v>
      </c>
      <c r="F1165" s="38">
        <v>1</v>
      </c>
      <c r="G1165">
        <v>38</v>
      </c>
      <c r="H1165" s="36">
        <f>Ventas[[#This Row],[Precio Venta]]*Ventas[[#This Row],[Cantidad]]-Ventas[[#This Row],[Descuento]]</f>
        <v>1000</v>
      </c>
      <c r="I1165" s="34">
        <f>Ventas[[#This Row],[Total]]-Ventas[[#This Row],[Precio compra]]*Ventas[[#This Row],[Cantidad]]</f>
        <v>490</v>
      </c>
      <c r="J1165" s="34"/>
      <c r="K1165" s="34">
        <f>Ventas[[#This Row],[Total]]*Ventas[[#This Row],[Total 3]]</f>
        <v>0</v>
      </c>
      <c r="L1165" s="34"/>
      <c r="M1165" s="34"/>
    </row>
    <row r="1166" spans="1:13" ht="21.75" customHeight="1">
      <c r="A1166" s="16"/>
      <c r="B1166" s="39" t="s">
        <v>594</v>
      </c>
      <c r="C1166" s="35" t="str">
        <f>VLOOKUP(Ventas[[#This Row],[Codigo]],Stock[#Data],2,FALSE)</f>
        <v>Cultivate Melaza 250ml</v>
      </c>
      <c r="D1166" s="37">
        <f>VLOOKUP(Ventas[[#This Row],[Codigo]],Stock[#Data],4,FALSE)</f>
        <v>1300</v>
      </c>
      <c r="E1166" s="33">
        <f>VLOOKUP(Ventas[[#This Row],[Codigo]],Stock[#Data],3,FALSE)</f>
        <v>650</v>
      </c>
      <c r="F1166" s="38">
        <v>1</v>
      </c>
      <c r="G1166">
        <v>543</v>
      </c>
      <c r="H1166" s="36">
        <f>Ventas[[#This Row],[Precio Venta]]*Ventas[[#This Row],[Cantidad]]-Ventas[[#This Row],[Descuento]]</f>
        <v>1300</v>
      </c>
      <c r="I1166" s="34">
        <f>Ventas[[#This Row],[Total]]-Ventas[[#This Row],[Precio compra]]*Ventas[[#This Row],[Cantidad]]</f>
        <v>650</v>
      </c>
      <c r="J1166" s="34"/>
      <c r="K1166" s="34">
        <f>Ventas[[#This Row],[Total]]*Ventas[[#This Row],[Total 3]]</f>
        <v>0</v>
      </c>
      <c r="L1166" s="34"/>
      <c r="M1166" s="34"/>
    </row>
    <row r="1167" spans="1:13" ht="21.75" customHeight="1">
      <c r="A1167" s="16"/>
      <c r="B1167" s="39" t="s">
        <v>592</v>
      </c>
      <c r="C1167" s="35" t="str">
        <f>VLOOKUP(Ventas[[#This Row],[Codigo]],Stock[#Data],2,FALSE)</f>
        <v xml:space="preserve">Aceite de Cannabis 30 ml </v>
      </c>
      <c r="D1167" s="37">
        <f>VLOOKUP(Ventas[[#This Row],[Codigo]],Stock[#Data],4,FALSE)</f>
        <v>7500</v>
      </c>
      <c r="E1167" s="33">
        <f>VLOOKUP(Ventas[[#This Row],[Codigo]],Stock[#Data],3,FALSE)</f>
        <v>5500</v>
      </c>
      <c r="F1167" s="38">
        <v>1</v>
      </c>
      <c r="G1167">
        <v>525</v>
      </c>
      <c r="H1167" s="36">
        <f>Ventas[[#This Row],[Precio Venta]]*Ventas[[#This Row],[Cantidad]]-Ventas[[#This Row],[Descuento]]</f>
        <v>7500</v>
      </c>
      <c r="I1167" s="34">
        <f>Ventas[[#This Row],[Total]]-Ventas[[#This Row],[Precio compra]]*Ventas[[#This Row],[Cantidad]]</f>
        <v>2000</v>
      </c>
      <c r="J1167" s="34"/>
      <c r="K1167" s="34">
        <f>Ventas[[#This Row],[Total]]*Ventas[[#This Row],[Total 3]]</f>
        <v>0</v>
      </c>
      <c r="L1167" s="34"/>
      <c r="M1167" s="34"/>
    </row>
    <row r="1168" spans="1:13" ht="21.75" customHeight="1">
      <c r="A1168" s="16"/>
      <c r="B1168" s="39" t="s">
        <v>592</v>
      </c>
      <c r="C1168" s="35" t="str">
        <f>VLOOKUP(Ventas[[#This Row],[Codigo]],Stock[#Data],2,FALSE)</f>
        <v>Masetas Sopladas 3 litros</v>
      </c>
      <c r="D1168" s="37">
        <f>VLOOKUP(Ventas[[#This Row],[Codigo]],Stock[#Data],4,FALSE)</f>
        <v>100</v>
      </c>
      <c r="E1168" s="33">
        <f>VLOOKUP(Ventas[[#This Row],[Codigo]],Stock[#Data],3,FALSE)</f>
        <v>38</v>
      </c>
      <c r="F1168" s="38">
        <v>1</v>
      </c>
      <c r="G1168">
        <v>246</v>
      </c>
      <c r="H1168" s="36">
        <f>Ventas[[#This Row],[Precio Venta]]*Ventas[[#This Row],[Cantidad]]-Ventas[[#This Row],[Descuento]]</f>
        <v>100</v>
      </c>
      <c r="I1168" s="34">
        <f>Ventas[[#This Row],[Total]]-Ventas[[#This Row],[Precio compra]]*Ventas[[#This Row],[Cantidad]]</f>
        <v>62</v>
      </c>
      <c r="J1168" s="34"/>
      <c r="K1168" s="34">
        <f>Ventas[[#This Row],[Total]]*Ventas[[#This Row],[Total 3]]</f>
        <v>0</v>
      </c>
      <c r="L1168" s="34"/>
      <c r="M1168" s="34"/>
    </row>
    <row r="1169" spans="1:13" ht="21.75" customHeight="1">
      <c r="A1169" s="16"/>
      <c r="B1169" s="39" t="s">
        <v>592</v>
      </c>
      <c r="C1169" s="35" t="str">
        <f>VLOOKUP(Ventas[[#This Row],[Codigo]],Stock[#Data],2,FALSE)</f>
        <v>Maquina para Armar Metalica STAMPS</v>
      </c>
      <c r="D1169" s="37">
        <f>VLOOKUP(Ventas[[#This Row],[Codigo]],Stock[#Data],4,FALSE)</f>
        <v>2300</v>
      </c>
      <c r="E1169" s="33">
        <f>VLOOKUP(Ventas[[#This Row],[Codigo]],Stock[#Data],3,FALSE)</f>
        <v>1145</v>
      </c>
      <c r="F1169" s="38">
        <v>1</v>
      </c>
      <c r="G1169">
        <v>413</v>
      </c>
      <c r="H1169" s="36">
        <f>Ventas[[#This Row],[Precio Venta]]*Ventas[[#This Row],[Cantidad]]-Ventas[[#This Row],[Descuento]]</f>
        <v>2300</v>
      </c>
      <c r="I1169" s="34">
        <f>Ventas[[#This Row],[Total]]-Ventas[[#This Row],[Precio compra]]*Ventas[[#This Row],[Cantidad]]</f>
        <v>1155</v>
      </c>
      <c r="J1169" s="34"/>
      <c r="K1169" s="34">
        <f>Ventas[[#This Row],[Total]]*Ventas[[#This Row],[Total 3]]</f>
        <v>0</v>
      </c>
      <c r="L1169" s="34"/>
      <c r="M1169" s="34"/>
    </row>
    <row r="1170" spans="1:13" ht="21.75" customHeight="1">
      <c r="A1170" s="16"/>
      <c r="B1170" s="39" t="s">
        <v>592</v>
      </c>
      <c r="C1170" s="35" t="str">
        <f>VLOOKUP(Ventas[[#This Row],[Codigo]],Stock[#Data],2,FALSE)</f>
        <v>Sedas Lion Rolling Circus 1/4 alfalfa</v>
      </c>
      <c r="D1170" s="37">
        <f>VLOOKUP(Ventas[[#This Row],[Codigo]],Stock[#Data],4,FALSE)</f>
        <v>300</v>
      </c>
      <c r="E1170" s="33">
        <f>VLOOKUP(Ventas[[#This Row],[Codigo]],Stock[#Data],3,FALSE)</f>
        <v>150</v>
      </c>
      <c r="F1170" s="38">
        <v>2</v>
      </c>
      <c r="G1170">
        <v>63</v>
      </c>
      <c r="H1170" s="36">
        <f>Ventas[[#This Row],[Precio Venta]]*Ventas[[#This Row],[Cantidad]]-Ventas[[#This Row],[Descuento]]</f>
        <v>600</v>
      </c>
      <c r="I1170" s="34">
        <f>Ventas[[#This Row],[Total]]-Ventas[[#This Row],[Precio compra]]*Ventas[[#This Row],[Cantidad]]</f>
        <v>300</v>
      </c>
      <c r="J1170" s="34"/>
      <c r="K1170" s="34">
        <f>Ventas[[#This Row],[Total]]*Ventas[[#This Row],[Total 3]]</f>
        <v>0</v>
      </c>
      <c r="L1170" s="34"/>
      <c r="M1170" s="34"/>
    </row>
    <row r="1171" spans="1:13" ht="21.75" customHeight="1">
      <c r="A1171" s="16"/>
      <c r="B1171" s="39" t="s">
        <v>592</v>
      </c>
      <c r="C1171" s="35" t="str">
        <f>VLOOKUP(Ventas[[#This Row],[Codigo]],Stock[#Data],2,FALSE)</f>
        <v xml:space="preserve">Van kiff Menta </v>
      </c>
      <c r="D1171" s="37">
        <f>VLOOKUP(Ventas[[#This Row],[Codigo]],Stock[#Data],4,FALSE)</f>
        <v>850</v>
      </c>
      <c r="E1171" s="33">
        <f>VLOOKUP(Ventas[[#This Row],[Codigo]],Stock[#Data],3,FALSE)</f>
        <v>580</v>
      </c>
      <c r="F1171" s="38">
        <v>1</v>
      </c>
      <c r="G1171">
        <v>400</v>
      </c>
      <c r="H1171" s="36">
        <f>Ventas[[#This Row],[Precio Venta]]*Ventas[[#This Row],[Cantidad]]-Ventas[[#This Row],[Descuento]]</f>
        <v>850</v>
      </c>
      <c r="I1171" s="34">
        <f>Ventas[[#This Row],[Total]]-Ventas[[#This Row],[Precio compra]]*Ventas[[#This Row],[Cantidad]]</f>
        <v>270</v>
      </c>
      <c r="J1171" s="34"/>
      <c r="K1171" s="34">
        <f>Ventas[[#This Row],[Total]]*Ventas[[#This Row],[Total 3]]</f>
        <v>0</v>
      </c>
      <c r="L1171" s="34"/>
      <c r="M1171" s="34"/>
    </row>
    <row r="1172" spans="1:13" ht="21.75" customHeight="1">
      <c r="A1172" s="16"/>
      <c r="B1172" s="39" t="s">
        <v>592</v>
      </c>
      <c r="C1172" s="35" t="str">
        <f>VLOOKUP(Ventas[[#This Row],[Codigo]],Stock[#Data],2,FALSE)</f>
        <v xml:space="preserve">Tabaco Van Kiff American Blend </v>
      </c>
      <c r="D1172" s="37">
        <f>VLOOKUP(Ventas[[#This Row],[Codigo]],Stock[#Data],4,FALSE)</f>
        <v>850</v>
      </c>
      <c r="E1172" s="33">
        <f>VLOOKUP(Ventas[[#This Row],[Codigo]],Stock[#Data],3,FALSE)</f>
        <v>580</v>
      </c>
      <c r="F1172" s="38">
        <v>1</v>
      </c>
      <c r="G1172">
        <v>348</v>
      </c>
      <c r="H1172" s="36">
        <f>Ventas[[#This Row],[Precio Venta]]*Ventas[[#This Row],[Cantidad]]-Ventas[[#This Row],[Descuento]]</f>
        <v>850</v>
      </c>
      <c r="I1172" s="34">
        <f>Ventas[[#This Row],[Total]]-Ventas[[#This Row],[Precio compra]]*Ventas[[#This Row],[Cantidad]]</f>
        <v>270</v>
      </c>
      <c r="J1172" s="34"/>
      <c r="K1172" s="34">
        <f>Ventas[[#This Row],[Total]]*Ventas[[#This Row],[Total 3]]</f>
        <v>0</v>
      </c>
      <c r="L1172" s="34"/>
      <c r="M1172" s="34"/>
    </row>
    <row r="1173" spans="1:13" ht="21.75" customHeight="1">
      <c r="A1173" s="16"/>
      <c r="B1173" s="39" t="s">
        <v>592</v>
      </c>
      <c r="C1173" s="35" t="str">
        <f>VLOOKUP(Ventas[[#This Row],[Codigo]],Stock[#Data],2,FALSE)</f>
        <v xml:space="preserve">Tijeras Plásticas </v>
      </c>
      <c r="D1173" s="37">
        <f>VLOOKUP(Ventas[[#This Row],[Codigo]],Stock[#Data],4,FALSE)</f>
        <v>500</v>
      </c>
      <c r="E1173" s="33">
        <f>VLOOKUP(Ventas[[#This Row],[Codigo]],Stock[#Data],3,FALSE)</f>
        <v>250</v>
      </c>
      <c r="F1173" s="38">
        <v>1</v>
      </c>
      <c r="G1173">
        <v>323</v>
      </c>
      <c r="H1173" s="36">
        <f>Ventas[[#This Row],[Precio Venta]]*Ventas[[#This Row],[Cantidad]]-Ventas[[#This Row],[Descuento]]</f>
        <v>500</v>
      </c>
      <c r="I1173" s="34">
        <f>Ventas[[#This Row],[Total]]-Ventas[[#This Row],[Precio compra]]*Ventas[[#This Row],[Cantidad]]</f>
        <v>250</v>
      </c>
      <c r="J1173" s="34"/>
      <c r="K1173" s="34">
        <f>Ventas[[#This Row],[Total]]*Ventas[[#This Row],[Total 3]]</f>
        <v>0</v>
      </c>
      <c r="L1173" s="34"/>
      <c r="M1173" s="34"/>
    </row>
    <row r="1174" spans="1:13" ht="21.75" customHeight="1">
      <c r="A1174" s="16"/>
      <c r="B1174" s="39" t="s">
        <v>592</v>
      </c>
      <c r="C1174" s="35" t="str">
        <f>VLOOKUP(Ventas[[#This Row],[Codigo]],Stock[#Data],2,FALSE)</f>
        <v>Cultivate Beauvaria Bassiana 100ml</v>
      </c>
      <c r="D1174" s="37">
        <f>VLOOKUP(Ventas[[#This Row],[Codigo]],Stock[#Data],4,FALSE)</f>
        <v>2500</v>
      </c>
      <c r="E1174" s="33">
        <f>VLOOKUP(Ventas[[#This Row],[Codigo]],Stock[#Data],3,FALSE)</f>
        <v>1250</v>
      </c>
      <c r="F1174" s="38">
        <v>1</v>
      </c>
      <c r="G1174">
        <v>545</v>
      </c>
      <c r="H1174" s="36">
        <f>Ventas[[#This Row],[Precio Venta]]*Ventas[[#This Row],[Cantidad]]-Ventas[[#This Row],[Descuento]]</f>
        <v>2500</v>
      </c>
      <c r="I1174" s="34">
        <f>Ventas[[#This Row],[Total]]-Ventas[[#This Row],[Precio compra]]*Ventas[[#This Row],[Cantidad]]</f>
        <v>1250</v>
      </c>
      <c r="J1174" s="34"/>
      <c r="K1174" s="34">
        <f>Ventas[[#This Row],[Total]]*Ventas[[#This Row],[Total 3]]</f>
        <v>0</v>
      </c>
      <c r="L1174" s="34"/>
      <c r="M1174" s="34"/>
    </row>
    <row r="1175" spans="1:13" ht="21.75" customHeight="1">
      <c r="A1175" s="16"/>
      <c r="B1175" s="39">
        <v>44952</v>
      </c>
      <c r="C1175" s="35" t="str">
        <f>VLOOKUP(Ventas[[#This Row],[Codigo]],Stock[#Data],2,FALSE)</f>
        <v>Filtros GIZEH biodegradable</v>
      </c>
      <c r="D1175" s="37">
        <f>VLOOKUP(Ventas[[#This Row],[Codigo]],Stock[#Data],4,FALSE)</f>
        <v>450</v>
      </c>
      <c r="E1175" s="33">
        <f>VLOOKUP(Ventas[[#This Row],[Codigo]],Stock[#Data],3,FALSE)</f>
        <v>280</v>
      </c>
      <c r="F1175" s="38">
        <v>1</v>
      </c>
      <c r="G1175">
        <v>107</v>
      </c>
      <c r="H1175" s="36">
        <f>Ventas[[#This Row],[Precio Venta]]*Ventas[[#This Row],[Cantidad]]-Ventas[[#This Row],[Descuento]]</f>
        <v>450</v>
      </c>
      <c r="I1175" s="34">
        <f>Ventas[[#This Row],[Total]]-Ventas[[#This Row],[Precio compra]]*Ventas[[#This Row],[Cantidad]]</f>
        <v>170</v>
      </c>
      <c r="J1175" s="34"/>
      <c r="K1175" s="34">
        <f>Ventas[[#This Row],[Total]]*Ventas[[#This Row],[Total 3]]</f>
        <v>0</v>
      </c>
      <c r="L1175" s="34"/>
      <c r="M1175" s="34"/>
    </row>
    <row r="1176" spans="1:13" ht="21.75" customHeight="1">
      <c r="A1176" s="16"/>
      <c r="B1176" s="39">
        <v>44952</v>
      </c>
      <c r="C1176" s="35" t="str">
        <f>VLOOKUP(Ventas[[#This Row],[Codigo]],Stock[#Data],2,FALSE)</f>
        <v>Tabaco Van Kiff Chocolate</v>
      </c>
      <c r="D1176" s="37">
        <f>VLOOKUP(Ventas[[#This Row],[Codigo]],Stock[#Data],4,FALSE)</f>
        <v>850</v>
      </c>
      <c r="E1176" s="33">
        <f>VLOOKUP(Ventas[[#This Row],[Codigo]],Stock[#Data],3,FALSE)</f>
        <v>580</v>
      </c>
      <c r="F1176" s="38">
        <v>1</v>
      </c>
      <c r="G1176">
        <v>119</v>
      </c>
      <c r="H1176" s="36">
        <f>Ventas[[#This Row],[Precio Venta]]*Ventas[[#This Row],[Cantidad]]-Ventas[[#This Row],[Descuento]]</f>
        <v>850</v>
      </c>
      <c r="I1176" s="34">
        <f>Ventas[[#This Row],[Total]]-Ventas[[#This Row],[Precio compra]]*Ventas[[#This Row],[Cantidad]]</f>
        <v>270</v>
      </c>
      <c r="J1176" s="34"/>
      <c r="K1176" s="34">
        <f>Ventas[[#This Row],[Total]]*Ventas[[#This Row],[Total 3]]</f>
        <v>0</v>
      </c>
      <c r="L1176" s="34"/>
      <c r="M1176" s="34"/>
    </row>
    <row r="1177" spans="1:13" ht="21.75" customHeight="1">
      <c r="A1177" s="16"/>
      <c r="B1177" s="39" t="s">
        <v>589</v>
      </c>
      <c r="C1177" s="35" t="str">
        <f>VLOOKUP(Ventas[[#This Row],[Codigo]],Stock[#Data],2,FALSE)</f>
        <v>Tabaco Van Kiff Natural</v>
      </c>
      <c r="D1177" s="37">
        <f>VLOOKUP(Ventas[[#This Row],[Codigo]],Stock[#Data],4,FALSE)</f>
        <v>850</v>
      </c>
      <c r="E1177" s="33">
        <f>VLOOKUP(Ventas[[#This Row],[Codigo]],Stock[#Data],3,FALSE)</f>
        <v>580</v>
      </c>
      <c r="F1177" s="38">
        <v>1</v>
      </c>
      <c r="G1177">
        <v>117</v>
      </c>
      <c r="H1177" s="36">
        <f>Ventas[[#This Row],[Precio Venta]]*Ventas[[#This Row],[Cantidad]]-Ventas[[#This Row],[Descuento]]</f>
        <v>850</v>
      </c>
      <c r="I1177" s="34">
        <f>Ventas[[#This Row],[Total]]-Ventas[[#This Row],[Precio compra]]*Ventas[[#This Row],[Cantidad]]</f>
        <v>270</v>
      </c>
      <c r="J1177" s="34"/>
      <c r="K1177" s="34">
        <f>Ventas[[#This Row],[Total]]*Ventas[[#This Row],[Total 3]]</f>
        <v>0</v>
      </c>
      <c r="L1177" s="34"/>
      <c r="M1177" s="34"/>
    </row>
    <row r="1178" spans="1:13" ht="21.75" customHeight="1">
      <c r="A1178" s="16"/>
      <c r="B1178" s="39" t="s">
        <v>589</v>
      </c>
      <c r="C1178" s="35" t="str">
        <f>VLOOKUP(Ventas[[#This Row],[Codigo]],Stock[#Data],2,FALSE)</f>
        <v>Sedas Blunt Rey 1/4 saborizadas Uva</v>
      </c>
      <c r="D1178" s="37">
        <f>VLOOKUP(Ventas[[#This Row],[Codigo]],Stock[#Data],4,FALSE)</f>
        <v>250</v>
      </c>
      <c r="E1178" s="33">
        <f>VLOOKUP(Ventas[[#This Row],[Codigo]],Stock[#Data],3,FALSE)</f>
        <v>126</v>
      </c>
      <c r="F1178" s="38">
        <v>1</v>
      </c>
      <c r="G1178">
        <v>74</v>
      </c>
      <c r="H1178" s="36">
        <f>Ventas[[#This Row],[Precio Venta]]*Ventas[[#This Row],[Cantidad]]-Ventas[[#This Row],[Descuento]]</f>
        <v>250</v>
      </c>
      <c r="I1178" s="34">
        <f>Ventas[[#This Row],[Total]]-Ventas[[#This Row],[Precio compra]]*Ventas[[#This Row],[Cantidad]]</f>
        <v>124</v>
      </c>
      <c r="J1178" s="34"/>
      <c r="K1178" s="34">
        <f>Ventas[[#This Row],[Total]]*Ventas[[#This Row],[Total 3]]</f>
        <v>0</v>
      </c>
      <c r="L1178" s="34"/>
      <c r="M1178" s="34"/>
    </row>
    <row r="1179" spans="1:13" ht="21.75" customHeight="1">
      <c r="A1179" s="16"/>
      <c r="B1179" s="39" t="s">
        <v>589</v>
      </c>
      <c r="C1179" s="35" t="str">
        <f>VLOOKUP(Ventas[[#This Row],[Codigo]],Stock[#Data],2,FALSE)</f>
        <v>Sedas RAW 1/4 +tips BROWN</v>
      </c>
      <c r="D1179" s="37">
        <f>VLOOKUP(Ventas[[#This Row],[Codigo]],Stock[#Data],4,FALSE)</f>
        <v>1150</v>
      </c>
      <c r="E1179" s="33">
        <f>VLOOKUP(Ventas[[#This Row],[Codigo]],Stock[#Data],3,FALSE)</f>
        <v>568</v>
      </c>
      <c r="F1179" s="38">
        <v>1</v>
      </c>
      <c r="G1179">
        <v>80</v>
      </c>
      <c r="H1179" s="36">
        <f>Ventas[[#This Row],[Precio Venta]]*Ventas[[#This Row],[Cantidad]]-Ventas[[#This Row],[Descuento]]</f>
        <v>1150</v>
      </c>
      <c r="I1179" s="34">
        <f>Ventas[[#This Row],[Total]]-Ventas[[#This Row],[Precio compra]]*Ventas[[#This Row],[Cantidad]]</f>
        <v>582</v>
      </c>
      <c r="J1179" s="34"/>
      <c r="K1179" s="34">
        <f>Ventas[[#This Row],[Total]]*Ventas[[#This Row],[Total 3]]</f>
        <v>0</v>
      </c>
      <c r="L1179" s="34"/>
      <c r="M1179" s="34"/>
    </row>
    <row r="1180" spans="1:13" ht="21.75" customHeight="1">
      <c r="A1180" s="16"/>
      <c r="B1180" s="39" t="s">
        <v>591</v>
      </c>
      <c r="C1180" s="35" t="str">
        <f>VLOOKUP(Ventas[[#This Row],[Codigo]],Stock[#Data],2,FALSE)</f>
        <v>Sedas Blunt Rey 1/4 celulosa Verde</v>
      </c>
      <c r="D1180" s="37">
        <f>VLOOKUP(Ventas[[#This Row],[Codigo]],Stock[#Data],4,FALSE)</f>
        <v>300</v>
      </c>
      <c r="E1180" s="33">
        <f>VLOOKUP(Ventas[[#This Row],[Codigo]],Stock[#Data],3,FALSE)</f>
        <v>135</v>
      </c>
      <c r="F1180" s="38">
        <v>1</v>
      </c>
      <c r="G1180">
        <v>72</v>
      </c>
      <c r="H1180" s="36">
        <f>Ventas[[#This Row],[Precio Venta]]*Ventas[[#This Row],[Cantidad]]-Ventas[[#This Row],[Descuento]]</f>
        <v>300</v>
      </c>
      <c r="I1180" s="34">
        <f>Ventas[[#This Row],[Total]]-Ventas[[#This Row],[Precio compra]]*Ventas[[#This Row],[Cantidad]]</f>
        <v>165</v>
      </c>
      <c r="J1180" s="34"/>
      <c r="K1180" s="34">
        <f>Ventas[[#This Row],[Total]]*Ventas[[#This Row],[Total 3]]</f>
        <v>0</v>
      </c>
      <c r="L1180" s="34"/>
      <c r="M1180" s="34"/>
    </row>
    <row r="1181" spans="1:13" ht="21.75" customHeight="1">
      <c r="A1181" s="16"/>
      <c r="B1181" s="39" t="s">
        <v>589</v>
      </c>
      <c r="C1181" s="35" t="str">
        <f>VLOOKUP(Ventas[[#This Row],[Codigo]],Stock[#Data],2,FALSE)</f>
        <v>Crop Secret Floral session 500ml</v>
      </c>
      <c r="D1181" s="37">
        <f>VLOOKUP(Ventas[[#This Row],[Codigo]],Stock[#Data],4,FALSE)</f>
        <v>2700</v>
      </c>
      <c r="E1181" s="33">
        <f>VLOOKUP(Ventas[[#This Row],[Codigo]],Stock[#Data],3,FALSE)</f>
        <v>1350</v>
      </c>
      <c r="F1181" s="38">
        <v>1</v>
      </c>
      <c r="G1181">
        <v>364</v>
      </c>
      <c r="H1181" s="36">
        <f>Ventas[[#This Row],[Precio Venta]]*Ventas[[#This Row],[Cantidad]]-Ventas[[#This Row],[Descuento]]</f>
        <v>2700</v>
      </c>
      <c r="I1181" s="34">
        <f>Ventas[[#This Row],[Total]]-Ventas[[#This Row],[Precio compra]]*Ventas[[#This Row],[Cantidad]]</f>
        <v>1350</v>
      </c>
      <c r="J1181" s="34"/>
      <c r="K1181" s="34">
        <f>Ventas[[#This Row],[Total]]*Ventas[[#This Row],[Total 3]]</f>
        <v>0</v>
      </c>
      <c r="L1181" s="34"/>
      <c r="M1181" s="34"/>
    </row>
    <row r="1182" spans="1:13" ht="21.75" customHeight="1">
      <c r="A1182" s="16"/>
      <c r="B1182" s="39" t="s">
        <v>589</v>
      </c>
      <c r="C1182" s="35" t="str">
        <f>VLOOKUP(Ventas[[#This Row],[Codigo]],Stock[#Data],2,FALSE)</f>
        <v>Tabaco Van Kiff Chocolate</v>
      </c>
      <c r="D1182" s="37">
        <f>VLOOKUP(Ventas[[#This Row],[Codigo]],Stock[#Data],4,FALSE)</f>
        <v>850</v>
      </c>
      <c r="E1182" s="33">
        <f>VLOOKUP(Ventas[[#This Row],[Codigo]],Stock[#Data],3,FALSE)</f>
        <v>580</v>
      </c>
      <c r="F1182" s="38">
        <v>1</v>
      </c>
      <c r="G1182">
        <v>119</v>
      </c>
      <c r="H1182" s="36">
        <f>Ventas[[#This Row],[Precio Venta]]*Ventas[[#This Row],[Cantidad]]-Ventas[[#This Row],[Descuento]]</f>
        <v>850</v>
      </c>
      <c r="I1182" s="34">
        <f>Ventas[[#This Row],[Total]]-Ventas[[#This Row],[Precio compra]]*Ventas[[#This Row],[Cantidad]]</f>
        <v>270</v>
      </c>
      <c r="J1182" s="34"/>
      <c r="K1182" s="34">
        <f>Ventas[[#This Row],[Total]]*Ventas[[#This Row],[Total 3]]</f>
        <v>0</v>
      </c>
      <c r="L1182" s="34"/>
      <c r="M1182" s="34"/>
    </row>
    <row r="1183" spans="1:13" ht="21.75" customHeight="1">
      <c r="A1183" s="16"/>
      <c r="B1183" s="39" t="s">
        <v>589</v>
      </c>
      <c r="C1183" s="35" t="str">
        <f>VLOOKUP(Ventas[[#This Row],[Codigo]],Stock[#Data],2,FALSE)</f>
        <v>Tips Rok Organic</v>
      </c>
      <c r="D1183" s="37">
        <f>VLOOKUP(Ventas[[#This Row],[Codigo]],Stock[#Data],4,FALSE)</f>
        <v>100</v>
      </c>
      <c r="E1183" s="33">
        <f>VLOOKUP(Ventas[[#This Row],[Codigo]],Stock[#Data],3,FALSE)</f>
        <v>50</v>
      </c>
      <c r="F1183" s="38">
        <v>1</v>
      </c>
      <c r="G1183">
        <v>96</v>
      </c>
      <c r="H1183" s="36">
        <f>Ventas[[#This Row],[Precio Venta]]*Ventas[[#This Row],[Cantidad]]-Ventas[[#This Row],[Descuento]]</f>
        <v>100</v>
      </c>
      <c r="I1183" s="34">
        <f>Ventas[[#This Row],[Total]]-Ventas[[#This Row],[Precio compra]]*Ventas[[#This Row],[Cantidad]]</f>
        <v>50</v>
      </c>
      <c r="J1183" s="34"/>
      <c r="K1183" s="34">
        <f>Ventas[[#This Row],[Total]]*Ventas[[#This Row],[Total 3]]</f>
        <v>0</v>
      </c>
      <c r="L1183" s="34"/>
      <c r="M1183" s="34"/>
    </row>
    <row r="1184" spans="1:13" ht="21.75" customHeight="1">
      <c r="A1184" s="16"/>
      <c r="B1184" s="39" t="s">
        <v>589</v>
      </c>
      <c r="C1184" s="35" t="str">
        <f>VLOOKUP(Ventas[[#This Row],[Codigo]],Stock[#Data],2,FALSE)</f>
        <v xml:space="preserve">Clipper Raw </v>
      </c>
      <c r="D1184" s="37">
        <f>VLOOKUP(Ventas[[#This Row],[Codigo]],Stock[#Data],4,FALSE)</f>
        <v>550</v>
      </c>
      <c r="E1184" s="33">
        <f>VLOOKUP(Ventas[[#This Row],[Codigo]],Stock[#Data],3,FALSE)</f>
        <v>276</v>
      </c>
      <c r="F1184" s="38">
        <v>1</v>
      </c>
      <c r="G1184">
        <v>502</v>
      </c>
      <c r="H1184" s="36">
        <f>Ventas[[#This Row],[Precio Venta]]*Ventas[[#This Row],[Cantidad]]-Ventas[[#This Row],[Descuento]]</f>
        <v>550</v>
      </c>
      <c r="I1184" s="34">
        <f>Ventas[[#This Row],[Total]]-Ventas[[#This Row],[Precio compra]]*Ventas[[#This Row],[Cantidad]]</f>
        <v>274</v>
      </c>
      <c r="J1184" s="34"/>
      <c r="K1184" s="34">
        <f>Ventas[[#This Row],[Total]]*Ventas[[#This Row],[Total 3]]</f>
        <v>0</v>
      </c>
      <c r="L1184" s="34"/>
      <c r="M1184" s="34"/>
    </row>
    <row r="1185" spans="1:13" ht="21.75" customHeight="1">
      <c r="A1185" s="16"/>
      <c r="B1185" s="39" t="s">
        <v>589</v>
      </c>
      <c r="C1185" s="35" t="str">
        <f>VLOOKUP(Ventas[[#This Row],[Codigo]],Stock[#Data],2,FALSE)</f>
        <v>Bong D&amp;K Vidrio Chico Pico Curvo</v>
      </c>
      <c r="D1185" s="37">
        <f>VLOOKUP(Ventas[[#This Row],[Codigo]],Stock[#Data],4,FALSE)</f>
        <v>5000</v>
      </c>
      <c r="E1185" s="33">
        <f>VLOOKUP(Ventas[[#This Row],[Codigo]],Stock[#Data],3,FALSE)</f>
        <v>2491</v>
      </c>
      <c r="F1185" s="38">
        <v>1</v>
      </c>
      <c r="G1185">
        <v>562</v>
      </c>
      <c r="H1185" s="36">
        <f>Ventas[[#This Row],[Precio Venta]]*Ventas[[#This Row],[Cantidad]]-Ventas[[#This Row],[Descuento]]</f>
        <v>5000</v>
      </c>
      <c r="I1185" s="34">
        <f>Ventas[[#This Row],[Total]]-Ventas[[#This Row],[Precio compra]]*Ventas[[#This Row],[Cantidad]]</f>
        <v>2509</v>
      </c>
      <c r="J1185" s="34"/>
      <c r="K1185" s="34">
        <f>Ventas[[#This Row],[Total]]*Ventas[[#This Row],[Total 3]]</f>
        <v>0</v>
      </c>
      <c r="L1185" s="34"/>
      <c r="M1185" s="34"/>
    </row>
    <row r="1186" spans="1:13" ht="21.75" customHeight="1">
      <c r="A1186" s="16"/>
      <c r="B1186" s="39" t="s">
        <v>589</v>
      </c>
      <c r="C1186" s="35" t="str">
        <f>VLOOKUP(Ventas[[#This Row],[Codigo]],Stock[#Data],2,FALSE)</f>
        <v>Cigarrera Stamps Metal</v>
      </c>
      <c r="D1186" s="37">
        <f>VLOOKUP(Ventas[[#This Row],[Codigo]],Stock[#Data],4,FALSE)</f>
        <v>2100</v>
      </c>
      <c r="E1186" s="33">
        <f>VLOOKUP(Ventas[[#This Row],[Codigo]],Stock[#Data],3,FALSE)</f>
        <v>1050</v>
      </c>
      <c r="F1186" s="38">
        <v>1</v>
      </c>
      <c r="G1186">
        <v>568</v>
      </c>
      <c r="H1186" s="36">
        <f>Ventas[[#This Row],[Precio Venta]]*Ventas[[#This Row],[Cantidad]]-Ventas[[#This Row],[Descuento]]</f>
        <v>2100</v>
      </c>
      <c r="I1186" s="34">
        <f>Ventas[[#This Row],[Total]]-Ventas[[#This Row],[Precio compra]]*Ventas[[#This Row],[Cantidad]]</f>
        <v>1050</v>
      </c>
      <c r="J1186" s="34"/>
      <c r="K1186" s="34">
        <f>Ventas[[#This Row],[Total]]*Ventas[[#This Row],[Total 3]]</f>
        <v>0</v>
      </c>
      <c r="L1186" s="34"/>
      <c r="M1186" s="34"/>
    </row>
    <row r="1187" spans="1:13" ht="21.75" customHeight="1">
      <c r="A1187" s="16"/>
      <c r="B1187" s="39" t="s">
        <v>587</v>
      </c>
      <c r="C1187" s="35" t="str">
        <f>VLOOKUP(Ventas[[#This Row],[Codigo]],Stock[#Data],2,FALSE)</f>
        <v>Cenicero Vidrio Chala</v>
      </c>
      <c r="D1187" s="37">
        <f>VLOOKUP(Ventas[[#This Row],[Codigo]],Stock[#Data],4,FALSE)</f>
        <v>1300</v>
      </c>
      <c r="E1187" s="33">
        <f>VLOOKUP(Ventas[[#This Row],[Codigo]],Stock[#Data],3,FALSE)</f>
        <v>692</v>
      </c>
      <c r="F1187" s="38">
        <v>1</v>
      </c>
      <c r="G1187">
        <v>143</v>
      </c>
      <c r="H1187" s="36">
        <f>Ventas[[#This Row],[Precio Venta]]*Ventas[[#This Row],[Cantidad]]-Ventas[[#This Row],[Descuento]]</f>
        <v>1300</v>
      </c>
      <c r="I1187" s="34">
        <f>Ventas[[#This Row],[Total]]-Ventas[[#This Row],[Precio compra]]*Ventas[[#This Row],[Cantidad]]</f>
        <v>608</v>
      </c>
      <c r="J1187" s="34"/>
      <c r="K1187" s="34">
        <f>Ventas[[#This Row],[Total]]*Ventas[[#This Row],[Total 3]]</f>
        <v>0</v>
      </c>
      <c r="L1187" s="34"/>
      <c r="M1187" s="34"/>
    </row>
    <row r="1188" spans="1:13" ht="21.75" customHeight="1">
      <c r="A1188" s="16"/>
      <c r="B1188" s="39" t="s">
        <v>587</v>
      </c>
      <c r="C1188" s="35" t="str">
        <f>VLOOKUP(Ventas[[#This Row],[Codigo]],Stock[#Data],2,FALSE)</f>
        <v xml:space="preserve">Tabaquera GB </v>
      </c>
      <c r="D1188" s="37">
        <f>VLOOKUP(Ventas[[#This Row],[Codigo]],Stock[#Data],4,FALSE)</f>
        <v>1000</v>
      </c>
      <c r="E1188" s="33">
        <f>VLOOKUP(Ventas[[#This Row],[Codigo]],Stock[#Data],3,FALSE)</f>
        <v>500</v>
      </c>
      <c r="F1188" s="38">
        <v>1</v>
      </c>
      <c r="G1188">
        <v>411</v>
      </c>
      <c r="H1188" s="36">
        <f>Ventas[[#This Row],[Precio Venta]]*Ventas[[#This Row],[Cantidad]]-Ventas[[#This Row],[Descuento]]</f>
        <v>1000</v>
      </c>
      <c r="I1188" s="34">
        <f>Ventas[[#This Row],[Total]]-Ventas[[#This Row],[Precio compra]]*Ventas[[#This Row],[Cantidad]]</f>
        <v>500</v>
      </c>
      <c r="J1188" s="34"/>
      <c r="K1188" s="34">
        <f>Ventas[[#This Row],[Total]]*Ventas[[#This Row],[Total 3]]</f>
        <v>0</v>
      </c>
      <c r="L1188" s="34"/>
      <c r="M1188" s="34"/>
    </row>
    <row r="1189" spans="1:13" ht="21.75" customHeight="1">
      <c r="A1189" s="16"/>
      <c r="B1189" s="39" t="s">
        <v>587</v>
      </c>
      <c r="C1189" s="35" t="str">
        <f>VLOOKUP(Ventas[[#This Row],[Codigo]],Stock[#Data],2,FALSE)</f>
        <v>Sedas Blunt Rey 1/4 saborizadas Uva</v>
      </c>
      <c r="D1189" s="37">
        <f>VLOOKUP(Ventas[[#This Row],[Codigo]],Stock[#Data],4,FALSE)</f>
        <v>250</v>
      </c>
      <c r="E1189" s="33">
        <f>VLOOKUP(Ventas[[#This Row],[Codigo]],Stock[#Data],3,FALSE)</f>
        <v>126</v>
      </c>
      <c r="F1189" s="38">
        <v>1</v>
      </c>
      <c r="G1189">
        <v>74</v>
      </c>
      <c r="H1189" s="36">
        <f>Ventas[[#This Row],[Precio Venta]]*Ventas[[#This Row],[Cantidad]]-Ventas[[#This Row],[Descuento]]</f>
        <v>250</v>
      </c>
      <c r="I1189" s="34">
        <f>Ventas[[#This Row],[Total]]-Ventas[[#This Row],[Precio compra]]*Ventas[[#This Row],[Cantidad]]</f>
        <v>124</v>
      </c>
      <c r="J1189" s="34"/>
      <c r="K1189" s="34">
        <f>Ventas[[#This Row],[Total]]*Ventas[[#This Row],[Total 3]]</f>
        <v>0</v>
      </c>
      <c r="L1189" s="34"/>
      <c r="M1189" s="34"/>
    </row>
    <row r="1190" spans="1:13" ht="21.75" customHeight="1">
      <c r="A1190" s="16"/>
      <c r="B1190" s="39" t="s">
        <v>586</v>
      </c>
      <c r="C1190" s="35" t="str">
        <f>VLOOKUP(Ventas[[#This Row],[Codigo]],Stock[#Data],2,FALSE)</f>
        <v>Sedas OCB 1/4 Organic  Bamboo</v>
      </c>
      <c r="D1190" s="37">
        <f>VLOOKUP(Ventas[[#This Row],[Codigo]],Stock[#Data],4,FALSE)</f>
        <v>300</v>
      </c>
      <c r="E1190" s="33">
        <f>VLOOKUP(Ventas[[#This Row],[Codigo]],Stock[#Data],3,FALSE)</f>
        <v>165</v>
      </c>
      <c r="F1190" s="38">
        <v>1</v>
      </c>
      <c r="G1190">
        <v>77</v>
      </c>
      <c r="H1190" s="36">
        <f>Ventas[[#This Row],[Precio Venta]]*Ventas[[#This Row],[Cantidad]]-Ventas[[#This Row],[Descuento]]</f>
        <v>300</v>
      </c>
      <c r="I1190" s="34">
        <f>Ventas[[#This Row],[Total]]-Ventas[[#This Row],[Precio compra]]*Ventas[[#This Row],[Cantidad]]</f>
        <v>135</v>
      </c>
      <c r="J1190" s="34"/>
      <c r="K1190" s="34">
        <f>Ventas[[#This Row],[Total]]*Ventas[[#This Row],[Total 3]]</f>
        <v>0</v>
      </c>
      <c r="L1190" s="34"/>
      <c r="M1190" s="34"/>
    </row>
    <row r="1191" spans="1:13" ht="21.75" customHeight="1">
      <c r="A1191" s="16"/>
      <c r="B1191" s="39" t="s">
        <v>586</v>
      </c>
      <c r="C1191" s="35" t="str">
        <f>VLOOKUP(Ventas[[#This Row],[Codigo]],Stock[#Data],2,FALSE)</f>
        <v xml:space="preserve">Clipper Raw </v>
      </c>
      <c r="D1191" s="37">
        <f>VLOOKUP(Ventas[[#This Row],[Codigo]],Stock[#Data],4,FALSE)</f>
        <v>550</v>
      </c>
      <c r="E1191" s="33">
        <f>VLOOKUP(Ventas[[#This Row],[Codigo]],Stock[#Data],3,FALSE)</f>
        <v>276</v>
      </c>
      <c r="F1191" s="38">
        <v>1</v>
      </c>
      <c r="G1191">
        <v>502</v>
      </c>
      <c r="H1191" s="36">
        <f>Ventas[[#This Row],[Precio Venta]]*Ventas[[#This Row],[Cantidad]]-Ventas[[#This Row],[Descuento]]</f>
        <v>550</v>
      </c>
      <c r="I1191" s="34">
        <f>Ventas[[#This Row],[Total]]-Ventas[[#This Row],[Precio compra]]*Ventas[[#This Row],[Cantidad]]</f>
        <v>274</v>
      </c>
      <c r="J1191" s="34"/>
      <c r="K1191" s="34">
        <f>Ventas[[#This Row],[Total]]*Ventas[[#This Row],[Total 3]]</f>
        <v>0</v>
      </c>
      <c r="L1191" s="34"/>
      <c r="M1191" s="34"/>
    </row>
    <row r="1192" spans="1:13" ht="21.75" customHeight="1">
      <c r="A1192" s="16"/>
      <c r="B1192" s="39">
        <v>44950</v>
      </c>
      <c r="C1192" s="35" t="str">
        <f>VLOOKUP(Ventas[[#This Row],[Codigo]],Stock[#Data],2,FALSE)</f>
        <v>TreeMIX PRO 200ml</v>
      </c>
      <c r="D1192" s="37">
        <f>VLOOKUP(Ventas[[#This Row],[Codigo]],Stock[#Data],4,FALSE)</f>
        <v>1500</v>
      </c>
      <c r="E1192" s="33">
        <f>VLOOKUP(Ventas[[#This Row],[Codigo]],Stock[#Data],3,FALSE)</f>
        <v>700</v>
      </c>
      <c r="F1192" s="38">
        <v>1</v>
      </c>
      <c r="G1192">
        <v>30</v>
      </c>
      <c r="H1192" s="36">
        <f>Ventas[[#This Row],[Precio Venta]]*Ventas[[#This Row],[Cantidad]]-Ventas[[#This Row],[Descuento]]</f>
        <v>1500</v>
      </c>
      <c r="I1192" s="34">
        <f>Ventas[[#This Row],[Total]]-Ventas[[#This Row],[Precio compra]]*Ventas[[#This Row],[Cantidad]]</f>
        <v>800</v>
      </c>
      <c r="J1192" s="34"/>
      <c r="K1192" s="34">
        <f>Ventas[[#This Row],[Total]]*Ventas[[#This Row],[Total 3]]</f>
        <v>0</v>
      </c>
      <c r="L1192" s="34"/>
      <c r="M1192" s="34"/>
    </row>
    <row r="1193" spans="1:13" ht="21.75" customHeight="1">
      <c r="A1193" s="16"/>
      <c r="B1193" s="39" t="s">
        <v>586</v>
      </c>
      <c r="C1193" s="35" t="str">
        <f>VLOOKUP(Ventas[[#This Row],[Codigo]],Stock[#Data],2,FALSE)</f>
        <v>TreeMIX A 200ml</v>
      </c>
      <c r="D1193" s="37">
        <f>VLOOKUP(Ventas[[#This Row],[Codigo]],Stock[#Data],4,FALSE)</f>
        <v>1400</v>
      </c>
      <c r="E1193" s="33">
        <f>VLOOKUP(Ventas[[#This Row],[Codigo]],Stock[#Data],3,FALSE)</f>
        <v>700</v>
      </c>
      <c r="F1193" s="38">
        <v>1</v>
      </c>
      <c r="G1193">
        <v>31</v>
      </c>
      <c r="H1193" s="36">
        <f>Ventas[[#This Row],[Precio Venta]]*Ventas[[#This Row],[Cantidad]]-Ventas[[#This Row],[Descuento]]</f>
        <v>1400</v>
      </c>
      <c r="I1193" s="34">
        <f>Ventas[[#This Row],[Total]]-Ventas[[#This Row],[Precio compra]]*Ventas[[#This Row],[Cantidad]]</f>
        <v>700</v>
      </c>
      <c r="J1193" s="34"/>
      <c r="K1193" s="34">
        <f>Ventas[[#This Row],[Total]]*Ventas[[#This Row],[Total 3]]</f>
        <v>0</v>
      </c>
      <c r="L1193" s="34"/>
      <c r="M1193" s="34"/>
    </row>
    <row r="1194" spans="1:13" ht="21.75" customHeight="1">
      <c r="A1194" s="16"/>
      <c r="B1194" s="39" t="s">
        <v>586</v>
      </c>
      <c r="C1194" s="35" t="str">
        <f>VLOOKUP(Ventas[[#This Row],[Codigo]],Stock[#Data],2,FALSE)</f>
        <v>TreeMIX F 200ml</v>
      </c>
      <c r="D1194" s="37">
        <f>VLOOKUP(Ventas[[#This Row],[Codigo]],Stock[#Data],4,FALSE)</f>
        <v>1400</v>
      </c>
      <c r="E1194" s="33">
        <f>VLOOKUP(Ventas[[#This Row],[Codigo]],Stock[#Data],3,FALSE)</f>
        <v>715</v>
      </c>
      <c r="F1194" s="38">
        <v>1</v>
      </c>
      <c r="G1194">
        <v>32</v>
      </c>
      <c r="H1194" s="36">
        <f>Ventas[[#This Row],[Precio Venta]]*Ventas[[#This Row],[Cantidad]]-Ventas[[#This Row],[Descuento]]</f>
        <v>1400</v>
      </c>
      <c r="I1194" s="34">
        <f>Ventas[[#This Row],[Total]]-Ventas[[#This Row],[Precio compra]]*Ventas[[#This Row],[Cantidad]]</f>
        <v>685</v>
      </c>
      <c r="J1194" s="34"/>
      <c r="K1194" s="34">
        <f>Ventas[[#This Row],[Total]]*Ventas[[#This Row],[Total 3]]</f>
        <v>0</v>
      </c>
      <c r="L1194" s="34"/>
      <c r="M1194" s="34"/>
    </row>
    <row r="1195" spans="1:13" ht="21.75" customHeight="1">
      <c r="A1195" s="16"/>
      <c r="B1195" s="39">
        <v>44950</v>
      </c>
      <c r="C1195" s="35" t="str">
        <f>VLOOKUP(Ventas[[#This Row],[Codigo]],Stock[#Data],2,FALSE)</f>
        <v>TreeMIX N 200ml</v>
      </c>
      <c r="D1195" s="37">
        <f>VLOOKUP(Ventas[[#This Row],[Codigo]],Stock[#Data],4,FALSE)</f>
        <v>1400</v>
      </c>
      <c r="E1195" s="33">
        <f>VLOOKUP(Ventas[[#This Row],[Codigo]],Stock[#Data],3,FALSE)</f>
        <v>650</v>
      </c>
      <c r="F1195" s="38">
        <v>1</v>
      </c>
      <c r="G1195">
        <v>33</v>
      </c>
      <c r="H1195" s="36">
        <f>Ventas[[#This Row],[Precio Venta]]*Ventas[[#This Row],[Cantidad]]-Ventas[[#This Row],[Descuento]]</f>
        <v>1400</v>
      </c>
      <c r="I1195" s="34">
        <f>Ventas[[#This Row],[Total]]-Ventas[[#This Row],[Precio compra]]*Ventas[[#This Row],[Cantidad]]</f>
        <v>750</v>
      </c>
      <c r="J1195" s="34"/>
      <c r="K1195" s="34">
        <f>Ventas[[#This Row],[Total]]*Ventas[[#This Row],[Total 3]]</f>
        <v>0</v>
      </c>
      <c r="L1195" s="34"/>
      <c r="M1195" s="34"/>
    </row>
    <row r="1196" spans="1:13" ht="21.75" customHeight="1">
      <c r="A1196" s="16"/>
      <c r="B1196" s="39">
        <v>44950</v>
      </c>
      <c r="C1196" s="35" t="str">
        <f>VLOOKUP(Ventas[[#This Row],[Codigo]],Stock[#Data],2,FALSE)</f>
        <v>TreeMIX ZYM 200ml</v>
      </c>
      <c r="D1196" s="37">
        <f>VLOOKUP(Ventas[[#This Row],[Codigo]],Stock[#Data],4,FALSE)</f>
        <v>4000</v>
      </c>
      <c r="E1196" s="33">
        <f>VLOOKUP(Ventas[[#This Row],[Codigo]],Stock[#Data],3,FALSE)</f>
        <v>2020</v>
      </c>
      <c r="F1196" s="38">
        <v>1</v>
      </c>
      <c r="G1196">
        <v>34</v>
      </c>
      <c r="H1196" s="36">
        <f>Ventas[[#This Row],[Precio Venta]]*Ventas[[#This Row],[Cantidad]]-Ventas[[#This Row],[Descuento]]</f>
        <v>4000</v>
      </c>
      <c r="I1196" s="34">
        <f>Ventas[[#This Row],[Total]]-Ventas[[#This Row],[Precio compra]]*Ventas[[#This Row],[Cantidad]]</f>
        <v>1980</v>
      </c>
      <c r="J1196" s="34"/>
      <c r="K1196" s="34">
        <f>Ventas[[#This Row],[Total]]*Ventas[[#This Row],[Total 3]]</f>
        <v>0</v>
      </c>
      <c r="L1196" s="34"/>
      <c r="M1196" s="34"/>
    </row>
    <row r="1197" spans="1:13" ht="21.75" customHeight="1">
      <c r="A1197" s="16"/>
      <c r="B1197" s="39" t="s">
        <v>586</v>
      </c>
      <c r="C1197" s="35" t="str">
        <f>VLOOKUP(Ventas[[#This Row],[Codigo]],Stock[#Data],2,FALSE)</f>
        <v>TreeMIX KILL MIX 200ml</v>
      </c>
      <c r="D1197" s="37">
        <f>VLOOKUP(Ventas[[#This Row],[Codigo]],Stock[#Data],4,FALSE)</f>
        <v>1500</v>
      </c>
      <c r="E1197" s="33">
        <f>VLOOKUP(Ventas[[#This Row],[Codigo]],Stock[#Data],3,FALSE)</f>
        <v>715</v>
      </c>
      <c r="F1197" s="38">
        <v>1</v>
      </c>
      <c r="G1197">
        <v>35</v>
      </c>
      <c r="H1197" s="36">
        <f>Ventas[[#This Row],[Precio Venta]]*Ventas[[#This Row],[Cantidad]]-Ventas[[#This Row],[Descuento]]</f>
        <v>1500</v>
      </c>
      <c r="I1197" s="34">
        <f>Ventas[[#This Row],[Total]]-Ventas[[#This Row],[Precio compra]]*Ventas[[#This Row],[Cantidad]]</f>
        <v>785</v>
      </c>
      <c r="J1197" s="34"/>
      <c r="K1197" s="34">
        <f>Ventas[[#This Row],[Total]]*Ventas[[#This Row],[Total 3]]</f>
        <v>0</v>
      </c>
      <c r="L1197" s="34"/>
      <c r="M1197" s="34"/>
    </row>
    <row r="1198" spans="1:13" ht="21.75" customHeight="1">
      <c r="A1198" s="16"/>
      <c r="B1198" s="39" t="s">
        <v>586</v>
      </c>
      <c r="C1198" s="35" t="str">
        <f>VLOOKUP(Ventas[[#This Row],[Codigo]],Stock[#Data],2,FALSE)</f>
        <v>Tree Mix  Candy 200ml</v>
      </c>
      <c r="D1198" s="37">
        <f>VLOOKUP(Ventas[[#This Row],[Codigo]],Stock[#Data],4,FALSE)</f>
        <v>1000</v>
      </c>
      <c r="E1198" s="33">
        <f>VLOOKUP(Ventas[[#This Row],[Codigo]],Stock[#Data],3,FALSE)</f>
        <v>520</v>
      </c>
      <c r="F1198" s="38">
        <v>1</v>
      </c>
      <c r="G1198">
        <v>450</v>
      </c>
      <c r="H1198" s="36">
        <f>Ventas[[#This Row],[Precio Venta]]*Ventas[[#This Row],[Cantidad]]-Ventas[[#This Row],[Descuento]]</f>
        <v>1000</v>
      </c>
      <c r="I1198" s="34">
        <f>Ventas[[#This Row],[Total]]-Ventas[[#This Row],[Precio compra]]*Ventas[[#This Row],[Cantidad]]</f>
        <v>480</v>
      </c>
      <c r="J1198" s="34"/>
      <c r="K1198" s="34">
        <f>Ventas[[#This Row],[Total]]*Ventas[[#This Row],[Total 3]]</f>
        <v>0</v>
      </c>
      <c r="L1198" s="34"/>
      <c r="M1198" s="34"/>
    </row>
    <row r="1199" spans="1:13" ht="21.75" customHeight="1">
      <c r="A1199" s="16"/>
      <c r="B1199" s="39" t="s">
        <v>579</v>
      </c>
      <c r="C1199" s="35" t="str">
        <f>VLOOKUP(Ventas[[#This Row],[Codigo]],Stock[#Data],2,FALSE)</f>
        <v>Namaste Nutripack</v>
      </c>
      <c r="D1199" s="37">
        <f>VLOOKUP(Ventas[[#This Row],[Codigo]],Stock[#Data],4,FALSE)</f>
        <v>6000</v>
      </c>
      <c r="E1199" s="33">
        <f>VLOOKUP(Ventas[[#This Row],[Codigo]],Stock[#Data],3,FALSE)</f>
        <v>3376</v>
      </c>
      <c r="F1199" s="38">
        <v>1</v>
      </c>
      <c r="G1199">
        <v>346</v>
      </c>
      <c r="H1199" s="36">
        <f>Ventas[[#This Row],[Precio Venta]]*Ventas[[#This Row],[Cantidad]]-Ventas[[#This Row],[Descuento]]</f>
        <v>6000</v>
      </c>
      <c r="I1199" s="34">
        <f>Ventas[[#This Row],[Total]]-Ventas[[#This Row],[Precio compra]]*Ventas[[#This Row],[Cantidad]]</f>
        <v>2624</v>
      </c>
      <c r="J1199" s="34"/>
      <c r="K1199" s="34">
        <f>Ventas[[#This Row],[Total]]*Ventas[[#This Row],[Total 3]]</f>
        <v>0</v>
      </c>
      <c r="L1199" s="34"/>
      <c r="M1199" s="34"/>
    </row>
    <row r="1200" spans="1:13" ht="21.75" customHeight="1">
      <c r="A1200" s="16"/>
      <c r="B1200" s="39" t="s">
        <v>579</v>
      </c>
      <c r="C1200" s="35" t="str">
        <f>VLOOKUP(Ventas[[#This Row],[Codigo]],Stock[#Data],2,FALSE)</f>
        <v>Sedas Lion Rolling Circus 1/4 Saborizadas Coco</v>
      </c>
      <c r="D1200" s="37">
        <f>VLOOKUP(Ventas[[#This Row],[Codigo]],Stock[#Data],4,FALSE)</f>
        <v>350</v>
      </c>
      <c r="E1200" s="33">
        <f>VLOOKUP(Ventas[[#This Row],[Codigo]],Stock[#Data],3,FALSE)</f>
        <v>178</v>
      </c>
      <c r="F1200" s="38">
        <v>1</v>
      </c>
      <c r="G1200">
        <v>518</v>
      </c>
      <c r="H1200" s="36">
        <f>Ventas[[#This Row],[Precio Venta]]*Ventas[[#This Row],[Cantidad]]-Ventas[[#This Row],[Descuento]]</f>
        <v>350</v>
      </c>
      <c r="I1200" s="34">
        <f>Ventas[[#This Row],[Total]]-Ventas[[#This Row],[Precio compra]]*Ventas[[#This Row],[Cantidad]]</f>
        <v>172</v>
      </c>
      <c r="J1200" s="34"/>
      <c r="K1200" s="34">
        <f>Ventas[[#This Row],[Total]]*Ventas[[#This Row],[Total 3]]</f>
        <v>0</v>
      </c>
      <c r="L1200" s="34"/>
      <c r="M1200" s="34"/>
    </row>
    <row r="1201" spans="1:13" ht="21.75" customHeight="1">
      <c r="A1201" s="16"/>
      <c r="B1201" s="39" t="s">
        <v>579</v>
      </c>
      <c r="C1201" s="35" t="str">
        <f>VLOOKUP(Ventas[[#This Row],[Codigo]],Stock[#Data],2,FALSE)</f>
        <v xml:space="preserve">Picador  Atomic Acrilico 5p </v>
      </c>
      <c r="D1201" s="37">
        <f>VLOOKUP(Ventas[[#This Row],[Codigo]],Stock[#Data],4,FALSE)</f>
        <v>1500</v>
      </c>
      <c r="E1201" s="33">
        <f>VLOOKUP(Ventas[[#This Row],[Codigo]],Stock[#Data],3,FALSE)</f>
        <v>650</v>
      </c>
      <c r="F1201" s="38">
        <v>1</v>
      </c>
      <c r="G1201">
        <v>474</v>
      </c>
      <c r="H1201" s="36">
        <f>Ventas[[#This Row],[Precio Venta]]*Ventas[[#This Row],[Cantidad]]-Ventas[[#This Row],[Descuento]]</f>
        <v>1500</v>
      </c>
      <c r="I1201" s="34">
        <f>Ventas[[#This Row],[Total]]-Ventas[[#This Row],[Precio compra]]*Ventas[[#This Row],[Cantidad]]</f>
        <v>850</v>
      </c>
      <c r="J1201" s="34"/>
      <c r="K1201" s="34">
        <f>Ventas[[#This Row],[Total]]*Ventas[[#This Row],[Total 3]]</f>
        <v>0</v>
      </c>
      <c r="L1201" s="34"/>
      <c r="M1201" s="34"/>
    </row>
    <row r="1202" spans="1:13" ht="21.75" customHeight="1">
      <c r="A1202" s="16"/>
      <c r="B1202" s="39" t="s">
        <v>579</v>
      </c>
      <c r="C1202" s="35" t="str">
        <f>VLOOKUP(Ventas[[#This Row],[Codigo]],Stock[#Data],2,FALSE)</f>
        <v>Sedas Blunt Rey Kz celulosa Orange</v>
      </c>
      <c r="D1202" s="37">
        <f>VLOOKUP(Ventas[[#This Row],[Codigo]],Stock[#Data],4,FALSE)</f>
        <v>400</v>
      </c>
      <c r="E1202" s="33">
        <f>VLOOKUP(Ventas[[#This Row],[Codigo]],Stock[#Data],3,FALSE)</f>
        <v>167</v>
      </c>
      <c r="F1202" s="38">
        <v>2</v>
      </c>
      <c r="G1202">
        <v>68</v>
      </c>
      <c r="H1202" s="36">
        <f>Ventas[[#This Row],[Precio Venta]]*Ventas[[#This Row],[Cantidad]]-Ventas[[#This Row],[Descuento]]</f>
        <v>800</v>
      </c>
      <c r="I1202" s="34">
        <f>Ventas[[#This Row],[Total]]-Ventas[[#This Row],[Precio compra]]*Ventas[[#This Row],[Cantidad]]</f>
        <v>466</v>
      </c>
      <c r="J1202" s="34"/>
      <c r="K1202" s="34">
        <f>Ventas[[#This Row],[Total]]*Ventas[[#This Row],[Total 3]]</f>
        <v>0</v>
      </c>
      <c r="L1202" s="34"/>
      <c r="M1202" s="34"/>
    </row>
    <row r="1203" spans="1:13" ht="21.75" customHeight="1">
      <c r="A1203" s="16"/>
      <c r="B1203" s="39" t="s">
        <v>579</v>
      </c>
      <c r="C1203" s="35" t="str">
        <f>VLOOKUP(Ventas[[#This Row],[Codigo]],Stock[#Data],2,FALSE)</f>
        <v>Medidor de PH</v>
      </c>
      <c r="D1203" s="37">
        <f>VLOOKUP(Ventas[[#This Row],[Codigo]],Stock[#Data],4,FALSE)</f>
        <v>4000</v>
      </c>
      <c r="E1203" s="33">
        <f>VLOOKUP(Ventas[[#This Row],[Codigo]],Stock[#Data],3,FALSE)</f>
        <v>2000</v>
      </c>
      <c r="F1203" s="38">
        <v>1</v>
      </c>
      <c r="G1203">
        <v>185</v>
      </c>
      <c r="H1203" s="36">
        <f>Ventas[[#This Row],[Precio Venta]]*Ventas[[#This Row],[Cantidad]]-Ventas[[#This Row],[Descuento]]</f>
        <v>4000</v>
      </c>
      <c r="I1203" s="34">
        <f>Ventas[[#This Row],[Total]]-Ventas[[#This Row],[Precio compra]]*Ventas[[#This Row],[Cantidad]]</f>
        <v>2000</v>
      </c>
      <c r="J1203" s="34"/>
      <c r="K1203" s="34">
        <f>Ventas[[#This Row],[Total]]*Ventas[[#This Row],[Total 3]]</f>
        <v>0</v>
      </c>
      <c r="L1203" s="34"/>
      <c r="M1203" s="34"/>
    </row>
    <row r="1204" spans="1:13" ht="21.75" customHeight="1">
      <c r="A1204" s="16"/>
      <c r="B1204" s="39" t="s">
        <v>579</v>
      </c>
      <c r="C1204" s="35" t="str">
        <f>VLOOKUP(Ventas[[#This Row],[Codigo]],Stock[#Data],2,FALSE)</f>
        <v>VAMP Guano de murcielago Flora</v>
      </c>
      <c r="D1204" s="37">
        <f>VLOOKUP(Ventas[[#This Row],[Codigo]],Stock[#Data],4,FALSE)</f>
        <v>1000</v>
      </c>
      <c r="E1204" s="33">
        <f>VLOOKUP(Ventas[[#This Row],[Codigo]],Stock[#Data],3,FALSE)</f>
        <v>510</v>
      </c>
      <c r="F1204" s="38">
        <v>1</v>
      </c>
      <c r="G1204">
        <v>38</v>
      </c>
      <c r="H1204" s="36">
        <f>Ventas[[#This Row],[Precio Venta]]*Ventas[[#This Row],[Cantidad]]-Ventas[[#This Row],[Descuento]]</f>
        <v>1000</v>
      </c>
      <c r="I1204" s="34">
        <f>Ventas[[#This Row],[Total]]-Ventas[[#This Row],[Precio compra]]*Ventas[[#This Row],[Cantidad]]</f>
        <v>490</v>
      </c>
      <c r="J1204" s="34"/>
      <c r="K1204" s="34">
        <f>Ventas[[#This Row],[Total]]*Ventas[[#This Row],[Total 3]]</f>
        <v>0</v>
      </c>
      <c r="L1204" s="34"/>
      <c r="M1204" s="34"/>
    </row>
    <row r="1205" spans="1:13" ht="21.75" customHeight="1">
      <c r="A1205" s="16"/>
      <c r="B1205" s="39" t="s">
        <v>579</v>
      </c>
      <c r="C1205" s="35" t="str">
        <f>VLOOKUP(Ventas[[#This Row],[Codigo]],Stock[#Data],2,FALSE)</f>
        <v>VAMP Guano de murcielago Vegetativo</v>
      </c>
      <c r="D1205" s="37">
        <f>VLOOKUP(Ventas[[#This Row],[Codigo]],Stock[#Data],4,FALSE)</f>
        <v>1000</v>
      </c>
      <c r="E1205" s="33">
        <f>VLOOKUP(Ventas[[#This Row],[Codigo]],Stock[#Data],3,FALSE)</f>
        <v>510</v>
      </c>
      <c r="F1205" s="38">
        <v>1</v>
      </c>
      <c r="G1205">
        <v>37</v>
      </c>
      <c r="H1205" s="36">
        <f>Ventas[[#This Row],[Precio Venta]]*Ventas[[#This Row],[Cantidad]]-Ventas[[#This Row],[Descuento]]</f>
        <v>1000</v>
      </c>
      <c r="I1205" s="34">
        <f>Ventas[[#This Row],[Total]]-Ventas[[#This Row],[Precio compra]]*Ventas[[#This Row],[Cantidad]]</f>
        <v>490</v>
      </c>
      <c r="J1205" s="34"/>
      <c r="K1205" s="34">
        <f>Ventas[[#This Row],[Total]]*Ventas[[#This Row],[Total 3]]</f>
        <v>0</v>
      </c>
      <c r="L1205" s="34"/>
      <c r="M1205" s="34"/>
    </row>
    <row r="1206" spans="1:13" ht="21.75" customHeight="1">
      <c r="A1206" s="16"/>
      <c r="B1206" s="39" t="s">
        <v>579</v>
      </c>
      <c r="C1206" s="35" t="str">
        <f>VLOOKUP(Ventas[[#This Row],[Codigo]],Stock[#Data],2,FALSE)</f>
        <v>Melaza Respeta mi 4:20 250cc</v>
      </c>
      <c r="D1206" s="37">
        <f>VLOOKUP(Ventas[[#This Row],[Codigo]],Stock[#Data],4,FALSE)</f>
        <v>850</v>
      </c>
      <c r="E1206" s="33">
        <f>VLOOKUP(Ventas[[#This Row],[Codigo]],Stock[#Data],3,FALSE)</f>
        <v>437</v>
      </c>
      <c r="F1206" s="38">
        <v>1</v>
      </c>
      <c r="G1206">
        <v>10</v>
      </c>
      <c r="H1206" s="36">
        <f>Ventas[[#This Row],[Precio Venta]]*Ventas[[#This Row],[Cantidad]]-Ventas[[#This Row],[Descuento]]</f>
        <v>850</v>
      </c>
      <c r="I1206" s="34">
        <f>Ventas[[#This Row],[Total]]-Ventas[[#This Row],[Precio compra]]*Ventas[[#This Row],[Cantidad]]</f>
        <v>413</v>
      </c>
      <c r="J1206" s="34"/>
      <c r="K1206" s="34">
        <f>Ventas[[#This Row],[Total]]*Ventas[[#This Row],[Total 3]]</f>
        <v>0</v>
      </c>
      <c r="L1206" s="34"/>
      <c r="M1206" s="34"/>
    </row>
    <row r="1207" spans="1:13" ht="21.75" customHeight="1">
      <c r="A1207" s="16"/>
      <c r="B1207" s="39" t="s">
        <v>579</v>
      </c>
      <c r="C1207" s="35" t="str">
        <f>VLOOKUP(Ventas[[#This Row],[Codigo]],Stock[#Data],2,FALSE)</f>
        <v>Tips Lion silver</v>
      </c>
      <c r="D1207" s="37">
        <f>VLOOKUP(Ventas[[#This Row],[Codigo]],Stock[#Data],4,FALSE)</f>
        <v>250</v>
      </c>
      <c r="E1207" s="33">
        <f>VLOOKUP(Ventas[[#This Row],[Codigo]],Stock[#Data],3,FALSE)</f>
        <v>137</v>
      </c>
      <c r="F1207" s="38">
        <v>3</v>
      </c>
      <c r="G1207">
        <v>457</v>
      </c>
      <c r="H1207" s="36">
        <f>Ventas[[#This Row],[Precio Venta]]*Ventas[[#This Row],[Cantidad]]-Ventas[[#This Row],[Descuento]]</f>
        <v>750</v>
      </c>
      <c r="I1207" s="34">
        <f>Ventas[[#This Row],[Total]]-Ventas[[#This Row],[Precio compra]]*Ventas[[#This Row],[Cantidad]]</f>
        <v>339</v>
      </c>
      <c r="J1207" s="34"/>
      <c r="K1207" s="34">
        <f>Ventas[[#This Row],[Total]]*Ventas[[#This Row],[Total 3]]</f>
        <v>0</v>
      </c>
      <c r="L1207" s="34"/>
      <c r="M1207" s="34"/>
    </row>
    <row r="1208" spans="1:13" ht="21.75" customHeight="1">
      <c r="A1208" s="16"/>
      <c r="B1208" s="39" t="s">
        <v>579</v>
      </c>
      <c r="C1208" s="35" t="str">
        <f>VLOOKUP(Ventas[[#This Row],[Codigo]],Stock[#Data],2,FALSE)</f>
        <v>Sustrato Perlita</v>
      </c>
      <c r="D1208" s="37">
        <f>VLOOKUP(Ventas[[#This Row],[Codigo]],Stock[#Data],4,FALSE)</f>
        <v>800</v>
      </c>
      <c r="E1208" s="33">
        <f>VLOOKUP(Ventas[[#This Row],[Codigo]],Stock[#Data],3,FALSE)</f>
        <v>400</v>
      </c>
      <c r="F1208" s="38">
        <v>5</v>
      </c>
      <c r="G1208">
        <v>52</v>
      </c>
      <c r="H1208" s="36">
        <f>Ventas[[#This Row],[Precio Venta]]*Ventas[[#This Row],[Cantidad]]-Ventas[[#This Row],[Descuento]]</f>
        <v>4000</v>
      </c>
      <c r="I1208" s="34">
        <f>Ventas[[#This Row],[Total]]-Ventas[[#This Row],[Precio compra]]*Ventas[[#This Row],[Cantidad]]</f>
        <v>2000</v>
      </c>
      <c r="J1208" s="34"/>
      <c r="K1208" s="34">
        <f>Ventas[[#This Row],[Total]]*Ventas[[#This Row],[Total 3]]</f>
        <v>0</v>
      </c>
      <c r="L1208" s="34"/>
      <c r="M1208" s="34"/>
    </row>
    <row r="1209" spans="1:13" ht="21.75" customHeight="1">
      <c r="A1209" s="16"/>
      <c r="B1209" s="39" t="s">
        <v>575</v>
      </c>
      <c r="C1209" s="35" t="str">
        <f>VLOOKUP(Ventas[[#This Row],[Codigo]],Stock[#Data],2,FALSE)</f>
        <v>Red de Scrog 100x100</v>
      </c>
      <c r="D1209" s="37">
        <f>VLOOKUP(Ventas[[#This Row],[Codigo]],Stock[#Data],4,FALSE)</f>
        <v>1200</v>
      </c>
      <c r="E1209" s="33">
        <f>VLOOKUP(Ventas[[#This Row],[Codigo]],Stock[#Data],3,FALSE)</f>
        <v>576</v>
      </c>
      <c r="F1209" s="38">
        <v>1</v>
      </c>
      <c r="G1209">
        <v>195</v>
      </c>
      <c r="H1209" s="36">
        <f>Ventas[[#This Row],[Precio Venta]]*Ventas[[#This Row],[Cantidad]]-Ventas[[#This Row],[Descuento]]</f>
        <v>1200</v>
      </c>
      <c r="I1209" s="34">
        <f>Ventas[[#This Row],[Total]]-Ventas[[#This Row],[Precio compra]]*Ventas[[#This Row],[Cantidad]]</f>
        <v>624</v>
      </c>
      <c r="J1209" s="34"/>
      <c r="K1209" s="34">
        <f>Ventas[[#This Row],[Total]]*Ventas[[#This Row],[Total 3]]</f>
        <v>0</v>
      </c>
      <c r="L1209" s="34"/>
      <c r="M1209" s="34"/>
    </row>
    <row r="1210" spans="1:13" ht="21.75" customHeight="1">
      <c r="A1210" s="16"/>
      <c r="B1210" s="39" t="s">
        <v>575</v>
      </c>
      <c r="C1210" s="35" t="str">
        <f>VLOOKUP(Ventas[[#This Row],[Codigo]],Stock[#Data],2,FALSE)</f>
        <v>Red de Scrog 60x60</v>
      </c>
      <c r="D1210" s="37">
        <f>VLOOKUP(Ventas[[#This Row],[Codigo]],Stock[#Data],4,FALSE)</f>
        <v>1000</v>
      </c>
      <c r="E1210" s="33">
        <f>VLOOKUP(Ventas[[#This Row],[Codigo]],Stock[#Data],3,FALSE)</f>
        <v>522</v>
      </c>
      <c r="F1210" s="38">
        <v>1</v>
      </c>
      <c r="G1210">
        <v>193</v>
      </c>
      <c r="H1210" s="36">
        <f>Ventas[[#This Row],[Precio Venta]]*Ventas[[#This Row],[Cantidad]]-Ventas[[#This Row],[Descuento]]</f>
        <v>1000</v>
      </c>
      <c r="I1210" s="34">
        <f>Ventas[[#This Row],[Total]]-Ventas[[#This Row],[Precio compra]]*Ventas[[#This Row],[Cantidad]]</f>
        <v>478</v>
      </c>
      <c r="J1210" s="34"/>
      <c r="K1210" s="34">
        <f>Ventas[[#This Row],[Total]]*Ventas[[#This Row],[Total 3]]</f>
        <v>0</v>
      </c>
      <c r="L1210" s="34"/>
      <c r="M1210" s="34"/>
    </row>
    <row r="1211" spans="1:13" ht="21.75" customHeight="1">
      <c r="A1211" s="16"/>
      <c r="B1211" s="39" t="s">
        <v>575</v>
      </c>
      <c r="C1211" s="35" t="str">
        <f>VLOOKUP(Ventas[[#This Row],[Codigo]],Stock[#Data],2,FALSE)</f>
        <v xml:space="preserve">Encendedor Clipper </v>
      </c>
      <c r="D1211" s="37">
        <f>VLOOKUP(Ventas[[#This Row],[Codigo]],Stock[#Data],4,FALSE)</f>
        <v>600</v>
      </c>
      <c r="E1211" s="33">
        <f>VLOOKUP(Ventas[[#This Row],[Codigo]],Stock[#Data],3,FALSE)</f>
        <v>378</v>
      </c>
      <c r="F1211" s="38">
        <v>3</v>
      </c>
      <c r="G1211">
        <v>58</v>
      </c>
      <c r="H1211" s="36">
        <f>Ventas[[#This Row],[Precio Venta]]*Ventas[[#This Row],[Cantidad]]-Ventas[[#This Row],[Descuento]]</f>
        <v>1800</v>
      </c>
      <c r="I1211" s="34">
        <f>Ventas[[#This Row],[Total]]-Ventas[[#This Row],[Precio compra]]*Ventas[[#This Row],[Cantidad]]</f>
        <v>666</v>
      </c>
      <c r="J1211" s="34"/>
      <c r="K1211" s="34">
        <f>Ventas[[#This Row],[Total]]*Ventas[[#This Row],[Total 3]]</f>
        <v>0</v>
      </c>
      <c r="L1211" s="34"/>
      <c r="M1211" s="34"/>
    </row>
    <row r="1212" spans="1:13" ht="21.75" customHeight="1">
      <c r="A1212" s="16"/>
      <c r="B1212" s="39" t="s">
        <v>575</v>
      </c>
      <c r="C1212" s="35" t="str">
        <f>VLOOKUP(Ventas[[#This Row],[Codigo]],Stock[#Data],2,FALSE)</f>
        <v>Filtros GIZEH biodegradable</v>
      </c>
      <c r="D1212" s="37">
        <f>VLOOKUP(Ventas[[#This Row],[Codigo]],Stock[#Data],4,FALSE)</f>
        <v>450</v>
      </c>
      <c r="E1212" s="33">
        <f>VLOOKUP(Ventas[[#This Row],[Codigo]],Stock[#Data],3,FALSE)</f>
        <v>280</v>
      </c>
      <c r="F1212" s="38">
        <v>1</v>
      </c>
      <c r="G1212">
        <v>107</v>
      </c>
      <c r="H1212" s="36">
        <f>Ventas[[#This Row],[Precio Venta]]*Ventas[[#This Row],[Cantidad]]-Ventas[[#This Row],[Descuento]]</f>
        <v>450</v>
      </c>
      <c r="I1212" s="34">
        <f>Ventas[[#This Row],[Total]]-Ventas[[#This Row],[Precio compra]]*Ventas[[#This Row],[Cantidad]]</f>
        <v>170</v>
      </c>
      <c r="J1212" s="34"/>
      <c r="K1212" s="34">
        <f>Ventas[[#This Row],[Total]]*Ventas[[#This Row],[Total 3]]</f>
        <v>0</v>
      </c>
      <c r="L1212" s="34"/>
      <c r="M1212" s="34"/>
    </row>
    <row r="1213" spans="1:13" ht="21.75" customHeight="1">
      <c r="A1213" s="16"/>
      <c r="B1213" s="39" t="s">
        <v>575</v>
      </c>
      <c r="C1213" s="35" t="str">
        <f>VLOOKUP(Ventas[[#This Row],[Codigo]],Stock[#Data],2,FALSE)</f>
        <v>TreeMIX PRO 45ml</v>
      </c>
      <c r="D1213" s="37">
        <f>VLOOKUP(Ventas[[#This Row],[Codigo]],Stock[#Data],4,FALSE)</f>
        <v>700</v>
      </c>
      <c r="E1213" s="33">
        <f>VLOOKUP(Ventas[[#This Row],[Codigo]],Stock[#Data],3,FALSE)</f>
        <v>345</v>
      </c>
      <c r="F1213" s="38">
        <v>1</v>
      </c>
      <c r="G1213">
        <v>25</v>
      </c>
      <c r="H1213" s="36">
        <f>Ventas[[#This Row],[Precio Venta]]*Ventas[[#This Row],[Cantidad]]-Ventas[[#This Row],[Descuento]]</f>
        <v>700</v>
      </c>
      <c r="I1213" s="34">
        <f>Ventas[[#This Row],[Total]]-Ventas[[#This Row],[Precio compra]]*Ventas[[#This Row],[Cantidad]]</f>
        <v>355</v>
      </c>
      <c r="J1213" s="34"/>
      <c r="K1213" s="34">
        <f>Ventas[[#This Row],[Total]]*Ventas[[#This Row],[Total 3]]</f>
        <v>0</v>
      </c>
      <c r="L1213" s="34"/>
      <c r="M1213" s="34"/>
    </row>
    <row r="1214" spans="1:13" ht="21.75" customHeight="1">
      <c r="A1214" s="16"/>
      <c r="B1214" s="39" t="s">
        <v>575</v>
      </c>
      <c r="C1214" s="35" t="str">
        <f>VLOOKUP(Ventas[[#This Row],[Codigo]],Stock[#Data],2,FALSE)</f>
        <v>Sedas RAW 1/4 +tips BROWN</v>
      </c>
      <c r="D1214" s="37">
        <f>VLOOKUP(Ventas[[#This Row],[Codigo]],Stock[#Data],4,FALSE)</f>
        <v>1150</v>
      </c>
      <c r="E1214" s="33">
        <f>VLOOKUP(Ventas[[#This Row],[Codigo]],Stock[#Data],3,FALSE)</f>
        <v>568</v>
      </c>
      <c r="F1214" s="38">
        <v>1</v>
      </c>
      <c r="G1214">
        <v>80</v>
      </c>
      <c r="H1214" s="36">
        <f>Ventas[[#This Row],[Precio Venta]]*Ventas[[#This Row],[Cantidad]]-Ventas[[#This Row],[Descuento]]</f>
        <v>1150</v>
      </c>
      <c r="I1214" s="34">
        <f>Ventas[[#This Row],[Total]]-Ventas[[#This Row],[Precio compra]]*Ventas[[#This Row],[Cantidad]]</f>
        <v>582</v>
      </c>
      <c r="J1214" s="34"/>
      <c r="K1214" s="34">
        <f>Ventas[[#This Row],[Total]]*Ventas[[#This Row],[Total 3]]</f>
        <v>0</v>
      </c>
      <c r="L1214" s="34"/>
      <c r="M1214" s="34"/>
    </row>
    <row r="1215" spans="1:13" ht="21.75" customHeight="1">
      <c r="A1215" s="16"/>
      <c r="B1215" s="39" t="s">
        <v>575</v>
      </c>
      <c r="C1215" s="35" t="str">
        <f>VLOOKUP(Ventas[[#This Row],[Codigo]],Stock[#Data],2,FALSE)</f>
        <v>Lata GIZEH+Sedas</v>
      </c>
      <c r="D1215" s="37">
        <f>VLOOKUP(Ventas[[#This Row],[Codigo]],Stock[#Data],4,FALSE)</f>
        <v>1000</v>
      </c>
      <c r="E1215" s="33">
        <f>VLOOKUP(Ventas[[#This Row],[Codigo]],Stock[#Data],3,FALSE)</f>
        <v>376</v>
      </c>
      <c r="F1215" s="38">
        <v>1</v>
      </c>
      <c r="G1215">
        <v>555</v>
      </c>
      <c r="H1215" s="36">
        <f>Ventas[[#This Row],[Precio Venta]]*Ventas[[#This Row],[Cantidad]]-Ventas[[#This Row],[Descuento]]</f>
        <v>1000</v>
      </c>
      <c r="I1215" s="34">
        <f>Ventas[[#This Row],[Total]]-Ventas[[#This Row],[Precio compra]]*Ventas[[#This Row],[Cantidad]]</f>
        <v>624</v>
      </c>
      <c r="J1215" s="34"/>
      <c r="K1215" s="34">
        <f>Ventas[[#This Row],[Total]]*Ventas[[#This Row],[Total 3]]</f>
        <v>0</v>
      </c>
      <c r="L1215" s="34"/>
      <c r="M1215" s="34"/>
    </row>
    <row r="1216" spans="1:13" ht="21.75" customHeight="1">
      <c r="A1216" s="16"/>
      <c r="B1216" s="39" t="s">
        <v>575</v>
      </c>
      <c r="C1216" s="35" t="str">
        <f>VLOOKUP(Ventas[[#This Row],[Codigo]],Stock[#Data],2,FALSE)</f>
        <v>Sedas OCB 1/4 Organic  Bamboo</v>
      </c>
      <c r="D1216" s="37">
        <f>VLOOKUP(Ventas[[#This Row],[Codigo]],Stock[#Data],4,FALSE)</f>
        <v>300</v>
      </c>
      <c r="E1216" s="33">
        <f>VLOOKUP(Ventas[[#This Row],[Codigo]],Stock[#Data],3,FALSE)</f>
        <v>165</v>
      </c>
      <c r="F1216" s="38">
        <v>2</v>
      </c>
      <c r="G1216">
        <v>77</v>
      </c>
      <c r="H1216" s="36">
        <f>Ventas[[#This Row],[Precio Venta]]*Ventas[[#This Row],[Cantidad]]-Ventas[[#This Row],[Descuento]]</f>
        <v>600</v>
      </c>
      <c r="I1216" s="34">
        <f>Ventas[[#This Row],[Total]]-Ventas[[#This Row],[Precio compra]]*Ventas[[#This Row],[Cantidad]]</f>
        <v>270</v>
      </c>
      <c r="J1216" s="34"/>
      <c r="K1216" s="34">
        <f>Ventas[[#This Row],[Total]]*Ventas[[#This Row],[Total 3]]</f>
        <v>0</v>
      </c>
      <c r="L1216" s="34"/>
      <c r="M1216" s="34"/>
    </row>
    <row r="1217" spans="1:13" ht="21.75" customHeight="1">
      <c r="A1217" s="16"/>
      <c r="B1217" s="39" t="s">
        <v>575</v>
      </c>
      <c r="C1217" s="35" t="str">
        <f>VLOOKUP(Ventas[[#This Row],[Codigo]],Stock[#Data],2,FALSE)</f>
        <v>Tabaco Van Kiff Natural</v>
      </c>
      <c r="D1217" s="37">
        <f>VLOOKUP(Ventas[[#This Row],[Codigo]],Stock[#Data],4,FALSE)</f>
        <v>850</v>
      </c>
      <c r="E1217" s="33">
        <f>VLOOKUP(Ventas[[#This Row],[Codigo]],Stock[#Data],3,FALSE)</f>
        <v>580</v>
      </c>
      <c r="F1217" s="38">
        <v>2</v>
      </c>
      <c r="G1217">
        <v>117</v>
      </c>
      <c r="H1217" s="36">
        <f>Ventas[[#This Row],[Precio Venta]]*Ventas[[#This Row],[Cantidad]]-Ventas[[#This Row],[Descuento]]</f>
        <v>1700</v>
      </c>
      <c r="I1217" s="34">
        <f>Ventas[[#This Row],[Total]]-Ventas[[#This Row],[Precio compra]]*Ventas[[#This Row],[Cantidad]]</f>
        <v>540</v>
      </c>
      <c r="J1217" s="34"/>
      <c r="K1217" s="34">
        <f>Ventas[[#This Row],[Total]]*Ventas[[#This Row],[Total 3]]</f>
        <v>0</v>
      </c>
      <c r="L1217" s="34"/>
      <c r="M1217" s="34"/>
    </row>
    <row r="1218" spans="1:13" ht="21.75" customHeight="1">
      <c r="A1218" s="16"/>
      <c r="B1218" s="39" t="s">
        <v>571</v>
      </c>
      <c r="C1218" s="35" t="str">
        <f>VLOOKUP(Ventas[[#This Row],[Codigo]],Stock[#Data],2,FALSE)</f>
        <v>Armador ZEUS Plástico</v>
      </c>
      <c r="D1218" s="37">
        <f>VLOOKUP(Ventas[[#This Row],[Codigo]],Stock[#Data],4,FALSE)</f>
        <v>900</v>
      </c>
      <c r="E1218" s="33">
        <f>VLOOKUP(Ventas[[#This Row],[Codigo]],Stock[#Data],3,FALSE)</f>
        <v>430</v>
      </c>
      <c r="F1218" s="38">
        <v>1</v>
      </c>
      <c r="G1218">
        <v>170</v>
      </c>
      <c r="H1218" s="36">
        <f>Ventas[[#This Row],[Precio Venta]]*Ventas[[#This Row],[Cantidad]]-Ventas[[#This Row],[Descuento]]</f>
        <v>900</v>
      </c>
      <c r="I1218" s="34">
        <f>Ventas[[#This Row],[Total]]-Ventas[[#This Row],[Precio compra]]*Ventas[[#This Row],[Cantidad]]</f>
        <v>470</v>
      </c>
      <c r="J1218" s="34"/>
      <c r="K1218" s="34">
        <f>Ventas[[#This Row],[Total]]*Ventas[[#This Row],[Total 3]]</f>
        <v>0</v>
      </c>
      <c r="L1218" s="34"/>
      <c r="M1218" s="34"/>
    </row>
    <row r="1219" spans="1:13" ht="21.75" customHeight="1">
      <c r="A1219" s="16"/>
      <c r="B1219" s="39" t="s">
        <v>571</v>
      </c>
      <c r="C1219" s="35" t="str">
        <f>VLOOKUP(Ventas[[#This Row],[Codigo]],Stock[#Data],2,FALSE)</f>
        <v>Sustrato Perlita</v>
      </c>
      <c r="D1219" s="37">
        <f>VLOOKUP(Ventas[[#This Row],[Codigo]],Stock[#Data],4,FALSE)</f>
        <v>800</v>
      </c>
      <c r="E1219" s="33">
        <f>VLOOKUP(Ventas[[#This Row],[Codigo]],Stock[#Data],3,FALSE)</f>
        <v>400</v>
      </c>
      <c r="F1219" s="38">
        <v>1</v>
      </c>
      <c r="G1219">
        <v>52</v>
      </c>
      <c r="H1219" s="36">
        <f>Ventas[[#This Row],[Precio Venta]]*Ventas[[#This Row],[Cantidad]]-Ventas[[#This Row],[Descuento]]</f>
        <v>800</v>
      </c>
      <c r="I1219" s="34">
        <f>Ventas[[#This Row],[Total]]-Ventas[[#This Row],[Precio compra]]*Ventas[[#This Row],[Cantidad]]</f>
        <v>400</v>
      </c>
      <c r="J1219" s="34"/>
      <c r="K1219" s="34">
        <f>Ventas[[#This Row],[Total]]*Ventas[[#This Row],[Total 3]]</f>
        <v>0</v>
      </c>
      <c r="L1219" s="34"/>
      <c r="M1219" s="34"/>
    </row>
    <row r="1220" spans="1:13" ht="21.75" customHeight="1">
      <c r="A1220" s="16"/>
      <c r="B1220" s="39" t="s">
        <v>571</v>
      </c>
      <c r="C1220" s="35" t="str">
        <f>VLOOKUP(Ventas[[#This Row],[Codigo]],Stock[#Data],2,FALSE)</f>
        <v>Macetas Soplada 15L</v>
      </c>
      <c r="D1220" s="37">
        <f>VLOOKUP(Ventas[[#This Row],[Codigo]],Stock[#Data],4,FALSE)</f>
        <v>450</v>
      </c>
      <c r="E1220" s="33">
        <f>VLOOKUP(Ventas[[#This Row],[Codigo]],Stock[#Data],3,FALSE)</f>
        <v>222</v>
      </c>
      <c r="F1220" s="38">
        <v>1</v>
      </c>
      <c r="G1220">
        <v>380</v>
      </c>
      <c r="H1220" s="36">
        <f>Ventas[[#This Row],[Precio Venta]]*Ventas[[#This Row],[Cantidad]]-Ventas[[#This Row],[Descuento]]</f>
        <v>450</v>
      </c>
      <c r="I1220" s="34">
        <f>Ventas[[#This Row],[Total]]-Ventas[[#This Row],[Precio compra]]*Ventas[[#This Row],[Cantidad]]</f>
        <v>228</v>
      </c>
      <c r="J1220" s="34"/>
      <c r="K1220" s="34">
        <f>Ventas[[#This Row],[Total]]*Ventas[[#This Row],[Total 3]]</f>
        <v>0</v>
      </c>
      <c r="L1220" s="34"/>
      <c r="M1220" s="34"/>
    </row>
    <row r="1221" spans="1:13" ht="21.75" customHeight="1">
      <c r="A1221" s="16"/>
      <c r="B1221" s="39" t="s">
        <v>571</v>
      </c>
      <c r="C1221" s="35" t="str">
        <f>VLOOKUP(Ventas[[#This Row],[Codigo]],Stock[#Data],2,FALSE)</f>
        <v>TreeMIX N 200ml</v>
      </c>
      <c r="D1221" s="37">
        <f>VLOOKUP(Ventas[[#This Row],[Codigo]],Stock[#Data],4,FALSE)</f>
        <v>1400</v>
      </c>
      <c r="E1221" s="33">
        <f>VLOOKUP(Ventas[[#This Row],[Codigo]],Stock[#Data],3,FALSE)</f>
        <v>650</v>
      </c>
      <c r="F1221" s="38">
        <v>1</v>
      </c>
      <c r="G1221">
        <v>33</v>
      </c>
      <c r="H1221" s="36">
        <f>Ventas[[#This Row],[Precio Venta]]*Ventas[[#This Row],[Cantidad]]-Ventas[[#This Row],[Descuento]]</f>
        <v>1400</v>
      </c>
      <c r="I1221" s="34">
        <f>Ventas[[#This Row],[Total]]-Ventas[[#This Row],[Precio compra]]*Ventas[[#This Row],[Cantidad]]</f>
        <v>750</v>
      </c>
      <c r="J1221" s="34"/>
      <c r="K1221" s="34">
        <f>Ventas[[#This Row],[Total]]*Ventas[[#This Row],[Total 3]]</f>
        <v>0</v>
      </c>
      <c r="L1221" s="34"/>
      <c r="M1221" s="34"/>
    </row>
    <row r="1222" spans="1:13" ht="21.75" customHeight="1">
      <c r="A1222" s="16"/>
      <c r="B1222" s="39" t="s">
        <v>571</v>
      </c>
      <c r="C1222" s="35" t="str">
        <f>VLOOKUP(Ventas[[#This Row],[Codigo]],Stock[#Data],2,FALSE)</f>
        <v>TreeMIX A 200ml</v>
      </c>
      <c r="D1222" s="37">
        <f>VLOOKUP(Ventas[[#This Row],[Codigo]],Stock[#Data],4,FALSE)</f>
        <v>1400</v>
      </c>
      <c r="E1222" s="33">
        <f>VLOOKUP(Ventas[[#This Row],[Codigo]],Stock[#Data],3,FALSE)</f>
        <v>700</v>
      </c>
      <c r="F1222" s="38">
        <v>1</v>
      </c>
      <c r="G1222">
        <v>31</v>
      </c>
      <c r="H1222" s="36">
        <f>Ventas[[#This Row],[Precio Venta]]*Ventas[[#This Row],[Cantidad]]-Ventas[[#This Row],[Descuento]]</f>
        <v>1400</v>
      </c>
      <c r="I1222" s="34">
        <f>Ventas[[#This Row],[Total]]-Ventas[[#This Row],[Precio compra]]*Ventas[[#This Row],[Cantidad]]</f>
        <v>700</v>
      </c>
      <c r="J1222" s="34"/>
      <c r="K1222" s="34">
        <f>Ventas[[#This Row],[Total]]*Ventas[[#This Row],[Total 3]]</f>
        <v>0</v>
      </c>
      <c r="L1222" s="34"/>
      <c r="M1222" s="34"/>
    </row>
    <row r="1223" spans="1:13" ht="21.75" customHeight="1">
      <c r="A1223" s="16"/>
      <c r="B1223" s="39" t="s">
        <v>571</v>
      </c>
      <c r="C1223" s="35" t="str">
        <f>VLOOKUP(Ventas[[#This Row],[Codigo]],Stock[#Data],2,FALSE)</f>
        <v>TreeMIX F 200ml</v>
      </c>
      <c r="D1223" s="37">
        <f>VLOOKUP(Ventas[[#This Row],[Codigo]],Stock[#Data],4,FALSE)</f>
        <v>1400</v>
      </c>
      <c r="E1223" s="33">
        <f>VLOOKUP(Ventas[[#This Row],[Codigo]],Stock[#Data],3,FALSE)</f>
        <v>715</v>
      </c>
      <c r="F1223" s="38">
        <v>2</v>
      </c>
      <c r="G1223">
        <v>32</v>
      </c>
      <c r="H1223" s="36">
        <f>Ventas[[#This Row],[Precio Venta]]*Ventas[[#This Row],[Cantidad]]-Ventas[[#This Row],[Descuento]]</f>
        <v>2800</v>
      </c>
      <c r="I1223" s="34">
        <f>Ventas[[#This Row],[Total]]-Ventas[[#This Row],[Precio compra]]*Ventas[[#This Row],[Cantidad]]</f>
        <v>1370</v>
      </c>
      <c r="J1223" s="34"/>
      <c r="K1223" s="34">
        <f>Ventas[[#This Row],[Total]]*Ventas[[#This Row],[Total 3]]</f>
        <v>0</v>
      </c>
      <c r="L1223" s="34"/>
      <c r="M1223" s="34"/>
    </row>
    <row r="1224" spans="1:13" ht="21.75" customHeight="1">
      <c r="A1224" s="16"/>
      <c r="B1224" s="39" t="s">
        <v>571</v>
      </c>
      <c r="C1224" s="35" t="str">
        <f>VLOOKUP(Ventas[[#This Row],[Codigo]],Stock[#Data],2,FALSE)</f>
        <v>Red de Scrog 120x120</v>
      </c>
      <c r="D1224" s="37">
        <f>VLOOKUP(Ventas[[#This Row],[Codigo]],Stock[#Data],4,FALSE)</f>
        <v>1300</v>
      </c>
      <c r="E1224" s="33">
        <f>VLOOKUP(Ventas[[#This Row],[Codigo]],Stock[#Data],3,FALSE)</f>
        <v>630</v>
      </c>
      <c r="F1224" s="38">
        <v>1</v>
      </c>
      <c r="G1224">
        <v>196</v>
      </c>
      <c r="H1224" s="36">
        <f>Ventas[[#This Row],[Precio Venta]]*Ventas[[#This Row],[Cantidad]]-Ventas[[#This Row],[Descuento]]</f>
        <v>1300</v>
      </c>
      <c r="I1224" s="34">
        <f>Ventas[[#This Row],[Total]]-Ventas[[#This Row],[Precio compra]]*Ventas[[#This Row],[Cantidad]]</f>
        <v>670</v>
      </c>
      <c r="J1224" s="34"/>
      <c r="K1224" s="34">
        <f>Ventas[[#This Row],[Total]]*Ventas[[#This Row],[Total 3]]</f>
        <v>0</v>
      </c>
      <c r="L1224" s="34"/>
      <c r="M1224" s="34"/>
    </row>
    <row r="1225" spans="1:13" ht="21.75" customHeight="1">
      <c r="A1225" s="16"/>
      <c r="B1225" s="39" t="s">
        <v>571</v>
      </c>
      <c r="C1225" s="35" t="str">
        <f>VLOOKUP(Ventas[[#This Row],[Codigo]],Stock[#Data],2,FALSE)</f>
        <v>Sedas OCB 1/4 Organic  Bamboo</v>
      </c>
      <c r="D1225" s="37">
        <f>VLOOKUP(Ventas[[#This Row],[Codigo]],Stock[#Data],4,FALSE)</f>
        <v>300</v>
      </c>
      <c r="E1225" s="33">
        <f>VLOOKUP(Ventas[[#This Row],[Codigo]],Stock[#Data],3,FALSE)</f>
        <v>165</v>
      </c>
      <c r="F1225" s="38">
        <v>1</v>
      </c>
      <c r="G1225">
        <v>77</v>
      </c>
      <c r="H1225" s="36">
        <f>Ventas[[#This Row],[Precio Venta]]*Ventas[[#This Row],[Cantidad]]-Ventas[[#This Row],[Descuento]]</f>
        <v>300</v>
      </c>
      <c r="I1225" s="34">
        <f>Ventas[[#This Row],[Total]]-Ventas[[#This Row],[Precio compra]]*Ventas[[#This Row],[Cantidad]]</f>
        <v>135</v>
      </c>
      <c r="J1225" s="34"/>
      <c r="K1225" s="34">
        <f>Ventas[[#This Row],[Total]]*Ventas[[#This Row],[Total 3]]</f>
        <v>0</v>
      </c>
      <c r="L1225" s="34"/>
      <c r="M1225" s="34"/>
    </row>
    <row r="1226" spans="1:13" ht="21.75" customHeight="1">
      <c r="A1226" s="16"/>
      <c r="B1226" s="39" t="s">
        <v>571</v>
      </c>
      <c r="C1226" s="35" t="str">
        <f>VLOOKUP(Ventas[[#This Row],[Codigo]],Stock[#Data],2,FALSE)</f>
        <v>VAMP hechizo BOOM</v>
      </c>
      <c r="D1226" s="37">
        <f>VLOOKUP(Ventas[[#This Row],[Codigo]],Stock[#Data],4,FALSE)</f>
        <v>1200</v>
      </c>
      <c r="E1226" s="33">
        <f>VLOOKUP(Ventas[[#This Row],[Codigo]],Stock[#Data],3,FALSE)</f>
        <v>600</v>
      </c>
      <c r="F1226" s="38">
        <v>1</v>
      </c>
      <c r="G1226">
        <v>39</v>
      </c>
      <c r="H1226" s="36">
        <f>Ventas[[#This Row],[Precio Venta]]*Ventas[[#This Row],[Cantidad]]-Ventas[[#This Row],[Descuento]]</f>
        <v>1200</v>
      </c>
      <c r="I1226" s="34">
        <f>Ventas[[#This Row],[Total]]-Ventas[[#This Row],[Precio compra]]*Ventas[[#This Row],[Cantidad]]</f>
        <v>600</v>
      </c>
      <c r="J1226" s="34"/>
      <c r="K1226" s="34">
        <f>Ventas[[#This Row],[Total]]*Ventas[[#This Row],[Total 3]]</f>
        <v>0</v>
      </c>
      <c r="L1226" s="34"/>
      <c r="M1226" s="34"/>
    </row>
    <row r="1227" spans="1:13" ht="21.75" customHeight="1">
      <c r="A1227" s="16"/>
      <c r="B1227" s="39" t="s">
        <v>571</v>
      </c>
      <c r="C1227" s="35" t="str">
        <f>VLOOKUP(Ventas[[#This Row],[Codigo]],Stock[#Data],2,FALSE)</f>
        <v>VAMP hechizo BLOOM</v>
      </c>
      <c r="D1227" s="37">
        <f>VLOOKUP(Ventas[[#This Row],[Codigo]],Stock[#Data],4,FALSE)</f>
        <v>1200</v>
      </c>
      <c r="E1227" s="33">
        <f>VLOOKUP(Ventas[[#This Row],[Codigo]],Stock[#Data],3,FALSE)</f>
        <v>600</v>
      </c>
      <c r="F1227" s="38">
        <v>1</v>
      </c>
      <c r="G1227">
        <v>40</v>
      </c>
      <c r="H1227" s="36">
        <f>Ventas[[#This Row],[Precio Venta]]*Ventas[[#This Row],[Cantidad]]-Ventas[[#This Row],[Descuento]]</f>
        <v>1200</v>
      </c>
      <c r="I1227" s="34">
        <f>Ventas[[#This Row],[Total]]-Ventas[[#This Row],[Precio compra]]*Ventas[[#This Row],[Cantidad]]</f>
        <v>600</v>
      </c>
      <c r="J1227" s="34"/>
      <c r="K1227" s="34">
        <f>Ventas[[#This Row],[Total]]*Ventas[[#This Row],[Total 3]]</f>
        <v>0</v>
      </c>
      <c r="L1227" s="34"/>
      <c r="M1227" s="34"/>
    </row>
    <row r="1228" spans="1:13" ht="21.75" customHeight="1">
      <c r="A1228" s="16"/>
      <c r="B1228" s="39" t="s">
        <v>563</v>
      </c>
      <c r="C1228" s="35" t="str">
        <f>VLOOKUP(Ventas[[#This Row],[Codigo]],Stock[#Data],2,FALSE)</f>
        <v xml:space="preserve">Tree mix F 1L  </v>
      </c>
      <c r="D1228" s="37">
        <f>VLOOKUP(Ventas[[#This Row],[Codigo]],Stock[#Data],4,FALSE)</f>
        <v>5300</v>
      </c>
      <c r="E1228" s="33">
        <f>VLOOKUP(Ventas[[#This Row],[Codigo]],Stock[#Data],3,FALSE)</f>
        <v>2670</v>
      </c>
      <c r="F1228" s="38">
        <v>1</v>
      </c>
      <c r="G1228">
        <v>444</v>
      </c>
      <c r="H1228" s="36">
        <f>Ventas[[#This Row],[Precio Venta]]*Ventas[[#This Row],[Cantidad]]-Ventas[[#This Row],[Descuento]]</f>
        <v>5300</v>
      </c>
      <c r="I1228" s="34">
        <f>Ventas[[#This Row],[Total]]-Ventas[[#This Row],[Precio compra]]*Ventas[[#This Row],[Cantidad]]</f>
        <v>2630</v>
      </c>
      <c r="J1228" s="34"/>
      <c r="K1228" s="34">
        <f>Ventas[[#This Row],[Total]]*Ventas[[#This Row],[Total 3]]</f>
        <v>0</v>
      </c>
      <c r="L1228" s="34"/>
      <c r="M1228" s="34"/>
    </row>
    <row r="1229" spans="1:13" ht="21.75" customHeight="1">
      <c r="A1229" s="16"/>
      <c r="B1229" s="39" t="s">
        <v>563</v>
      </c>
      <c r="C1229" s="35" t="str">
        <f>VLOOKUP(Ventas[[#This Row],[Codigo]],Stock[#Data],2,FALSE)</f>
        <v xml:space="preserve">Sedas 3 Rayos Celulosa </v>
      </c>
      <c r="D1229" s="37">
        <f>VLOOKUP(Ventas[[#This Row],[Codigo]],Stock[#Data],4,FALSE)</f>
        <v>400</v>
      </c>
      <c r="E1229" s="33">
        <f>VLOOKUP(Ventas[[#This Row],[Codigo]],Stock[#Data],3,FALSE)</f>
        <v>211</v>
      </c>
      <c r="F1229" s="38">
        <v>1</v>
      </c>
      <c r="G1229">
        <v>310</v>
      </c>
      <c r="H1229" s="36">
        <f>Ventas[[#This Row],[Precio Venta]]*Ventas[[#This Row],[Cantidad]]-Ventas[[#This Row],[Descuento]]</f>
        <v>400</v>
      </c>
      <c r="I1229" s="34">
        <f>Ventas[[#This Row],[Total]]-Ventas[[#This Row],[Precio compra]]*Ventas[[#This Row],[Cantidad]]</f>
        <v>189</v>
      </c>
      <c r="J1229" s="34"/>
      <c r="K1229" s="34">
        <f>Ventas[[#This Row],[Total]]*Ventas[[#This Row],[Total 3]]</f>
        <v>0</v>
      </c>
      <c r="L1229" s="34"/>
      <c r="M1229" s="34"/>
    </row>
    <row r="1230" spans="1:13" ht="21.75" customHeight="1">
      <c r="A1230" s="16"/>
      <c r="B1230" s="39" t="s">
        <v>563</v>
      </c>
      <c r="C1230" s="35" t="str">
        <f>VLOOKUP(Ventas[[#This Row],[Codigo]],Stock[#Data],2,FALSE)</f>
        <v>Red de Scrog 120x120</v>
      </c>
      <c r="D1230" s="37">
        <f>VLOOKUP(Ventas[[#This Row],[Codigo]],Stock[#Data],4,FALSE)</f>
        <v>1300</v>
      </c>
      <c r="E1230" s="33">
        <f>VLOOKUP(Ventas[[#This Row],[Codigo]],Stock[#Data],3,FALSE)</f>
        <v>630</v>
      </c>
      <c r="F1230" s="38">
        <v>1</v>
      </c>
      <c r="G1230">
        <v>196</v>
      </c>
      <c r="H1230" s="36">
        <f>Ventas[[#This Row],[Precio Venta]]*Ventas[[#This Row],[Cantidad]]-Ventas[[#This Row],[Descuento]]</f>
        <v>1300</v>
      </c>
      <c r="I1230" s="34">
        <f>Ventas[[#This Row],[Total]]-Ventas[[#This Row],[Precio compra]]*Ventas[[#This Row],[Cantidad]]</f>
        <v>670</v>
      </c>
      <c r="J1230" s="34"/>
      <c r="K1230" s="34">
        <f>Ventas[[#This Row],[Total]]*Ventas[[#This Row],[Total 3]]</f>
        <v>0</v>
      </c>
      <c r="L1230" s="34"/>
      <c r="M1230" s="34"/>
    </row>
    <row r="1231" spans="1:13" ht="21.75" customHeight="1">
      <c r="A1231" s="16"/>
      <c r="B1231" s="39" t="s">
        <v>563</v>
      </c>
      <c r="C1231" s="35" t="str">
        <f>VLOOKUP(Ventas[[#This Row],[Codigo]],Stock[#Data],2,FALSE)</f>
        <v>Melaza 100% natural</v>
      </c>
      <c r="D1231" s="37">
        <f>VLOOKUP(Ventas[[#This Row],[Codigo]],Stock[#Data],4,FALSE)</f>
        <v>700</v>
      </c>
      <c r="E1231" s="33">
        <f>VLOOKUP(Ventas[[#This Row],[Codigo]],Stock[#Data],3,FALSE)</f>
        <v>340</v>
      </c>
      <c r="F1231" s="38">
        <v>1</v>
      </c>
      <c r="G1231">
        <v>455</v>
      </c>
      <c r="H1231" s="36">
        <f>Ventas[[#This Row],[Precio Venta]]*Ventas[[#This Row],[Cantidad]]-Ventas[[#This Row],[Descuento]]</f>
        <v>700</v>
      </c>
      <c r="I1231" s="34">
        <f>Ventas[[#This Row],[Total]]-Ventas[[#This Row],[Precio compra]]*Ventas[[#This Row],[Cantidad]]</f>
        <v>360</v>
      </c>
      <c r="J1231" s="34"/>
      <c r="K1231" s="34">
        <f>Ventas[[#This Row],[Total]]*Ventas[[#This Row],[Total 3]]</f>
        <v>0</v>
      </c>
      <c r="L1231" s="34"/>
      <c r="M1231" s="34"/>
    </row>
    <row r="1232" spans="1:13" ht="21.75" customHeight="1">
      <c r="A1232" s="16"/>
      <c r="B1232" s="39" t="s">
        <v>563</v>
      </c>
      <c r="C1232" s="35" t="str">
        <f>VLOOKUP(Ventas[[#This Row],[Codigo]],Stock[#Data],2,FALSE)</f>
        <v xml:space="preserve">Turbina de Semilla </v>
      </c>
      <c r="D1232" s="37">
        <f>VLOOKUP(Ventas[[#This Row],[Codigo]],Stock[#Data],4,FALSE)</f>
        <v>3500</v>
      </c>
      <c r="E1232" s="33">
        <f>VLOOKUP(Ventas[[#This Row],[Codigo]],Stock[#Data],3,FALSE)</f>
        <v>2000</v>
      </c>
      <c r="F1232" s="38">
        <v>1</v>
      </c>
      <c r="G1232">
        <v>522</v>
      </c>
      <c r="H1232" s="36">
        <f>Ventas[[#This Row],[Precio Venta]]*Ventas[[#This Row],[Cantidad]]-Ventas[[#This Row],[Descuento]]</f>
        <v>3500</v>
      </c>
      <c r="I1232" s="34">
        <f>Ventas[[#This Row],[Total]]-Ventas[[#This Row],[Precio compra]]*Ventas[[#This Row],[Cantidad]]</f>
        <v>1500</v>
      </c>
      <c r="J1232" s="34"/>
      <c r="K1232" s="34">
        <f>Ventas[[#This Row],[Total]]*Ventas[[#This Row],[Total 3]]</f>
        <v>0</v>
      </c>
      <c r="L1232" s="34"/>
      <c r="M1232" s="34"/>
    </row>
    <row r="1233" spans="1:13" ht="21.75" customHeight="1">
      <c r="A1233" s="16"/>
      <c r="B1233" s="39" t="s">
        <v>563</v>
      </c>
      <c r="C1233" s="35" t="str">
        <f>VLOOKUP(Ventas[[#This Row],[Codigo]],Stock[#Data],2,FALSE)</f>
        <v>Turbina D&amp;K Pico de Vidrio</v>
      </c>
      <c r="D1233" s="37">
        <f>VLOOKUP(Ventas[[#This Row],[Codigo]],Stock[#Data],4,FALSE)</f>
        <v>2000</v>
      </c>
      <c r="E1233" s="33">
        <f>VLOOKUP(Ventas[[#This Row],[Codigo]],Stock[#Data],3,FALSE)</f>
        <v>1041</v>
      </c>
      <c r="F1233" s="38">
        <v>1</v>
      </c>
      <c r="G1233">
        <v>167</v>
      </c>
      <c r="H1233" s="36">
        <f>Ventas[[#This Row],[Precio Venta]]*Ventas[[#This Row],[Cantidad]]-Ventas[[#This Row],[Descuento]]</f>
        <v>2000</v>
      </c>
      <c r="I1233" s="34">
        <f>Ventas[[#This Row],[Total]]-Ventas[[#This Row],[Precio compra]]*Ventas[[#This Row],[Cantidad]]</f>
        <v>959</v>
      </c>
      <c r="J1233" s="34"/>
      <c r="K1233" s="34">
        <f>Ventas[[#This Row],[Total]]*Ventas[[#This Row],[Total 3]]</f>
        <v>0</v>
      </c>
      <c r="L1233" s="34"/>
      <c r="M1233" s="34"/>
    </row>
    <row r="1234" spans="1:13" ht="21.75" customHeight="1">
      <c r="A1234" s="16"/>
      <c r="B1234" s="39" t="s">
        <v>563</v>
      </c>
      <c r="C1234" s="35" t="str">
        <f>VLOOKUP(Ventas[[#This Row],[Codigo]],Stock[#Data],2,FALSE)</f>
        <v>Picador Galleta</v>
      </c>
      <c r="D1234" s="37">
        <f>VLOOKUP(Ventas[[#This Row],[Codigo]],Stock[#Data],4,FALSE)</f>
        <v>3000</v>
      </c>
      <c r="E1234" s="33">
        <f>VLOOKUP(Ventas[[#This Row],[Codigo]],Stock[#Data],3,FALSE)</f>
        <v>1590</v>
      </c>
      <c r="F1234" s="38">
        <v>1</v>
      </c>
      <c r="G1234">
        <v>328</v>
      </c>
      <c r="H1234" s="36">
        <f>Ventas[[#This Row],[Precio Venta]]*Ventas[[#This Row],[Cantidad]]-Ventas[[#This Row],[Descuento]]</f>
        <v>3000</v>
      </c>
      <c r="I1234" s="34">
        <f>Ventas[[#This Row],[Total]]-Ventas[[#This Row],[Precio compra]]*Ventas[[#This Row],[Cantidad]]</f>
        <v>1410</v>
      </c>
      <c r="J1234" s="34"/>
      <c r="K1234" s="34">
        <f>Ventas[[#This Row],[Total]]*Ventas[[#This Row],[Total 3]]</f>
        <v>0</v>
      </c>
      <c r="L1234" s="34"/>
      <c r="M1234" s="34"/>
    </row>
    <row r="1235" spans="1:13" ht="21.75" customHeight="1">
      <c r="A1235" s="16"/>
      <c r="B1235" s="39" t="s">
        <v>563</v>
      </c>
      <c r="C1235" s="35" t="str">
        <f>VLOOKUP(Ventas[[#This Row],[Codigo]],Stock[#Data],2,FALSE)</f>
        <v>Araña Roja Green Leaf 100ml</v>
      </c>
      <c r="D1235" s="37">
        <f>VLOOKUP(Ventas[[#This Row],[Codigo]],Stock[#Data],4,FALSE)</f>
        <v>1800</v>
      </c>
      <c r="E1235" s="33">
        <f>VLOOKUP(Ventas[[#This Row],[Codigo]],Stock[#Data],3,FALSE)</f>
        <v>904</v>
      </c>
      <c r="F1235" s="38">
        <v>2</v>
      </c>
      <c r="G1235">
        <v>470</v>
      </c>
      <c r="H1235" s="36">
        <f>Ventas[[#This Row],[Precio Venta]]*Ventas[[#This Row],[Cantidad]]-Ventas[[#This Row],[Descuento]]</f>
        <v>3600</v>
      </c>
      <c r="I1235" s="34">
        <f>Ventas[[#This Row],[Total]]-Ventas[[#This Row],[Precio compra]]*Ventas[[#This Row],[Cantidad]]</f>
        <v>1792</v>
      </c>
      <c r="J1235" s="34"/>
      <c r="K1235" s="34">
        <f>Ventas[[#This Row],[Total]]*Ventas[[#This Row],[Total 3]]</f>
        <v>0</v>
      </c>
      <c r="L1235" s="34"/>
      <c r="M1235" s="34"/>
    </row>
    <row r="1236" spans="1:13" ht="21.75" customHeight="1">
      <c r="B1236" s="39" t="s">
        <v>563</v>
      </c>
      <c r="C1236" s="35" t="str">
        <f>VLOOKUP(Ventas[[#This Row],[Codigo]],Stock[#Data],2,FALSE)</f>
        <v>Namaste Oro Negro 500ml</v>
      </c>
      <c r="D1236" s="37">
        <f>VLOOKUP(Ventas[[#This Row],[Codigo]],Stock[#Data],4,FALSE)</f>
        <v>2500</v>
      </c>
      <c r="E1236" s="33">
        <f>VLOOKUP(Ventas[[#This Row],[Codigo]],Stock[#Data],3,FALSE)</f>
        <v>1390</v>
      </c>
      <c r="F1236" s="38">
        <v>1</v>
      </c>
      <c r="G1236">
        <v>497</v>
      </c>
      <c r="H1236" s="36">
        <f>Ventas[[#This Row],[Precio Venta]]*Ventas[[#This Row],[Cantidad]]-Ventas[[#This Row],[Descuento]]</f>
        <v>2500</v>
      </c>
      <c r="I1236" s="34">
        <f>Ventas[[#This Row],[Total]]-Ventas[[#This Row],[Precio compra]]*Ventas[[#This Row],[Cantidad]]</f>
        <v>1110</v>
      </c>
      <c r="J1236" s="34"/>
      <c r="K1236" s="34">
        <f>Ventas[[#This Row],[Total]]*Ventas[[#This Row],[Total 3]]</f>
        <v>0</v>
      </c>
      <c r="L1236" s="34"/>
      <c r="M1236" s="34"/>
    </row>
    <row r="1237" spans="1:13" ht="21.75" customHeight="1">
      <c r="B1237" s="39" t="s">
        <v>563</v>
      </c>
      <c r="C1237" s="35" t="str">
        <f>VLOOKUP(Ventas[[#This Row],[Codigo]],Stock[#Data],2,FALSE)</f>
        <v>Timer Zurich</v>
      </c>
      <c r="D1237" s="37">
        <f>VLOOKUP(Ventas[[#This Row],[Codigo]],Stock[#Data],4,FALSE)</f>
        <v>4000</v>
      </c>
      <c r="E1237" s="33">
        <f>VLOOKUP(Ventas[[#This Row],[Codigo]],Stock[#Data],3,FALSE)</f>
        <v>2398</v>
      </c>
      <c r="F1237" s="38">
        <v>1</v>
      </c>
      <c r="G1237">
        <v>265</v>
      </c>
      <c r="H1237" s="36">
        <f>Ventas[[#This Row],[Precio Venta]]*Ventas[[#This Row],[Cantidad]]-Ventas[[#This Row],[Descuento]]</f>
        <v>4000</v>
      </c>
      <c r="I1237" s="34">
        <f>Ventas[[#This Row],[Total]]-Ventas[[#This Row],[Precio compra]]*Ventas[[#This Row],[Cantidad]]</f>
        <v>1602</v>
      </c>
      <c r="J1237" s="34"/>
      <c r="K1237" s="34">
        <f>Ventas[[#This Row],[Total]]*Ventas[[#This Row],[Total 3]]</f>
        <v>0</v>
      </c>
      <c r="L1237" s="34"/>
      <c r="M1237" s="34"/>
    </row>
    <row r="1238" spans="1:13">
      <c r="B1238" s="39" t="s">
        <v>558</v>
      </c>
      <c r="C1238" s="35" t="str">
        <f>VLOOKUP(Ventas[[#This Row],[Codigo]],Stock[#Data],2,FALSE)</f>
        <v>Maca Brew 500cc</v>
      </c>
      <c r="D1238" s="37">
        <f>VLOOKUP(Ventas[[#This Row],[Codigo]],Stock[#Data],4,FALSE)</f>
        <v>1000</v>
      </c>
      <c r="E1238" s="33">
        <f>VLOOKUP(Ventas[[#This Row],[Codigo]],Stock[#Data],3,FALSE)</f>
        <v>470</v>
      </c>
      <c r="F1238" s="38">
        <v>1</v>
      </c>
      <c r="G1238">
        <v>12</v>
      </c>
      <c r="H1238" s="36">
        <f>Ventas[[#This Row],[Precio Venta]]*Ventas[[#This Row],[Cantidad]]-Ventas[[#This Row],[Descuento]]</f>
        <v>1000</v>
      </c>
      <c r="I1238" s="34">
        <f>Ventas[[#This Row],[Total]]-Ventas[[#This Row],[Precio compra]]*Ventas[[#This Row],[Cantidad]]</f>
        <v>530</v>
      </c>
      <c r="J1238" s="34"/>
      <c r="K1238" s="34">
        <f>Ventas[[#This Row],[Total]]*Ventas[[#This Row],[Total 3]]</f>
        <v>0</v>
      </c>
      <c r="L1238" s="34"/>
      <c r="M1238" s="34"/>
    </row>
    <row r="1239" spans="1:13">
      <c r="B1239" s="39" t="s">
        <v>558</v>
      </c>
      <c r="C1239" s="35" t="str">
        <f>VLOOKUP(Ventas[[#This Row],[Codigo]],Stock[#Data],2,FALSE)</f>
        <v>VAMP Guano de murcielago Vegetativo</v>
      </c>
      <c r="D1239" s="37">
        <f>VLOOKUP(Ventas[[#This Row],[Codigo]],Stock[#Data],4,FALSE)</f>
        <v>1000</v>
      </c>
      <c r="E1239" s="33">
        <f>VLOOKUP(Ventas[[#This Row],[Codigo]],Stock[#Data],3,FALSE)</f>
        <v>510</v>
      </c>
      <c r="F1239" s="38">
        <v>1</v>
      </c>
      <c r="G1239">
        <v>37</v>
      </c>
      <c r="H1239" s="36">
        <f>Ventas[[#This Row],[Precio Venta]]*Ventas[[#This Row],[Cantidad]]-Ventas[[#This Row],[Descuento]]</f>
        <v>1000</v>
      </c>
      <c r="I1239" s="34">
        <f>Ventas[[#This Row],[Total]]-Ventas[[#This Row],[Precio compra]]*Ventas[[#This Row],[Cantidad]]</f>
        <v>490</v>
      </c>
      <c r="J1239" s="34"/>
      <c r="K1239" s="34">
        <f>Ventas[[#This Row],[Total]]*Ventas[[#This Row],[Total 3]]</f>
        <v>0</v>
      </c>
      <c r="L1239" s="34"/>
      <c r="M1239" s="34"/>
    </row>
    <row r="1240" spans="1:13">
      <c r="B1240" s="39" t="s">
        <v>558</v>
      </c>
      <c r="C1240" s="35" t="str">
        <f>VLOOKUP(Ventas[[#This Row],[Codigo]],Stock[#Data],2,FALSE)</f>
        <v xml:space="preserve">Tabaco Van Kiff American Blend </v>
      </c>
      <c r="D1240" s="37">
        <f>VLOOKUP(Ventas[[#This Row],[Codigo]],Stock[#Data],4,FALSE)</f>
        <v>850</v>
      </c>
      <c r="E1240" s="33">
        <f>VLOOKUP(Ventas[[#This Row],[Codigo]],Stock[#Data],3,FALSE)</f>
        <v>580</v>
      </c>
      <c r="F1240" s="38">
        <v>1</v>
      </c>
      <c r="G1240">
        <v>348</v>
      </c>
      <c r="H1240" s="36">
        <f>Ventas[[#This Row],[Precio Venta]]*Ventas[[#This Row],[Cantidad]]-Ventas[[#This Row],[Descuento]]</f>
        <v>850</v>
      </c>
      <c r="I1240" s="34">
        <f>Ventas[[#This Row],[Total]]-Ventas[[#This Row],[Precio compra]]*Ventas[[#This Row],[Cantidad]]</f>
        <v>270</v>
      </c>
      <c r="J1240" s="34"/>
      <c r="K1240" s="34">
        <f>Ventas[[#This Row],[Total]]*Ventas[[#This Row],[Total 3]]</f>
        <v>0</v>
      </c>
      <c r="L1240" s="34"/>
      <c r="M1240" s="34"/>
    </row>
    <row r="1241" spans="1:13">
      <c r="B1241" s="39" t="s">
        <v>558</v>
      </c>
      <c r="C1241" s="35" t="str">
        <f>VLOOKUP(Ventas[[#This Row],[Codigo]],Stock[#Data],2,FALSE)</f>
        <v>Melaza Respeta mi 4:20 250cc</v>
      </c>
      <c r="D1241" s="37">
        <f>VLOOKUP(Ventas[[#This Row],[Codigo]],Stock[#Data],4,FALSE)</f>
        <v>850</v>
      </c>
      <c r="E1241" s="33">
        <f>VLOOKUP(Ventas[[#This Row],[Codigo]],Stock[#Data],3,FALSE)</f>
        <v>437</v>
      </c>
      <c r="F1241" s="38">
        <v>1</v>
      </c>
      <c r="G1241">
        <v>10</v>
      </c>
      <c r="H1241" s="36">
        <f>Ventas[[#This Row],[Precio Venta]]*Ventas[[#This Row],[Cantidad]]-Ventas[[#This Row],[Descuento]]</f>
        <v>850</v>
      </c>
      <c r="I1241" s="34">
        <f>Ventas[[#This Row],[Total]]-Ventas[[#This Row],[Precio compra]]*Ventas[[#This Row],[Cantidad]]</f>
        <v>413</v>
      </c>
      <c r="J1241" s="34"/>
      <c r="K1241" s="34">
        <f>Ventas[[#This Row],[Total]]*Ventas[[#This Row],[Total 3]]</f>
        <v>0</v>
      </c>
      <c r="L1241" s="34"/>
      <c r="M1241" s="34"/>
    </row>
    <row r="1242" spans="1:13">
      <c r="B1242" s="39" t="s">
        <v>558</v>
      </c>
      <c r="C1242" s="35" t="str">
        <f>VLOOKUP(Ventas[[#This Row],[Codigo]],Stock[#Data],2,FALSE)</f>
        <v>Araña Roja Green Leaf 100ml</v>
      </c>
      <c r="D1242" s="37">
        <f>VLOOKUP(Ventas[[#This Row],[Codigo]],Stock[#Data],4,FALSE)</f>
        <v>1800</v>
      </c>
      <c r="E1242" s="33">
        <f>VLOOKUP(Ventas[[#This Row],[Codigo]],Stock[#Data],3,FALSE)</f>
        <v>904</v>
      </c>
      <c r="F1242" s="38">
        <v>1</v>
      </c>
      <c r="G1242">
        <v>470</v>
      </c>
      <c r="H1242" s="36">
        <f>Ventas[[#This Row],[Precio Venta]]*Ventas[[#This Row],[Cantidad]]-Ventas[[#This Row],[Descuento]]</f>
        <v>1800</v>
      </c>
      <c r="I1242" s="34">
        <f>Ventas[[#This Row],[Total]]-Ventas[[#This Row],[Precio compra]]*Ventas[[#This Row],[Cantidad]]</f>
        <v>896</v>
      </c>
      <c r="J1242" s="34"/>
      <c r="K1242" s="34">
        <f>Ventas[[#This Row],[Total]]*Ventas[[#This Row],[Total 3]]</f>
        <v>0</v>
      </c>
      <c r="L1242" s="34"/>
      <c r="M1242" s="34"/>
    </row>
    <row r="1243" spans="1:13">
      <c r="B1243" s="39" t="s">
        <v>558</v>
      </c>
      <c r="C1243" s="35" t="str">
        <f>VLOOKUP(Ventas[[#This Row],[Codigo]],Stock[#Data],2,FALSE)</f>
        <v>Picador STAMPS 3p Acrilico</v>
      </c>
      <c r="D1243" s="37">
        <f>VLOOKUP(Ventas[[#This Row],[Codigo]],Stock[#Data],4,FALSE)</f>
        <v>1000</v>
      </c>
      <c r="E1243" s="33">
        <f>VLOOKUP(Ventas[[#This Row],[Codigo]],Stock[#Data],3,FALSE)</f>
        <v>270</v>
      </c>
      <c r="F1243" s="38">
        <v>1</v>
      </c>
      <c r="G1243">
        <v>433</v>
      </c>
      <c r="H1243" s="36">
        <f>Ventas[[#This Row],[Precio Venta]]*Ventas[[#This Row],[Cantidad]]-Ventas[[#This Row],[Descuento]]</f>
        <v>1000</v>
      </c>
      <c r="I1243" s="34">
        <f>Ventas[[#This Row],[Total]]-Ventas[[#This Row],[Precio compra]]*Ventas[[#This Row],[Cantidad]]</f>
        <v>730</v>
      </c>
      <c r="J1243" s="34"/>
      <c r="K1243" s="34">
        <f>Ventas[[#This Row],[Total]]*Ventas[[#This Row],[Total 3]]</f>
        <v>0</v>
      </c>
      <c r="L1243" s="34"/>
      <c r="M1243" s="34"/>
    </row>
    <row r="1244" spans="1:13">
      <c r="B1244" s="39" t="s">
        <v>558</v>
      </c>
      <c r="C1244" s="35" t="str">
        <f>VLOOKUP(Ventas[[#This Row],[Codigo]],Stock[#Data],2,FALSE)</f>
        <v>Sedas Blunt Rey 1/4 celulosa Verde</v>
      </c>
      <c r="D1244" s="37">
        <f>VLOOKUP(Ventas[[#This Row],[Codigo]],Stock[#Data],4,FALSE)</f>
        <v>300</v>
      </c>
      <c r="E1244" s="33">
        <f>VLOOKUP(Ventas[[#This Row],[Codigo]],Stock[#Data],3,FALSE)</f>
        <v>135</v>
      </c>
      <c r="F1244" s="38">
        <v>1</v>
      </c>
      <c r="G1244">
        <v>72</v>
      </c>
      <c r="H1244" s="36">
        <f>Ventas[[#This Row],[Precio Venta]]*Ventas[[#This Row],[Cantidad]]-Ventas[[#This Row],[Descuento]]</f>
        <v>300</v>
      </c>
      <c r="I1244" s="34">
        <f>Ventas[[#This Row],[Total]]-Ventas[[#This Row],[Precio compra]]*Ventas[[#This Row],[Cantidad]]</f>
        <v>165</v>
      </c>
      <c r="J1244" s="34"/>
      <c r="K1244" s="34">
        <f>Ventas[[#This Row],[Total]]*Ventas[[#This Row],[Total 3]]</f>
        <v>0</v>
      </c>
      <c r="L1244" s="34"/>
      <c r="M1244" s="34"/>
    </row>
    <row r="1245" spans="1:13">
      <c r="B1245" s="39" t="s">
        <v>558</v>
      </c>
      <c r="C1245" s="35" t="str">
        <f>VLOOKUP(Ventas[[#This Row],[Codigo]],Stock[#Data],2,FALSE)</f>
        <v>Tips STAMPS ECO</v>
      </c>
      <c r="D1245" s="37">
        <f>VLOOKUP(Ventas[[#This Row],[Codigo]],Stock[#Data],4,FALSE)</f>
        <v>150</v>
      </c>
      <c r="E1245" s="33">
        <f>VLOOKUP(Ventas[[#This Row],[Codigo]],Stock[#Data],3,FALSE)</f>
        <v>73</v>
      </c>
      <c r="F1245" s="38">
        <v>1</v>
      </c>
      <c r="G1245">
        <v>308</v>
      </c>
      <c r="H1245" s="36">
        <f>Ventas[[#This Row],[Precio Venta]]*Ventas[[#This Row],[Cantidad]]-Ventas[[#This Row],[Descuento]]</f>
        <v>150</v>
      </c>
      <c r="I1245" s="34">
        <f>Ventas[[#This Row],[Total]]-Ventas[[#This Row],[Precio compra]]*Ventas[[#This Row],[Cantidad]]</f>
        <v>77</v>
      </c>
      <c r="J1245" s="34"/>
      <c r="K1245" s="34">
        <f>Ventas[[#This Row],[Total]]*Ventas[[#This Row],[Total 3]]</f>
        <v>0</v>
      </c>
      <c r="L1245" s="34"/>
      <c r="M1245" s="34"/>
    </row>
    <row r="1246" spans="1:13">
      <c r="B1246" s="39" t="s">
        <v>558</v>
      </c>
      <c r="C1246" s="35" t="str">
        <f>VLOOKUP(Ventas[[#This Row],[Codigo]],Stock[#Data],2,FALSE)</f>
        <v>Sedas OCB 1/4 Organic  Bamboo</v>
      </c>
      <c r="D1246" s="37">
        <f>VLOOKUP(Ventas[[#This Row],[Codigo]],Stock[#Data],4,FALSE)</f>
        <v>300</v>
      </c>
      <c r="E1246" s="33">
        <f>VLOOKUP(Ventas[[#This Row],[Codigo]],Stock[#Data],3,FALSE)</f>
        <v>165</v>
      </c>
      <c r="F1246" s="38">
        <v>1</v>
      </c>
      <c r="G1246">
        <v>77</v>
      </c>
      <c r="H1246" s="36">
        <f>Ventas[[#This Row],[Precio Venta]]*Ventas[[#This Row],[Cantidad]]-Ventas[[#This Row],[Descuento]]</f>
        <v>300</v>
      </c>
      <c r="I1246" s="34">
        <f>Ventas[[#This Row],[Total]]-Ventas[[#This Row],[Precio compra]]*Ventas[[#This Row],[Cantidad]]</f>
        <v>135</v>
      </c>
      <c r="J1246" s="34"/>
      <c r="K1246" s="34">
        <f>Ventas[[#This Row],[Total]]*Ventas[[#This Row],[Total 3]]</f>
        <v>0</v>
      </c>
      <c r="L1246" s="34"/>
      <c r="M1246" s="34"/>
    </row>
    <row r="1247" spans="1:13">
      <c r="B1247" s="39" t="s">
        <v>558</v>
      </c>
      <c r="C1247" s="35" t="str">
        <f>VLOOKUP(Ventas[[#This Row],[Codigo]],Stock[#Data],2,FALSE)</f>
        <v>TreeMIX PRO 200ml</v>
      </c>
      <c r="D1247" s="37">
        <f>VLOOKUP(Ventas[[#This Row],[Codigo]],Stock[#Data],4,FALSE)</f>
        <v>1500</v>
      </c>
      <c r="E1247" s="33">
        <f>VLOOKUP(Ventas[[#This Row],[Codigo]],Stock[#Data],3,FALSE)</f>
        <v>700</v>
      </c>
      <c r="F1247" s="38">
        <v>1</v>
      </c>
      <c r="G1247">
        <v>30</v>
      </c>
      <c r="H1247" s="36">
        <f>Ventas[[#This Row],[Precio Venta]]*Ventas[[#This Row],[Cantidad]]-Ventas[[#This Row],[Descuento]]</f>
        <v>1500</v>
      </c>
      <c r="I1247" s="34">
        <f>Ventas[[#This Row],[Total]]-Ventas[[#This Row],[Precio compra]]*Ventas[[#This Row],[Cantidad]]</f>
        <v>800</v>
      </c>
      <c r="J1247" s="34"/>
      <c r="K1247" s="34">
        <f>Ventas[[#This Row],[Total]]*Ventas[[#This Row],[Total 3]]</f>
        <v>0</v>
      </c>
      <c r="L1247" s="34"/>
      <c r="M1247" s="34"/>
    </row>
    <row r="1248" spans="1:13">
      <c r="B1248" s="39" t="s">
        <v>558</v>
      </c>
      <c r="C1248" s="35" t="str">
        <f>VLOOKUP(Ventas[[#This Row],[Codigo]],Stock[#Data],2,FALSE)</f>
        <v>gas butano clear 250cc</v>
      </c>
      <c r="D1248" s="37">
        <f>VLOOKUP(Ventas[[#This Row],[Codigo]],Stock[#Data],4,FALSE)</f>
        <v>1000</v>
      </c>
      <c r="E1248" s="33">
        <f>VLOOKUP(Ventas[[#This Row],[Codigo]],Stock[#Data],3,FALSE)</f>
        <v>425</v>
      </c>
      <c r="F1248" s="38">
        <v>1</v>
      </c>
      <c r="G1248">
        <v>358</v>
      </c>
      <c r="H1248" s="36">
        <f>Ventas[[#This Row],[Precio Venta]]*Ventas[[#This Row],[Cantidad]]-Ventas[[#This Row],[Descuento]]</f>
        <v>1000</v>
      </c>
      <c r="I1248" s="34">
        <f>Ventas[[#This Row],[Total]]-Ventas[[#This Row],[Precio compra]]*Ventas[[#This Row],[Cantidad]]</f>
        <v>575</v>
      </c>
      <c r="J1248" s="34"/>
      <c r="K1248" s="34">
        <f>Ventas[[#This Row],[Total]]*Ventas[[#This Row],[Total 3]]</f>
        <v>0</v>
      </c>
      <c r="L1248" s="34"/>
      <c r="M1248" s="34"/>
    </row>
    <row r="1249" spans="2:13">
      <c r="B1249" s="39" t="s">
        <v>558</v>
      </c>
      <c r="C1249" s="35" t="str">
        <f>VLOOKUP(Ventas[[#This Row],[Codigo]],Stock[#Data],2,FALSE)</f>
        <v>Sustrato Perlita</v>
      </c>
      <c r="D1249" s="37">
        <f>VLOOKUP(Ventas[[#This Row],[Codigo]],Stock[#Data],4,FALSE)</f>
        <v>800</v>
      </c>
      <c r="E1249" s="33">
        <f>VLOOKUP(Ventas[[#This Row],[Codigo]],Stock[#Data],3,FALSE)</f>
        <v>400</v>
      </c>
      <c r="F1249" s="38">
        <v>5</v>
      </c>
      <c r="G1249">
        <v>52</v>
      </c>
      <c r="H1249" s="36">
        <f>Ventas[[#This Row],[Precio Venta]]*Ventas[[#This Row],[Cantidad]]-Ventas[[#This Row],[Descuento]]</f>
        <v>4000</v>
      </c>
      <c r="I1249" s="34">
        <f>Ventas[[#This Row],[Total]]-Ventas[[#This Row],[Precio compra]]*Ventas[[#This Row],[Cantidad]]</f>
        <v>2000</v>
      </c>
      <c r="J1249" s="34"/>
      <c r="K1249" s="34">
        <f>Ventas[[#This Row],[Total]]*Ventas[[#This Row],[Total 3]]</f>
        <v>0</v>
      </c>
      <c r="L1249" s="34"/>
      <c r="M1249" s="34"/>
    </row>
    <row r="1250" spans="2:13">
      <c r="B1250" s="39" t="s">
        <v>558</v>
      </c>
      <c r="C1250" s="35" t="str">
        <f>VLOOKUP(Ventas[[#This Row],[Codigo]],Stock[#Data],2,FALSE)</f>
        <v>Tips Rok Organic</v>
      </c>
      <c r="D1250" s="37">
        <f>VLOOKUP(Ventas[[#This Row],[Codigo]],Stock[#Data],4,FALSE)</f>
        <v>100</v>
      </c>
      <c r="E1250" s="33">
        <f>VLOOKUP(Ventas[[#This Row],[Codigo]],Stock[#Data],3,FALSE)</f>
        <v>50</v>
      </c>
      <c r="F1250" s="38">
        <v>1</v>
      </c>
      <c r="G1250">
        <v>96</v>
      </c>
      <c r="H1250" s="36">
        <f>Ventas[[#This Row],[Precio Venta]]*Ventas[[#This Row],[Cantidad]]-Ventas[[#This Row],[Descuento]]</f>
        <v>100</v>
      </c>
      <c r="I1250" s="34">
        <f>Ventas[[#This Row],[Total]]-Ventas[[#This Row],[Precio compra]]*Ventas[[#This Row],[Cantidad]]</f>
        <v>50</v>
      </c>
      <c r="J1250" s="34"/>
      <c r="K1250" s="34">
        <f>Ventas[[#This Row],[Total]]*Ventas[[#This Row],[Total 3]]</f>
        <v>0</v>
      </c>
      <c r="L1250" s="34"/>
      <c r="M1250" s="34"/>
    </row>
    <row r="1251" spans="2:13">
      <c r="B1251" s="39" t="s">
        <v>558</v>
      </c>
      <c r="C1251" s="35" t="str">
        <f>VLOOKUP(Ventas[[#This Row],[Codigo]],Stock[#Data],2,FALSE)</f>
        <v xml:space="preserve"> Blunt Wrap Purple</v>
      </c>
      <c r="D1251" s="37">
        <f>VLOOKUP(Ventas[[#This Row],[Codigo]],Stock[#Data],4,FALSE)</f>
        <v>500</v>
      </c>
      <c r="E1251" s="33">
        <f>VLOOKUP(Ventas[[#This Row],[Codigo]],Stock[#Data],3,FALSE)</f>
        <v>225</v>
      </c>
      <c r="F1251" s="38">
        <v>1</v>
      </c>
      <c r="G1251">
        <v>101</v>
      </c>
      <c r="H1251" s="36">
        <f>Ventas[[#This Row],[Precio Venta]]*Ventas[[#This Row],[Cantidad]]-Ventas[[#This Row],[Descuento]]</f>
        <v>500</v>
      </c>
      <c r="I1251" s="34">
        <f>Ventas[[#This Row],[Total]]-Ventas[[#This Row],[Precio compra]]*Ventas[[#This Row],[Cantidad]]</f>
        <v>275</v>
      </c>
      <c r="J1251" s="34"/>
      <c r="K1251" s="34">
        <f>Ventas[[#This Row],[Total]]*Ventas[[#This Row],[Total 3]]</f>
        <v>0</v>
      </c>
      <c r="L1251" s="34"/>
      <c r="M1251" s="34"/>
    </row>
    <row r="1252" spans="2:13">
      <c r="B1252" s="39" t="s">
        <v>551</v>
      </c>
      <c r="C1252" s="35" t="str">
        <f>VLOOKUP(Ventas[[#This Row],[Codigo]],Stock[#Data],2,FALSE)</f>
        <v>Triple 15 Landiner</v>
      </c>
      <c r="D1252" s="37">
        <f>VLOOKUP(Ventas[[#This Row],[Codigo]],Stock[#Data],4,FALSE)</f>
        <v>700</v>
      </c>
      <c r="E1252" s="33">
        <f>VLOOKUP(Ventas[[#This Row],[Codigo]],Stock[#Data],3,FALSE)</f>
        <v>350</v>
      </c>
      <c r="F1252" s="38">
        <v>1</v>
      </c>
      <c r="G1252">
        <v>341</v>
      </c>
      <c r="H1252" s="36">
        <f>Ventas[[#This Row],[Precio Venta]]*Ventas[[#This Row],[Cantidad]]-Ventas[[#This Row],[Descuento]]</f>
        <v>700</v>
      </c>
      <c r="I1252" s="34">
        <f>Ventas[[#This Row],[Total]]-Ventas[[#This Row],[Precio compra]]*Ventas[[#This Row],[Cantidad]]</f>
        <v>350</v>
      </c>
      <c r="J1252" s="34"/>
      <c r="K1252" s="34">
        <f>Ventas[[#This Row],[Total]]*Ventas[[#This Row],[Total 3]]</f>
        <v>0</v>
      </c>
      <c r="L1252" s="34"/>
      <c r="M1252" s="34"/>
    </row>
    <row r="1253" spans="2:13">
      <c r="B1253" s="39" t="s">
        <v>551</v>
      </c>
      <c r="C1253" s="35" t="str">
        <f>VLOOKUP(Ventas[[#This Row],[Codigo]],Stock[#Data],2,FALSE)</f>
        <v>Tabaco Van Kiff Chocolate</v>
      </c>
      <c r="D1253" s="37">
        <f>VLOOKUP(Ventas[[#This Row],[Codigo]],Stock[#Data],4,FALSE)</f>
        <v>850</v>
      </c>
      <c r="E1253" s="33">
        <f>VLOOKUP(Ventas[[#This Row],[Codigo]],Stock[#Data],3,FALSE)</f>
        <v>580</v>
      </c>
      <c r="F1253" s="38">
        <v>1</v>
      </c>
      <c r="G1253">
        <v>119</v>
      </c>
      <c r="H1253" s="36">
        <f>Ventas[[#This Row],[Precio Venta]]*Ventas[[#This Row],[Cantidad]]-Ventas[[#This Row],[Descuento]]</f>
        <v>850</v>
      </c>
      <c r="I1253" s="34">
        <f>Ventas[[#This Row],[Total]]-Ventas[[#This Row],[Precio compra]]*Ventas[[#This Row],[Cantidad]]</f>
        <v>270</v>
      </c>
      <c r="J1253" s="34"/>
      <c r="K1253" s="34">
        <f>Ventas[[#This Row],[Total]]*Ventas[[#This Row],[Total 3]]</f>
        <v>0</v>
      </c>
      <c r="L1253" s="34"/>
      <c r="M1253" s="34"/>
    </row>
    <row r="1254" spans="2:13">
      <c r="B1254" s="39" t="s">
        <v>551</v>
      </c>
      <c r="C1254" s="35" t="str">
        <f>VLOOKUP(Ventas[[#This Row],[Codigo]],Stock[#Data],2,FALSE)</f>
        <v xml:space="preserve">Van kiff Menta </v>
      </c>
      <c r="D1254" s="37">
        <f>VLOOKUP(Ventas[[#This Row],[Codigo]],Stock[#Data],4,FALSE)</f>
        <v>850</v>
      </c>
      <c r="E1254" s="33">
        <f>VLOOKUP(Ventas[[#This Row],[Codigo]],Stock[#Data],3,FALSE)</f>
        <v>580</v>
      </c>
      <c r="F1254" s="38">
        <v>1</v>
      </c>
      <c r="G1254">
        <v>400</v>
      </c>
      <c r="H1254" s="36">
        <f>Ventas[[#This Row],[Precio Venta]]*Ventas[[#This Row],[Cantidad]]-Ventas[[#This Row],[Descuento]]</f>
        <v>850</v>
      </c>
      <c r="I1254" s="34">
        <f>Ventas[[#This Row],[Total]]-Ventas[[#This Row],[Precio compra]]*Ventas[[#This Row],[Cantidad]]</f>
        <v>270</v>
      </c>
      <c r="J1254" s="34"/>
      <c r="K1254" s="34">
        <f>Ventas[[#This Row],[Total]]*Ventas[[#This Row],[Total 3]]</f>
        <v>0</v>
      </c>
      <c r="L1254" s="34"/>
      <c r="M1254" s="34"/>
    </row>
    <row r="1255" spans="2:13">
      <c r="B1255" s="39" t="s">
        <v>551</v>
      </c>
      <c r="C1255" s="35" t="str">
        <f>VLOOKUP(Ventas[[#This Row],[Codigo]],Stock[#Data],2,FALSE)</f>
        <v>Sauver XL</v>
      </c>
      <c r="D1255" s="37">
        <f>VLOOKUP(Ventas[[#This Row],[Codigo]],Stock[#Data],4,FALSE)</f>
        <v>200</v>
      </c>
      <c r="E1255" s="33">
        <f>VLOOKUP(Ventas[[#This Row],[Codigo]],Stock[#Data],3,FALSE)</f>
        <v>65</v>
      </c>
      <c r="F1255" s="38">
        <v>3</v>
      </c>
      <c r="G1255">
        <v>529</v>
      </c>
      <c r="H1255" s="36">
        <f>Ventas[[#This Row],[Precio Venta]]*Ventas[[#This Row],[Cantidad]]-Ventas[[#This Row],[Descuento]]</f>
        <v>600</v>
      </c>
      <c r="I1255" s="34">
        <f>Ventas[[#This Row],[Total]]-Ventas[[#This Row],[Precio compra]]*Ventas[[#This Row],[Cantidad]]</f>
        <v>405</v>
      </c>
      <c r="J1255" s="34"/>
      <c r="K1255" s="34">
        <f>Ventas[[#This Row],[Total]]*Ventas[[#This Row],[Total 3]]</f>
        <v>0</v>
      </c>
      <c r="L1255" s="34"/>
      <c r="M1255" s="34"/>
    </row>
    <row r="1256" spans="2:13">
      <c r="B1256" s="39" t="s">
        <v>551</v>
      </c>
      <c r="C1256" s="35" t="str">
        <f>VLOOKUP(Ventas[[#This Row],[Codigo]],Stock[#Data],2,FALSE)</f>
        <v>BioEnergy Trichodermas</v>
      </c>
      <c r="D1256" s="37">
        <f>VLOOKUP(Ventas[[#This Row],[Codigo]],Stock[#Data],4,FALSE)</f>
        <v>700</v>
      </c>
      <c r="E1256" s="33">
        <f>VLOOKUP(Ventas[[#This Row],[Codigo]],Stock[#Data],3,FALSE)</f>
        <v>350</v>
      </c>
      <c r="F1256" s="38">
        <v>1</v>
      </c>
      <c r="G1256">
        <v>47</v>
      </c>
      <c r="H1256" s="36">
        <f>Ventas[[#This Row],[Precio Venta]]*Ventas[[#This Row],[Cantidad]]-Ventas[[#This Row],[Descuento]]</f>
        <v>700</v>
      </c>
      <c r="I1256" s="34">
        <f>Ventas[[#This Row],[Total]]-Ventas[[#This Row],[Precio compra]]*Ventas[[#This Row],[Cantidad]]</f>
        <v>350</v>
      </c>
      <c r="J1256" s="34"/>
      <c r="K1256" s="34">
        <f>Ventas[[#This Row],[Total]]*Ventas[[#This Row],[Total 3]]</f>
        <v>0</v>
      </c>
      <c r="L1256" s="34"/>
      <c r="M1256" s="34"/>
    </row>
    <row r="1257" spans="2:13">
      <c r="B1257" s="39" t="s">
        <v>551</v>
      </c>
      <c r="C1257" s="35" t="str">
        <f>VLOOKUP(Ventas[[#This Row],[Codigo]],Stock[#Data],2,FALSE)</f>
        <v>TreeMIX F 200ml</v>
      </c>
      <c r="D1257" s="37">
        <f>VLOOKUP(Ventas[[#This Row],[Codigo]],Stock[#Data],4,FALSE)</f>
        <v>1400</v>
      </c>
      <c r="E1257" s="33">
        <f>VLOOKUP(Ventas[[#This Row],[Codigo]],Stock[#Data],3,FALSE)</f>
        <v>715</v>
      </c>
      <c r="F1257" s="38">
        <v>1</v>
      </c>
      <c r="G1257">
        <v>32</v>
      </c>
      <c r="H1257" s="36">
        <f>Ventas[[#This Row],[Precio Venta]]*Ventas[[#This Row],[Cantidad]]-Ventas[[#This Row],[Descuento]]</f>
        <v>1400</v>
      </c>
      <c r="I1257" s="34">
        <f>Ventas[[#This Row],[Total]]-Ventas[[#This Row],[Precio compra]]*Ventas[[#This Row],[Cantidad]]</f>
        <v>685</v>
      </c>
      <c r="J1257" s="34"/>
      <c r="K1257" s="34">
        <f>Ventas[[#This Row],[Total]]*Ventas[[#This Row],[Total 3]]</f>
        <v>0</v>
      </c>
      <c r="L1257" s="34"/>
      <c r="M1257" s="34"/>
    </row>
    <row r="1258" spans="2:13">
      <c r="B1258" s="39" t="s">
        <v>551</v>
      </c>
      <c r="C1258" s="35" t="str">
        <f>VLOOKUP(Ventas[[#This Row],[Codigo]],Stock[#Data],2,FALSE)</f>
        <v>CropSecret 250ml Candy Maker</v>
      </c>
      <c r="D1258" s="37">
        <f>VLOOKUP(Ventas[[#This Row],[Codigo]],Stock[#Data],4,FALSE)</f>
        <v>2000</v>
      </c>
      <c r="E1258" s="33">
        <f>VLOOKUP(Ventas[[#This Row],[Codigo]],Stock[#Data],3,FALSE)</f>
        <v>707</v>
      </c>
      <c r="F1258" s="38">
        <v>1</v>
      </c>
      <c r="G1258">
        <v>5</v>
      </c>
      <c r="H1258" s="36">
        <f>Ventas[[#This Row],[Precio Venta]]*Ventas[[#This Row],[Cantidad]]-Ventas[[#This Row],[Descuento]]</f>
        <v>2000</v>
      </c>
      <c r="I1258" s="34">
        <f>Ventas[[#This Row],[Total]]-Ventas[[#This Row],[Precio compra]]*Ventas[[#This Row],[Cantidad]]</f>
        <v>1293</v>
      </c>
      <c r="J1258" s="34"/>
      <c r="K1258" s="34">
        <f>Ventas[[#This Row],[Total]]*Ventas[[#This Row],[Total 3]]</f>
        <v>0</v>
      </c>
      <c r="L1258" s="34"/>
      <c r="M1258" s="34"/>
    </row>
    <row r="1259" spans="2:13">
      <c r="B1259" s="39" t="s">
        <v>551</v>
      </c>
      <c r="C1259" s="35" t="str">
        <f>VLOOKUP(Ventas[[#This Row],[Codigo]],Stock[#Data],2,FALSE)</f>
        <v>Namaste Flora Booster 500ml</v>
      </c>
      <c r="D1259" s="37">
        <f>VLOOKUP(Ventas[[#This Row],[Codigo]],Stock[#Data],4,FALSE)</f>
        <v>2500</v>
      </c>
      <c r="E1259" s="33">
        <f>VLOOKUP(Ventas[[#This Row],[Codigo]],Stock[#Data],3,FALSE)</f>
        <v>1377</v>
      </c>
      <c r="F1259" s="38">
        <v>1</v>
      </c>
      <c r="G1259">
        <v>496</v>
      </c>
      <c r="H1259" s="36">
        <f>Ventas[[#This Row],[Precio Venta]]*Ventas[[#This Row],[Cantidad]]-Ventas[[#This Row],[Descuento]]</f>
        <v>2500</v>
      </c>
      <c r="I1259" s="34">
        <f>Ventas[[#This Row],[Total]]-Ventas[[#This Row],[Precio compra]]*Ventas[[#This Row],[Cantidad]]</f>
        <v>1123</v>
      </c>
      <c r="J1259" s="34"/>
      <c r="K1259" s="34">
        <f>Ventas[[#This Row],[Total]]*Ventas[[#This Row],[Total 3]]</f>
        <v>0</v>
      </c>
      <c r="L1259" s="34"/>
      <c r="M1259" s="34"/>
    </row>
    <row r="1260" spans="2:13">
      <c r="B1260" s="39" t="s">
        <v>551</v>
      </c>
      <c r="C1260" s="35" t="str">
        <f>VLOOKUP(Ventas[[#This Row],[Codigo]],Stock[#Data],2,FALSE)</f>
        <v>Picador STAMPS 3p Acrilico</v>
      </c>
      <c r="D1260" s="37">
        <f>VLOOKUP(Ventas[[#This Row],[Codigo]],Stock[#Data],4,FALSE)</f>
        <v>1000</v>
      </c>
      <c r="E1260" s="33">
        <f>VLOOKUP(Ventas[[#This Row],[Codigo]],Stock[#Data],3,FALSE)</f>
        <v>270</v>
      </c>
      <c r="F1260" s="38">
        <v>1</v>
      </c>
      <c r="G1260">
        <v>433</v>
      </c>
      <c r="H1260" s="36">
        <f>Ventas[[#This Row],[Precio Venta]]*Ventas[[#This Row],[Cantidad]]-Ventas[[#This Row],[Descuento]]</f>
        <v>1000</v>
      </c>
      <c r="I1260" s="34">
        <f>Ventas[[#This Row],[Total]]-Ventas[[#This Row],[Precio compra]]*Ventas[[#This Row],[Cantidad]]</f>
        <v>730</v>
      </c>
      <c r="J1260" s="34"/>
      <c r="K1260" s="34">
        <f>Ventas[[#This Row],[Total]]*Ventas[[#This Row],[Total 3]]</f>
        <v>0</v>
      </c>
      <c r="L1260" s="34"/>
      <c r="M1260" s="34"/>
    </row>
    <row r="1261" spans="2:13">
      <c r="B1261" s="39" t="s">
        <v>551</v>
      </c>
      <c r="C1261" s="35" t="str">
        <f>VLOOKUP(Ventas[[#This Row],[Codigo]],Stock[#Data],2,FALSE)</f>
        <v>Tips Lion Unbleached</v>
      </c>
      <c r="D1261" s="37">
        <f>VLOOKUP(Ventas[[#This Row],[Codigo]],Stock[#Data],4,FALSE)</f>
        <v>250</v>
      </c>
      <c r="E1261" s="33">
        <f>VLOOKUP(Ventas[[#This Row],[Codigo]],Stock[#Data],3,FALSE)</f>
        <v>137</v>
      </c>
      <c r="F1261" s="38">
        <v>1</v>
      </c>
      <c r="G1261">
        <v>458</v>
      </c>
      <c r="H1261" s="36">
        <f>Ventas[[#This Row],[Precio Venta]]*Ventas[[#This Row],[Cantidad]]-Ventas[[#This Row],[Descuento]]</f>
        <v>250</v>
      </c>
      <c r="I1261" s="34">
        <f>Ventas[[#This Row],[Total]]-Ventas[[#This Row],[Precio compra]]*Ventas[[#This Row],[Cantidad]]</f>
        <v>113</v>
      </c>
      <c r="J1261" s="34"/>
      <c r="K1261" s="34">
        <f>Ventas[[#This Row],[Total]]*Ventas[[#This Row],[Total 3]]</f>
        <v>0</v>
      </c>
      <c r="L1261" s="34"/>
      <c r="M1261" s="34"/>
    </row>
    <row r="1262" spans="2:13">
      <c r="B1262" s="39" t="s">
        <v>551</v>
      </c>
      <c r="C1262" s="35" t="str">
        <f>VLOOKUP(Ventas[[#This Row],[Codigo]],Stock[#Data],2,FALSE)</f>
        <v xml:space="preserve">Tabaco Van Kiff American Blend </v>
      </c>
      <c r="D1262" s="37">
        <f>VLOOKUP(Ventas[[#This Row],[Codigo]],Stock[#Data],4,FALSE)</f>
        <v>850</v>
      </c>
      <c r="E1262" s="33">
        <f>VLOOKUP(Ventas[[#This Row],[Codigo]],Stock[#Data],3,FALSE)</f>
        <v>580</v>
      </c>
      <c r="F1262" s="38">
        <v>1</v>
      </c>
      <c r="G1262">
        <v>348</v>
      </c>
      <c r="H1262" s="36">
        <f>Ventas[[#This Row],[Precio Venta]]*Ventas[[#This Row],[Cantidad]]-Ventas[[#This Row],[Descuento]]</f>
        <v>850</v>
      </c>
      <c r="I1262" s="34">
        <f>Ventas[[#This Row],[Total]]-Ventas[[#This Row],[Precio compra]]*Ventas[[#This Row],[Cantidad]]</f>
        <v>270</v>
      </c>
      <c r="J1262" s="34"/>
      <c r="K1262" s="34">
        <f>Ventas[[#This Row],[Total]]*Ventas[[#This Row],[Total 3]]</f>
        <v>0</v>
      </c>
      <c r="L1262" s="34"/>
      <c r="M1262" s="34"/>
    </row>
    <row r="1263" spans="2:13">
      <c r="B1263" s="39" t="s">
        <v>551</v>
      </c>
      <c r="C1263" s="35" t="str">
        <f>VLOOKUP(Ventas[[#This Row],[Codigo]],Stock[#Data],2,FALSE)</f>
        <v>TreeMIX KILL MIX 200ml</v>
      </c>
      <c r="D1263" s="37">
        <f>VLOOKUP(Ventas[[#This Row],[Codigo]],Stock[#Data],4,FALSE)</f>
        <v>1500</v>
      </c>
      <c r="E1263" s="33">
        <f>VLOOKUP(Ventas[[#This Row],[Codigo]],Stock[#Data],3,FALSE)</f>
        <v>715</v>
      </c>
      <c r="F1263" s="38">
        <v>1</v>
      </c>
      <c r="G1263">
        <v>35</v>
      </c>
      <c r="H1263" s="36">
        <f>Ventas[[#This Row],[Precio Venta]]*Ventas[[#This Row],[Cantidad]]-Ventas[[#This Row],[Descuento]]</f>
        <v>1500</v>
      </c>
      <c r="I1263" s="34">
        <f>Ventas[[#This Row],[Total]]-Ventas[[#This Row],[Precio compra]]*Ventas[[#This Row],[Cantidad]]</f>
        <v>785</v>
      </c>
      <c r="J1263" s="34"/>
      <c r="K1263" s="34">
        <f>Ventas[[#This Row],[Total]]*Ventas[[#This Row],[Total 3]]</f>
        <v>0</v>
      </c>
      <c r="L1263" s="34"/>
      <c r="M1263" s="34"/>
    </row>
    <row r="1264" spans="2:13">
      <c r="B1264" s="39" t="s">
        <v>551</v>
      </c>
      <c r="C1264" s="35" t="str">
        <f>VLOOKUP(Ventas[[#This Row],[Codigo]],Stock[#Data],2,FALSE)</f>
        <v>TreeMIX A 200ml</v>
      </c>
      <c r="D1264" s="37">
        <f>VLOOKUP(Ventas[[#This Row],[Codigo]],Stock[#Data],4,FALSE)</f>
        <v>1400</v>
      </c>
      <c r="E1264" s="33">
        <f>VLOOKUP(Ventas[[#This Row],[Codigo]],Stock[#Data],3,FALSE)</f>
        <v>700</v>
      </c>
      <c r="F1264" s="38">
        <v>1</v>
      </c>
      <c r="G1264">
        <v>31</v>
      </c>
      <c r="H1264" s="36">
        <f>Ventas[[#This Row],[Precio Venta]]*Ventas[[#This Row],[Cantidad]]-Ventas[[#This Row],[Descuento]]</f>
        <v>1400</v>
      </c>
      <c r="I1264" s="34">
        <f>Ventas[[#This Row],[Total]]-Ventas[[#This Row],[Precio compra]]*Ventas[[#This Row],[Cantidad]]</f>
        <v>700</v>
      </c>
      <c r="J1264" s="34"/>
      <c r="K1264" s="34">
        <f>Ventas[[#This Row],[Total]]*Ventas[[#This Row],[Total 3]]</f>
        <v>0</v>
      </c>
      <c r="L1264" s="34"/>
      <c r="M1264" s="34"/>
    </row>
    <row r="1265" spans="2:13">
      <c r="B1265" s="39" t="s">
        <v>551</v>
      </c>
      <c r="C1265" s="35" t="str">
        <f>VLOOKUP(Ventas[[#This Row],[Codigo]],Stock[#Data],2,FALSE)</f>
        <v>Sedas Blunt Rey Kz celulosa Orange</v>
      </c>
      <c r="D1265" s="37">
        <f>VLOOKUP(Ventas[[#This Row],[Codigo]],Stock[#Data],4,FALSE)</f>
        <v>400</v>
      </c>
      <c r="E1265" s="33">
        <f>VLOOKUP(Ventas[[#This Row],[Codigo]],Stock[#Data],3,FALSE)</f>
        <v>167</v>
      </c>
      <c r="F1265" s="38">
        <v>1</v>
      </c>
      <c r="G1265">
        <v>68</v>
      </c>
      <c r="H1265" s="36">
        <f>Ventas[[#This Row],[Precio Venta]]*Ventas[[#This Row],[Cantidad]]-Ventas[[#This Row],[Descuento]]</f>
        <v>400</v>
      </c>
      <c r="I1265" s="34">
        <f>Ventas[[#This Row],[Total]]-Ventas[[#This Row],[Precio compra]]*Ventas[[#This Row],[Cantidad]]</f>
        <v>233</v>
      </c>
      <c r="J1265" s="34"/>
      <c r="K1265" s="34">
        <f>Ventas[[#This Row],[Total]]*Ventas[[#This Row],[Total 3]]</f>
        <v>0</v>
      </c>
      <c r="L1265" s="34"/>
      <c r="M1265" s="34"/>
    </row>
    <row r="1266" spans="2:13">
      <c r="B1266" s="39" t="s">
        <v>551</v>
      </c>
      <c r="C1266" s="35" t="str">
        <f>VLOOKUP(Ventas[[#This Row],[Codigo]],Stock[#Data],2,FALSE)</f>
        <v>Porta porros 420</v>
      </c>
      <c r="D1266" s="37">
        <f>VLOOKUP(Ventas[[#This Row],[Codigo]],Stock[#Data],4,FALSE)</f>
        <v>200</v>
      </c>
      <c r="E1266" s="33">
        <f>VLOOKUP(Ventas[[#This Row],[Codigo]],Stock[#Data],3,FALSE)</f>
        <v>73</v>
      </c>
      <c r="F1266" s="38">
        <v>2</v>
      </c>
      <c r="G1266">
        <v>421</v>
      </c>
      <c r="H1266" s="36">
        <f>Ventas[[#This Row],[Precio Venta]]*Ventas[[#This Row],[Cantidad]]-Ventas[[#This Row],[Descuento]]</f>
        <v>400</v>
      </c>
      <c r="I1266" s="34">
        <f>Ventas[[#This Row],[Total]]-Ventas[[#This Row],[Precio compra]]*Ventas[[#This Row],[Cantidad]]</f>
        <v>254</v>
      </c>
      <c r="J1266" s="34"/>
      <c r="K1266" s="34">
        <f>Ventas[[#This Row],[Total]]*Ventas[[#This Row],[Total 3]]</f>
        <v>0</v>
      </c>
      <c r="L1266" s="34"/>
      <c r="M1266" s="34"/>
    </row>
    <row r="1267" spans="2:13">
      <c r="B1267" s="39" t="s">
        <v>551</v>
      </c>
      <c r="C1267" s="35" t="str">
        <f>VLOOKUP(Ventas[[#This Row],[Codigo]],Stock[#Data],2,FALSE)</f>
        <v>Sedas OCB 1/4 Organic  Bamboo</v>
      </c>
      <c r="D1267" s="37">
        <f>VLOOKUP(Ventas[[#This Row],[Codigo]],Stock[#Data],4,FALSE)</f>
        <v>300</v>
      </c>
      <c r="E1267" s="33">
        <f>VLOOKUP(Ventas[[#This Row],[Codigo]],Stock[#Data],3,FALSE)</f>
        <v>165</v>
      </c>
      <c r="F1267" s="38">
        <v>1</v>
      </c>
      <c r="G1267">
        <v>77</v>
      </c>
      <c r="H1267" s="36">
        <f>Ventas[[#This Row],[Precio Venta]]*Ventas[[#This Row],[Cantidad]]-Ventas[[#This Row],[Descuento]]</f>
        <v>300</v>
      </c>
      <c r="I1267" s="34">
        <f>Ventas[[#This Row],[Total]]-Ventas[[#This Row],[Precio compra]]*Ventas[[#This Row],[Cantidad]]</f>
        <v>135</v>
      </c>
      <c r="J1267" s="34"/>
      <c r="K1267" s="34">
        <f>Ventas[[#This Row],[Total]]*Ventas[[#This Row],[Total 3]]</f>
        <v>0</v>
      </c>
      <c r="L1267" s="34"/>
      <c r="M1267" s="34"/>
    </row>
    <row r="1268" spans="2:13">
      <c r="B1268" s="39" t="s">
        <v>551</v>
      </c>
      <c r="C1268" s="35" t="str">
        <f>VLOOKUP(Ventas[[#This Row],[Codigo]],Stock[#Data],2,FALSE)</f>
        <v xml:space="preserve">Bong Calavera pirex </v>
      </c>
      <c r="D1268" s="37">
        <f>VLOOKUP(Ventas[[#This Row],[Codigo]],Stock[#Data],4,FALSE)</f>
        <v>12000</v>
      </c>
      <c r="E1268" s="33">
        <f>VLOOKUP(Ventas[[#This Row],[Codigo]],Stock[#Data],3,FALSE)</f>
        <v>7274</v>
      </c>
      <c r="F1268" s="38">
        <v>1</v>
      </c>
      <c r="G1268">
        <v>174</v>
      </c>
      <c r="H1268" s="36">
        <f>Ventas[[#This Row],[Precio Venta]]*Ventas[[#This Row],[Cantidad]]-Ventas[[#This Row],[Descuento]]</f>
        <v>12000</v>
      </c>
      <c r="I1268" s="34">
        <f>Ventas[[#This Row],[Total]]-Ventas[[#This Row],[Precio compra]]*Ventas[[#This Row],[Cantidad]]</f>
        <v>4726</v>
      </c>
      <c r="J1268" s="34"/>
      <c r="K1268" s="34">
        <f>Ventas[[#This Row],[Total]]*Ventas[[#This Row],[Total 3]]</f>
        <v>0</v>
      </c>
      <c r="L1268" s="34"/>
      <c r="M1268" s="34"/>
    </row>
    <row r="1269" spans="2:13">
      <c r="B1269" s="39" t="s">
        <v>551</v>
      </c>
      <c r="C1269" s="35" t="str">
        <f>VLOOKUP(Ventas[[#This Row],[Codigo]],Stock[#Data],2,FALSE)</f>
        <v>TreeMIX N 200ml</v>
      </c>
      <c r="D1269" s="37">
        <f>VLOOKUP(Ventas[[#This Row],[Codigo]],Stock[#Data],4,FALSE)</f>
        <v>1400</v>
      </c>
      <c r="E1269" s="33">
        <f>VLOOKUP(Ventas[[#This Row],[Codigo]],Stock[#Data],3,FALSE)</f>
        <v>650</v>
      </c>
      <c r="F1269" s="38">
        <v>1</v>
      </c>
      <c r="G1269">
        <v>33</v>
      </c>
      <c r="H1269" s="36">
        <f>Ventas[[#This Row],[Precio Venta]]*Ventas[[#This Row],[Cantidad]]-Ventas[[#This Row],[Descuento]]</f>
        <v>1400</v>
      </c>
      <c r="I1269" s="34">
        <f>Ventas[[#This Row],[Total]]-Ventas[[#This Row],[Precio compra]]*Ventas[[#This Row],[Cantidad]]</f>
        <v>750</v>
      </c>
      <c r="J1269" s="34"/>
      <c r="K1269" s="34">
        <f>Ventas[[#This Row],[Total]]*Ventas[[#This Row],[Total 3]]</f>
        <v>0</v>
      </c>
      <c r="L1269" s="34"/>
      <c r="M1269" s="34"/>
    </row>
    <row r="1270" spans="2:13">
      <c r="B1270" s="39" t="s">
        <v>551</v>
      </c>
      <c r="C1270" s="35" t="str">
        <f>VLOOKUP(Ventas[[#This Row],[Codigo]],Stock[#Data],2,FALSE)</f>
        <v>TreeMIX A 200ml</v>
      </c>
      <c r="D1270" s="37">
        <f>VLOOKUP(Ventas[[#This Row],[Codigo]],Stock[#Data],4,FALSE)</f>
        <v>1400</v>
      </c>
      <c r="E1270" s="33">
        <f>VLOOKUP(Ventas[[#This Row],[Codigo]],Stock[#Data],3,FALSE)</f>
        <v>700</v>
      </c>
      <c r="F1270" s="38">
        <v>1</v>
      </c>
      <c r="G1270">
        <v>31</v>
      </c>
      <c r="H1270" s="36">
        <f>Ventas[[#This Row],[Precio Venta]]*Ventas[[#This Row],[Cantidad]]-Ventas[[#This Row],[Descuento]]</f>
        <v>1400</v>
      </c>
      <c r="I1270" s="34">
        <f>Ventas[[#This Row],[Total]]-Ventas[[#This Row],[Precio compra]]*Ventas[[#This Row],[Cantidad]]</f>
        <v>700</v>
      </c>
      <c r="J1270" s="34"/>
      <c r="K1270" s="34">
        <f>Ventas[[#This Row],[Total]]*Ventas[[#This Row],[Total 3]]</f>
        <v>0</v>
      </c>
      <c r="L1270" s="34"/>
      <c r="M1270" s="34"/>
    </row>
    <row r="1271" spans="2:13">
      <c r="B1271" s="39" t="s">
        <v>554</v>
      </c>
      <c r="C1271" s="35" t="str">
        <f>VLOOKUP(Ventas[[#This Row],[Codigo]],Stock[#Data],2,FALSE)</f>
        <v>Tabaco Van Kiff Vainilla</v>
      </c>
      <c r="D1271" s="37">
        <f>VLOOKUP(Ventas[[#This Row],[Codigo]],Stock[#Data],4,FALSE)</f>
        <v>850</v>
      </c>
      <c r="E1271" s="33">
        <f>VLOOKUP(Ventas[[#This Row],[Codigo]],Stock[#Data],3,FALSE)</f>
        <v>580</v>
      </c>
      <c r="F1271" s="38">
        <v>1</v>
      </c>
      <c r="G1271">
        <v>120</v>
      </c>
      <c r="H1271" s="36">
        <f>Ventas[[#This Row],[Precio Venta]]*Ventas[[#This Row],[Cantidad]]-Ventas[[#This Row],[Descuento]]</f>
        <v>850</v>
      </c>
      <c r="I1271" s="34">
        <f>Ventas[[#This Row],[Total]]-Ventas[[#This Row],[Precio compra]]*Ventas[[#This Row],[Cantidad]]</f>
        <v>270</v>
      </c>
      <c r="J1271" s="34"/>
      <c r="K1271" s="34">
        <f>Ventas[[#This Row],[Total]]*Ventas[[#This Row],[Total 3]]</f>
        <v>0</v>
      </c>
      <c r="L1271" s="34"/>
      <c r="M1271" s="34"/>
    </row>
    <row r="1272" spans="2:13">
      <c r="B1272" s="39">
        <v>44940</v>
      </c>
      <c r="C1272" s="35" t="str">
        <f>VLOOKUP(Ventas[[#This Row],[Codigo]],Stock[#Data],2,FALSE)</f>
        <v>Porta porros 420</v>
      </c>
      <c r="D1272" s="37">
        <f>VLOOKUP(Ventas[[#This Row],[Codigo]],Stock[#Data],4,FALSE)</f>
        <v>200</v>
      </c>
      <c r="E1272" s="33">
        <f>VLOOKUP(Ventas[[#This Row],[Codigo]],Stock[#Data],3,FALSE)</f>
        <v>73</v>
      </c>
      <c r="F1272" s="38">
        <v>1</v>
      </c>
      <c r="G1272">
        <v>421</v>
      </c>
      <c r="H1272" s="36">
        <f>Ventas[[#This Row],[Precio Venta]]*Ventas[[#This Row],[Cantidad]]-Ventas[[#This Row],[Descuento]]</f>
        <v>200</v>
      </c>
      <c r="I1272" s="34">
        <f>Ventas[[#This Row],[Total]]-Ventas[[#This Row],[Precio compra]]*Ventas[[#This Row],[Cantidad]]</f>
        <v>127</v>
      </c>
      <c r="J1272" s="34"/>
      <c r="K1272" s="34">
        <f>Ventas[[#This Row],[Total]]*Ventas[[#This Row],[Total 3]]</f>
        <v>0</v>
      </c>
      <c r="L1272" s="34"/>
      <c r="M1272" s="34"/>
    </row>
    <row r="1273" spans="2:13">
      <c r="B1273" s="39">
        <v>44940</v>
      </c>
      <c r="C1273" s="35" t="str">
        <f>VLOOKUP(Ventas[[#This Row],[Codigo]],Stock[#Data],2,FALSE)</f>
        <v>Cortahilo</v>
      </c>
      <c r="D1273" s="37">
        <f>VLOOKUP(Ventas[[#This Row],[Codigo]],Stock[#Data],4,FALSE)</f>
        <v>500</v>
      </c>
      <c r="E1273" s="33">
        <f>VLOOKUP(Ventas[[#This Row],[Codigo]],Stock[#Data],3,FALSE)</f>
        <v>214</v>
      </c>
      <c r="F1273" s="38">
        <v>1</v>
      </c>
      <c r="G1273">
        <v>311</v>
      </c>
      <c r="H1273" s="36">
        <f>Ventas[[#This Row],[Precio Venta]]*Ventas[[#This Row],[Cantidad]]-Ventas[[#This Row],[Descuento]]</f>
        <v>500</v>
      </c>
      <c r="I1273" s="34">
        <f>Ventas[[#This Row],[Total]]-Ventas[[#This Row],[Precio compra]]*Ventas[[#This Row],[Cantidad]]</f>
        <v>286</v>
      </c>
      <c r="J1273" s="34"/>
      <c r="K1273" s="34">
        <f>Ventas[[#This Row],[Total]]*Ventas[[#This Row],[Total 3]]</f>
        <v>0</v>
      </c>
      <c r="L1273" s="34"/>
      <c r="M1273" s="34"/>
    </row>
    <row r="1274" spans="2:13">
      <c r="B1274" s="39" t="s">
        <v>550</v>
      </c>
      <c r="C1274" s="35" t="str">
        <f>VLOOKUP(Ventas[[#This Row],[Codigo]],Stock[#Data],2,FALSE)</f>
        <v>Tabaco Van Kiff Vainilla</v>
      </c>
      <c r="D1274" s="37">
        <f>VLOOKUP(Ventas[[#This Row],[Codigo]],Stock[#Data],4,FALSE)</f>
        <v>850</v>
      </c>
      <c r="E1274" s="33">
        <f>VLOOKUP(Ventas[[#This Row],[Codigo]],Stock[#Data],3,FALSE)</f>
        <v>580</v>
      </c>
      <c r="F1274" s="38">
        <v>1</v>
      </c>
      <c r="G1274">
        <v>120</v>
      </c>
      <c r="H1274" s="36">
        <f>Ventas[[#This Row],[Precio Venta]]*Ventas[[#This Row],[Cantidad]]-Ventas[[#This Row],[Descuento]]</f>
        <v>850</v>
      </c>
      <c r="I1274" s="34">
        <f>Ventas[[#This Row],[Total]]-Ventas[[#This Row],[Precio compra]]*Ventas[[#This Row],[Cantidad]]</f>
        <v>270</v>
      </c>
      <c r="J1274" s="34"/>
      <c r="K1274" s="34">
        <f>Ventas[[#This Row],[Total]]*Ventas[[#This Row],[Total 3]]</f>
        <v>0</v>
      </c>
      <c r="L1274" s="34"/>
      <c r="M1274" s="34"/>
    </row>
    <row r="1275" spans="2:13">
      <c r="B1275" s="39" t="s">
        <v>550</v>
      </c>
      <c r="C1275" s="35" t="str">
        <f>VLOOKUP(Ventas[[#This Row],[Codigo]],Stock[#Data],2,FALSE)</f>
        <v>Lata GIZEH+Sedas</v>
      </c>
      <c r="D1275" s="37">
        <f>VLOOKUP(Ventas[[#This Row],[Codigo]],Stock[#Data],4,FALSE)</f>
        <v>1000</v>
      </c>
      <c r="E1275" s="33">
        <f>VLOOKUP(Ventas[[#This Row],[Codigo]],Stock[#Data],3,FALSE)</f>
        <v>376</v>
      </c>
      <c r="F1275" s="38">
        <v>1</v>
      </c>
      <c r="G1275">
        <v>555</v>
      </c>
      <c r="H1275" s="36">
        <f>Ventas[[#This Row],[Precio Venta]]*Ventas[[#This Row],[Cantidad]]-Ventas[[#This Row],[Descuento]]</f>
        <v>1000</v>
      </c>
      <c r="I1275" s="34">
        <f>Ventas[[#This Row],[Total]]-Ventas[[#This Row],[Precio compra]]*Ventas[[#This Row],[Cantidad]]</f>
        <v>624</v>
      </c>
      <c r="J1275" s="34"/>
      <c r="K1275" s="34">
        <f>Ventas[[#This Row],[Total]]*Ventas[[#This Row],[Total 3]]</f>
        <v>0</v>
      </c>
      <c r="L1275" s="34"/>
      <c r="M1275" s="34"/>
    </row>
    <row r="1276" spans="2:13">
      <c r="B1276" s="39" t="s">
        <v>550</v>
      </c>
      <c r="C1276" s="35" t="str">
        <f>VLOOKUP(Ventas[[#This Row],[Codigo]],Stock[#Data],2,FALSE)</f>
        <v>Picador D&amp;K Calavera Mexicana</v>
      </c>
      <c r="D1276" s="37">
        <f>VLOOKUP(Ventas[[#This Row],[Codigo]],Stock[#Data],4,FALSE)</f>
        <v>2500</v>
      </c>
      <c r="E1276" s="33">
        <f>VLOOKUP(Ventas[[#This Row],[Codigo]],Stock[#Data],3,FALSE)</f>
        <v>1250</v>
      </c>
      <c r="F1276" s="38">
        <v>1</v>
      </c>
      <c r="G1276">
        <v>215</v>
      </c>
      <c r="H1276" s="36">
        <f>Ventas[[#This Row],[Precio Venta]]*Ventas[[#This Row],[Cantidad]]-Ventas[[#This Row],[Descuento]]</f>
        <v>2500</v>
      </c>
      <c r="I1276" s="34">
        <f>Ventas[[#This Row],[Total]]-Ventas[[#This Row],[Precio compra]]*Ventas[[#This Row],[Cantidad]]</f>
        <v>1250</v>
      </c>
      <c r="J1276" s="34"/>
      <c r="K1276" s="34">
        <f>Ventas[[#This Row],[Total]]*Ventas[[#This Row],[Total 3]]</f>
        <v>0</v>
      </c>
      <c r="L1276" s="34"/>
      <c r="M1276" s="34"/>
    </row>
    <row r="1277" spans="2:13">
      <c r="B1277" s="39" t="s">
        <v>550</v>
      </c>
      <c r="C1277" s="35" t="str">
        <f>VLOOKUP(Ventas[[#This Row],[Codigo]],Stock[#Data],2,FALSE)</f>
        <v>Celulosa Lion Rolling Circus Kz</v>
      </c>
      <c r="D1277" s="37">
        <f>VLOOKUP(Ventas[[#This Row],[Codigo]],Stock[#Data],4,FALSE)</f>
        <v>850</v>
      </c>
      <c r="E1277" s="33">
        <f>VLOOKUP(Ventas[[#This Row],[Codigo]],Stock[#Data],3,FALSE)</f>
        <v>422</v>
      </c>
      <c r="F1277" s="38">
        <v>4</v>
      </c>
      <c r="G1277">
        <v>359</v>
      </c>
      <c r="H1277" s="36">
        <f>Ventas[[#This Row],[Precio Venta]]*Ventas[[#This Row],[Cantidad]]-Ventas[[#This Row],[Descuento]]</f>
        <v>3400</v>
      </c>
      <c r="I1277" s="34">
        <f>Ventas[[#This Row],[Total]]-Ventas[[#This Row],[Precio compra]]*Ventas[[#This Row],[Cantidad]]</f>
        <v>1712</v>
      </c>
      <c r="J1277" s="34"/>
      <c r="K1277" s="34">
        <f>Ventas[[#This Row],[Total]]*Ventas[[#This Row],[Total 3]]</f>
        <v>0</v>
      </c>
      <c r="L1277" s="34"/>
      <c r="M1277" s="34"/>
    </row>
    <row r="1278" spans="2:13">
      <c r="B1278" s="39" t="s">
        <v>550</v>
      </c>
      <c r="C1278" s="35" t="str">
        <f>VLOOKUP(Ventas[[#This Row],[Codigo]],Stock[#Data],2,FALSE)</f>
        <v>TreeMIX N 200ml</v>
      </c>
      <c r="D1278" s="37">
        <f>VLOOKUP(Ventas[[#This Row],[Codigo]],Stock[#Data],4,FALSE)</f>
        <v>1400</v>
      </c>
      <c r="E1278" s="33">
        <f>VLOOKUP(Ventas[[#This Row],[Codigo]],Stock[#Data],3,FALSE)</f>
        <v>650</v>
      </c>
      <c r="F1278" s="38">
        <v>1</v>
      </c>
      <c r="G1278">
        <v>33</v>
      </c>
      <c r="H1278" s="36">
        <f>Ventas[[#This Row],[Precio Venta]]*Ventas[[#This Row],[Cantidad]]-Ventas[[#This Row],[Descuento]]</f>
        <v>1400</v>
      </c>
      <c r="I1278" s="34">
        <f>Ventas[[#This Row],[Total]]-Ventas[[#This Row],[Precio compra]]*Ventas[[#This Row],[Cantidad]]</f>
        <v>750</v>
      </c>
      <c r="J1278" s="34"/>
      <c r="K1278" s="34">
        <f>Ventas[[#This Row],[Total]]*Ventas[[#This Row],[Total 3]]</f>
        <v>0</v>
      </c>
      <c r="L1278" s="34"/>
      <c r="M1278" s="34"/>
    </row>
    <row r="1279" spans="2:13">
      <c r="B1279" s="39" t="s">
        <v>550</v>
      </c>
      <c r="C1279" s="35" t="str">
        <f>VLOOKUP(Ventas[[#This Row],[Codigo]],Stock[#Data],2,FALSE)</f>
        <v>TreeMIX PRO 200ml</v>
      </c>
      <c r="D1279" s="37">
        <f>VLOOKUP(Ventas[[#This Row],[Codigo]],Stock[#Data],4,FALSE)</f>
        <v>1500</v>
      </c>
      <c r="E1279" s="33">
        <f>VLOOKUP(Ventas[[#This Row],[Codigo]],Stock[#Data],3,FALSE)</f>
        <v>700</v>
      </c>
      <c r="F1279" s="38">
        <v>1</v>
      </c>
      <c r="G1279">
        <v>30</v>
      </c>
      <c r="H1279" s="36">
        <f>Ventas[[#This Row],[Precio Venta]]*Ventas[[#This Row],[Cantidad]]-Ventas[[#This Row],[Descuento]]</f>
        <v>1500</v>
      </c>
      <c r="I1279" s="34">
        <f>Ventas[[#This Row],[Total]]-Ventas[[#This Row],[Precio compra]]*Ventas[[#This Row],[Cantidad]]</f>
        <v>800</v>
      </c>
      <c r="J1279" s="34"/>
      <c r="K1279" s="34">
        <f>Ventas[[#This Row],[Total]]*Ventas[[#This Row],[Total 3]]</f>
        <v>0</v>
      </c>
      <c r="L1279" s="34"/>
      <c r="M1279" s="34"/>
    </row>
    <row r="1280" spans="2:13">
      <c r="B1280" s="39" t="s">
        <v>550</v>
      </c>
      <c r="C1280" s="35" t="str">
        <f>VLOOKUP(Ventas[[#This Row],[Codigo]],Stock[#Data],2,FALSE)</f>
        <v>CropSecret Kit Automáticas</v>
      </c>
      <c r="D1280" s="37">
        <f>VLOOKUP(Ventas[[#This Row],[Codigo]],Stock[#Data],4,FALSE)</f>
        <v>3500</v>
      </c>
      <c r="E1280" s="33">
        <f>VLOOKUP(Ventas[[#This Row],[Codigo]],Stock[#Data],3,FALSE)</f>
        <v>1759</v>
      </c>
      <c r="F1280" s="38">
        <v>1</v>
      </c>
      <c r="G1280">
        <v>7</v>
      </c>
      <c r="H1280" s="36">
        <f>Ventas[[#This Row],[Precio Venta]]*Ventas[[#This Row],[Cantidad]]-Ventas[[#This Row],[Descuento]]</f>
        <v>3500</v>
      </c>
      <c r="I1280" s="34">
        <f>Ventas[[#This Row],[Total]]-Ventas[[#This Row],[Precio compra]]*Ventas[[#This Row],[Cantidad]]</f>
        <v>1741</v>
      </c>
      <c r="J1280" s="34"/>
      <c r="K1280" s="34">
        <f>Ventas[[#This Row],[Total]]*Ventas[[#This Row],[Total 3]]</f>
        <v>0</v>
      </c>
      <c r="L1280" s="34"/>
      <c r="M1280" s="34"/>
    </row>
    <row r="1281" spans="2:13">
      <c r="B1281" s="39" t="s">
        <v>550</v>
      </c>
      <c r="C1281" s="35" t="str">
        <f>VLOOKUP(Ventas[[#This Row],[Codigo]],Stock[#Data],2,FALSE)</f>
        <v>Sedas Blunt Rey 1/4 saborizadas Uva</v>
      </c>
      <c r="D1281" s="37">
        <f>VLOOKUP(Ventas[[#This Row],[Codigo]],Stock[#Data],4,FALSE)</f>
        <v>250</v>
      </c>
      <c r="E1281" s="33">
        <f>VLOOKUP(Ventas[[#This Row],[Codigo]],Stock[#Data],3,FALSE)</f>
        <v>126</v>
      </c>
      <c r="F1281" s="38">
        <v>1</v>
      </c>
      <c r="G1281">
        <v>74</v>
      </c>
      <c r="H1281" s="36">
        <f>Ventas[[#This Row],[Precio Venta]]*Ventas[[#This Row],[Cantidad]]-Ventas[[#This Row],[Descuento]]</f>
        <v>250</v>
      </c>
      <c r="I1281" s="34">
        <f>Ventas[[#This Row],[Total]]-Ventas[[#This Row],[Precio compra]]*Ventas[[#This Row],[Cantidad]]</f>
        <v>124</v>
      </c>
      <c r="J1281" s="34"/>
      <c r="K1281" s="34">
        <f>Ventas[[#This Row],[Total]]*Ventas[[#This Row],[Total 3]]</f>
        <v>0</v>
      </c>
      <c r="L1281" s="34"/>
      <c r="M1281" s="34"/>
    </row>
    <row r="1282" spans="2:13">
      <c r="B1282" s="39" t="s">
        <v>550</v>
      </c>
      <c r="C1282" s="35" t="str">
        <f>VLOOKUP(Ventas[[#This Row],[Codigo]],Stock[#Data],2,FALSE)</f>
        <v>Repelente para Hormigas Green Leaf</v>
      </c>
      <c r="D1282" s="37">
        <f>VLOOKUP(Ventas[[#This Row],[Codigo]],Stock[#Data],4,FALSE)</f>
        <v>1000</v>
      </c>
      <c r="E1282" s="33">
        <f>VLOOKUP(Ventas[[#This Row],[Codigo]],Stock[#Data],3,FALSE)</f>
        <v>498</v>
      </c>
      <c r="F1282" s="38">
        <v>1</v>
      </c>
      <c r="G1282">
        <v>469</v>
      </c>
      <c r="H1282" s="36">
        <f>Ventas[[#This Row],[Precio Venta]]*Ventas[[#This Row],[Cantidad]]-Ventas[[#This Row],[Descuento]]</f>
        <v>1000</v>
      </c>
      <c r="I1282" s="34">
        <f>Ventas[[#This Row],[Total]]-Ventas[[#This Row],[Precio compra]]*Ventas[[#This Row],[Cantidad]]</f>
        <v>502</v>
      </c>
      <c r="J1282" s="34"/>
      <c r="K1282" s="34">
        <f>Ventas[[#This Row],[Total]]*Ventas[[#This Row],[Total 3]]</f>
        <v>0</v>
      </c>
      <c r="L1282" s="34"/>
      <c r="M1282" s="34"/>
    </row>
    <row r="1283" spans="2:13">
      <c r="B1283" s="39" t="s">
        <v>550</v>
      </c>
      <c r="C1283" s="35" t="str">
        <f>VLOOKUP(Ventas[[#This Row],[Codigo]],Stock[#Data],2,FALSE)</f>
        <v>Sustrato Perlita</v>
      </c>
      <c r="D1283" s="37">
        <f>VLOOKUP(Ventas[[#This Row],[Codigo]],Stock[#Data],4,FALSE)</f>
        <v>800</v>
      </c>
      <c r="E1283" s="33">
        <f>VLOOKUP(Ventas[[#This Row],[Codigo]],Stock[#Data],3,FALSE)</f>
        <v>400</v>
      </c>
      <c r="F1283" s="38">
        <v>8</v>
      </c>
      <c r="G1283">
        <v>52</v>
      </c>
      <c r="H1283" s="36">
        <f>Ventas[[#This Row],[Precio Venta]]*Ventas[[#This Row],[Cantidad]]-Ventas[[#This Row],[Descuento]]</f>
        <v>6400</v>
      </c>
      <c r="I1283" s="34">
        <f>Ventas[[#This Row],[Total]]-Ventas[[#This Row],[Precio compra]]*Ventas[[#This Row],[Cantidad]]</f>
        <v>3200</v>
      </c>
      <c r="J1283" s="34"/>
      <c r="K1283" s="34">
        <f>Ventas[[#This Row],[Total]]*Ventas[[#This Row],[Total 3]]</f>
        <v>0</v>
      </c>
      <c r="L1283" s="34"/>
      <c r="M1283" s="34"/>
    </row>
    <row r="1284" spans="2:13">
      <c r="B1284" s="39" t="s">
        <v>550</v>
      </c>
      <c r="C1284" s="35" t="str">
        <f>VLOOKUP(Ventas[[#This Row],[Codigo]],Stock[#Data],2,FALSE)</f>
        <v xml:space="preserve">Sedas 3 Rayos Celulosa </v>
      </c>
      <c r="D1284" s="37">
        <f>VLOOKUP(Ventas[[#This Row],[Codigo]],Stock[#Data],4,FALSE)</f>
        <v>400</v>
      </c>
      <c r="E1284" s="33">
        <f>VLOOKUP(Ventas[[#This Row],[Codigo]],Stock[#Data],3,FALSE)</f>
        <v>211</v>
      </c>
      <c r="F1284" s="38">
        <v>2</v>
      </c>
      <c r="G1284">
        <v>310</v>
      </c>
      <c r="H1284" s="36">
        <f>Ventas[[#This Row],[Precio Venta]]*Ventas[[#This Row],[Cantidad]]-Ventas[[#This Row],[Descuento]]</f>
        <v>800</v>
      </c>
      <c r="I1284" s="34">
        <f>Ventas[[#This Row],[Total]]-Ventas[[#This Row],[Precio compra]]*Ventas[[#This Row],[Cantidad]]</f>
        <v>378</v>
      </c>
      <c r="J1284" s="34"/>
      <c r="K1284" s="34">
        <f>Ventas[[#This Row],[Total]]*Ventas[[#This Row],[Total 3]]</f>
        <v>0</v>
      </c>
      <c r="L1284" s="34"/>
      <c r="M1284" s="34"/>
    </row>
    <row r="1285" spans="2:13">
      <c r="B1285" s="39" t="s">
        <v>503</v>
      </c>
      <c r="C1285" s="35" t="str">
        <f>VLOOKUP(Ventas[[#This Row],[Codigo]],Stock[#Data],2,FALSE)</f>
        <v>Sedas Lion Rolling Circus 1/4 celulosa</v>
      </c>
      <c r="D1285" s="37">
        <f>VLOOKUP(Ventas[[#This Row],[Codigo]],Stock[#Data],4,FALSE)</f>
        <v>700</v>
      </c>
      <c r="E1285" s="33">
        <f>VLOOKUP(Ventas[[#This Row],[Codigo]],Stock[#Data],3,FALSE)</f>
        <v>348</v>
      </c>
      <c r="F1285" s="38">
        <v>2</v>
      </c>
      <c r="G1285">
        <v>65</v>
      </c>
      <c r="H1285" s="36">
        <f>Ventas[[#This Row],[Precio Venta]]*Ventas[[#This Row],[Cantidad]]-Ventas[[#This Row],[Descuento]]</f>
        <v>1400</v>
      </c>
      <c r="I1285" s="34">
        <f>Ventas[[#This Row],[Total]]-Ventas[[#This Row],[Precio compra]]*Ventas[[#This Row],[Cantidad]]</f>
        <v>704</v>
      </c>
      <c r="J1285" s="34"/>
      <c r="K1285" s="34">
        <f>Ventas[[#This Row],[Total]]*Ventas[[#This Row],[Total 3]]</f>
        <v>0</v>
      </c>
      <c r="L1285" s="34"/>
      <c r="M1285" s="34"/>
    </row>
    <row r="1286" spans="2:13">
      <c r="B1286" s="39" t="s">
        <v>503</v>
      </c>
      <c r="C1286" s="35" t="str">
        <f>VLOOKUP(Ventas[[#This Row],[Codigo]],Stock[#Data],2,FALSE)</f>
        <v>Revienta Cogollos 100cc</v>
      </c>
      <c r="D1286" s="37">
        <f>VLOOKUP(Ventas[[#This Row],[Codigo]],Stock[#Data],4,FALSE)</f>
        <v>2500</v>
      </c>
      <c r="E1286" s="33">
        <f>VLOOKUP(Ventas[[#This Row],[Codigo]],Stock[#Data],3,FALSE)</f>
        <v>1250</v>
      </c>
      <c r="F1286" s="38">
        <v>1</v>
      </c>
      <c r="G1286">
        <v>495</v>
      </c>
      <c r="H1286" s="36">
        <f>Ventas[[#This Row],[Precio Venta]]*Ventas[[#This Row],[Cantidad]]-Ventas[[#This Row],[Descuento]]</f>
        <v>2500</v>
      </c>
      <c r="I1286" s="34">
        <f>Ventas[[#This Row],[Total]]-Ventas[[#This Row],[Precio compra]]*Ventas[[#This Row],[Cantidad]]</f>
        <v>1250</v>
      </c>
      <c r="J1286" s="34"/>
      <c r="K1286" s="34">
        <f>Ventas[[#This Row],[Total]]*Ventas[[#This Row],[Total 3]]</f>
        <v>0</v>
      </c>
      <c r="L1286" s="34"/>
      <c r="M1286" s="34"/>
    </row>
    <row r="1287" spans="2:13">
      <c r="B1287" s="39" t="s">
        <v>503</v>
      </c>
      <c r="C1287" s="35" t="str">
        <f>VLOOKUP(Ventas[[#This Row],[Codigo]],Stock[#Data],2,FALSE)</f>
        <v>Cenicero Calavera Chala</v>
      </c>
      <c r="D1287" s="37">
        <f>VLOOKUP(Ventas[[#This Row],[Codigo]],Stock[#Data],4,FALSE)</f>
        <v>600</v>
      </c>
      <c r="E1287" s="33">
        <f>VLOOKUP(Ventas[[#This Row],[Codigo]],Stock[#Data],3,FALSE)</f>
        <v>225</v>
      </c>
      <c r="F1287" s="38">
        <v>1</v>
      </c>
      <c r="G1287">
        <v>141</v>
      </c>
      <c r="H1287" s="36">
        <f>Ventas[[#This Row],[Precio Venta]]*Ventas[[#This Row],[Cantidad]]-Ventas[[#This Row],[Descuento]]</f>
        <v>600</v>
      </c>
      <c r="I1287" s="34">
        <f>Ventas[[#This Row],[Total]]-Ventas[[#This Row],[Precio compra]]*Ventas[[#This Row],[Cantidad]]</f>
        <v>375</v>
      </c>
      <c r="J1287" s="34"/>
      <c r="K1287" s="34">
        <f>Ventas[[#This Row],[Total]]*Ventas[[#This Row],[Total 3]]</f>
        <v>0</v>
      </c>
      <c r="L1287" s="34"/>
      <c r="M1287" s="34"/>
    </row>
    <row r="1288" spans="2:13">
      <c r="B1288" s="39" t="s">
        <v>518</v>
      </c>
      <c r="C1288" s="35" t="str">
        <f>VLOOKUP(Ventas[[#This Row],[Codigo]],Stock[#Data],2,FALSE)</f>
        <v>Cerveza 420</v>
      </c>
      <c r="D1288" s="37">
        <f>VLOOKUP(Ventas[[#This Row],[Codigo]],Stock[#Data],4,FALSE)</f>
        <v>700</v>
      </c>
      <c r="E1288" s="33">
        <f>VLOOKUP(Ventas[[#This Row],[Codigo]],Stock[#Data],3,FALSE)</f>
        <v>350</v>
      </c>
      <c r="F1288" s="38">
        <v>1</v>
      </c>
      <c r="G1288">
        <v>560</v>
      </c>
      <c r="H1288" s="36">
        <f>Ventas[[#This Row],[Precio Venta]]*Ventas[[#This Row],[Cantidad]]-Ventas[[#This Row],[Descuento]]</f>
        <v>700</v>
      </c>
      <c r="I1288" s="34">
        <f>Ventas[[#This Row],[Total]]-Ventas[[#This Row],[Precio compra]]*Ventas[[#This Row],[Cantidad]]</f>
        <v>350</v>
      </c>
      <c r="J1288" s="34"/>
      <c r="K1288" s="34">
        <f>Ventas[[#This Row],[Total]]*Ventas[[#This Row],[Total 3]]</f>
        <v>0</v>
      </c>
      <c r="L1288" s="34"/>
      <c r="M1288" s="34"/>
    </row>
    <row r="1289" spans="2:13">
      <c r="B1289" s="39" t="s">
        <v>518</v>
      </c>
      <c r="C1289" s="35" t="str">
        <f>VLOOKUP(Ventas[[#This Row],[Codigo]],Stock[#Data],2,FALSE)</f>
        <v>TreeMIX N 45ml</v>
      </c>
      <c r="D1289" s="37">
        <f>VLOOKUP(Ventas[[#This Row],[Codigo]],Stock[#Data],4,FALSE)</f>
        <v>500</v>
      </c>
      <c r="E1289" s="33">
        <f>VLOOKUP(Ventas[[#This Row],[Codigo]],Stock[#Data],3,FALSE)</f>
        <v>260</v>
      </c>
      <c r="F1289" s="38">
        <v>1</v>
      </c>
      <c r="G1289">
        <v>23</v>
      </c>
      <c r="H1289" s="36">
        <f>Ventas[[#This Row],[Precio Venta]]*Ventas[[#This Row],[Cantidad]]-Ventas[[#This Row],[Descuento]]</f>
        <v>500</v>
      </c>
      <c r="I1289" s="34">
        <f>Ventas[[#This Row],[Total]]-Ventas[[#This Row],[Precio compra]]*Ventas[[#This Row],[Cantidad]]</f>
        <v>240</v>
      </c>
      <c r="J1289" s="34"/>
      <c r="K1289" s="34">
        <f>Ventas[[#This Row],[Total]]*Ventas[[#This Row],[Total 3]]</f>
        <v>0</v>
      </c>
      <c r="L1289" s="34"/>
      <c r="M1289" s="34"/>
    </row>
    <row r="1290" spans="2:13">
      <c r="B1290" s="39" t="s">
        <v>518</v>
      </c>
      <c r="C1290" s="35" t="str">
        <f>VLOOKUP(Ventas[[#This Row],[Codigo]],Stock[#Data],2,FALSE)</f>
        <v>Nostress aceite de neem</v>
      </c>
      <c r="D1290" s="37">
        <f>VLOOKUP(Ventas[[#This Row],[Codigo]],Stock[#Data],4,FALSE)</f>
        <v>900</v>
      </c>
      <c r="E1290" s="33">
        <f>VLOOKUP(Ventas[[#This Row],[Codigo]],Stock[#Data],3,FALSE)</f>
        <v>430</v>
      </c>
      <c r="F1290" s="38">
        <v>1</v>
      </c>
      <c r="G1290">
        <v>20</v>
      </c>
      <c r="H1290" s="36">
        <f>Ventas[[#This Row],[Precio Venta]]*Ventas[[#This Row],[Cantidad]]-Ventas[[#This Row],[Descuento]]</f>
        <v>900</v>
      </c>
      <c r="I1290" s="34">
        <f>Ventas[[#This Row],[Total]]-Ventas[[#This Row],[Precio compra]]*Ventas[[#This Row],[Cantidad]]</f>
        <v>470</v>
      </c>
      <c r="J1290" s="34"/>
      <c r="K1290" s="34">
        <f>Ventas[[#This Row],[Total]]*Ventas[[#This Row],[Total 3]]</f>
        <v>0</v>
      </c>
      <c r="L1290" s="34"/>
      <c r="M1290" s="34"/>
    </row>
    <row r="1291" spans="2:13">
      <c r="B1291" s="39" t="s">
        <v>524</v>
      </c>
      <c r="C1291" s="35" t="str">
        <f>VLOOKUP(Ventas[[#This Row],[Codigo]],Stock[#Data],2,FALSE)</f>
        <v>Blunt Lion Rolling Circus Straberry</v>
      </c>
      <c r="D1291" s="37">
        <f>VLOOKUP(Ventas[[#This Row],[Codigo]],Stock[#Data],4,FALSE)</f>
        <v>750</v>
      </c>
      <c r="E1291" s="33">
        <f>VLOOKUP(Ventas[[#This Row],[Codigo]],Stock[#Data],3,FALSE)</f>
        <v>383</v>
      </c>
      <c r="F1291" s="38">
        <v>1</v>
      </c>
      <c r="G1291">
        <v>405</v>
      </c>
      <c r="H1291" s="36">
        <f>Ventas[[#This Row],[Precio Venta]]*Ventas[[#This Row],[Cantidad]]-Ventas[[#This Row],[Descuento]]</f>
        <v>750</v>
      </c>
      <c r="I1291" s="34">
        <f>Ventas[[#This Row],[Total]]-Ventas[[#This Row],[Precio compra]]*Ventas[[#This Row],[Cantidad]]</f>
        <v>367</v>
      </c>
      <c r="J1291" s="34"/>
      <c r="K1291" s="34">
        <f>Ventas[[#This Row],[Total]]*Ventas[[#This Row],[Total 3]]</f>
        <v>0</v>
      </c>
      <c r="L1291" s="34"/>
      <c r="M1291" s="34"/>
    </row>
    <row r="1292" spans="2:13">
      <c r="B1292" s="39" t="s">
        <v>524</v>
      </c>
      <c r="C1292" s="35" t="str">
        <f>VLOOKUP(Ventas[[#This Row],[Codigo]],Stock[#Data],2,FALSE)</f>
        <v xml:space="preserve">Cenicero STAMS </v>
      </c>
      <c r="D1292" s="37">
        <f>VLOOKUP(Ventas[[#This Row],[Codigo]],Stock[#Data],4,FALSE)</f>
        <v>700</v>
      </c>
      <c r="E1292" s="33">
        <f>VLOOKUP(Ventas[[#This Row],[Codigo]],Stock[#Data],3,FALSE)</f>
        <v>385</v>
      </c>
      <c r="F1292" s="38">
        <v>1</v>
      </c>
      <c r="G1292">
        <v>144</v>
      </c>
      <c r="H1292" s="36">
        <f>Ventas[[#This Row],[Precio Venta]]*Ventas[[#This Row],[Cantidad]]-Ventas[[#This Row],[Descuento]]</f>
        <v>700</v>
      </c>
      <c r="I1292" s="34">
        <f>Ventas[[#This Row],[Total]]-Ventas[[#This Row],[Precio compra]]*Ventas[[#This Row],[Cantidad]]</f>
        <v>315</v>
      </c>
      <c r="J1292" s="34"/>
      <c r="K1292" s="34">
        <f>Ventas[[#This Row],[Total]]*Ventas[[#This Row],[Total 3]]</f>
        <v>0</v>
      </c>
      <c r="L1292" s="34"/>
      <c r="M1292" s="34"/>
    </row>
    <row r="1293" spans="2:13">
      <c r="B1293" s="39" t="s">
        <v>524</v>
      </c>
      <c r="C1293" s="35" t="str">
        <f>VLOOKUP(Ventas[[#This Row],[Codigo]],Stock[#Data],2,FALSE)</f>
        <v>Cenicero Lion Rolling Circus</v>
      </c>
      <c r="D1293" s="37">
        <f>VLOOKUP(Ventas[[#This Row],[Codigo]],Stock[#Data],4,FALSE)</f>
        <v>1000</v>
      </c>
      <c r="E1293" s="33">
        <f>VLOOKUP(Ventas[[#This Row],[Codigo]],Stock[#Data],3,FALSE)</f>
        <v>494</v>
      </c>
      <c r="F1293" s="38">
        <v>1</v>
      </c>
      <c r="G1293">
        <v>139</v>
      </c>
      <c r="H1293" s="36">
        <f>Ventas[[#This Row],[Precio Venta]]*Ventas[[#This Row],[Cantidad]]-Ventas[[#This Row],[Descuento]]</f>
        <v>1000</v>
      </c>
      <c r="I1293" s="34">
        <f>Ventas[[#This Row],[Total]]-Ventas[[#This Row],[Precio compra]]*Ventas[[#This Row],[Cantidad]]</f>
        <v>506</v>
      </c>
      <c r="J1293" s="34"/>
      <c r="K1293" s="34">
        <f>Ventas[[#This Row],[Total]]*Ventas[[#This Row],[Total 3]]</f>
        <v>0</v>
      </c>
      <c r="L1293" s="34"/>
      <c r="M1293" s="34"/>
    </row>
    <row r="1294" spans="2:13">
      <c r="B1294" s="39" t="s">
        <v>524</v>
      </c>
      <c r="C1294" s="35" t="str">
        <f>VLOOKUP(Ventas[[#This Row],[Codigo]],Stock[#Data],2,FALSE)</f>
        <v>Sedas RAW 1/4 +tips BLACK</v>
      </c>
      <c r="D1294" s="37">
        <f>VLOOKUP(Ventas[[#This Row],[Codigo]],Stock[#Data],4,FALSE)</f>
        <v>1000</v>
      </c>
      <c r="E1294" s="33">
        <f>VLOOKUP(Ventas[[#This Row],[Codigo]],Stock[#Data],3,FALSE)</f>
        <v>514</v>
      </c>
      <c r="F1294" s="38">
        <v>1</v>
      </c>
      <c r="G1294">
        <v>81</v>
      </c>
      <c r="H1294" s="36">
        <f>Ventas[[#This Row],[Precio Venta]]*Ventas[[#This Row],[Cantidad]]-Ventas[[#This Row],[Descuento]]</f>
        <v>1000</v>
      </c>
      <c r="I1294" s="34">
        <f>Ventas[[#This Row],[Total]]-Ventas[[#This Row],[Precio compra]]*Ventas[[#This Row],[Cantidad]]</f>
        <v>486</v>
      </c>
      <c r="J1294" s="34"/>
      <c r="K1294" s="34">
        <f>Ventas[[#This Row],[Total]]*Ventas[[#This Row],[Total 3]]</f>
        <v>0</v>
      </c>
      <c r="L1294" s="34"/>
      <c r="M1294" s="34"/>
    </row>
    <row r="1295" spans="2:13">
      <c r="B1295" s="39" t="s">
        <v>524</v>
      </c>
      <c r="C1295" s="35" t="str">
        <f>VLOOKUP(Ventas[[#This Row],[Codigo]],Stock[#Data],2,FALSE)</f>
        <v>Sustrato Perlita</v>
      </c>
      <c r="D1295" s="37">
        <f>VLOOKUP(Ventas[[#This Row],[Codigo]],Stock[#Data],4,FALSE)</f>
        <v>800</v>
      </c>
      <c r="E1295" s="33">
        <f>VLOOKUP(Ventas[[#This Row],[Codigo]],Stock[#Data],3,FALSE)</f>
        <v>400</v>
      </c>
      <c r="F1295" s="38">
        <v>4</v>
      </c>
      <c r="G1295">
        <v>52</v>
      </c>
      <c r="H1295" s="36">
        <f>Ventas[[#This Row],[Precio Venta]]*Ventas[[#This Row],[Cantidad]]-Ventas[[#This Row],[Descuento]]</f>
        <v>3200</v>
      </c>
      <c r="I1295" s="34">
        <f>Ventas[[#This Row],[Total]]-Ventas[[#This Row],[Precio compra]]*Ventas[[#This Row],[Cantidad]]</f>
        <v>1600</v>
      </c>
      <c r="J1295" s="34"/>
      <c r="K1295" s="34">
        <f>Ventas[[#This Row],[Total]]*Ventas[[#This Row],[Total 3]]</f>
        <v>0</v>
      </c>
      <c r="L1295" s="34"/>
      <c r="M1295" s="34"/>
    </row>
    <row r="1296" spans="2:13">
      <c r="B1296" s="39">
        <v>44938</v>
      </c>
      <c r="C1296" s="35" t="str">
        <f>VLOOKUP(Ventas[[#This Row],[Codigo]],Stock[#Data],2,FALSE)</f>
        <v>Pipa de Semilla Tigre</v>
      </c>
      <c r="D1296" s="37">
        <f>VLOOKUP(Ventas[[#This Row],[Codigo]],Stock[#Data],4,FALSE)</f>
        <v>3000</v>
      </c>
      <c r="E1296" s="33">
        <f>VLOOKUP(Ventas[[#This Row],[Codigo]],Stock[#Data],3,FALSE)</f>
        <v>1500</v>
      </c>
      <c r="F1296" s="38">
        <v>1</v>
      </c>
      <c r="G1296">
        <v>521</v>
      </c>
      <c r="H1296" s="36">
        <f>Ventas[[#This Row],[Precio Venta]]*Ventas[[#This Row],[Cantidad]]-Ventas[[#This Row],[Descuento]]</f>
        <v>3000</v>
      </c>
      <c r="I1296" s="34">
        <f>Ventas[[#This Row],[Total]]-Ventas[[#This Row],[Precio compra]]*Ventas[[#This Row],[Cantidad]]</f>
        <v>1500</v>
      </c>
      <c r="J1296" s="34"/>
      <c r="K1296" s="34">
        <f>Ventas[[#This Row],[Total]]*Ventas[[#This Row],[Total 3]]</f>
        <v>0</v>
      </c>
      <c r="L1296" s="34"/>
      <c r="M1296" s="34"/>
    </row>
    <row r="1297" spans="2:13">
      <c r="B1297" s="39">
        <v>44937</v>
      </c>
      <c r="C1297" s="35" t="str">
        <f>VLOOKUP(Ventas[[#This Row],[Codigo]],Stock[#Data],2,FALSE)</f>
        <v>CropSecret 250ml Green Session</v>
      </c>
      <c r="D1297" s="37">
        <f>VLOOKUP(Ventas[[#This Row],[Codigo]],Stock[#Data],4,FALSE)</f>
        <v>2000</v>
      </c>
      <c r="E1297" s="33">
        <f>VLOOKUP(Ventas[[#This Row],[Codigo]],Stock[#Data],3,FALSE)</f>
        <v>836</v>
      </c>
      <c r="F1297" s="38">
        <v>1</v>
      </c>
      <c r="G1297">
        <v>2</v>
      </c>
      <c r="H1297" s="36">
        <f>Ventas[[#This Row],[Precio Venta]]*Ventas[[#This Row],[Cantidad]]-Ventas[[#This Row],[Descuento]]</f>
        <v>2000</v>
      </c>
      <c r="I1297" s="34">
        <f>Ventas[[#This Row],[Total]]-Ventas[[#This Row],[Precio compra]]*Ventas[[#This Row],[Cantidad]]</f>
        <v>1164</v>
      </c>
      <c r="J1297" s="34"/>
      <c r="K1297" s="34">
        <f>Ventas[[#This Row],[Total]]*Ventas[[#This Row],[Total 3]]</f>
        <v>0</v>
      </c>
      <c r="L1297" s="34"/>
      <c r="M1297" s="34"/>
    </row>
    <row r="1298" spans="2:13">
      <c r="B1298" s="39" t="s">
        <v>503</v>
      </c>
      <c r="C1298" s="35" t="str">
        <f>VLOOKUP(Ventas[[#This Row],[Codigo]],Stock[#Data],2,FALSE)</f>
        <v>Tierra de Diatomeas La Pota 500g</v>
      </c>
      <c r="D1298" s="37">
        <f>VLOOKUP(Ventas[[#This Row],[Codigo]],Stock[#Data],4,FALSE)</f>
        <v>1500</v>
      </c>
      <c r="E1298" s="33">
        <f>VLOOKUP(Ventas[[#This Row],[Codigo]],Stock[#Data],3,FALSE)</f>
        <v>720</v>
      </c>
      <c r="F1298" s="38">
        <v>1</v>
      </c>
      <c r="G1298">
        <v>468</v>
      </c>
      <c r="H1298" s="36">
        <f>Ventas[[#This Row],[Precio Venta]]*Ventas[[#This Row],[Cantidad]]-Ventas[[#This Row],[Descuento]]</f>
        <v>1500</v>
      </c>
      <c r="I1298" s="34">
        <f>Ventas[[#This Row],[Total]]-Ventas[[#This Row],[Precio compra]]*Ventas[[#This Row],[Cantidad]]</f>
        <v>780</v>
      </c>
      <c r="J1298" s="34"/>
      <c r="K1298" s="34">
        <f>Ventas[[#This Row],[Total]]*Ventas[[#This Row],[Total 3]]</f>
        <v>0</v>
      </c>
      <c r="L1298" s="34"/>
      <c r="M1298" s="34"/>
    </row>
    <row r="1299" spans="2:13">
      <c r="B1299" s="39" t="s">
        <v>503</v>
      </c>
      <c r="C1299" s="35" t="str">
        <f>VLOOKUP(Ventas[[#This Row],[Codigo]],Stock[#Data],2,FALSE)</f>
        <v>CropSecret 250ml Green Session</v>
      </c>
      <c r="D1299" s="37">
        <f>VLOOKUP(Ventas[[#This Row],[Codigo]],Stock[#Data],4,FALSE)</f>
        <v>2000</v>
      </c>
      <c r="E1299" s="33">
        <f>VLOOKUP(Ventas[[#This Row],[Codigo]],Stock[#Data],3,FALSE)</f>
        <v>836</v>
      </c>
      <c r="F1299" s="38">
        <v>1</v>
      </c>
      <c r="G1299">
        <v>2</v>
      </c>
      <c r="H1299" s="36">
        <f>Ventas[[#This Row],[Precio Venta]]*Ventas[[#This Row],[Cantidad]]-Ventas[[#This Row],[Descuento]]</f>
        <v>2000</v>
      </c>
      <c r="I1299" s="34">
        <f>Ventas[[#This Row],[Total]]-Ventas[[#This Row],[Precio compra]]*Ventas[[#This Row],[Cantidad]]</f>
        <v>1164</v>
      </c>
      <c r="J1299" s="34"/>
      <c r="K1299" s="34">
        <f>Ventas[[#This Row],[Total]]*Ventas[[#This Row],[Total 3]]</f>
        <v>0</v>
      </c>
      <c r="L1299" s="34"/>
      <c r="M1299" s="34"/>
    </row>
    <row r="1300" spans="2:13">
      <c r="B1300" s="39" t="s">
        <v>503</v>
      </c>
      <c r="C1300" s="35" t="str">
        <f>VLOOKUP(Ventas[[#This Row],[Codigo]],Stock[#Data],2,FALSE)</f>
        <v>Namaste Flora Booster 500ml</v>
      </c>
      <c r="D1300" s="37">
        <f>VLOOKUP(Ventas[[#This Row],[Codigo]],Stock[#Data],4,FALSE)</f>
        <v>2500</v>
      </c>
      <c r="E1300" s="33">
        <f>VLOOKUP(Ventas[[#This Row],[Codigo]],Stock[#Data],3,FALSE)</f>
        <v>1377</v>
      </c>
      <c r="F1300" s="38">
        <v>1</v>
      </c>
      <c r="G1300">
        <v>496</v>
      </c>
      <c r="H1300" s="36">
        <f>Ventas[[#This Row],[Precio Venta]]*Ventas[[#This Row],[Cantidad]]-Ventas[[#This Row],[Descuento]]</f>
        <v>2500</v>
      </c>
      <c r="I1300" s="34">
        <f>Ventas[[#This Row],[Total]]-Ventas[[#This Row],[Precio compra]]*Ventas[[#This Row],[Cantidad]]</f>
        <v>1123</v>
      </c>
      <c r="J1300" s="34"/>
      <c r="K1300" s="34">
        <f>Ventas[[#This Row],[Total]]*Ventas[[#This Row],[Total 3]]</f>
        <v>0</v>
      </c>
      <c r="L1300" s="34"/>
      <c r="M1300" s="34"/>
    </row>
    <row r="1301" spans="2:13">
      <c r="B1301" s="39" t="s">
        <v>503</v>
      </c>
      <c r="C1301" s="35" t="str">
        <f>VLOOKUP(Ventas[[#This Row],[Codigo]],Stock[#Data],2,FALSE)</f>
        <v>Sustrato Perlita</v>
      </c>
      <c r="D1301" s="37">
        <f>VLOOKUP(Ventas[[#This Row],[Codigo]],Stock[#Data],4,FALSE)</f>
        <v>800</v>
      </c>
      <c r="E1301" s="33">
        <f>VLOOKUP(Ventas[[#This Row],[Codigo]],Stock[#Data],3,FALSE)</f>
        <v>400</v>
      </c>
      <c r="F1301" s="38">
        <v>1</v>
      </c>
      <c r="G1301">
        <v>52</v>
      </c>
      <c r="H1301" s="36">
        <f>Ventas[[#This Row],[Precio Venta]]*Ventas[[#This Row],[Cantidad]]-Ventas[[#This Row],[Descuento]]</f>
        <v>800</v>
      </c>
      <c r="I1301" s="34">
        <f>Ventas[[#This Row],[Total]]-Ventas[[#This Row],[Precio compra]]*Ventas[[#This Row],[Cantidad]]</f>
        <v>400</v>
      </c>
      <c r="J1301" s="34"/>
      <c r="K1301" s="34">
        <f>Ventas[[#This Row],[Total]]*Ventas[[#This Row],[Total 3]]</f>
        <v>0</v>
      </c>
      <c r="L1301" s="34"/>
      <c r="M1301" s="34"/>
    </row>
    <row r="1302" spans="2:13">
      <c r="B1302" s="39" t="s">
        <v>503</v>
      </c>
      <c r="C1302" s="35" t="str">
        <f>VLOOKUP(Ventas[[#This Row],[Codigo]],Stock[#Data],2,FALSE)</f>
        <v>Organic Life jabón potásico</v>
      </c>
      <c r="D1302" s="37">
        <f>VLOOKUP(Ventas[[#This Row],[Codigo]],Stock[#Data],4,FALSE)</f>
        <v>500</v>
      </c>
      <c r="E1302" s="33">
        <f>VLOOKUP(Ventas[[#This Row],[Codigo]],Stock[#Data],3,FALSE)</f>
        <v>240</v>
      </c>
      <c r="F1302" s="38">
        <v>1</v>
      </c>
      <c r="G1302">
        <v>18</v>
      </c>
      <c r="H1302" s="36">
        <f>Ventas[[#This Row],[Precio Venta]]*Ventas[[#This Row],[Cantidad]]-Ventas[[#This Row],[Descuento]]</f>
        <v>500</v>
      </c>
      <c r="I1302" s="34">
        <f>Ventas[[#This Row],[Total]]-Ventas[[#This Row],[Precio compra]]*Ventas[[#This Row],[Cantidad]]</f>
        <v>260</v>
      </c>
      <c r="J1302" s="34"/>
      <c r="K1302" s="34">
        <f>Ventas[[#This Row],[Total]]*Ventas[[#This Row],[Total 3]]</f>
        <v>0</v>
      </c>
      <c r="L1302" s="34"/>
      <c r="M1302" s="34"/>
    </row>
    <row r="1303" spans="2:13">
      <c r="B1303" s="39" t="s">
        <v>503</v>
      </c>
      <c r="C1303" s="35" t="str">
        <f>VLOOKUP(Ventas[[#This Row],[Codigo]],Stock[#Data],2,FALSE)</f>
        <v>Araña Roja Green Leaf 100ml</v>
      </c>
      <c r="D1303" s="37">
        <f>VLOOKUP(Ventas[[#This Row],[Codigo]],Stock[#Data],4,FALSE)</f>
        <v>1800</v>
      </c>
      <c r="E1303" s="33">
        <f>VLOOKUP(Ventas[[#This Row],[Codigo]],Stock[#Data],3,FALSE)</f>
        <v>904</v>
      </c>
      <c r="F1303" s="38">
        <v>1</v>
      </c>
      <c r="G1303">
        <v>470</v>
      </c>
      <c r="H1303" s="36">
        <f>Ventas[[#This Row],[Precio Venta]]*Ventas[[#This Row],[Cantidad]]-Ventas[[#This Row],[Descuento]]</f>
        <v>1800</v>
      </c>
      <c r="I1303" s="34">
        <f>Ventas[[#This Row],[Total]]-Ventas[[#This Row],[Precio compra]]*Ventas[[#This Row],[Cantidad]]</f>
        <v>896</v>
      </c>
      <c r="J1303" s="34"/>
      <c r="K1303" s="34">
        <f>Ventas[[#This Row],[Total]]*Ventas[[#This Row],[Total 3]]</f>
        <v>0</v>
      </c>
      <c r="L1303" s="34"/>
      <c r="M1303" s="34"/>
    </row>
    <row r="1304" spans="2:13">
      <c r="B1304" s="39" t="s">
        <v>503</v>
      </c>
      <c r="C1304" s="35" t="str">
        <f>VLOOKUP(Ventas[[#This Row],[Codigo]],Stock[#Data],2,FALSE)</f>
        <v>Sedas Dolar Honey Puff</v>
      </c>
      <c r="D1304" s="37">
        <f>VLOOKUP(Ventas[[#This Row],[Codigo]],Stock[#Data],4,FALSE)</f>
        <v>650</v>
      </c>
      <c r="E1304" s="33">
        <f>VLOOKUP(Ventas[[#This Row],[Codigo]],Stock[#Data],3,FALSE)</f>
        <v>316</v>
      </c>
      <c r="F1304" s="38">
        <v>1</v>
      </c>
      <c r="G1304">
        <v>425</v>
      </c>
      <c r="H1304" s="36">
        <f>Ventas[[#This Row],[Precio Venta]]*Ventas[[#This Row],[Cantidad]]-Ventas[[#This Row],[Descuento]]</f>
        <v>650</v>
      </c>
      <c r="I1304" s="34">
        <f>Ventas[[#This Row],[Total]]-Ventas[[#This Row],[Precio compra]]*Ventas[[#This Row],[Cantidad]]</f>
        <v>334</v>
      </c>
      <c r="J1304" s="34"/>
      <c r="K1304" s="34">
        <f>Ventas[[#This Row],[Total]]*Ventas[[#This Row],[Total 3]]</f>
        <v>0</v>
      </c>
      <c r="L1304" s="34"/>
      <c r="M1304" s="34"/>
    </row>
    <row r="1305" spans="2:13">
      <c r="B1305" s="39" t="s">
        <v>503</v>
      </c>
      <c r="C1305" s="35" t="str">
        <f>VLOOKUP(Ventas[[#This Row],[Codigo]],Stock[#Data],2,FALSE)</f>
        <v>Tips Rok Organic</v>
      </c>
      <c r="D1305" s="37">
        <f>VLOOKUP(Ventas[[#This Row],[Codigo]],Stock[#Data],4,FALSE)</f>
        <v>100</v>
      </c>
      <c r="E1305" s="33">
        <f>VLOOKUP(Ventas[[#This Row],[Codigo]],Stock[#Data],3,FALSE)</f>
        <v>50</v>
      </c>
      <c r="F1305" s="38">
        <v>1</v>
      </c>
      <c r="G1305">
        <v>96</v>
      </c>
      <c r="H1305" s="36">
        <f>Ventas[[#This Row],[Precio Venta]]*Ventas[[#This Row],[Cantidad]]-Ventas[[#This Row],[Descuento]]</f>
        <v>100</v>
      </c>
      <c r="I1305" s="34">
        <f>Ventas[[#This Row],[Total]]-Ventas[[#This Row],[Precio compra]]*Ventas[[#This Row],[Cantidad]]</f>
        <v>50</v>
      </c>
      <c r="J1305" s="34"/>
      <c r="K1305" s="34">
        <f>Ventas[[#This Row],[Total]]*Ventas[[#This Row],[Total 3]]</f>
        <v>0</v>
      </c>
      <c r="L1305" s="34"/>
      <c r="M1305" s="34"/>
    </row>
    <row r="1306" spans="2:13">
      <c r="B1306" s="39" t="s">
        <v>503</v>
      </c>
      <c r="C1306" s="35" t="str">
        <f>VLOOKUP(Ventas[[#This Row],[Codigo]],Stock[#Data],2,FALSE)</f>
        <v>Tips STAMPS ECO</v>
      </c>
      <c r="D1306" s="37">
        <f>VLOOKUP(Ventas[[#This Row],[Codigo]],Stock[#Data],4,FALSE)</f>
        <v>150</v>
      </c>
      <c r="E1306" s="33">
        <f>VLOOKUP(Ventas[[#This Row],[Codigo]],Stock[#Data],3,FALSE)</f>
        <v>73</v>
      </c>
      <c r="F1306" s="38">
        <v>1</v>
      </c>
      <c r="G1306">
        <v>308</v>
      </c>
      <c r="H1306" s="36">
        <f>Ventas[[#This Row],[Precio Venta]]*Ventas[[#This Row],[Cantidad]]-Ventas[[#This Row],[Descuento]]</f>
        <v>150</v>
      </c>
      <c r="I1306" s="34">
        <f>Ventas[[#This Row],[Total]]-Ventas[[#This Row],[Precio compra]]*Ventas[[#This Row],[Cantidad]]</f>
        <v>77</v>
      </c>
      <c r="J1306" s="34"/>
      <c r="K1306" s="34">
        <f>Ventas[[#This Row],[Total]]*Ventas[[#This Row],[Total 3]]</f>
        <v>0</v>
      </c>
      <c r="L1306" s="34"/>
      <c r="M1306" s="34"/>
    </row>
    <row r="1307" spans="2:13">
      <c r="B1307" s="39" t="s">
        <v>503</v>
      </c>
      <c r="C1307" s="35" t="str">
        <f>VLOOKUP(Ventas[[#This Row],[Codigo]],Stock[#Data],2,FALSE)</f>
        <v>Sedas Blunt Rey 1/4 organic</v>
      </c>
      <c r="D1307" s="37">
        <f>VLOOKUP(Ventas[[#This Row],[Codigo]],Stock[#Data],4,FALSE)</f>
        <v>250</v>
      </c>
      <c r="E1307" s="33">
        <f>VLOOKUP(Ventas[[#This Row],[Codigo]],Stock[#Data],3,FALSE)</f>
        <v>109</v>
      </c>
      <c r="F1307" s="38">
        <v>1</v>
      </c>
      <c r="G1307">
        <v>67</v>
      </c>
      <c r="H1307" s="36">
        <f>Ventas[[#This Row],[Precio Venta]]*Ventas[[#This Row],[Cantidad]]-Ventas[[#This Row],[Descuento]]</f>
        <v>250</v>
      </c>
      <c r="I1307" s="34">
        <f>Ventas[[#This Row],[Total]]-Ventas[[#This Row],[Precio compra]]*Ventas[[#This Row],[Cantidad]]</f>
        <v>141</v>
      </c>
      <c r="J1307" s="34"/>
      <c r="K1307" s="34">
        <f>Ventas[[#This Row],[Total]]*Ventas[[#This Row],[Total 3]]</f>
        <v>0</v>
      </c>
      <c r="L1307" s="34"/>
      <c r="M1307" s="34"/>
    </row>
    <row r="1308" spans="2:13">
      <c r="B1308" s="39" t="s">
        <v>503</v>
      </c>
      <c r="C1308" s="35" t="str">
        <f>VLOOKUP(Ventas[[#This Row],[Codigo]],Stock[#Data],2,FALSE)</f>
        <v>Picador ZEUS Hoyo</v>
      </c>
      <c r="D1308" s="37">
        <f>VLOOKUP(Ventas[[#This Row],[Codigo]],Stock[#Data],4,FALSE)</f>
        <v>3500</v>
      </c>
      <c r="E1308" s="33">
        <f>VLOOKUP(Ventas[[#This Row],[Codigo]],Stock[#Data],3,FALSE)</f>
        <v>1260</v>
      </c>
      <c r="F1308" s="38">
        <v>1</v>
      </c>
      <c r="G1308">
        <v>330</v>
      </c>
      <c r="H1308" s="36">
        <f>Ventas[[#This Row],[Precio Venta]]*Ventas[[#This Row],[Cantidad]]-Ventas[[#This Row],[Descuento]]</f>
        <v>3500</v>
      </c>
      <c r="I1308" s="34">
        <f>Ventas[[#This Row],[Total]]-Ventas[[#This Row],[Precio compra]]*Ventas[[#This Row],[Cantidad]]</f>
        <v>2240</v>
      </c>
      <c r="J1308" s="34"/>
      <c r="K1308" s="34">
        <f>Ventas[[#This Row],[Total]]*Ventas[[#This Row],[Total 3]]</f>
        <v>0</v>
      </c>
      <c r="L1308" s="34"/>
      <c r="M1308" s="34"/>
    </row>
    <row r="1309" spans="2:13">
      <c r="B1309" s="39" t="s">
        <v>503</v>
      </c>
      <c r="C1309" s="35" t="str">
        <f>VLOOKUP(Ventas[[#This Row],[Codigo]],Stock[#Data],2,FALSE)</f>
        <v xml:space="preserve">Encendedor Clipper </v>
      </c>
      <c r="D1309" s="37">
        <f>VLOOKUP(Ventas[[#This Row],[Codigo]],Stock[#Data],4,FALSE)</f>
        <v>600</v>
      </c>
      <c r="E1309" s="33">
        <f>VLOOKUP(Ventas[[#This Row],[Codigo]],Stock[#Data],3,FALSE)</f>
        <v>378</v>
      </c>
      <c r="F1309" s="38">
        <v>1</v>
      </c>
      <c r="G1309">
        <v>58</v>
      </c>
      <c r="H1309" s="36">
        <f>Ventas[[#This Row],[Precio Venta]]*Ventas[[#This Row],[Cantidad]]-Ventas[[#This Row],[Descuento]]</f>
        <v>600</v>
      </c>
      <c r="I1309" s="34">
        <f>Ventas[[#This Row],[Total]]-Ventas[[#This Row],[Precio compra]]*Ventas[[#This Row],[Cantidad]]</f>
        <v>222</v>
      </c>
      <c r="J1309" s="34"/>
      <c r="K1309" s="34">
        <f>Ventas[[#This Row],[Total]]*Ventas[[#This Row],[Total 3]]</f>
        <v>0</v>
      </c>
      <c r="L1309" s="34"/>
      <c r="M1309" s="34"/>
    </row>
    <row r="1310" spans="2:13">
      <c r="B1310" s="39" t="s">
        <v>503</v>
      </c>
      <c r="C1310" s="35" t="str">
        <f>VLOOKUP(Ventas[[#This Row],[Codigo]],Stock[#Data],2,FALSE)</f>
        <v>Picador STAMPS 3p Acrilico</v>
      </c>
      <c r="D1310" s="37">
        <f>VLOOKUP(Ventas[[#This Row],[Codigo]],Stock[#Data],4,FALSE)</f>
        <v>1000</v>
      </c>
      <c r="E1310" s="33">
        <f>VLOOKUP(Ventas[[#This Row],[Codigo]],Stock[#Data],3,FALSE)</f>
        <v>270</v>
      </c>
      <c r="F1310" s="38">
        <v>1</v>
      </c>
      <c r="G1310">
        <v>433</v>
      </c>
      <c r="H1310" s="36">
        <f>Ventas[[#This Row],[Precio Venta]]*Ventas[[#This Row],[Cantidad]]-Ventas[[#This Row],[Descuento]]</f>
        <v>1000</v>
      </c>
      <c r="I1310" s="34">
        <f>Ventas[[#This Row],[Total]]-Ventas[[#This Row],[Precio compra]]*Ventas[[#This Row],[Cantidad]]</f>
        <v>730</v>
      </c>
      <c r="J1310" s="34"/>
      <c r="K1310" s="34">
        <f>Ventas[[#This Row],[Total]]*Ventas[[#This Row],[Total 3]]</f>
        <v>0</v>
      </c>
      <c r="L1310" s="34"/>
      <c r="M1310" s="34"/>
    </row>
    <row r="1311" spans="2:13">
      <c r="B1311" s="39" t="s">
        <v>503</v>
      </c>
      <c r="C1311" s="35" t="str">
        <f>VLOOKUP(Ventas[[#This Row],[Codigo]],Stock[#Data],2,FALSE)</f>
        <v xml:space="preserve">Malla para Rosin Keep is Fresh 120 micras x10 </v>
      </c>
      <c r="D1311" s="37">
        <f>VLOOKUP(Ventas[[#This Row],[Codigo]],Stock[#Data],4,FALSE)</f>
        <v>5000</v>
      </c>
      <c r="E1311" s="33">
        <f>VLOOKUP(Ventas[[#This Row],[Codigo]],Stock[#Data],3,FALSE)</f>
        <v>2556</v>
      </c>
      <c r="F1311" s="38">
        <v>1</v>
      </c>
      <c r="G1311">
        <v>321</v>
      </c>
      <c r="H1311" s="36">
        <f>Ventas[[#This Row],[Precio Venta]]*Ventas[[#This Row],[Cantidad]]-Ventas[[#This Row],[Descuento]]</f>
        <v>5000</v>
      </c>
      <c r="I1311" s="34">
        <f>Ventas[[#This Row],[Total]]-Ventas[[#This Row],[Precio compra]]*Ventas[[#This Row],[Cantidad]]</f>
        <v>2444</v>
      </c>
      <c r="J1311" s="34"/>
      <c r="K1311" s="34">
        <f>Ventas[[#This Row],[Total]]*Ventas[[#This Row],[Total 3]]</f>
        <v>0</v>
      </c>
      <c r="L1311" s="34"/>
      <c r="M1311" s="34"/>
    </row>
    <row r="1312" spans="2:13">
      <c r="B1312" s="39" t="s">
        <v>503</v>
      </c>
      <c r="C1312" s="35" t="str">
        <f>VLOOKUP(Ventas[[#This Row],[Codigo]],Stock[#Data],2,FALSE)</f>
        <v>Sedas Blunt Rey 1/4 celulosa Orange</v>
      </c>
      <c r="D1312" s="37">
        <f>VLOOKUP(Ventas[[#This Row],[Codigo]],Stock[#Data],4,FALSE)</f>
        <v>300</v>
      </c>
      <c r="E1312" s="33">
        <f>VLOOKUP(Ventas[[#This Row],[Codigo]],Stock[#Data],3,FALSE)</f>
        <v>143</v>
      </c>
      <c r="F1312" s="38">
        <v>1</v>
      </c>
      <c r="G1312">
        <v>71</v>
      </c>
      <c r="H1312" s="36">
        <f>Ventas[[#This Row],[Precio Venta]]*Ventas[[#This Row],[Cantidad]]-Ventas[[#This Row],[Descuento]]</f>
        <v>300</v>
      </c>
      <c r="I1312" s="34">
        <f>Ventas[[#This Row],[Total]]-Ventas[[#This Row],[Precio compra]]*Ventas[[#This Row],[Cantidad]]</f>
        <v>157</v>
      </c>
      <c r="J1312" s="34"/>
      <c r="K1312" s="34">
        <f>Ventas[[#This Row],[Total]]*Ventas[[#This Row],[Total 3]]</f>
        <v>0</v>
      </c>
      <c r="L1312" s="34"/>
      <c r="M1312" s="34"/>
    </row>
    <row r="1313" spans="2:13">
      <c r="B1313" s="39" t="s">
        <v>503</v>
      </c>
      <c r="C1313" s="35" t="str">
        <f>VLOOKUP(Ventas[[#This Row],[Codigo]],Stock[#Data],2,FALSE)</f>
        <v>Organic Life jabón potásico</v>
      </c>
      <c r="D1313" s="37">
        <f>VLOOKUP(Ventas[[#This Row],[Codigo]],Stock[#Data],4,FALSE)</f>
        <v>500</v>
      </c>
      <c r="E1313" s="33">
        <f>VLOOKUP(Ventas[[#This Row],[Codigo]],Stock[#Data],3,FALSE)</f>
        <v>240</v>
      </c>
      <c r="F1313" s="38">
        <v>1</v>
      </c>
      <c r="G1313">
        <v>18</v>
      </c>
      <c r="H1313" s="36">
        <f>Ventas[[#This Row],[Precio Venta]]*Ventas[[#This Row],[Cantidad]]-Ventas[[#This Row],[Descuento]]</f>
        <v>500</v>
      </c>
      <c r="I1313" s="34">
        <f>Ventas[[#This Row],[Total]]-Ventas[[#This Row],[Precio compra]]*Ventas[[#This Row],[Cantidad]]</f>
        <v>260</v>
      </c>
      <c r="J1313" s="34"/>
      <c r="K1313" s="34">
        <f>Ventas[[#This Row],[Total]]*Ventas[[#This Row],[Total 3]]</f>
        <v>0</v>
      </c>
      <c r="L1313" s="34"/>
      <c r="M1313" s="34"/>
    </row>
    <row r="1314" spans="2:13">
      <c r="B1314" s="39" t="s">
        <v>503</v>
      </c>
      <c r="C1314" s="35" t="str">
        <f>VLOOKUP(Ventas[[#This Row],[Codigo]],Stock[#Data],2,FALSE)</f>
        <v xml:space="preserve">Pastilla para pipa ZEUS </v>
      </c>
      <c r="D1314" s="37">
        <f>VLOOKUP(Ventas[[#This Row],[Codigo]],Stock[#Data],4,FALSE)</f>
        <v>550</v>
      </c>
      <c r="E1314" s="33">
        <f>VLOOKUP(Ventas[[#This Row],[Codigo]],Stock[#Data],3,FALSE)</f>
        <v>261</v>
      </c>
      <c r="F1314" s="38">
        <v>2</v>
      </c>
      <c r="G1314">
        <v>192</v>
      </c>
      <c r="H1314" s="36">
        <f>Ventas[[#This Row],[Precio Venta]]*Ventas[[#This Row],[Cantidad]]-Ventas[[#This Row],[Descuento]]</f>
        <v>1100</v>
      </c>
      <c r="I1314" s="34">
        <f>Ventas[[#This Row],[Total]]-Ventas[[#This Row],[Precio compra]]*Ventas[[#This Row],[Cantidad]]</f>
        <v>578</v>
      </c>
      <c r="J1314" s="34"/>
      <c r="K1314" s="34">
        <f>Ventas[[#This Row],[Total]]*Ventas[[#This Row],[Total 3]]</f>
        <v>0</v>
      </c>
      <c r="L1314" s="34"/>
      <c r="M1314" s="34"/>
    </row>
    <row r="1315" spans="2:13">
      <c r="B1315" s="39" t="s">
        <v>503</v>
      </c>
      <c r="C1315" s="35" t="str">
        <f>VLOOKUP(Ventas[[#This Row],[Codigo]],Stock[#Data],2,FALSE)</f>
        <v>Tabaco Adayya naguile</v>
      </c>
      <c r="D1315" s="37">
        <f>VLOOKUP(Ventas[[#This Row],[Codigo]],Stock[#Data],4,FALSE)</f>
        <v>1000</v>
      </c>
      <c r="E1315" s="33">
        <f>VLOOKUP(Ventas[[#This Row],[Codigo]],Stock[#Data],3,FALSE)</f>
        <v>560</v>
      </c>
      <c r="F1315" s="38">
        <v>1</v>
      </c>
      <c r="G1315">
        <v>121</v>
      </c>
      <c r="H1315" s="36">
        <f>Ventas[[#This Row],[Precio Venta]]*Ventas[[#This Row],[Cantidad]]-Ventas[[#This Row],[Descuento]]</f>
        <v>1000</v>
      </c>
      <c r="I1315" s="34">
        <f>Ventas[[#This Row],[Total]]-Ventas[[#This Row],[Precio compra]]*Ventas[[#This Row],[Cantidad]]</f>
        <v>440</v>
      </c>
      <c r="J1315" s="34"/>
      <c r="K1315" s="34">
        <f>Ventas[[#This Row],[Total]]*Ventas[[#This Row],[Total 3]]</f>
        <v>0</v>
      </c>
      <c r="L1315" s="34"/>
      <c r="M1315" s="34"/>
    </row>
    <row r="1316" spans="2:13">
      <c r="B1316" s="39" t="s">
        <v>503</v>
      </c>
      <c r="C1316" s="35" t="str">
        <f>VLOOKUP(Ventas[[#This Row],[Codigo]],Stock[#Data],2,FALSE)</f>
        <v>Recipiente Rosin SQUADAFUM Redondo Mediano</v>
      </c>
      <c r="D1316" s="37">
        <f>VLOOKUP(Ventas[[#This Row],[Codigo]],Stock[#Data],4,FALSE)</f>
        <v>700</v>
      </c>
      <c r="E1316" s="33">
        <f>VLOOKUP(Ventas[[#This Row],[Codigo]],Stock[#Data],3,FALSE)</f>
        <v>270</v>
      </c>
      <c r="F1316" s="38">
        <v>1</v>
      </c>
      <c r="G1316">
        <v>180</v>
      </c>
      <c r="H1316" s="36">
        <f>Ventas[[#This Row],[Precio Venta]]*Ventas[[#This Row],[Cantidad]]-Ventas[[#This Row],[Descuento]]</f>
        <v>700</v>
      </c>
      <c r="I1316" s="34">
        <f>Ventas[[#This Row],[Total]]-Ventas[[#This Row],[Precio compra]]*Ventas[[#This Row],[Cantidad]]</f>
        <v>430</v>
      </c>
      <c r="J1316" s="34"/>
      <c r="K1316" s="34">
        <f>Ventas[[#This Row],[Total]]*Ventas[[#This Row],[Total 3]]</f>
        <v>0</v>
      </c>
      <c r="L1316" s="34"/>
      <c r="M1316" s="34"/>
    </row>
    <row r="1317" spans="2:13">
      <c r="B1317" s="39">
        <v>44936</v>
      </c>
      <c r="C1317" s="35" t="str">
        <f>VLOOKUP(Ventas[[#This Row],[Codigo]],Stock[#Data],2,FALSE)</f>
        <v xml:space="preserve">Sedas 3 Rayos Celulosa </v>
      </c>
      <c r="D1317" s="37">
        <f>VLOOKUP(Ventas[[#This Row],[Codigo]],Stock[#Data],4,FALSE)</f>
        <v>400</v>
      </c>
      <c r="E1317" s="33">
        <f>VLOOKUP(Ventas[[#This Row],[Codigo]],Stock[#Data],3,FALSE)</f>
        <v>211</v>
      </c>
      <c r="F1317" s="38">
        <v>1</v>
      </c>
      <c r="G1317">
        <v>310</v>
      </c>
      <c r="H1317" s="36">
        <f>Ventas[[#This Row],[Precio Venta]]*Ventas[[#This Row],[Cantidad]]-Ventas[[#This Row],[Descuento]]</f>
        <v>400</v>
      </c>
      <c r="I1317" s="34">
        <f>Ventas[[#This Row],[Total]]-Ventas[[#This Row],[Precio compra]]*Ventas[[#This Row],[Cantidad]]</f>
        <v>189</v>
      </c>
      <c r="J1317" s="34"/>
      <c r="K1317" s="34">
        <f>Ventas[[#This Row],[Total]]*Ventas[[#This Row],[Total 3]]</f>
        <v>0</v>
      </c>
      <c r="L1317" s="34"/>
      <c r="M1317" s="34"/>
    </row>
    <row r="1318" spans="2:13">
      <c r="B1318" s="39" t="s">
        <v>496</v>
      </c>
      <c r="C1318" s="35" t="str">
        <f>VLOOKUP(Ventas[[#This Row],[Codigo]],Stock[#Data],2,FALSE)</f>
        <v xml:space="preserve">Picador Bronce </v>
      </c>
      <c r="D1318" s="37">
        <f>VLOOKUP(Ventas[[#This Row],[Codigo]],Stock[#Data],4,FALSE)</f>
        <v>2500</v>
      </c>
      <c r="E1318" s="33">
        <f>VLOOKUP(Ventas[[#This Row],[Codigo]],Stock[#Data],3,FALSE)</f>
        <v>1330</v>
      </c>
      <c r="F1318" s="38">
        <v>1</v>
      </c>
      <c r="G1318">
        <v>340</v>
      </c>
      <c r="H1318" s="36">
        <f>Ventas[[#This Row],[Precio Venta]]*Ventas[[#This Row],[Cantidad]]-Ventas[[#This Row],[Descuento]]</f>
        <v>2500</v>
      </c>
      <c r="I1318" s="34">
        <f>Ventas[[#This Row],[Total]]-Ventas[[#This Row],[Precio compra]]*Ventas[[#This Row],[Cantidad]]</f>
        <v>1170</v>
      </c>
      <c r="J1318" s="34"/>
      <c r="K1318" s="34">
        <f>Ventas[[#This Row],[Total]]*Ventas[[#This Row],[Total 3]]</f>
        <v>0</v>
      </c>
      <c r="L1318" s="34"/>
      <c r="M1318" s="34"/>
    </row>
    <row r="1319" spans="2:13">
      <c r="B1319" s="39">
        <v>44936</v>
      </c>
      <c r="C1319" s="35" t="str">
        <f>VLOOKUP(Ventas[[#This Row],[Codigo]],Stock[#Data],2,FALSE)</f>
        <v>Sedas OCB 1/4 Organic  Bamboo</v>
      </c>
      <c r="D1319" s="37">
        <f>VLOOKUP(Ventas[[#This Row],[Codigo]],Stock[#Data],4,FALSE)</f>
        <v>300</v>
      </c>
      <c r="E1319" s="33">
        <f>VLOOKUP(Ventas[[#This Row],[Codigo]],Stock[#Data],3,FALSE)</f>
        <v>165</v>
      </c>
      <c r="F1319" s="38">
        <v>1</v>
      </c>
      <c r="G1319">
        <v>77</v>
      </c>
      <c r="H1319" s="36">
        <f>Ventas[[#This Row],[Precio Venta]]*Ventas[[#This Row],[Cantidad]]-Ventas[[#This Row],[Descuento]]</f>
        <v>300</v>
      </c>
      <c r="I1319" s="34">
        <f>Ventas[[#This Row],[Total]]-Ventas[[#This Row],[Precio compra]]*Ventas[[#This Row],[Cantidad]]</f>
        <v>135</v>
      </c>
      <c r="J1319" s="34"/>
      <c r="K1319" s="34">
        <f>Ventas[[#This Row],[Total]]*Ventas[[#This Row],[Total 3]]</f>
        <v>0</v>
      </c>
      <c r="L1319" s="34"/>
      <c r="M1319" s="34"/>
    </row>
    <row r="1320" spans="2:13">
      <c r="B1320" s="39" t="s">
        <v>496</v>
      </c>
      <c r="C1320" s="35" t="str">
        <f>VLOOKUP(Ventas[[#This Row],[Codigo]],Stock[#Data],2,FALSE)</f>
        <v>Tabaco Van Kiff Vainilla</v>
      </c>
      <c r="D1320" s="37">
        <f>VLOOKUP(Ventas[[#This Row],[Codigo]],Stock[#Data],4,FALSE)</f>
        <v>850</v>
      </c>
      <c r="E1320" s="33">
        <f>VLOOKUP(Ventas[[#This Row],[Codigo]],Stock[#Data],3,FALSE)</f>
        <v>580</v>
      </c>
      <c r="F1320" s="38">
        <v>1</v>
      </c>
      <c r="G1320">
        <v>120</v>
      </c>
      <c r="H1320" s="36">
        <f>Ventas[[#This Row],[Precio Venta]]*Ventas[[#This Row],[Cantidad]]-Ventas[[#This Row],[Descuento]]</f>
        <v>850</v>
      </c>
      <c r="I1320" s="34">
        <f>Ventas[[#This Row],[Total]]-Ventas[[#This Row],[Precio compra]]*Ventas[[#This Row],[Cantidad]]</f>
        <v>270</v>
      </c>
      <c r="J1320" s="34"/>
      <c r="K1320" s="34">
        <f>Ventas[[#This Row],[Total]]*Ventas[[#This Row],[Total 3]]</f>
        <v>0</v>
      </c>
      <c r="L1320" s="34"/>
      <c r="M1320" s="34"/>
    </row>
    <row r="1321" spans="2:13">
      <c r="B1321" s="39" t="s">
        <v>496</v>
      </c>
      <c r="C1321" s="35" t="str">
        <f>VLOOKUP(Ventas[[#This Row],[Codigo]],Stock[#Data],2,FALSE)</f>
        <v>Sedas OCB 1/4 Virgin Papers</v>
      </c>
      <c r="D1321" s="37">
        <f>VLOOKUP(Ventas[[#This Row],[Codigo]],Stock[#Data],4,FALSE)</f>
        <v>300</v>
      </c>
      <c r="E1321" s="33">
        <f>VLOOKUP(Ventas[[#This Row],[Codigo]],Stock[#Data],3,FALSE)</f>
        <v>165</v>
      </c>
      <c r="F1321" s="38">
        <v>1</v>
      </c>
      <c r="G1321">
        <v>76</v>
      </c>
      <c r="H1321" s="36">
        <f>Ventas[[#This Row],[Precio Venta]]*Ventas[[#This Row],[Cantidad]]-Ventas[[#This Row],[Descuento]]</f>
        <v>300</v>
      </c>
      <c r="I1321" s="34">
        <f>Ventas[[#This Row],[Total]]-Ventas[[#This Row],[Precio compra]]*Ventas[[#This Row],[Cantidad]]</f>
        <v>135</v>
      </c>
      <c r="J1321" s="34"/>
      <c r="K1321" s="34">
        <f>Ventas[[#This Row],[Total]]*Ventas[[#This Row],[Total 3]]</f>
        <v>0</v>
      </c>
      <c r="L1321" s="34"/>
      <c r="M1321" s="34"/>
    </row>
    <row r="1322" spans="2:13">
      <c r="B1322" s="39" t="s">
        <v>503</v>
      </c>
      <c r="C1322" s="35" t="str">
        <f>VLOOKUP(Ventas[[#This Row],[Codigo]],Stock[#Data],2,FALSE)</f>
        <v>Cenicero Calavera Chala</v>
      </c>
      <c r="D1322" s="37">
        <f>VLOOKUP(Ventas[[#This Row],[Codigo]],Stock[#Data],4,FALSE)</f>
        <v>600</v>
      </c>
      <c r="E1322" s="33">
        <f>VLOOKUP(Ventas[[#This Row],[Codigo]],Stock[#Data],3,FALSE)</f>
        <v>225</v>
      </c>
      <c r="F1322" s="38">
        <v>1</v>
      </c>
      <c r="G1322">
        <v>141</v>
      </c>
      <c r="H1322" s="36">
        <f>Ventas[[#This Row],[Precio Venta]]*Ventas[[#This Row],[Cantidad]]-Ventas[[#This Row],[Descuento]]</f>
        <v>600</v>
      </c>
      <c r="I1322" s="34">
        <f>Ventas[[#This Row],[Total]]-Ventas[[#This Row],[Precio compra]]*Ventas[[#This Row],[Cantidad]]</f>
        <v>375</v>
      </c>
      <c r="J1322" s="34"/>
      <c r="K1322" s="34">
        <f>Ventas[[#This Row],[Total]]*Ventas[[#This Row],[Total 3]]</f>
        <v>0</v>
      </c>
      <c r="L1322" s="34"/>
      <c r="M1322" s="34"/>
    </row>
    <row r="1323" spans="2:13">
      <c r="B1323" s="39" t="s">
        <v>502</v>
      </c>
      <c r="C1323" s="35" t="str">
        <f>VLOOKUP(Ventas[[#This Row],[Codigo]],Stock[#Data],2,FALSE)</f>
        <v>Sedas Blunt Rey 1/4 celulosa Orange</v>
      </c>
      <c r="D1323" s="37">
        <f>VLOOKUP(Ventas[[#This Row],[Codigo]],Stock[#Data],4,FALSE)</f>
        <v>300</v>
      </c>
      <c r="E1323" s="33">
        <f>VLOOKUP(Ventas[[#This Row],[Codigo]],Stock[#Data],3,FALSE)</f>
        <v>143</v>
      </c>
      <c r="F1323" s="38">
        <v>1</v>
      </c>
      <c r="G1323">
        <v>71</v>
      </c>
      <c r="H1323" s="36">
        <f>Ventas[[#This Row],[Precio Venta]]*Ventas[[#This Row],[Cantidad]]-Ventas[[#This Row],[Descuento]]</f>
        <v>300</v>
      </c>
      <c r="I1323" s="34">
        <f>Ventas[[#This Row],[Total]]-Ventas[[#This Row],[Precio compra]]*Ventas[[#This Row],[Cantidad]]</f>
        <v>157</v>
      </c>
      <c r="J1323" s="34"/>
      <c r="K1323" s="34">
        <f>Ventas[[#This Row],[Total]]*Ventas[[#This Row],[Total 3]]</f>
        <v>0</v>
      </c>
      <c r="L1323" s="34"/>
      <c r="M1323" s="34"/>
    </row>
    <row r="1324" spans="2:13">
      <c r="B1324" s="39" t="s">
        <v>500</v>
      </c>
      <c r="C1324" s="35" t="str">
        <f>VLOOKUP(Ventas[[#This Row],[Codigo]],Stock[#Data],2,FALSE)</f>
        <v>Tips Lion silver</v>
      </c>
      <c r="D1324" s="37">
        <f>VLOOKUP(Ventas[[#This Row],[Codigo]],Stock[#Data],4,FALSE)</f>
        <v>250</v>
      </c>
      <c r="E1324" s="33">
        <f>VLOOKUP(Ventas[[#This Row],[Codigo]],Stock[#Data],3,FALSE)</f>
        <v>137</v>
      </c>
      <c r="F1324" s="38">
        <v>1</v>
      </c>
      <c r="G1324">
        <v>457</v>
      </c>
      <c r="H1324" s="36">
        <f>Ventas[[#This Row],[Precio Venta]]*Ventas[[#This Row],[Cantidad]]-Ventas[[#This Row],[Descuento]]</f>
        <v>250</v>
      </c>
      <c r="I1324" s="34">
        <f>Ventas[[#This Row],[Total]]-Ventas[[#This Row],[Precio compra]]*Ventas[[#This Row],[Cantidad]]</f>
        <v>113</v>
      </c>
      <c r="J1324" s="34"/>
      <c r="K1324" s="34">
        <f>Ventas[[#This Row],[Total]]*Ventas[[#This Row],[Total 3]]</f>
        <v>0</v>
      </c>
      <c r="L1324" s="34"/>
      <c r="M1324" s="34"/>
    </row>
    <row r="1325" spans="2:13">
      <c r="B1325" s="39" t="s">
        <v>501</v>
      </c>
      <c r="C1325" s="35" t="str">
        <f>VLOOKUP(Ventas[[#This Row],[Codigo]],Stock[#Data],2,FALSE)</f>
        <v>Tips Lion silver</v>
      </c>
      <c r="D1325" s="37">
        <f>VLOOKUP(Ventas[[#This Row],[Codigo]],Stock[#Data],4,FALSE)</f>
        <v>250</v>
      </c>
      <c r="E1325" s="33">
        <f>VLOOKUP(Ventas[[#This Row],[Codigo]],Stock[#Data],3,FALSE)</f>
        <v>137</v>
      </c>
      <c r="F1325" s="38">
        <v>1</v>
      </c>
      <c r="G1325">
        <v>457</v>
      </c>
      <c r="H1325" s="36">
        <f>Ventas[[#This Row],[Precio Venta]]*Ventas[[#This Row],[Cantidad]]-Ventas[[#This Row],[Descuento]]</f>
        <v>250</v>
      </c>
      <c r="I1325" s="34">
        <f>Ventas[[#This Row],[Total]]-Ventas[[#This Row],[Precio compra]]*Ventas[[#This Row],[Cantidad]]</f>
        <v>113</v>
      </c>
      <c r="J1325" s="34"/>
      <c r="K1325" s="34">
        <f>Ventas[[#This Row],[Total]]*Ventas[[#This Row],[Total 3]]</f>
        <v>0</v>
      </c>
      <c r="L1325" s="34"/>
      <c r="M1325" s="34"/>
    </row>
    <row r="1326" spans="2:13">
      <c r="B1326" s="39">
        <v>44934</v>
      </c>
      <c r="C1326" s="35" t="str">
        <f>VLOOKUP(Ventas[[#This Row],[Codigo]],Stock[#Data],2,FALSE)</f>
        <v>El Duende Humus Luquido 250mlt</v>
      </c>
      <c r="D1326" s="37">
        <f>VLOOKUP(Ventas[[#This Row],[Codigo]],Stock[#Data],4,FALSE)</f>
        <v>900</v>
      </c>
      <c r="E1326" s="33">
        <f>VLOOKUP(Ventas[[#This Row],[Codigo]],Stock[#Data],3,FALSE)</f>
        <v>433</v>
      </c>
      <c r="F1326" s="38">
        <v>1</v>
      </c>
      <c r="G1326">
        <v>485</v>
      </c>
      <c r="H1326" s="36">
        <f>Ventas[[#This Row],[Precio Venta]]*Ventas[[#This Row],[Cantidad]]-Ventas[[#This Row],[Descuento]]</f>
        <v>900</v>
      </c>
      <c r="I1326" s="34">
        <f>Ventas[[#This Row],[Total]]-Ventas[[#This Row],[Precio compra]]*Ventas[[#This Row],[Cantidad]]</f>
        <v>467</v>
      </c>
      <c r="J1326" s="34"/>
      <c r="K1326" s="34">
        <f>Ventas[[#This Row],[Total]]*Ventas[[#This Row],[Total 3]]</f>
        <v>0</v>
      </c>
      <c r="L1326" s="34"/>
      <c r="M1326" s="34"/>
    </row>
    <row r="1327" spans="2:13">
      <c r="B1327" s="39" t="s">
        <v>496</v>
      </c>
      <c r="C1327" s="35" t="str">
        <f>VLOOKUP(Ventas[[#This Row],[Codigo]],Stock[#Data],2,FALSE)</f>
        <v>Tips Lion Rolling Circus pre-armados</v>
      </c>
      <c r="D1327" s="37">
        <f>VLOOKUP(Ventas[[#This Row],[Codigo]],Stock[#Data],4,FALSE)</f>
        <v>1600</v>
      </c>
      <c r="E1327" s="33">
        <f>VLOOKUP(Ventas[[#This Row],[Codigo]],Stock[#Data],3,FALSE)</f>
        <v>803</v>
      </c>
      <c r="F1327" s="38">
        <v>1</v>
      </c>
      <c r="G1327">
        <v>97</v>
      </c>
      <c r="H1327" s="36">
        <f>Ventas[[#This Row],[Precio Venta]]*Ventas[[#This Row],[Cantidad]]-Ventas[[#This Row],[Descuento]]</f>
        <v>1600</v>
      </c>
      <c r="I1327" s="34">
        <f>Ventas[[#This Row],[Total]]-Ventas[[#This Row],[Precio compra]]*Ventas[[#This Row],[Cantidad]]</f>
        <v>797</v>
      </c>
      <c r="J1327" s="34"/>
      <c r="K1327" s="34">
        <f>Ventas[[#This Row],[Total]]*Ventas[[#This Row],[Total 3]]</f>
        <v>0</v>
      </c>
      <c r="L1327" s="34"/>
      <c r="M1327" s="34"/>
    </row>
    <row r="1328" spans="2:13">
      <c r="B1328" s="39" t="s">
        <v>496</v>
      </c>
      <c r="C1328" s="35" t="str">
        <f>VLOOKUP(Ventas[[#This Row],[Codigo]],Stock[#Data],2,FALSE)</f>
        <v>Celulosa Lion Rolling Circus Kz</v>
      </c>
      <c r="D1328" s="37">
        <f>VLOOKUP(Ventas[[#This Row],[Codigo]],Stock[#Data],4,FALSE)</f>
        <v>850</v>
      </c>
      <c r="E1328" s="33">
        <f>VLOOKUP(Ventas[[#This Row],[Codigo]],Stock[#Data],3,FALSE)</f>
        <v>422</v>
      </c>
      <c r="F1328" s="38">
        <v>1</v>
      </c>
      <c r="G1328">
        <v>359</v>
      </c>
      <c r="H1328" s="36">
        <f>Ventas[[#This Row],[Precio Venta]]*Ventas[[#This Row],[Cantidad]]-Ventas[[#This Row],[Descuento]]</f>
        <v>850</v>
      </c>
      <c r="I1328" s="34">
        <f>Ventas[[#This Row],[Total]]-Ventas[[#This Row],[Precio compra]]*Ventas[[#This Row],[Cantidad]]</f>
        <v>428</v>
      </c>
      <c r="J1328" s="34"/>
      <c r="K1328" s="34">
        <f>Ventas[[#This Row],[Total]]*Ventas[[#This Row],[Total 3]]</f>
        <v>0</v>
      </c>
      <c r="L1328" s="34"/>
      <c r="M1328" s="34"/>
    </row>
    <row r="1329" spans="2:13">
      <c r="B1329" s="39" t="s">
        <v>496</v>
      </c>
      <c r="C1329" s="35" t="str">
        <f>VLOOKUP(Ventas[[#This Row],[Codigo]],Stock[#Data],2,FALSE)</f>
        <v>Tabaco Van Kiff Chocolate</v>
      </c>
      <c r="D1329" s="37">
        <f>VLOOKUP(Ventas[[#This Row],[Codigo]],Stock[#Data],4,FALSE)</f>
        <v>850</v>
      </c>
      <c r="E1329" s="33">
        <f>VLOOKUP(Ventas[[#This Row],[Codigo]],Stock[#Data],3,FALSE)</f>
        <v>580</v>
      </c>
      <c r="F1329" s="38">
        <v>1</v>
      </c>
      <c r="G1329">
        <v>119</v>
      </c>
      <c r="H1329" s="36">
        <f>Ventas[[#This Row],[Precio Venta]]*Ventas[[#This Row],[Cantidad]]-Ventas[[#This Row],[Descuento]]</f>
        <v>850</v>
      </c>
      <c r="I1329" s="34">
        <f>Ventas[[#This Row],[Total]]-Ventas[[#This Row],[Precio compra]]*Ventas[[#This Row],[Cantidad]]</f>
        <v>270</v>
      </c>
      <c r="J1329" s="34"/>
      <c r="K1329" s="34">
        <f>Ventas[[#This Row],[Total]]*Ventas[[#This Row],[Total 3]]</f>
        <v>0</v>
      </c>
      <c r="L1329" s="34"/>
      <c r="M1329" s="34"/>
    </row>
    <row r="1330" spans="2:13">
      <c r="B1330" s="39" t="s">
        <v>496</v>
      </c>
      <c r="C1330" s="35" t="str">
        <f>VLOOKUP(Ventas[[#This Row],[Codigo]],Stock[#Data],2,FALSE)</f>
        <v>Tabaco Van Kiff Vainilla</v>
      </c>
      <c r="D1330" s="37">
        <f>VLOOKUP(Ventas[[#This Row],[Codigo]],Stock[#Data],4,FALSE)</f>
        <v>850</v>
      </c>
      <c r="E1330" s="33">
        <f>VLOOKUP(Ventas[[#This Row],[Codigo]],Stock[#Data],3,FALSE)</f>
        <v>580</v>
      </c>
      <c r="F1330" s="38">
        <v>1</v>
      </c>
      <c r="G1330">
        <v>120</v>
      </c>
      <c r="H1330" s="36">
        <f>Ventas[[#This Row],[Precio Venta]]*Ventas[[#This Row],[Cantidad]]-Ventas[[#This Row],[Descuento]]</f>
        <v>850</v>
      </c>
      <c r="I1330" s="34">
        <f>Ventas[[#This Row],[Total]]-Ventas[[#This Row],[Precio compra]]*Ventas[[#This Row],[Cantidad]]</f>
        <v>270</v>
      </c>
      <c r="J1330" s="34"/>
      <c r="K1330" s="34">
        <f>Ventas[[#This Row],[Total]]*Ventas[[#This Row],[Total 3]]</f>
        <v>0</v>
      </c>
      <c r="L1330" s="34"/>
      <c r="M1330" s="34"/>
    </row>
    <row r="1331" spans="2:13">
      <c r="B1331" s="39" t="s">
        <v>496</v>
      </c>
      <c r="C1331" s="35" t="str">
        <f>VLOOKUP(Ventas[[#This Row],[Codigo]],Stock[#Data],2,FALSE)</f>
        <v xml:space="preserve">Tabaquera Tobac </v>
      </c>
      <c r="D1331" s="37">
        <f>VLOOKUP(Ventas[[#This Row],[Codigo]],Stock[#Data],4,FALSE)</f>
        <v>4000</v>
      </c>
      <c r="E1331" s="33">
        <f>VLOOKUP(Ventas[[#This Row],[Codigo]],Stock[#Data],3,FALSE)</f>
        <v>2280</v>
      </c>
      <c r="F1331" s="38">
        <v>1</v>
      </c>
      <c r="G1331">
        <v>153</v>
      </c>
      <c r="H1331" s="36">
        <f>Ventas[[#This Row],[Precio Venta]]*Ventas[[#This Row],[Cantidad]]-Ventas[[#This Row],[Descuento]]</f>
        <v>4000</v>
      </c>
      <c r="I1331" s="34">
        <f>Ventas[[#This Row],[Total]]-Ventas[[#This Row],[Precio compra]]*Ventas[[#This Row],[Cantidad]]</f>
        <v>1720</v>
      </c>
      <c r="J1331" s="34"/>
      <c r="K1331" s="34">
        <f>Ventas[[#This Row],[Total]]*Ventas[[#This Row],[Total 3]]</f>
        <v>0</v>
      </c>
      <c r="L1331" s="34"/>
      <c r="M1331" s="34"/>
    </row>
    <row r="1332" spans="2:13">
      <c r="B1332" s="39" t="s">
        <v>496</v>
      </c>
      <c r="C1332" s="35" t="str">
        <f>VLOOKUP(Ventas[[#This Row],[Codigo]],Stock[#Data],2,FALSE)</f>
        <v>Sedas Lion Rolling Circus Ultra Thin</v>
      </c>
      <c r="D1332" s="37">
        <f>VLOOKUP(Ventas[[#This Row],[Codigo]],Stock[#Data],4,FALSE)</f>
        <v>250</v>
      </c>
      <c r="E1332" s="33">
        <f>VLOOKUP(Ventas[[#This Row],[Codigo]],Stock[#Data],3,FALSE)</f>
        <v>123</v>
      </c>
      <c r="F1332" s="38">
        <v>1</v>
      </c>
      <c r="G1332">
        <v>309</v>
      </c>
      <c r="H1332" s="36">
        <f>Ventas[[#This Row],[Precio Venta]]*Ventas[[#This Row],[Cantidad]]-Ventas[[#This Row],[Descuento]]</f>
        <v>250</v>
      </c>
      <c r="I1332" s="34">
        <f>Ventas[[#This Row],[Total]]-Ventas[[#This Row],[Precio compra]]*Ventas[[#This Row],[Cantidad]]</f>
        <v>127</v>
      </c>
      <c r="J1332" s="34"/>
      <c r="K1332" s="34">
        <f>Ventas[[#This Row],[Total]]*Ventas[[#This Row],[Total 3]]</f>
        <v>0</v>
      </c>
      <c r="L1332" s="34"/>
      <c r="M1332" s="34"/>
    </row>
    <row r="1333" spans="2:13">
      <c r="B1333" s="39" t="s">
        <v>496</v>
      </c>
      <c r="C1333" s="35" t="str">
        <f>VLOOKUP(Ventas[[#This Row],[Codigo]],Stock[#Data],2,FALSE)</f>
        <v>Termohidrógeno</v>
      </c>
      <c r="D1333" s="37">
        <f>VLOOKUP(Ventas[[#This Row],[Codigo]],Stock[#Data],4,FALSE)</f>
        <v>4000</v>
      </c>
      <c r="E1333" s="33">
        <f>VLOOKUP(Ventas[[#This Row],[Codigo]],Stock[#Data],3,FALSE)</f>
        <v>2000</v>
      </c>
      <c r="F1333" s="38">
        <v>1</v>
      </c>
      <c r="G1333">
        <v>187</v>
      </c>
      <c r="H1333" s="36">
        <f>Ventas[[#This Row],[Precio Venta]]*Ventas[[#This Row],[Cantidad]]-Ventas[[#This Row],[Descuento]]</f>
        <v>4000</v>
      </c>
      <c r="I1333" s="34">
        <f>Ventas[[#This Row],[Total]]-Ventas[[#This Row],[Precio compra]]*Ventas[[#This Row],[Cantidad]]</f>
        <v>2000</v>
      </c>
      <c r="J1333" s="34"/>
      <c r="K1333" s="34">
        <f>Ventas[[#This Row],[Total]]*Ventas[[#This Row],[Total 3]]</f>
        <v>0</v>
      </c>
      <c r="L1333" s="34"/>
      <c r="M1333" s="34"/>
    </row>
    <row r="1334" spans="2:13">
      <c r="B1334" s="39">
        <v>44935</v>
      </c>
      <c r="C1334" s="35" t="str">
        <f>VLOOKUP(Ventas[[#This Row],[Codigo]],Stock[#Data],2,FALSE)</f>
        <v>Sedas Lion Rolling Circus 1/4 celulosa</v>
      </c>
      <c r="D1334" s="37">
        <f>VLOOKUP(Ventas[[#This Row],[Codigo]],Stock[#Data],4,FALSE)</f>
        <v>700</v>
      </c>
      <c r="E1334" s="33">
        <f>VLOOKUP(Ventas[[#This Row],[Codigo]],Stock[#Data],3,FALSE)</f>
        <v>348</v>
      </c>
      <c r="F1334" s="38">
        <v>1</v>
      </c>
      <c r="G1334">
        <v>65</v>
      </c>
      <c r="H1334" s="36">
        <f>Ventas[[#This Row],[Precio Venta]]*Ventas[[#This Row],[Cantidad]]-Ventas[[#This Row],[Descuento]]</f>
        <v>700</v>
      </c>
      <c r="I1334" s="34">
        <f>Ventas[[#This Row],[Total]]-Ventas[[#This Row],[Precio compra]]*Ventas[[#This Row],[Cantidad]]</f>
        <v>352</v>
      </c>
      <c r="J1334" s="34"/>
      <c r="K1334" s="34">
        <f>Ventas[[#This Row],[Total]]*Ventas[[#This Row],[Total 3]]</f>
        <v>0</v>
      </c>
      <c r="L1334" s="34"/>
      <c r="M1334" s="34"/>
    </row>
    <row r="1335" spans="2:13">
      <c r="B1335" s="39">
        <v>44935</v>
      </c>
      <c r="C1335" s="35" t="str">
        <f>VLOOKUP(Ventas[[#This Row],[Codigo]],Stock[#Data],2,FALSE)</f>
        <v>Pipa India</v>
      </c>
      <c r="D1335" s="37">
        <f>VLOOKUP(Ventas[[#This Row],[Codigo]],Stock[#Data],4,FALSE)</f>
        <v>2000</v>
      </c>
      <c r="E1335" s="33">
        <f>VLOOKUP(Ventas[[#This Row],[Codigo]],Stock[#Data],3,FALSE)</f>
        <v>910</v>
      </c>
      <c r="F1335" s="38">
        <v>1</v>
      </c>
      <c r="G1335">
        <v>158</v>
      </c>
      <c r="H1335" s="36">
        <f>Ventas[[#This Row],[Precio Venta]]*Ventas[[#This Row],[Cantidad]]-Ventas[[#This Row],[Descuento]]</f>
        <v>2000</v>
      </c>
      <c r="I1335" s="34">
        <f>Ventas[[#This Row],[Total]]-Ventas[[#This Row],[Precio compra]]*Ventas[[#This Row],[Cantidad]]</f>
        <v>1090</v>
      </c>
      <c r="J1335" s="34"/>
      <c r="K1335" s="34">
        <f>Ventas[[#This Row],[Total]]*Ventas[[#This Row],[Total 3]]</f>
        <v>0</v>
      </c>
      <c r="L1335" s="34"/>
      <c r="M1335" s="34"/>
    </row>
    <row r="1336" spans="2:13">
      <c r="B1336" s="39">
        <v>44935</v>
      </c>
      <c r="C1336" s="35" t="str">
        <f>VLOOKUP(Ventas[[#This Row],[Codigo]],Stock[#Data],2,FALSE)</f>
        <v>Pipa D&amp;K Metal+Picador</v>
      </c>
      <c r="D1336" s="37">
        <f>VLOOKUP(Ventas[[#This Row],[Codigo]],Stock[#Data],4,FALSE)</f>
        <v>1600</v>
      </c>
      <c r="E1336" s="33">
        <f>VLOOKUP(Ventas[[#This Row],[Codigo]],Stock[#Data],3,FALSE)</f>
        <v>830</v>
      </c>
      <c r="F1336" s="38">
        <v>1</v>
      </c>
      <c r="G1336">
        <v>161</v>
      </c>
      <c r="H1336" s="36">
        <f>Ventas[[#This Row],[Precio Venta]]*Ventas[[#This Row],[Cantidad]]-Ventas[[#This Row],[Descuento]]</f>
        <v>1600</v>
      </c>
      <c r="I1336" s="34">
        <f>Ventas[[#This Row],[Total]]-Ventas[[#This Row],[Precio compra]]*Ventas[[#This Row],[Cantidad]]</f>
        <v>770</v>
      </c>
      <c r="J1336" s="34"/>
      <c r="K1336" s="34">
        <f>Ventas[[#This Row],[Total]]*Ventas[[#This Row],[Total 3]]</f>
        <v>0</v>
      </c>
      <c r="L1336" s="34"/>
      <c r="M1336" s="34"/>
    </row>
    <row r="1337" spans="2:13">
      <c r="B1337" s="39">
        <v>44935</v>
      </c>
      <c r="C1337" s="35" t="str">
        <f>VLOOKUP(Ventas[[#This Row],[Codigo]],Stock[#Data],2,FALSE)</f>
        <v>Bong Acrílico Mediano Diseños 20cm</v>
      </c>
      <c r="D1337" s="37">
        <f>VLOOKUP(Ventas[[#This Row],[Codigo]],Stock[#Data],4,FALSE)</f>
        <v>2500</v>
      </c>
      <c r="E1337" s="33">
        <f>VLOOKUP(Ventas[[#This Row],[Codigo]],Stock[#Data],3,FALSE)</f>
        <v>1330</v>
      </c>
      <c r="F1337" s="38">
        <v>1</v>
      </c>
      <c r="G1337">
        <v>528</v>
      </c>
      <c r="H1337" s="36">
        <f>Ventas[[#This Row],[Precio Venta]]*Ventas[[#This Row],[Cantidad]]-Ventas[[#This Row],[Descuento]]</f>
        <v>2500</v>
      </c>
      <c r="I1337" s="34">
        <f>Ventas[[#This Row],[Total]]-Ventas[[#This Row],[Precio compra]]*Ventas[[#This Row],[Cantidad]]</f>
        <v>1170</v>
      </c>
      <c r="J1337" s="34"/>
      <c r="K1337" s="34">
        <f>Ventas[[#This Row],[Total]]*Ventas[[#This Row],[Total 3]]</f>
        <v>0</v>
      </c>
      <c r="L1337" s="34"/>
      <c r="M1337" s="34"/>
    </row>
    <row r="1338" spans="2:13">
      <c r="B1338" s="39">
        <v>44934</v>
      </c>
      <c r="C1338" s="35" t="str">
        <f>VLOOKUP(Ventas[[#This Row],[Codigo]],Stock[#Data],2,FALSE)</f>
        <v>Organic Life jabón potásico</v>
      </c>
      <c r="D1338" s="37">
        <f>VLOOKUP(Ventas[[#This Row],[Codigo]],Stock[#Data],4,FALSE)</f>
        <v>500</v>
      </c>
      <c r="E1338" s="33">
        <f>VLOOKUP(Ventas[[#This Row],[Codigo]],Stock[#Data],3,FALSE)</f>
        <v>240</v>
      </c>
      <c r="F1338" s="38">
        <v>1</v>
      </c>
      <c r="G1338">
        <v>18</v>
      </c>
      <c r="H1338" s="36">
        <f>Ventas[[#This Row],[Precio Venta]]*Ventas[[#This Row],[Cantidad]]-Ventas[[#This Row],[Descuento]]</f>
        <v>500</v>
      </c>
      <c r="I1338" s="34">
        <f>Ventas[[#This Row],[Total]]-Ventas[[#This Row],[Precio compra]]*Ventas[[#This Row],[Cantidad]]</f>
        <v>260</v>
      </c>
      <c r="J1338" s="34"/>
      <c r="K1338" s="34">
        <f>Ventas[[#This Row],[Total]]*Ventas[[#This Row],[Total 3]]</f>
        <v>0</v>
      </c>
      <c r="L1338" s="34"/>
      <c r="M1338" s="34"/>
    </row>
    <row r="1339" spans="2:13">
      <c r="B1339" s="39">
        <v>44934</v>
      </c>
      <c r="C1339" s="35" t="str">
        <f>VLOOKUP(Ventas[[#This Row],[Codigo]],Stock[#Data],2,FALSE)</f>
        <v>Nostress aceite de neem</v>
      </c>
      <c r="D1339" s="37">
        <f>VLOOKUP(Ventas[[#This Row],[Codigo]],Stock[#Data],4,FALSE)</f>
        <v>900</v>
      </c>
      <c r="E1339" s="33">
        <f>VLOOKUP(Ventas[[#This Row],[Codigo]],Stock[#Data],3,FALSE)</f>
        <v>430</v>
      </c>
      <c r="F1339" s="38">
        <v>1</v>
      </c>
      <c r="G1339">
        <v>20</v>
      </c>
      <c r="H1339" s="36">
        <f>Ventas[[#This Row],[Precio Venta]]*Ventas[[#This Row],[Cantidad]]-Ventas[[#This Row],[Descuento]]</f>
        <v>900</v>
      </c>
      <c r="I1339" s="34">
        <f>Ventas[[#This Row],[Total]]-Ventas[[#This Row],[Precio compra]]*Ventas[[#This Row],[Cantidad]]</f>
        <v>470</v>
      </c>
      <c r="J1339" s="34"/>
      <c r="K1339" s="34">
        <f>Ventas[[#This Row],[Total]]*Ventas[[#This Row],[Total 3]]</f>
        <v>0</v>
      </c>
      <c r="L1339" s="34"/>
      <c r="M1339" s="34"/>
    </row>
    <row r="1340" spans="2:13">
      <c r="B1340" s="39">
        <v>44934</v>
      </c>
      <c r="C1340" s="35" t="str">
        <f>VLOOKUP(Ventas[[#This Row],[Codigo]],Stock[#Data],2,FALSE)</f>
        <v>SKOG King Clon</v>
      </c>
      <c r="D1340" s="37">
        <f>VLOOKUP(Ventas[[#This Row],[Codigo]],Stock[#Data],4,FALSE)</f>
        <v>1000</v>
      </c>
      <c r="E1340" s="33">
        <f>VLOOKUP(Ventas[[#This Row],[Codigo]],Stock[#Data],3,FALSE)</f>
        <v>485</v>
      </c>
      <c r="F1340" s="38">
        <v>1</v>
      </c>
      <c r="G1340">
        <v>15</v>
      </c>
      <c r="H1340" s="36">
        <f>Ventas[[#This Row],[Precio Venta]]*Ventas[[#This Row],[Cantidad]]-Ventas[[#This Row],[Descuento]]</f>
        <v>1000</v>
      </c>
      <c r="I1340" s="34">
        <f>Ventas[[#This Row],[Total]]-Ventas[[#This Row],[Precio compra]]*Ventas[[#This Row],[Cantidad]]</f>
        <v>515</v>
      </c>
      <c r="J1340" s="34"/>
      <c r="K1340" s="34">
        <f>Ventas[[#This Row],[Total]]*Ventas[[#This Row],[Total 3]]</f>
        <v>0</v>
      </c>
      <c r="L1340" s="34"/>
      <c r="M1340" s="34"/>
    </row>
    <row r="1341" spans="2:13">
      <c r="B1341" s="39">
        <v>44934</v>
      </c>
      <c r="C1341" s="35" t="str">
        <f>VLOOKUP(Ventas[[#This Row],[Codigo]],Stock[#Data],2,FALSE)</f>
        <v>Sedas Lion Rolling Circus 1/4 Saborizadas Uva</v>
      </c>
      <c r="D1341" s="37">
        <f>VLOOKUP(Ventas[[#This Row],[Codigo]],Stock[#Data],4,FALSE)</f>
        <v>350</v>
      </c>
      <c r="E1341" s="33">
        <f>VLOOKUP(Ventas[[#This Row],[Codigo]],Stock[#Data],3,FALSE)</f>
        <v>178</v>
      </c>
      <c r="F1341" s="38">
        <v>1</v>
      </c>
      <c r="G1341">
        <v>517</v>
      </c>
      <c r="H1341" s="36">
        <f>Ventas[[#This Row],[Precio Venta]]*Ventas[[#This Row],[Cantidad]]-Ventas[[#This Row],[Descuento]]</f>
        <v>350</v>
      </c>
      <c r="I1341" s="34">
        <f>Ventas[[#This Row],[Total]]-Ventas[[#This Row],[Precio compra]]*Ventas[[#This Row],[Cantidad]]</f>
        <v>172</v>
      </c>
      <c r="J1341" s="34"/>
      <c r="K1341" s="34">
        <f>Ventas[[#This Row],[Total]]*Ventas[[#This Row],[Total 3]]</f>
        <v>0</v>
      </c>
      <c r="L1341" s="34"/>
      <c r="M1341" s="34"/>
    </row>
    <row r="1342" spans="2:13">
      <c r="B1342" s="39">
        <v>44934</v>
      </c>
      <c r="C1342" s="35" t="str">
        <f>VLOOKUP(Ventas[[#This Row],[Codigo]],Stock[#Data],2,FALSE)</f>
        <v>Melaza 100% natural</v>
      </c>
      <c r="D1342" s="37">
        <f>VLOOKUP(Ventas[[#This Row],[Codigo]],Stock[#Data],4,FALSE)</f>
        <v>700</v>
      </c>
      <c r="E1342" s="33">
        <f>VLOOKUP(Ventas[[#This Row],[Codigo]],Stock[#Data],3,FALSE)</f>
        <v>340</v>
      </c>
      <c r="F1342" s="38">
        <v>1</v>
      </c>
      <c r="G1342">
        <v>455</v>
      </c>
      <c r="H1342" s="36">
        <f>Ventas[[#This Row],[Precio Venta]]*Ventas[[#This Row],[Cantidad]]-Ventas[[#This Row],[Descuento]]</f>
        <v>700</v>
      </c>
      <c r="I1342" s="34">
        <f>Ventas[[#This Row],[Total]]-Ventas[[#This Row],[Precio compra]]*Ventas[[#This Row],[Cantidad]]</f>
        <v>360</v>
      </c>
      <c r="J1342" s="34"/>
      <c r="K1342" s="34">
        <f>Ventas[[#This Row],[Total]]*Ventas[[#This Row],[Total 3]]</f>
        <v>0</v>
      </c>
      <c r="L1342" s="34"/>
      <c r="M1342" s="34"/>
    </row>
    <row r="1343" spans="2:13">
      <c r="B1343" s="39">
        <v>44934</v>
      </c>
      <c r="C1343" s="35" t="str">
        <f>VLOOKUP(Ventas[[#This Row],[Codigo]],Stock[#Data],2,FALSE)</f>
        <v>CropSecret 250ml Green Session</v>
      </c>
      <c r="D1343" s="37">
        <f>VLOOKUP(Ventas[[#This Row],[Codigo]],Stock[#Data],4,FALSE)</f>
        <v>2000</v>
      </c>
      <c r="E1343" s="33">
        <f>VLOOKUP(Ventas[[#This Row],[Codigo]],Stock[#Data],3,FALSE)</f>
        <v>836</v>
      </c>
      <c r="F1343" s="38">
        <v>1</v>
      </c>
      <c r="G1343">
        <v>2</v>
      </c>
      <c r="H1343" s="36">
        <f>Ventas[[#This Row],[Precio Venta]]*Ventas[[#This Row],[Cantidad]]-Ventas[[#This Row],[Descuento]]</f>
        <v>2000</v>
      </c>
      <c r="I1343" s="34">
        <f>Ventas[[#This Row],[Total]]-Ventas[[#This Row],[Precio compra]]*Ventas[[#This Row],[Cantidad]]</f>
        <v>1164</v>
      </c>
      <c r="J1343" s="34"/>
      <c r="K1343" s="34">
        <f>Ventas[[#This Row],[Total]]*Ventas[[#This Row],[Total 3]]</f>
        <v>0</v>
      </c>
      <c r="L1343" s="34"/>
      <c r="M1343" s="34"/>
    </row>
    <row r="1344" spans="2:13">
      <c r="B1344" s="39">
        <v>44934</v>
      </c>
      <c r="C1344" s="35" t="str">
        <f>VLOOKUP(Ventas[[#This Row],[Codigo]],Stock[#Data],2,FALSE)</f>
        <v>Melaza Respeta mi 4:20 250cc</v>
      </c>
      <c r="D1344" s="37">
        <f>VLOOKUP(Ventas[[#This Row],[Codigo]],Stock[#Data],4,FALSE)</f>
        <v>850</v>
      </c>
      <c r="E1344" s="33">
        <f>VLOOKUP(Ventas[[#This Row],[Codigo]],Stock[#Data],3,FALSE)</f>
        <v>437</v>
      </c>
      <c r="F1344" s="38">
        <v>1</v>
      </c>
      <c r="G1344">
        <v>10</v>
      </c>
      <c r="H1344" s="36">
        <f>Ventas[[#This Row],[Precio Venta]]*Ventas[[#This Row],[Cantidad]]-Ventas[[#This Row],[Descuento]]</f>
        <v>850</v>
      </c>
      <c r="I1344" s="34">
        <f>Ventas[[#This Row],[Total]]-Ventas[[#This Row],[Precio compra]]*Ventas[[#This Row],[Cantidad]]</f>
        <v>413</v>
      </c>
      <c r="J1344" s="34"/>
      <c r="K1344" s="34">
        <f>Ventas[[#This Row],[Total]]*Ventas[[#This Row],[Total 3]]</f>
        <v>0</v>
      </c>
      <c r="L1344" s="34"/>
      <c r="M1344" s="34"/>
    </row>
    <row r="1345" spans="2:13">
      <c r="B1345" s="39">
        <v>44934</v>
      </c>
      <c r="C1345" s="35" t="str">
        <f>VLOOKUP(Ventas[[#This Row],[Codigo]],Stock[#Data],2,FALSE)</f>
        <v>VAMP Guano de murcielago Vegetativo</v>
      </c>
      <c r="D1345" s="37">
        <f>VLOOKUP(Ventas[[#This Row],[Codigo]],Stock[#Data],4,FALSE)</f>
        <v>1000</v>
      </c>
      <c r="E1345" s="33">
        <f>VLOOKUP(Ventas[[#This Row],[Codigo]],Stock[#Data],3,FALSE)</f>
        <v>510</v>
      </c>
      <c r="F1345" s="38">
        <v>1</v>
      </c>
      <c r="G1345">
        <v>37</v>
      </c>
      <c r="H1345" s="36">
        <f>Ventas[[#This Row],[Precio Venta]]*Ventas[[#This Row],[Cantidad]]-Ventas[[#This Row],[Descuento]]</f>
        <v>1000</v>
      </c>
      <c r="I1345" s="34">
        <f>Ventas[[#This Row],[Total]]-Ventas[[#This Row],[Precio compra]]*Ventas[[#This Row],[Cantidad]]</f>
        <v>490</v>
      </c>
      <c r="J1345" s="34"/>
      <c r="K1345" s="34">
        <f>Ventas[[#This Row],[Total]]*Ventas[[#This Row],[Total 3]]</f>
        <v>0</v>
      </c>
      <c r="L1345" s="34"/>
      <c r="M1345" s="34"/>
    </row>
    <row r="1346" spans="2:13">
      <c r="B1346" s="39">
        <v>44934</v>
      </c>
      <c r="C1346" s="35" t="str">
        <f>VLOOKUP(Ventas[[#This Row],[Codigo]],Stock[#Data],2,FALSE)</f>
        <v>Namaste Oro Negro 100ml</v>
      </c>
      <c r="D1346" s="37">
        <f>VLOOKUP(Ventas[[#This Row],[Codigo]],Stock[#Data],4,FALSE)</f>
        <v>1000</v>
      </c>
      <c r="E1346" s="33">
        <f>VLOOKUP(Ventas[[#This Row],[Codigo]],Stock[#Data],3,FALSE)</f>
        <v>515</v>
      </c>
      <c r="F1346" s="38">
        <v>1</v>
      </c>
      <c r="G1346">
        <v>478</v>
      </c>
      <c r="H1346" s="36">
        <f>Ventas[[#This Row],[Precio Venta]]*Ventas[[#This Row],[Cantidad]]-Ventas[[#This Row],[Descuento]]</f>
        <v>1000</v>
      </c>
      <c r="I1346" s="34">
        <f>Ventas[[#This Row],[Total]]-Ventas[[#This Row],[Precio compra]]*Ventas[[#This Row],[Cantidad]]</f>
        <v>485</v>
      </c>
      <c r="J1346" s="34"/>
      <c r="K1346" s="34">
        <f>Ventas[[#This Row],[Total]]*Ventas[[#This Row],[Total 3]]</f>
        <v>0</v>
      </c>
      <c r="L1346" s="34"/>
      <c r="M1346" s="34"/>
    </row>
    <row r="1347" spans="2:13">
      <c r="B1347" s="39">
        <v>44934</v>
      </c>
      <c r="C1347" s="35" t="str">
        <f>VLOOKUP(Ventas[[#This Row],[Codigo]],Stock[#Data],2,FALSE)</f>
        <v>Sedas OCB 1/4 Organic  Bamboo</v>
      </c>
      <c r="D1347" s="37">
        <f>VLOOKUP(Ventas[[#This Row],[Codigo]],Stock[#Data],4,FALSE)</f>
        <v>300</v>
      </c>
      <c r="E1347" s="33">
        <f>VLOOKUP(Ventas[[#This Row],[Codigo]],Stock[#Data],3,FALSE)</f>
        <v>165</v>
      </c>
      <c r="F1347" s="38">
        <v>2</v>
      </c>
      <c r="G1347">
        <v>77</v>
      </c>
      <c r="H1347" s="36">
        <f>Ventas[[#This Row],[Precio Venta]]*Ventas[[#This Row],[Cantidad]]-Ventas[[#This Row],[Descuento]]</f>
        <v>600</v>
      </c>
      <c r="I1347" s="34">
        <f>Ventas[[#This Row],[Total]]-Ventas[[#This Row],[Precio compra]]*Ventas[[#This Row],[Cantidad]]</f>
        <v>270</v>
      </c>
      <c r="J1347" s="34"/>
      <c r="K1347" s="34">
        <f>Ventas[[#This Row],[Total]]*Ventas[[#This Row],[Total 3]]</f>
        <v>0</v>
      </c>
      <c r="L1347" s="34"/>
      <c r="M1347" s="34"/>
    </row>
    <row r="1348" spans="2:13">
      <c r="B1348" s="39">
        <v>44934</v>
      </c>
      <c r="C1348" s="35" t="str">
        <f>VLOOKUP(Ventas[[#This Row],[Codigo]],Stock[#Data],2,FALSE)</f>
        <v>Tips Lion silver</v>
      </c>
      <c r="D1348" s="37">
        <f>VLOOKUP(Ventas[[#This Row],[Codigo]],Stock[#Data],4,FALSE)</f>
        <v>250</v>
      </c>
      <c r="E1348" s="33">
        <f>VLOOKUP(Ventas[[#This Row],[Codigo]],Stock[#Data],3,FALSE)</f>
        <v>137</v>
      </c>
      <c r="F1348" s="38">
        <v>1</v>
      </c>
      <c r="G1348">
        <v>457</v>
      </c>
      <c r="H1348" s="36">
        <f>Ventas[[#This Row],[Precio Venta]]*Ventas[[#This Row],[Cantidad]]-Ventas[[#This Row],[Descuento]]</f>
        <v>250</v>
      </c>
      <c r="I1348" s="34">
        <f>Ventas[[#This Row],[Total]]-Ventas[[#This Row],[Precio compra]]*Ventas[[#This Row],[Cantidad]]</f>
        <v>113</v>
      </c>
      <c r="J1348" s="34"/>
      <c r="K1348" s="34">
        <f>Ventas[[#This Row],[Total]]*Ventas[[#This Row],[Total 3]]</f>
        <v>0</v>
      </c>
      <c r="L1348" s="34"/>
      <c r="M1348" s="34"/>
    </row>
    <row r="1349" spans="2:13">
      <c r="B1349" s="39">
        <v>44934</v>
      </c>
      <c r="C1349" s="35" t="str">
        <f>VLOOKUP(Ventas[[#This Row],[Codigo]],Stock[#Data],2,FALSE)</f>
        <v xml:space="preserve">Latas Zeus </v>
      </c>
      <c r="D1349" s="37">
        <f>VLOOKUP(Ventas[[#This Row],[Codigo]],Stock[#Data],4,FALSE)</f>
        <v>1000</v>
      </c>
      <c r="E1349" s="33">
        <f>VLOOKUP(Ventas[[#This Row],[Codigo]],Stock[#Data],3,FALSE)</f>
        <v>521</v>
      </c>
      <c r="F1349" s="38">
        <v>1</v>
      </c>
      <c r="G1349">
        <v>365</v>
      </c>
      <c r="H1349" s="36">
        <f>Ventas[[#This Row],[Precio Venta]]*Ventas[[#This Row],[Cantidad]]-Ventas[[#This Row],[Descuento]]</f>
        <v>1000</v>
      </c>
      <c r="I1349" s="34">
        <f>Ventas[[#This Row],[Total]]-Ventas[[#This Row],[Precio compra]]*Ventas[[#This Row],[Cantidad]]</f>
        <v>479</v>
      </c>
      <c r="J1349" s="34"/>
      <c r="K1349" s="34">
        <f>Ventas[[#This Row],[Total]]*Ventas[[#This Row],[Total 3]]</f>
        <v>0</v>
      </c>
      <c r="L1349" s="34"/>
      <c r="M1349" s="34"/>
    </row>
    <row r="1350" spans="2:13">
      <c r="B1350" s="39">
        <v>44934</v>
      </c>
      <c r="C1350" s="35" t="str">
        <f>VLOOKUP(Ventas[[#This Row],[Codigo]],Stock[#Data],2,FALSE)</f>
        <v>Tierra de Diatomeas La Pota 500g</v>
      </c>
      <c r="D1350" s="37">
        <f>VLOOKUP(Ventas[[#This Row],[Codigo]],Stock[#Data],4,FALSE)</f>
        <v>1500</v>
      </c>
      <c r="E1350" s="33">
        <f>VLOOKUP(Ventas[[#This Row],[Codigo]],Stock[#Data],3,FALSE)</f>
        <v>720</v>
      </c>
      <c r="F1350" s="38">
        <v>1</v>
      </c>
      <c r="G1350">
        <v>468</v>
      </c>
      <c r="H1350" s="36">
        <f>Ventas[[#This Row],[Precio Venta]]*Ventas[[#This Row],[Cantidad]]-Ventas[[#This Row],[Descuento]]</f>
        <v>1500</v>
      </c>
      <c r="I1350" s="34">
        <f>Ventas[[#This Row],[Total]]-Ventas[[#This Row],[Precio compra]]*Ventas[[#This Row],[Cantidad]]</f>
        <v>780</v>
      </c>
      <c r="J1350" s="34"/>
      <c r="K1350" s="34">
        <f>Ventas[[#This Row],[Total]]*Ventas[[#This Row],[Total 3]]</f>
        <v>0</v>
      </c>
      <c r="L1350" s="34"/>
      <c r="M1350" s="34"/>
    </row>
    <row r="1351" spans="2:13">
      <c r="B1351" s="39">
        <v>44934</v>
      </c>
      <c r="C1351" s="35" t="str">
        <f>VLOOKUP(Ventas[[#This Row],[Codigo]],Stock[#Data],2,FALSE)</f>
        <v>Picador Calavera Corona</v>
      </c>
      <c r="D1351" s="37">
        <f>VLOOKUP(Ventas[[#This Row],[Codigo]],Stock[#Data],4,FALSE)</f>
        <v>3000</v>
      </c>
      <c r="E1351" s="33">
        <f>VLOOKUP(Ventas[[#This Row],[Codigo]],Stock[#Data],3,FALSE)</f>
        <v>1574</v>
      </c>
      <c r="F1351" s="38">
        <v>1</v>
      </c>
      <c r="G1351">
        <v>211</v>
      </c>
      <c r="H1351" s="36">
        <f>Ventas[[#This Row],[Precio Venta]]*Ventas[[#This Row],[Cantidad]]-Ventas[[#This Row],[Descuento]]</f>
        <v>3000</v>
      </c>
      <c r="I1351" s="34">
        <f>Ventas[[#This Row],[Total]]-Ventas[[#This Row],[Precio compra]]*Ventas[[#This Row],[Cantidad]]</f>
        <v>1426</v>
      </c>
      <c r="J1351" s="34"/>
      <c r="K1351" s="34">
        <f>Ventas[[#This Row],[Total]]*Ventas[[#This Row],[Total 3]]</f>
        <v>0</v>
      </c>
      <c r="L1351" s="34"/>
      <c r="M1351" s="34"/>
    </row>
    <row r="1352" spans="2:13">
      <c r="B1352" s="39">
        <v>44933</v>
      </c>
      <c r="C1352" s="35" t="str">
        <f>VLOOKUP(Ventas[[#This Row],[Codigo]],Stock[#Data],2,FALSE)</f>
        <v>Araña Roja Green Leaf 100ml</v>
      </c>
      <c r="D1352" s="37">
        <f>VLOOKUP(Ventas[[#This Row],[Codigo]],Stock[#Data],4,FALSE)</f>
        <v>1800</v>
      </c>
      <c r="E1352" s="33">
        <f>VLOOKUP(Ventas[[#This Row],[Codigo]],Stock[#Data],3,FALSE)</f>
        <v>904</v>
      </c>
      <c r="F1352" s="38">
        <v>1</v>
      </c>
      <c r="G1352">
        <v>470</v>
      </c>
      <c r="H1352" s="36">
        <f>Ventas[[#This Row],[Precio Venta]]*Ventas[[#This Row],[Cantidad]]-Ventas[[#This Row],[Descuento]]</f>
        <v>1800</v>
      </c>
      <c r="I1352" s="34">
        <f>Ventas[[#This Row],[Total]]-Ventas[[#This Row],[Precio compra]]*Ventas[[#This Row],[Cantidad]]</f>
        <v>896</v>
      </c>
      <c r="J1352" s="34"/>
      <c r="K1352" s="34">
        <f>Ventas[[#This Row],[Total]]*Ventas[[#This Row],[Total 3]]</f>
        <v>0</v>
      </c>
      <c r="L1352" s="34"/>
      <c r="M1352" s="34"/>
    </row>
    <row r="1353" spans="2:13">
      <c r="B1353" s="39">
        <v>44933</v>
      </c>
      <c r="C1353" s="35" t="str">
        <f>VLOOKUP(Ventas[[#This Row],[Codigo]],Stock[#Data],2,FALSE)</f>
        <v>Namaste Flora Booster 100ml</v>
      </c>
      <c r="D1353" s="37">
        <f>VLOOKUP(Ventas[[#This Row],[Codigo]],Stock[#Data],4,FALSE)</f>
        <v>1000</v>
      </c>
      <c r="E1353" s="33">
        <f>VLOOKUP(Ventas[[#This Row],[Codigo]],Stock[#Data],3,FALSE)</f>
        <v>517</v>
      </c>
      <c r="F1353" s="38">
        <v>1</v>
      </c>
      <c r="G1353">
        <v>480</v>
      </c>
      <c r="H1353" s="36">
        <f>Ventas[[#This Row],[Precio Venta]]*Ventas[[#This Row],[Cantidad]]-Ventas[[#This Row],[Descuento]]</f>
        <v>1000</v>
      </c>
      <c r="I1353" s="34">
        <f>Ventas[[#This Row],[Total]]-Ventas[[#This Row],[Precio compra]]*Ventas[[#This Row],[Cantidad]]</f>
        <v>483</v>
      </c>
      <c r="J1353" s="34"/>
      <c r="K1353" s="34">
        <f>Ventas[[#This Row],[Total]]*Ventas[[#This Row],[Total 3]]</f>
        <v>0</v>
      </c>
      <c r="L1353" s="34"/>
      <c r="M1353" s="34"/>
    </row>
    <row r="1354" spans="2:13">
      <c r="B1354" s="39">
        <v>44933</v>
      </c>
      <c r="C1354" s="35" t="str">
        <f>VLOOKUP(Ventas[[#This Row],[Codigo]],Stock[#Data],2,FALSE)</f>
        <v>Sedas Blunt Rey 1/4 saborizadas Uva</v>
      </c>
      <c r="D1354" s="37">
        <f>VLOOKUP(Ventas[[#This Row],[Codigo]],Stock[#Data],4,FALSE)</f>
        <v>250</v>
      </c>
      <c r="E1354" s="33">
        <f>VLOOKUP(Ventas[[#This Row],[Codigo]],Stock[#Data],3,FALSE)</f>
        <v>126</v>
      </c>
      <c r="F1354" s="38">
        <v>1</v>
      </c>
      <c r="G1354">
        <v>74</v>
      </c>
      <c r="H1354" s="36">
        <f>Ventas[[#This Row],[Precio Venta]]*Ventas[[#This Row],[Cantidad]]-Ventas[[#This Row],[Descuento]]</f>
        <v>250</v>
      </c>
      <c r="I1354" s="34">
        <f>Ventas[[#This Row],[Total]]-Ventas[[#This Row],[Precio compra]]*Ventas[[#This Row],[Cantidad]]</f>
        <v>124</v>
      </c>
      <c r="J1354" s="34"/>
      <c r="K1354" s="34">
        <f>Ventas[[#This Row],[Total]]*Ventas[[#This Row],[Total 3]]</f>
        <v>0</v>
      </c>
      <c r="L1354" s="34"/>
      <c r="M1354" s="34"/>
    </row>
    <row r="1355" spans="2:13">
      <c r="B1355" s="39">
        <v>44933</v>
      </c>
      <c r="C1355" s="35" t="str">
        <f>VLOOKUP(Ventas[[#This Row],[Codigo]],Stock[#Data],2,FALSE)</f>
        <v xml:space="preserve">filtros gizhe slim 6mm </v>
      </c>
      <c r="D1355" s="37">
        <f>VLOOKUP(Ventas[[#This Row],[Codigo]],Stock[#Data],4,FALSE)</f>
        <v>350</v>
      </c>
      <c r="E1355" s="33">
        <f>VLOOKUP(Ventas[[#This Row],[Codigo]],Stock[#Data],3,FALSE)</f>
        <v>175</v>
      </c>
      <c r="F1355" s="38">
        <v>1</v>
      </c>
      <c r="G1355">
        <v>361</v>
      </c>
      <c r="H1355" s="36">
        <f>Ventas[[#This Row],[Precio Venta]]*Ventas[[#This Row],[Cantidad]]-Ventas[[#This Row],[Descuento]]</f>
        <v>350</v>
      </c>
      <c r="I1355" s="34">
        <f>Ventas[[#This Row],[Total]]-Ventas[[#This Row],[Precio compra]]*Ventas[[#This Row],[Cantidad]]</f>
        <v>175</v>
      </c>
      <c r="J1355" s="34"/>
      <c r="K1355" s="34">
        <f>Ventas[[#This Row],[Total]]*Ventas[[#This Row],[Total 3]]</f>
        <v>0</v>
      </c>
      <c r="L1355" s="34"/>
      <c r="M1355" s="34"/>
    </row>
    <row r="1356" spans="2:13">
      <c r="B1356" s="39">
        <v>44933</v>
      </c>
      <c r="C1356" s="35" t="str">
        <f>VLOOKUP(Ventas[[#This Row],[Codigo]],Stock[#Data],2,FALSE)</f>
        <v xml:space="preserve">Filtros Gizhe + Sedas </v>
      </c>
      <c r="D1356" s="37">
        <f>VLOOKUP(Ventas[[#This Row],[Codigo]],Stock[#Data],4,FALSE)</f>
        <v>350</v>
      </c>
      <c r="E1356" s="33">
        <f>VLOOKUP(Ventas[[#This Row],[Codigo]],Stock[#Data],3,FALSE)</f>
        <v>150</v>
      </c>
      <c r="F1356" s="38">
        <v>1</v>
      </c>
      <c r="G1356">
        <v>476</v>
      </c>
      <c r="H1356" s="36">
        <f>Ventas[[#This Row],[Precio Venta]]*Ventas[[#This Row],[Cantidad]]-Ventas[[#This Row],[Descuento]]</f>
        <v>350</v>
      </c>
      <c r="I1356" s="34">
        <f>Ventas[[#This Row],[Total]]-Ventas[[#This Row],[Precio compra]]*Ventas[[#This Row],[Cantidad]]</f>
        <v>200</v>
      </c>
      <c r="J1356" s="34"/>
      <c r="K1356" s="34">
        <f>Ventas[[#This Row],[Total]]*Ventas[[#This Row],[Total 3]]</f>
        <v>0</v>
      </c>
      <c r="L1356" s="34"/>
      <c r="M1356" s="34"/>
    </row>
    <row r="1357" spans="2:13">
      <c r="B1357" s="39">
        <v>44933</v>
      </c>
      <c r="C1357" s="35" t="str">
        <f>VLOOKUP(Ventas[[#This Row],[Codigo]],Stock[#Data],2,FALSE)</f>
        <v>Tabaco Van Kiff Natural</v>
      </c>
      <c r="D1357" s="37">
        <f>VLOOKUP(Ventas[[#This Row],[Codigo]],Stock[#Data],4,FALSE)</f>
        <v>850</v>
      </c>
      <c r="E1357" s="33">
        <f>VLOOKUP(Ventas[[#This Row],[Codigo]],Stock[#Data],3,FALSE)</f>
        <v>580</v>
      </c>
      <c r="F1357" s="38">
        <v>1</v>
      </c>
      <c r="G1357">
        <v>117</v>
      </c>
      <c r="H1357" s="36">
        <f>Ventas[[#This Row],[Precio Venta]]*Ventas[[#This Row],[Cantidad]]-Ventas[[#This Row],[Descuento]]</f>
        <v>850</v>
      </c>
      <c r="I1357" s="34">
        <f>Ventas[[#This Row],[Total]]-Ventas[[#This Row],[Precio compra]]*Ventas[[#This Row],[Cantidad]]</f>
        <v>270</v>
      </c>
      <c r="J1357" s="34"/>
      <c r="K1357" s="34">
        <f>Ventas[[#This Row],[Total]]*Ventas[[#This Row],[Total 3]]</f>
        <v>0</v>
      </c>
      <c r="L1357" s="34"/>
      <c r="M1357" s="34"/>
    </row>
    <row r="1358" spans="2:13">
      <c r="B1358" s="39">
        <v>44933</v>
      </c>
      <c r="C1358" s="35" t="str">
        <f>VLOOKUP(Ventas[[#This Row],[Codigo]],Stock[#Data],2,FALSE)</f>
        <v>CropSecret 250ml Green Session</v>
      </c>
      <c r="D1358" s="37">
        <f>VLOOKUP(Ventas[[#This Row],[Codigo]],Stock[#Data],4,FALSE)</f>
        <v>2000</v>
      </c>
      <c r="E1358" s="33">
        <f>VLOOKUP(Ventas[[#This Row],[Codigo]],Stock[#Data],3,FALSE)</f>
        <v>836</v>
      </c>
      <c r="F1358" s="38">
        <v>1</v>
      </c>
      <c r="G1358">
        <v>2</v>
      </c>
      <c r="H1358" s="36">
        <f>Ventas[[#This Row],[Precio Venta]]*Ventas[[#This Row],[Cantidad]]-Ventas[[#This Row],[Descuento]]</f>
        <v>2000</v>
      </c>
      <c r="I1358" s="34">
        <f>Ventas[[#This Row],[Total]]-Ventas[[#This Row],[Precio compra]]*Ventas[[#This Row],[Cantidad]]</f>
        <v>1164</v>
      </c>
      <c r="J1358" s="34"/>
      <c r="K1358" s="34">
        <f>Ventas[[#This Row],[Total]]*Ventas[[#This Row],[Total 3]]</f>
        <v>0</v>
      </c>
      <c r="L1358" s="34"/>
      <c r="M1358" s="34"/>
    </row>
    <row r="1359" spans="2:13">
      <c r="B1359" s="39">
        <v>44933</v>
      </c>
      <c r="C1359" s="35" t="str">
        <f>VLOOKUP(Ventas[[#This Row],[Codigo]],Stock[#Data],2,FALSE)</f>
        <v>Sedas Blunt Rey 1/4 celulosa Verde</v>
      </c>
      <c r="D1359" s="37">
        <f>VLOOKUP(Ventas[[#This Row],[Codigo]],Stock[#Data],4,FALSE)</f>
        <v>300</v>
      </c>
      <c r="E1359" s="33">
        <f>VLOOKUP(Ventas[[#This Row],[Codigo]],Stock[#Data],3,FALSE)</f>
        <v>135</v>
      </c>
      <c r="F1359" s="38">
        <v>1</v>
      </c>
      <c r="G1359">
        <v>72</v>
      </c>
      <c r="H1359" s="36">
        <f>Ventas[[#This Row],[Precio Venta]]*Ventas[[#This Row],[Cantidad]]-Ventas[[#This Row],[Descuento]]</f>
        <v>300</v>
      </c>
      <c r="I1359" s="34">
        <f>Ventas[[#This Row],[Total]]-Ventas[[#This Row],[Precio compra]]*Ventas[[#This Row],[Cantidad]]</f>
        <v>165</v>
      </c>
      <c r="J1359" s="34"/>
      <c r="K1359" s="34">
        <f>Ventas[[#This Row],[Total]]*Ventas[[#This Row],[Total 3]]</f>
        <v>0</v>
      </c>
      <c r="L1359" s="34"/>
      <c r="M1359" s="34"/>
    </row>
    <row r="1360" spans="2:13">
      <c r="B1360" s="39">
        <v>44933</v>
      </c>
      <c r="C1360" s="35" t="str">
        <f>VLOOKUP(Ventas[[#This Row],[Codigo]],Stock[#Data],2,FALSE)</f>
        <v>Sedas OCB 1/4 Organic  Bamboo</v>
      </c>
      <c r="D1360" s="37">
        <f>VLOOKUP(Ventas[[#This Row],[Codigo]],Stock[#Data],4,FALSE)</f>
        <v>300</v>
      </c>
      <c r="E1360" s="33">
        <f>VLOOKUP(Ventas[[#This Row],[Codigo]],Stock[#Data],3,FALSE)</f>
        <v>165</v>
      </c>
      <c r="F1360" s="38">
        <v>1</v>
      </c>
      <c r="G1360">
        <v>77</v>
      </c>
      <c r="H1360" s="36">
        <f>Ventas[[#This Row],[Precio Venta]]*Ventas[[#This Row],[Cantidad]]-Ventas[[#This Row],[Descuento]]</f>
        <v>300</v>
      </c>
      <c r="I1360" s="34">
        <f>Ventas[[#This Row],[Total]]-Ventas[[#This Row],[Precio compra]]*Ventas[[#This Row],[Cantidad]]</f>
        <v>135</v>
      </c>
      <c r="J1360" s="34"/>
      <c r="K1360" s="34">
        <f>Ventas[[#This Row],[Total]]*Ventas[[#This Row],[Total 3]]</f>
        <v>0</v>
      </c>
      <c r="L1360" s="34"/>
      <c r="M1360" s="34"/>
    </row>
    <row r="1361" spans="2:13">
      <c r="B1361" s="39">
        <v>44933</v>
      </c>
      <c r="C1361" s="35" t="str">
        <f>VLOOKUP(Ventas[[#This Row],[Codigo]],Stock[#Data],2,FALSE)</f>
        <v>Tabaco Van Kiff Vainilla</v>
      </c>
      <c r="D1361" s="37">
        <f>VLOOKUP(Ventas[[#This Row],[Codigo]],Stock[#Data],4,FALSE)</f>
        <v>850</v>
      </c>
      <c r="E1361" s="33">
        <f>VLOOKUP(Ventas[[#This Row],[Codigo]],Stock[#Data],3,FALSE)</f>
        <v>580</v>
      </c>
      <c r="F1361" s="38">
        <v>1</v>
      </c>
      <c r="G1361">
        <v>120</v>
      </c>
      <c r="H1361" s="36">
        <f>Ventas[[#This Row],[Precio Venta]]*Ventas[[#This Row],[Cantidad]]-Ventas[[#This Row],[Descuento]]</f>
        <v>850</v>
      </c>
      <c r="I1361" s="34">
        <f>Ventas[[#This Row],[Total]]-Ventas[[#This Row],[Precio compra]]*Ventas[[#This Row],[Cantidad]]</f>
        <v>270</v>
      </c>
      <c r="J1361" s="34"/>
      <c r="K1361" s="34">
        <f>Ventas[[#This Row],[Total]]*Ventas[[#This Row],[Total 3]]</f>
        <v>0</v>
      </c>
      <c r="L1361" s="34"/>
      <c r="M1361" s="34"/>
    </row>
    <row r="1362" spans="2:13">
      <c r="B1362" s="39">
        <v>44932</v>
      </c>
      <c r="C1362" s="35" t="str">
        <f>VLOOKUP(Ventas[[#This Row],[Codigo]],Stock[#Data],2,FALSE)</f>
        <v>Sedas OCB 1/4 Organic  Bamboo</v>
      </c>
      <c r="D1362" s="37">
        <f>VLOOKUP(Ventas[[#This Row],[Codigo]],Stock[#Data],4,FALSE)</f>
        <v>300</v>
      </c>
      <c r="E1362" s="33">
        <f>VLOOKUP(Ventas[[#This Row],[Codigo]],Stock[#Data],3,FALSE)</f>
        <v>165</v>
      </c>
      <c r="F1362" s="38">
        <v>1</v>
      </c>
      <c r="G1362">
        <v>77</v>
      </c>
      <c r="H1362" s="36">
        <f>Ventas[[#This Row],[Precio Venta]]*Ventas[[#This Row],[Cantidad]]-Ventas[[#This Row],[Descuento]]</f>
        <v>300</v>
      </c>
      <c r="I1362" s="34">
        <f>Ventas[[#This Row],[Total]]-Ventas[[#This Row],[Precio compra]]*Ventas[[#This Row],[Cantidad]]</f>
        <v>135</v>
      </c>
      <c r="J1362" s="34"/>
      <c r="K1362" s="34">
        <f>Ventas[[#This Row],[Total]]*Ventas[[#This Row],[Total 3]]</f>
        <v>0</v>
      </c>
      <c r="L1362" s="34"/>
      <c r="M1362" s="34"/>
    </row>
    <row r="1363" spans="2:13">
      <c r="B1363" s="39">
        <v>44932</v>
      </c>
      <c r="C1363" s="35" t="str">
        <f>VLOOKUP(Ventas[[#This Row],[Codigo]],Stock[#Data],2,FALSE)</f>
        <v>Tabaco Van Kiff Vainilla</v>
      </c>
      <c r="D1363" s="37">
        <f>VLOOKUP(Ventas[[#This Row],[Codigo]],Stock[#Data],4,FALSE)</f>
        <v>850</v>
      </c>
      <c r="E1363" s="33">
        <f>VLOOKUP(Ventas[[#This Row],[Codigo]],Stock[#Data],3,FALSE)</f>
        <v>580</v>
      </c>
      <c r="F1363" s="38">
        <v>1</v>
      </c>
      <c r="G1363">
        <v>120</v>
      </c>
      <c r="H1363" s="36">
        <f>Ventas[[#This Row],[Precio Venta]]*Ventas[[#This Row],[Cantidad]]-Ventas[[#This Row],[Descuento]]</f>
        <v>850</v>
      </c>
      <c r="I1363" s="34">
        <f>Ventas[[#This Row],[Total]]-Ventas[[#This Row],[Precio compra]]*Ventas[[#This Row],[Cantidad]]</f>
        <v>270</v>
      </c>
      <c r="J1363" s="34"/>
      <c r="K1363" s="34">
        <f>Ventas[[#This Row],[Total]]*Ventas[[#This Row],[Total 3]]</f>
        <v>0</v>
      </c>
      <c r="L1363" s="34"/>
      <c r="M1363" s="34"/>
    </row>
    <row r="1364" spans="2:13">
      <c r="B1364" s="39">
        <v>44931</v>
      </c>
      <c r="C1364" s="35" t="str">
        <f>VLOOKUP(Ventas[[#This Row],[Codigo]],Stock[#Data],2,FALSE)</f>
        <v>Sedas Blunt Rey 1/4 saborizadas Uva</v>
      </c>
      <c r="D1364" s="37">
        <f>VLOOKUP(Ventas[[#This Row],[Codigo]],Stock[#Data],4,FALSE)</f>
        <v>250</v>
      </c>
      <c r="E1364" s="33">
        <f>VLOOKUP(Ventas[[#This Row],[Codigo]],Stock[#Data],3,FALSE)</f>
        <v>126</v>
      </c>
      <c r="F1364" s="38">
        <v>1</v>
      </c>
      <c r="G1364">
        <v>74</v>
      </c>
      <c r="H1364" s="36">
        <f>Ventas[[#This Row],[Precio Venta]]*Ventas[[#This Row],[Cantidad]]-Ventas[[#This Row],[Descuento]]</f>
        <v>250</v>
      </c>
      <c r="I1364" s="34">
        <f>Ventas[[#This Row],[Total]]-Ventas[[#This Row],[Precio compra]]*Ventas[[#This Row],[Cantidad]]</f>
        <v>124</v>
      </c>
      <c r="J1364" s="34"/>
      <c r="K1364" s="34">
        <f>Ventas[[#This Row],[Total]]*Ventas[[#This Row],[Total 3]]</f>
        <v>0</v>
      </c>
      <c r="L1364" s="34"/>
      <c r="M1364" s="34"/>
    </row>
    <row r="1365" spans="2:13">
      <c r="B1365" s="39">
        <v>44931</v>
      </c>
      <c r="C1365" s="35" t="str">
        <f>VLOOKUP(Ventas[[#This Row],[Codigo]],Stock[#Data],2,FALSE)</f>
        <v>Sustrato Perlita</v>
      </c>
      <c r="D1365" s="37">
        <f>VLOOKUP(Ventas[[#This Row],[Codigo]],Stock[#Data],4,FALSE)</f>
        <v>800</v>
      </c>
      <c r="E1365" s="33">
        <f>VLOOKUP(Ventas[[#This Row],[Codigo]],Stock[#Data],3,FALSE)</f>
        <v>400</v>
      </c>
      <c r="F1365" s="38">
        <v>1</v>
      </c>
      <c r="G1365">
        <v>52</v>
      </c>
      <c r="H1365" s="36">
        <f>Ventas[[#This Row],[Precio Venta]]*Ventas[[#This Row],[Cantidad]]-Ventas[[#This Row],[Descuento]]</f>
        <v>800</v>
      </c>
      <c r="I1365" s="34">
        <f>Ventas[[#This Row],[Total]]-Ventas[[#This Row],[Precio compra]]*Ventas[[#This Row],[Cantidad]]</f>
        <v>400</v>
      </c>
      <c r="J1365" s="34"/>
      <c r="K1365" s="34">
        <f>Ventas[[#This Row],[Total]]*Ventas[[#This Row],[Total 3]]</f>
        <v>0</v>
      </c>
      <c r="L1365" s="34"/>
      <c r="M1365" s="34"/>
    </row>
    <row r="1366" spans="2:13">
      <c r="B1366" s="39">
        <v>44931</v>
      </c>
      <c r="C1366" s="35" t="str">
        <f>VLOOKUP(Ventas[[#This Row],[Codigo]],Stock[#Data],2,FALSE)</f>
        <v>TreeMIX F 200ml</v>
      </c>
      <c r="D1366" s="37">
        <f>VLOOKUP(Ventas[[#This Row],[Codigo]],Stock[#Data],4,FALSE)</f>
        <v>1400</v>
      </c>
      <c r="E1366" s="33">
        <f>VLOOKUP(Ventas[[#This Row],[Codigo]],Stock[#Data],3,FALSE)</f>
        <v>715</v>
      </c>
      <c r="F1366" s="38">
        <v>1</v>
      </c>
      <c r="G1366">
        <v>32</v>
      </c>
      <c r="H1366" s="36">
        <f>Ventas[[#This Row],[Precio Venta]]*Ventas[[#This Row],[Cantidad]]-Ventas[[#This Row],[Descuento]]</f>
        <v>1400</v>
      </c>
      <c r="I1366" s="34">
        <f>Ventas[[#This Row],[Total]]-Ventas[[#This Row],[Precio compra]]*Ventas[[#This Row],[Cantidad]]</f>
        <v>685</v>
      </c>
      <c r="J1366" s="34"/>
      <c r="K1366" s="34">
        <f>Ventas[[#This Row],[Total]]*Ventas[[#This Row],[Total 3]]</f>
        <v>0</v>
      </c>
      <c r="L1366" s="34"/>
      <c r="M1366" s="34"/>
    </row>
    <row r="1367" spans="2:13">
      <c r="B1367" s="39">
        <v>44931</v>
      </c>
      <c r="C1367" s="35" t="str">
        <f>VLOOKUP(Ventas[[#This Row],[Codigo]],Stock[#Data],2,FALSE)</f>
        <v>Sedas OCB 1/4 Organic  Bamboo</v>
      </c>
      <c r="D1367" s="37">
        <f>VLOOKUP(Ventas[[#This Row],[Codigo]],Stock[#Data],4,FALSE)</f>
        <v>300</v>
      </c>
      <c r="E1367" s="33">
        <f>VLOOKUP(Ventas[[#This Row],[Codigo]],Stock[#Data],3,FALSE)</f>
        <v>165</v>
      </c>
      <c r="F1367" s="38">
        <v>1</v>
      </c>
      <c r="G1367">
        <v>77</v>
      </c>
      <c r="H1367" s="36">
        <f>Ventas[[#This Row],[Precio Venta]]*Ventas[[#This Row],[Cantidad]]-Ventas[[#This Row],[Descuento]]</f>
        <v>300</v>
      </c>
      <c r="I1367" s="34">
        <f>Ventas[[#This Row],[Total]]-Ventas[[#This Row],[Precio compra]]*Ventas[[#This Row],[Cantidad]]</f>
        <v>135</v>
      </c>
      <c r="J1367" s="34"/>
      <c r="K1367" s="34">
        <f>Ventas[[#This Row],[Total]]*Ventas[[#This Row],[Total 3]]</f>
        <v>0</v>
      </c>
      <c r="L1367" s="34"/>
      <c r="M1367" s="34"/>
    </row>
    <row r="1368" spans="2:13">
      <c r="B1368" s="39">
        <v>44931</v>
      </c>
      <c r="C1368" s="35" t="str">
        <f>VLOOKUP(Ventas[[#This Row],[Codigo]],Stock[#Data],2,FALSE)</f>
        <v>Sauver 1/4</v>
      </c>
      <c r="D1368" s="37">
        <f>VLOOKUP(Ventas[[#This Row],[Codigo]],Stock[#Data],4,FALSE)</f>
        <v>200</v>
      </c>
      <c r="E1368" s="33">
        <f>VLOOKUP(Ventas[[#This Row],[Codigo]],Stock[#Data],3,FALSE)</f>
        <v>75</v>
      </c>
      <c r="F1368" s="38">
        <v>1</v>
      </c>
      <c r="G1368">
        <v>149</v>
      </c>
      <c r="H1368" s="36">
        <f>Ventas[[#This Row],[Precio Venta]]*Ventas[[#This Row],[Cantidad]]-Ventas[[#This Row],[Descuento]]</f>
        <v>200</v>
      </c>
      <c r="I1368" s="34">
        <f>Ventas[[#This Row],[Total]]-Ventas[[#This Row],[Precio compra]]*Ventas[[#This Row],[Cantidad]]</f>
        <v>125</v>
      </c>
      <c r="J1368" s="34"/>
      <c r="K1368" s="34">
        <f>Ventas[[#This Row],[Total]]*Ventas[[#This Row],[Total 3]]</f>
        <v>0</v>
      </c>
      <c r="L1368" s="34"/>
      <c r="M1368" s="34"/>
    </row>
    <row r="1369" spans="2:13">
      <c r="B1369" s="39">
        <v>44931</v>
      </c>
      <c r="C1369" s="35" t="str">
        <f>VLOOKUP(Ventas[[#This Row],[Codigo]],Stock[#Data],2,FALSE)</f>
        <v xml:space="preserve">Encendedor Clipper </v>
      </c>
      <c r="D1369" s="37">
        <f>VLOOKUP(Ventas[[#This Row],[Codigo]],Stock[#Data],4,FALSE)</f>
        <v>600</v>
      </c>
      <c r="E1369" s="33">
        <f>VLOOKUP(Ventas[[#This Row],[Codigo]],Stock[#Data],3,FALSE)</f>
        <v>378</v>
      </c>
      <c r="F1369" s="38">
        <v>3</v>
      </c>
      <c r="G1369">
        <v>58</v>
      </c>
      <c r="H1369" s="36">
        <f>Ventas[[#This Row],[Precio Venta]]*Ventas[[#This Row],[Cantidad]]-Ventas[[#This Row],[Descuento]]</f>
        <v>1800</v>
      </c>
      <c r="I1369" s="34">
        <f>Ventas[[#This Row],[Total]]-Ventas[[#This Row],[Precio compra]]*Ventas[[#This Row],[Cantidad]]</f>
        <v>666</v>
      </c>
      <c r="J1369" s="34"/>
      <c r="K1369" s="34">
        <f>Ventas[[#This Row],[Total]]*Ventas[[#This Row],[Total 3]]</f>
        <v>0</v>
      </c>
      <c r="L1369" s="34"/>
      <c r="M1369" s="34"/>
    </row>
    <row r="1370" spans="2:13">
      <c r="B1370" s="39">
        <v>44931</v>
      </c>
      <c r="C1370" s="35" t="str">
        <f>VLOOKUP(Ventas[[#This Row],[Codigo]],Stock[#Data],2,FALSE)</f>
        <v>Bandeja Motivos Varios</v>
      </c>
      <c r="D1370" s="37">
        <f>VLOOKUP(Ventas[[#This Row],[Codigo]],Stock[#Data],4,FALSE)</f>
        <v>2100</v>
      </c>
      <c r="E1370" s="33">
        <f>VLOOKUP(Ventas[[#This Row],[Codigo]],Stock[#Data],3,FALSE)</f>
        <v>1047</v>
      </c>
      <c r="F1370" s="38">
        <v>1</v>
      </c>
      <c r="G1370">
        <v>135</v>
      </c>
      <c r="H1370" s="36">
        <f>Ventas[[#This Row],[Precio Venta]]*Ventas[[#This Row],[Cantidad]]-Ventas[[#This Row],[Descuento]]</f>
        <v>2100</v>
      </c>
      <c r="I1370" s="34">
        <f>Ventas[[#This Row],[Total]]-Ventas[[#This Row],[Precio compra]]*Ventas[[#This Row],[Cantidad]]</f>
        <v>1053</v>
      </c>
      <c r="J1370" s="34"/>
      <c r="K1370" s="34">
        <f>Ventas[[#This Row],[Total]]*Ventas[[#This Row],[Total 3]]</f>
        <v>0</v>
      </c>
      <c r="L1370" s="34"/>
      <c r="M1370" s="34"/>
    </row>
    <row r="1371" spans="2:13">
      <c r="B1371" s="39">
        <v>44931</v>
      </c>
      <c r="C1371" s="35" t="str">
        <f>VLOOKUP(Ventas[[#This Row],[Codigo]],Stock[#Data],2,FALSE)</f>
        <v xml:space="preserve">Turbina pipa </v>
      </c>
      <c r="D1371" s="37">
        <f>VLOOKUP(Ventas[[#This Row],[Codigo]],Stock[#Data],4,FALSE)</f>
        <v>2000</v>
      </c>
      <c r="E1371" s="33">
        <f>VLOOKUP(Ventas[[#This Row],[Codigo]],Stock[#Data],3,FALSE)</f>
        <v>1020</v>
      </c>
      <c r="F1371" s="38">
        <v>2</v>
      </c>
      <c r="G1371">
        <v>377</v>
      </c>
      <c r="H1371" s="36">
        <f>Ventas[[#This Row],[Precio Venta]]*Ventas[[#This Row],[Cantidad]]-Ventas[[#This Row],[Descuento]]</f>
        <v>4000</v>
      </c>
      <c r="I1371" s="34">
        <f>Ventas[[#This Row],[Total]]-Ventas[[#This Row],[Precio compra]]*Ventas[[#This Row],[Cantidad]]</f>
        <v>1960</v>
      </c>
      <c r="J1371" s="34"/>
      <c r="K1371" s="34">
        <f>Ventas[[#This Row],[Total]]*Ventas[[#This Row],[Total 3]]</f>
        <v>0</v>
      </c>
      <c r="L1371" s="34"/>
      <c r="M1371" s="34"/>
    </row>
    <row r="1372" spans="2:13">
      <c r="B1372" s="39">
        <v>44931</v>
      </c>
      <c r="C1372" s="35" t="str">
        <f>VLOOKUP(Ventas[[#This Row],[Codigo]],Stock[#Data],2,FALSE)</f>
        <v>Melaza 100% natural</v>
      </c>
      <c r="D1372" s="37">
        <f>VLOOKUP(Ventas[[#This Row],[Codigo]],Stock[#Data],4,FALSE)</f>
        <v>700</v>
      </c>
      <c r="E1372" s="33">
        <f>VLOOKUP(Ventas[[#This Row],[Codigo]],Stock[#Data],3,FALSE)</f>
        <v>340</v>
      </c>
      <c r="F1372" s="38">
        <v>1</v>
      </c>
      <c r="G1372">
        <v>455</v>
      </c>
      <c r="H1372" s="36">
        <f>Ventas[[#This Row],[Precio Venta]]*Ventas[[#This Row],[Cantidad]]-Ventas[[#This Row],[Descuento]]</f>
        <v>700</v>
      </c>
      <c r="I1372" s="34">
        <f>Ventas[[#This Row],[Total]]-Ventas[[#This Row],[Precio compra]]*Ventas[[#This Row],[Cantidad]]</f>
        <v>360</v>
      </c>
      <c r="J1372" s="34"/>
      <c r="K1372" s="34">
        <f>Ventas[[#This Row],[Total]]*Ventas[[#This Row],[Total 3]]</f>
        <v>0</v>
      </c>
      <c r="L1372" s="34"/>
      <c r="M1372" s="34"/>
    </row>
    <row r="1373" spans="2:13">
      <c r="B1373" s="39">
        <v>44931</v>
      </c>
      <c r="C1373" s="35" t="str">
        <f>VLOOKUP(Ventas[[#This Row],[Codigo]],Stock[#Data],2,FALSE)</f>
        <v>Sustrato Perlita</v>
      </c>
      <c r="D1373" s="37">
        <f>VLOOKUP(Ventas[[#This Row],[Codigo]],Stock[#Data],4,FALSE)</f>
        <v>800</v>
      </c>
      <c r="E1373" s="33">
        <f>VLOOKUP(Ventas[[#This Row],[Codigo]],Stock[#Data],3,FALSE)</f>
        <v>400</v>
      </c>
      <c r="F1373" s="38">
        <v>1</v>
      </c>
      <c r="G1373">
        <v>52</v>
      </c>
      <c r="H1373" s="36">
        <f>Ventas[[#This Row],[Precio Venta]]*Ventas[[#This Row],[Cantidad]]-Ventas[[#This Row],[Descuento]]</f>
        <v>800</v>
      </c>
      <c r="I1373" s="34">
        <f>Ventas[[#This Row],[Total]]-Ventas[[#This Row],[Precio compra]]*Ventas[[#This Row],[Cantidad]]</f>
        <v>400</v>
      </c>
      <c r="J1373" s="34"/>
      <c r="K1373" s="34">
        <f>Ventas[[#This Row],[Total]]*Ventas[[#This Row],[Total 3]]</f>
        <v>0</v>
      </c>
      <c r="L1373" s="34"/>
      <c r="M1373" s="34"/>
    </row>
    <row r="1374" spans="2:13">
      <c r="B1374" s="39">
        <v>44931</v>
      </c>
      <c r="C1374" s="35" t="str">
        <f>VLOOKUP(Ventas[[#This Row],[Codigo]],Stock[#Data],2,FALSE)</f>
        <v>VAMP Guano de murcielago Flora</v>
      </c>
      <c r="D1374" s="37">
        <f>VLOOKUP(Ventas[[#This Row],[Codigo]],Stock[#Data],4,FALSE)</f>
        <v>1000</v>
      </c>
      <c r="E1374" s="33">
        <f>VLOOKUP(Ventas[[#This Row],[Codigo]],Stock[#Data],3,FALSE)</f>
        <v>510</v>
      </c>
      <c r="F1374" s="38">
        <v>1</v>
      </c>
      <c r="G1374">
        <v>38</v>
      </c>
      <c r="H1374" s="36">
        <f>Ventas[[#This Row],[Precio Venta]]*Ventas[[#This Row],[Cantidad]]-Ventas[[#This Row],[Descuento]]</f>
        <v>1000</v>
      </c>
      <c r="I1374" s="34">
        <f>Ventas[[#This Row],[Total]]-Ventas[[#This Row],[Precio compra]]*Ventas[[#This Row],[Cantidad]]</f>
        <v>490</v>
      </c>
      <c r="J1374" s="34"/>
      <c r="K1374" s="34">
        <f>Ventas[[#This Row],[Total]]*Ventas[[#This Row],[Total 3]]</f>
        <v>0</v>
      </c>
      <c r="L1374" s="34"/>
      <c r="M1374" s="34"/>
    </row>
    <row r="1375" spans="2:13">
      <c r="B1375" s="39">
        <v>44931</v>
      </c>
      <c r="C1375" s="35" t="str">
        <f>VLOOKUP(Ventas[[#This Row],[Codigo]],Stock[#Data],2,FALSE)</f>
        <v xml:space="preserve">Picador Bronce </v>
      </c>
      <c r="D1375" s="37">
        <f>VLOOKUP(Ventas[[#This Row],[Codigo]],Stock[#Data],4,FALSE)</f>
        <v>2500</v>
      </c>
      <c r="E1375" s="33">
        <f>VLOOKUP(Ventas[[#This Row],[Codigo]],Stock[#Data],3,FALSE)</f>
        <v>1330</v>
      </c>
      <c r="F1375" s="38">
        <v>1</v>
      </c>
      <c r="G1375">
        <v>340</v>
      </c>
      <c r="H1375" s="36">
        <f>Ventas[[#This Row],[Precio Venta]]*Ventas[[#This Row],[Cantidad]]-Ventas[[#This Row],[Descuento]]</f>
        <v>2500</v>
      </c>
      <c r="I1375" s="34">
        <f>Ventas[[#This Row],[Total]]-Ventas[[#This Row],[Precio compra]]*Ventas[[#This Row],[Cantidad]]</f>
        <v>1170</v>
      </c>
      <c r="J1375" s="34"/>
      <c r="K1375" s="34">
        <f>Ventas[[#This Row],[Total]]*Ventas[[#This Row],[Total 3]]</f>
        <v>0</v>
      </c>
      <c r="L1375" s="34"/>
      <c r="M1375" s="34"/>
    </row>
    <row r="1376" spans="2:13">
      <c r="B1376" s="39">
        <v>44930</v>
      </c>
      <c r="C1376" s="35" t="str">
        <f>VLOOKUP(Ventas[[#This Row],[Codigo]],Stock[#Data],2,FALSE)</f>
        <v>Tips Lion silver</v>
      </c>
      <c r="D1376" s="37">
        <f>VLOOKUP(Ventas[[#This Row],[Codigo]],Stock[#Data],4,FALSE)</f>
        <v>250</v>
      </c>
      <c r="E1376" s="33">
        <f>VLOOKUP(Ventas[[#This Row],[Codigo]],Stock[#Data],3,FALSE)</f>
        <v>137</v>
      </c>
      <c r="F1376" s="38">
        <v>1</v>
      </c>
      <c r="G1376">
        <v>457</v>
      </c>
      <c r="H1376" s="36">
        <f>Ventas[[#This Row],[Precio Venta]]*Ventas[[#This Row],[Cantidad]]-Ventas[[#This Row],[Descuento]]</f>
        <v>250</v>
      </c>
      <c r="I1376" s="34">
        <f>Ventas[[#This Row],[Total]]-Ventas[[#This Row],[Precio compra]]*Ventas[[#This Row],[Cantidad]]</f>
        <v>113</v>
      </c>
      <c r="J1376" s="34"/>
      <c r="K1376" s="34">
        <f>Ventas[[#This Row],[Total]]*Ventas[[#This Row],[Total 3]]</f>
        <v>0</v>
      </c>
      <c r="L1376" s="34"/>
      <c r="M1376" s="34"/>
    </row>
    <row r="1377" spans="2:13">
      <c r="B1377" s="39">
        <v>44930</v>
      </c>
      <c r="C1377" s="35" t="str">
        <f>VLOOKUP(Ventas[[#This Row],[Codigo]],Stock[#Data],2,FALSE)</f>
        <v xml:space="preserve">Sedas 3 Rayos Celulosa </v>
      </c>
      <c r="D1377" s="37">
        <f>VLOOKUP(Ventas[[#This Row],[Codigo]],Stock[#Data],4,FALSE)</f>
        <v>400</v>
      </c>
      <c r="E1377" s="33">
        <f>VLOOKUP(Ventas[[#This Row],[Codigo]],Stock[#Data],3,FALSE)</f>
        <v>211</v>
      </c>
      <c r="F1377" s="38">
        <v>1</v>
      </c>
      <c r="G1377">
        <v>310</v>
      </c>
      <c r="H1377" s="36">
        <f>Ventas[[#This Row],[Precio Venta]]*Ventas[[#This Row],[Cantidad]]-Ventas[[#This Row],[Descuento]]</f>
        <v>400</v>
      </c>
      <c r="I1377" s="34">
        <f>Ventas[[#This Row],[Total]]-Ventas[[#This Row],[Precio compra]]*Ventas[[#This Row],[Cantidad]]</f>
        <v>189</v>
      </c>
      <c r="J1377" s="34"/>
      <c r="K1377" s="34">
        <f>Ventas[[#This Row],[Total]]*Ventas[[#This Row],[Total 3]]</f>
        <v>0</v>
      </c>
      <c r="L1377" s="34"/>
      <c r="M1377" s="34"/>
    </row>
    <row r="1378" spans="2:13">
      <c r="B1378" s="39">
        <v>44930</v>
      </c>
      <c r="C1378" s="35" t="str">
        <f>VLOOKUP(Ventas[[#This Row],[Codigo]],Stock[#Data],2,FALSE)</f>
        <v>Namaste Nutripack</v>
      </c>
      <c r="D1378" s="37">
        <f>VLOOKUP(Ventas[[#This Row],[Codigo]],Stock[#Data],4,FALSE)</f>
        <v>6000</v>
      </c>
      <c r="E1378" s="33">
        <f>VLOOKUP(Ventas[[#This Row],[Codigo]],Stock[#Data],3,FALSE)</f>
        <v>3376</v>
      </c>
      <c r="F1378" s="38">
        <v>1</v>
      </c>
      <c r="G1378">
        <v>346</v>
      </c>
      <c r="H1378" s="36">
        <f>Ventas[[#This Row],[Precio Venta]]*Ventas[[#This Row],[Cantidad]]-Ventas[[#This Row],[Descuento]]</f>
        <v>6000</v>
      </c>
      <c r="I1378" s="34">
        <f>Ventas[[#This Row],[Total]]-Ventas[[#This Row],[Precio compra]]*Ventas[[#This Row],[Cantidad]]</f>
        <v>2624</v>
      </c>
      <c r="J1378" s="34"/>
      <c r="K1378" s="34">
        <f>Ventas[[#This Row],[Total]]*Ventas[[#This Row],[Total 3]]</f>
        <v>0</v>
      </c>
      <c r="L1378" s="34"/>
      <c r="M1378" s="34"/>
    </row>
    <row r="1379" spans="2:13">
      <c r="B1379" s="39">
        <v>44930</v>
      </c>
      <c r="C1379" s="35" t="str">
        <f>VLOOKUP(Ventas[[#This Row],[Codigo]],Stock[#Data],2,FALSE)</f>
        <v>Tabaco Van Kiff Vainilla</v>
      </c>
      <c r="D1379" s="37">
        <f>VLOOKUP(Ventas[[#This Row],[Codigo]],Stock[#Data],4,FALSE)</f>
        <v>850</v>
      </c>
      <c r="E1379" s="33">
        <f>VLOOKUP(Ventas[[#This Row],[Codigo]],Stock[#Data],3,FALSE)</f>
        <v>580</v>
      </c>
      <c r="F1379" s="38">
        <v>1</v>
      </c>
      <c r="G1379">
        <v>120</v>
      </c>
      <c r="H1379" s="36">
        <f>Ventas[[#This Row],[Precio Venta]]*Ventas[[#This Row],[Cantidad]]-Ventas[[#This Row],[Descuento]]</f>
        <v>850</v>
      </c>
      <c r="I1379" s="34">
        <f>Ventas[[#This Row],[Total]]-Ventas[[#This Row],[Precio compra]]*Ventas[[#This Row],[Cantidad]]</f>
        <v>270</v>
      </c>
      <c r="J1379" s="34"/>
      <c r="K1379" s="34">
        <f>Ventas[[#This Row],[Total]]*Ventas[[#This Row],[Total 3]]</f>
        <v>0</v>
      </c>
      <c r="L1379" s="34"/>
      <c r="M1379" s="34"/>
    </row>
    <row r="1380" spans="2:13">
      <c r="B1380" s="39">
        <v>44930</v>
      </c>
      <c r="C1380" s="35" t="str">
        <f>VLOOKUP(Ventas[[#This Row],[Codigo]],Stock[#Data],2,FALSE)</f>
        <v>Aceite de Cannabis Ned Lud 20ml</v>
      </c>
      <c r="D1380" s="37">
        <f>VLOOKUP(Ventas[[#This Row],[Codigo]],Stock[#Data],4,FALSE)</f>
        <v>5500</v>
      </c>
      <c r="E1380" s="33">
        <f>VLOOKUP(Ventas[[#This Row],[Codigo]],Stock[#Data],3,FALSE)</f>
        <v>4000</v>
      </c>
      <c r="F1380" s="38">
        <v>1</v>
      </c>
      <c r="G1380">
        <v>466</v>
      </c>
      <c r="H1380" s="36">
        <f>Ventas[[#This Row],[Precio Venta]]*Ventas[[#This Row],[Cantidad]]-Ventas[[#This Row],[Descuento]]</f>
        <v>5500</v>
      </c>
      <c r="I1380" s="34">
        <f>Ventas[[#This Row],[Total]]-Ventas[[#This Row],[Precio compra]]*Ventas[[#This Row],[Cantidad]]</f>
        <v>1500</v>
      </c>
      <c r="J1380" s="34"/>
      <c r="K1380" s="34">
        <f>Ventas[[#This Row],[Total]]*Ventas[[#This Row],[Total 3]]</f>
        <v>0</v>
      </c>
      <c r="L1380" s="34"/>
      <c r="M1380" s="34"/>
    </row>
    <row r="1381" spans="2:13">
      <c r="B1381" s="39">
        <v>44930</v>
      </c>
      <c r="C1381" s="35" t="str">
        <f>VLOOKUP(Ventas[[#This Row],[Codigo]],Stock[#Data],2,FALSE)</f>
        <v>Sedas Lion Rolling Circus 1/4 celulosa</v>
      </c>
      <c r="D1381" s="37">
        <f>VLOOKUP(Ventas[[#This Row],[Codigo]],Stock[#Data],4,FALSE)</f>
        <v>700</v>
      </c>
      <c r="E1381" s="33">
        <f>VLOOKUP(Ventas[[#This Row],[Codigo]],Stock[#Data],3,FALSE)</f>
        <v>348</v>
      </c>
      <c r="F1381" s="38">
        <v>1</v>
      </c>
      <c r="G1381">
        <v>65</v>
      </c>
      <c r="H1381" s="36">
        <f>Ventas[[#This Row],[Precio Venta]]*Ventas[[#This Row],[Cantidad]]-Ventas[[#This Row],[Descuento]]</f>
        <v>700</v>
      </c>
      <c r="I1381" s="34">
        <f>Ventas[[#This Row],[Total]]-Ventas[[#This Row],[Precio compra]]*Ventas[[#This Row],[Cantidad]]</f>
        <v>352</v>
      </c>
      <c r="J1381" s="34"/>
      <c r="K1381" s="34">
        <f>Ventas[[#This Row],[Total]]*Ventas[[#This Row],[Total 3]]</f>
        <v>0</v>
      </c>
      <c r="L1381" s="34"/>
      <c r="M1381" s="34"/>
    </row>
    <row r="1382" spans="2:13">
      <c r="B1382" s="39">
        <v>44930</v>
      </c>
      <c r="C1382" s="35" t="str">
        <f>VLOOKUP(Ventas[[#This Row],[Codigo]],Stock[#Data],2,FALSE)</f>
        <v xml:space="preserve">Encendedor Clipper </v>
      </c>
      <c r="D1382" s="37">
        <f>VLOOKUP(Ventas[[#This Row],[Codigo]],Stock[#Data],4,FALSE)</f>
        <v>600</v>
      </c>
      <c r="E1382" s="33">
        <f>VLOOKUP(Ventas[[#This Row],[Codigo]],Stock[#Data],3,FALSE)</f>
        <v>378</v>
      </c>
      <c r="F1382" s="38">
        <v>2</v>
      </c>
      <c r="G1382">
        <v>58</v>
      </c>
      <c r="H1382" s="36">
        <f>Ventas[[#This Row],[Precio Venta]]*Ventas[[#This Row],[Cantidad]]-Ventas[[#This Row],[Descuento]]</f>
        <v>1200</v>
      </c>
      <c r="I1382" s="34">
        <f>Ventas[[#This Row],[Total]]-Ventas[[#This Row],[Precio compra]]*Ventas[[#This Row],[Cantidad]]</f>
        <v>444</v>
      </c>
      <c r="J1382" s="34"/>
      <c r="K1382" s="34">
        <f>Ventas[[#This Row],[Total]]*Ventas[[#This Row],[Total 3]]</f>
        <v>0</v>
      </c>
      <c r="L1382" s="34"/>
      <c r="M1382" s="34"/>
    </row>
    <row r="1383" spans="2:13">
      <c r="B1383" s="39">
        <v>44930</v>
      </c>
      <c r="C1383" s="35" t="str">
        <f>VLOOKUP(Ventas[[#This Row],[Codigo]],Stock[#Data],2,FALSE)</f>
        <v>TreeMIX N 200ml</v>
      </c>
      <c r="D1383" s="37">
        <f>VLOOKUP(Ventas[[#This Row],[Codigo]],Stock[#Data],4,FALSE)</f>
        <v>1400</v>
      </c>
      <c r="E1383" s="33">
        <f>VLOOKUP(Ventas[[#This Row],[Codigo]],Stock[#Data],3,FALSE)</f>
        <v>650</v>
      </c>
      <c r="F1383" s="38">
        <v>1</v>
      </c>
      <c r="G1383">
        <v>33</v>
      </c>
      <c r="H1383" s="36">
        <f>Ventas[[#This Row],[Precio Venta]]*Ventas[[#This Row],[Cantidad]]-Ventas[[#This Row],[Descuento]]</f>
        <v>1400</v>
      </c>
      <c r="I1383" s="34">
        <f>Ventas[[#This Row],[Total]]-Ventas[[#This Row],[Precio compra]]*Ventas[[#This Row],[Cantidad]]</f>
        <v>750</v>
      </c>
      <c r="J1383" s="34"/>
      <c r="K1383" s="34">
        <f>Ventas[[#This Row],[Total]]*Ventas[[#This Row],[Total 3]]</f>
        <v>0</v>
      </c>
      <c r="L1383" s="34"/>
      <c r="M1383" s="34"/>
    </row>
    <row r="1384" spans="2:13">
      <c r="B1384" s="39">
        <v>44930</v>
      </c>
      <c r="C1384" s="35" t="str">
        <f>VLOOKUP(Ventas[[#This Row],[Codigo]],Stock[#Data],2,FALSE)</f>
        <v>Tips STAMPS ECO</v>
      </c>
      <c r="D1384" s="37">
        <f>VLOOKUP(Ventas[[#This Row],[Codigo]],Stock[#Data],4,FALSE)</f>
        <v>150</v>
      </c>
      <c r="E1384" s="33">
        <f>VLOOKUP(Ventas[[#This Row],[Codigo]],Stock[#Data],3,FALSE)</f>
        <v>73</v>
      </c>
      <c r="F1384" s="38">
        <v>1</v>
      </c>
      <c r="G1384">
        <v>308</v>
      </c>
      <c r="H1384" s="36">
        <f>Ventas[[#This Row],[Precio Venta]]*Ventas[[#This Row],[Cantidad]]-Ventas[[#This Row],[Descuento]]</f>
        <v>150</v>
      </c>
      <c r="I1384" s="34">
        <f>Ventas[[#This Row],[Total]]-Ventas[[#This Row],[Precio compra]]*Ventas[[#This Row],[Cantidad]]</f>
        <v>77</v>
      </c>
      <c r="J1384" s="34"/>
      <c r="K1384" s="34">
        <f>Ventas[[#This Row],[Total]]*Ventas[[#This Row],[Total 3]]</f>
        <v>0</v>
      </c>
      <c r="L1384" s="34"/>
      <c r="M1384" s="34"/>
    </row>
    <row r="1385" spans="2:13">
      <c r="B1385" s="39">
        <v>44930</v>
      </c>
      <c r="C1385" s="35" t="str">
        <f>VLOOKUP(Ventas[[#This Row],[Codigo]],Stock[#Data],2,FALSE)</f>
        <v>Sedas OCB 1/4 Organic  Bamboo</v>
      </c>
      <c r="D1385" s="37">
        <f>VLOOKUP(Ventas[[#This Row],[Codigo]],Stock[#Data],4,FALSE)</f>
        <v>300</v>
      </c>
      <c r="E1385" s="33">
        <f>VLOOKUP(Ventas[[#This Row],[Codigo]],Stock[#Data],3,FALSE)</f>
        <v>165</v>
      </c>
      <c r="F1385" s="38">
        <v>2</v>
      </c>
      <c r="G1385">
        <v>77</v>
      </c>
      <c r="H1385" s="36">
        <f>Ventas[[#This Row],[Precio Venta]]*Ventas[[#This Row],[Cantidad]]-Ventas[[#This Row],[Descuento]]</f>
        <v>600</v>
      </c>
      <c r="I1385" s="34">
        <f>Ventas[[#This Row],[Total]]-Ventas[[#This Row],[Precio compra]]*Ventas[[#This Row],[Cantidad]]</f>
        <v>270</v>
      </c>
      <c r="J1385" s="34"/>
      <c r="K1385" s="34">
        <f>Ventas[[#This Row],[Total]]*Ventas[[#This Row],[Total 3]]</f>
        <v>0</v>
      </c>
      <c r="L1385" s="34"/>
      <c r="M1385" s="34"/>
    </row>
    <row r="1386" spans="2:13">
      <c r="B1386" s="39">
        <v>44930</v>
      </c>
      <c r="C1386" s="35" t="str">
        <f>VLOOKUP(Ventas[[#This Row],[Codigo]],Stock[#Data],2,FALSE)</f>
        <v>Sedas ROK 1/4 celulosa</v>
      </c>
      <c r="D1386" s="37">
        <f>VLOOKUP(Ventas[[#This Row],[Codigo]],Stock[#Data],4,FALSE)</f>
        <v>300</v>
      </c>
      <c r="E1386" s="33">
        <f>VLOOKUP(Ventas[[#This Row],[Codigo]],Stock[#Data],3,FALSE)</f>
        <v>111</v>
      </c>
      <c r="F1386" s="38">
        <v>1</v>
      </c>
      <c r="G1386">
        <v>93</v>
      </c>
      <c r="H1386" s="36">
        <f>Ventas[[#This Row],[Precio Venta]]*Ventas[[#This Row],[Cantidad]]-Ventas[[#This Row],[Descuento]]</f>
        <v>300</v>
      </c>
      <c r="I1386" s="34">
        <f>Ventas[[#This Row],[Total]]-Ventas[[#This Row],[Precio compra]]*Ventas[[#This Row],[Cantidad]]</f>
        <v>189</v>
      </c>
      <c r="J1386" s="34"/>
      <c r="K1386" s="34">
        <f>Ventas[[#This Row],[Total]]*Ventas[[#This Row],[Total 3]]</f>
        <v>0</v>
      </c>
      <c r="L1386" s="34"/>
      <c r="M1386" s="34"/>
    </row>
    <row r="1387" spans="2:13">
      <c r="B1387" s="39">
        <v>44930</v>
      </c>
      <c r="C1387" s="35" t="str">
        <f>VLOOKUP(Ventas[[#This Row],[Codigo]],Stock[#Data],2,FALSE)</f>
        <v>Pipa Silicona</v>
      </c>
      <c r="D1387" s="37">
        <f>VLOOKUP(Ventas[[#This Row],[Codigo]],Stock[#Data],4,FALSE)</f>
        <v>3800</v>
      </c>
      <c r="E1387" s="33">
        <f>VLOOKUP(Ventas[[#This Row],[Codigo]],Stock[#Data],3,FALSE)</f>
        <v>1895</v>
      </c>
      <c r="F1387" s="38">
        <v>1</v>
      </c>
      <c r="G1387">
        <v>157</v>
      </c>
      <c r="H1387" s="36">
        <f>Ventas[[#This Row],[Precio Venta]]*Ventas[[#This Row],[Cantidad]]-Ventas[[#This Row],[Descuento]]</f>
        <v>3800</v>
      </c>
      <c r="I1387" s="34">
        <f>Ventas[[#This Row],[Total]]-Ventas[[#This Row],[Precio compra]]*Ventas[[#This Row],[Cantidad]]</f>
        <v>1905</v>
      </c>
      <c r="J1387" s="34"/>
      <c r="K1387" s="34">
        <f>Ventas[[#This Row],[Total]]*Ventas[[#This Row],[Total 3]]</f>
        <v>0</v>
      </c>
      <c r="L1387" s="34"/>
      <c r="M1387" s="34"/>
    </row>
    <row r="1388" spans="2:13">
      <c r="B1388" s="39">
        <v>44929</v>
      </c>
      <c r="C1388" s="35" t="str">
        <f>VLOOKUP(Ventas[[#This Row],[Codigo]],Stock[#Data],2,FALSE)</f>
        <v>VAMP Guano de murcielago Vegetativo</v>
      </c>
      <c r="D1388" s="37">
        <f>VLOOKUP(Ventas[[#This Row],[Codigo]],Stock[#Data],4,FALSE)</f>
        <v>1000</v>
      </c>
      <c r="E1388" s="33">
        <f>VLOOKUP(Ventas[[#This Row],[Codigo]],Stock[#Data],3,FALSE)</f>
        <v>510</v>
      </c>
      <c r="F1388" s="38">
        <v>1</v>
      </c>
      <c r="G1388">
        <v>37</v>
      </c>
      <c r="H1388" s="36">
        <f>Ventas[[#This Row],[Precio Venta]]*Ventas[[#This Row],[Cantidad]]-Ventas[[#This Row],[Descuento]]</f>
        <v>1000</v>
      </c>
      <c r="I1388" s="34">
        <f>Ventas[[#This Row],[Total]]-Ventas[[#This Row],[Precio compra]]*Ventas[[#This Row],[Cantidad]]</f>
        <v>490</v>
      </c>
      <c r="J1388" s="34"/>
      <c r="K1388" s="34">
        <f>Ventas[[#This Row],[Total]]*Ventas[[#This Row],[Total 3]]</f>
        <v>0</v>
      </c>
      <c r="L1388" s="34"/>
      <c r="M1388" s="34"/>
    </row>
    <row r="1389" spans="2:13">
      <c r="B1389" s="39">
        <v>44929</v>
      </c>
      <c r="C1389" s="35" t="str">
        <f>VLOOKUP(Ventas[[#This Row],[Codigo]],Stock[#Data],2,FALSE)</f>
        <v>Tips STAMPS ECO</v>
      </c>
      <c r="D1389" s="37">
        <f>VLOOKUP(Ventas[[#This Row],[Codigo]],Stock[#Data],4,FALSE)</f>
        <v>150</v>
      </c>
      <c r="E1389" s="33">
        <f>VLOOKUP(Ventas[[#This Row],[Codigo]],Stock[#Data],3,FALSE)</f>
        <v>73</v>
      </c>
      <c r="F1389" s="38">
        <v>1</v>
      </c>
      <c r="G1389">
        <v>308</v>
      </c>
      <c r="H1389" s="36">
        <f>Ventas[[#This Row],[Precio Venta]]*Ventas[[#This Row],[Cantidad]]-Ventas[[#This Row],[Descuento]]</f>
        <v>150</v>
      </c>
      <c r="I1389" s="34">
        <f>Ventas[[#This Row],[Total]]-Ventas[[#This Row],[Precio compra]]*Ventas[[#This Row],[Cantidad]]</f>
        <v>77</v>
      </c>
      <c r="J1389" s="34"/>
      <c r="K1389" s="34">
        <f>Ventas[[#This Row],[Total]]*Ventas[[#This Row],[Total 3]]</f>
        <v>0</v>
      </c>
      <c r="L1389" s="34"/>
      <c r="M1389" s="34"/>
    </row>
    <row r="1390" spans="2:13">
      <c r="B1390" s="39">
        <v>44929</v>
      </c>
      <c r="C1390" s="35" t="str">
        <f>VLOOKUP(Ventas[[#This Row],[Codigo]],Stock[#Data],2,FALSE)</f>
        <v>VAMP Supermelaza</v>
      </c>
      <c r="D1390" s="37">
        <f>VLOOKUP(Ventas[[#This Row],[Codigo]],Stock[#Data],4,FALSE)</f>
        <v>1800</v>
      </c>
      <c r="E1390" s="33">
        <f>VLOOKUP(Ventas[[#This Row],[Codigo]],Stock[#Data],3,FALSE)</f>
        <v>908</v>
      </c>
      <c r="F1390" s="38">
        <v>1</v>
      </c>
      <c r="G1390">
        <v>36</v>
      </c>
      <c r="H1390" s="36">
        <f>Ventas[[#This Row],[Precio Venta]]*Ventas[[#This Row],[Cantidad]]-Ventas[[#This Row],[Descuento]]</f>
        <v>1800</v>
      </c>
      <c r="I1390" s="34">
        <f>Ventas[[#This Row],[Total]]-Ventas[[#This Row],[Precio compra]]*Ventas[[#This Row],[Cantidad]]</f>
        <v>892</v>
      </c>
      <c r="J1390" s="34"/>
      <c r="K1390" s="34">
        <f>Ventas[[#This Row],[Total]]*Ventas[[#This Row],[Total 3]]</f>
        <v>0</v>
      </c>
      <c r="L1390" s="34"/>
      <c r="M1390" s="34"/>
    </row>
    <row r="1391" spans="2:13">
      <c r="B1391" s="39">
        <v>44929</v>
      </c>
      <c r="C1391" s="35" t="str">
        <f>VLOOKUP(Ventas[[#This Row],[Codigo]],Stock[#Data],2,FALSE)</f>
        <v>Sustrato Perlita</v>
      </c>
      <c r="D1391" s="37">
        <f>VLOOKUP(Ventas[[#This Row],[Codigo]],Stock[#Data],4,FALSE)</f>
        <v>800</v>
      </c>
      <c r="E1391" s="33">
        <f>VLOOKUP(Ventas[[#This Row],[Codigo]],Stock[#Data],3,FALSE)</f>
        <v>400</v>
      </c>
      <c r="F1391" s="38">
        <v>1</v>
      </c>
      <c r="G1391">
        <v>52</v>
      </c>
      <c r="H1391" s="36">
        <f>Ventas[[#This Row],[Precio Venta]]*Ventas[[#This Row],[Cantidad]]-Ventas[[#This Row],[Descuento]]</f>
        <v>800</v>
      </c>
      <c r="I1391" s="34">
        <f>Ventas[[#This Row],[Total]]-Ventas[[#This Row],[Precio compra]]*Ventas[[#This Row],[Cantidad]]</f>
        <v>400</v>
      </c>
      <c r="J1391" s="34"/>
      <c r="K1391" s="34">
        <f>Ventas[[#This Row],[Total]]*Ventas[[#This Row],[Total 3]]</f>
        <v>0</v>
      </c>
      <c r="L1391" s="34"/>
      <c r="M1391" s="34"/>
    </row>
    <row r="1392" spans="2:13">
      <c r="B1392" s="39">
        <v>44929</v>
      </c>
      <c r="C1392" s="35" t="str">
        <f>VLOOKUP(Ventas[[#This Row],[Codigo]],Stock[#Data],2,FALSE)</f>
        <v>Sedas STAMPS Kz Organic</v>
      </c>
      <c r="D1392" s="37">
        <f>VLOOKUP(Ventas[[#This Row],[Codigo]],Stock[#Data],4,FALSE)</f>
        <v>200</v>
      </c>
      <c r="E1392" s="33">
        <f>VLOOKUP(Ventas[[#This Row],[Codigo]],Stock[#Data],3,FALSE)</f>
        <v>93</v>
      </c>
      <c r="F1392" s="38">
        <v>1</v>
      </c>
      <c r="G1392">
        <v>75</v>
      </c>
      <c r="H1392" s="36">
        <f>Ventas[[#This Row],[Precio Venta]]*Ventas[[#This Row],[Cantidad]]-Ventas[[#This Row],[Descuento]]</f>
        <v>200</v>
      </c>
      <c r="I1392" s="34">
        <f>Ventas[[#This Row],[Total]]-Ventas[[#This Row],[Precio compra]]*Ventas[[#This Row],[Cantidad]]</f>
        <v>107</v>
      </c>
      <c r="J1392" s="34"/>
      <c r="K1392" s="34">
        <f>Ventas[[#This Row],[Total]]*Ventas[[#This Row],[Total 3]]</f>
        <v>0</v>
      </c>
      <c r="L1392" s="34"/>
      <c r="M1392" s="34"/>
    </row>
    <row r="1393" spans="2:13">
      <c r="B1393" s="39">
        <v>44929</v>
      </c>
      <c r="C1393" s="35" t="str">
        <f>VLOOKUP(Ventas[[#This Row],[Codigo]],Stock[#Data],2,FALSE)</f>
        <v>Sauver 1/4</v>
      </c>
      <c r="D1393" s="37">
        <f>VLOOKUP(Ventas[[#This Row],[Codigo]],Stock[#Data],4,FALSE)</f>
        <v>200</v>
      </c>
      <c r="E1393" s="33">
        <f>VLOOKUP(Ventas[[#This Row],[Codigo]],Stock[#Data],3,FALSE)</f>
        <v>75</v>
      </c>
      <c r="F1393" s="38">
        <v>1</v>
      </c>
      <c r="G1393">
        <v>149</v>
      </c>
      <c r="H1393" s="36">
        <f>Ventas[[#This Row],[Precio Venta]]*Ventas[[#This Row],[Cantidad]]-Ventas[[#This Row],[Descuento]]</f>
        <v>200</v>
      </c>
      <c r="I1393" s="34">
        <f>Ventas[[#This Row],[Total]]-Ventas[[#This Row],[Precio compra]]*Ventas[[#This Row],[Cantidad]]</f>
        <v>125</v>
      </c>
      <c r="J1393" s="34"/>
      <c r="K1393" s="34">
        <f>Ventas[[#This Row],[Total]]*Ventas[[#This Row],[Total 3]]</f>
        <v>0</v>
      </c>
      <c r="L1393" s="34"/>
      <c r="M1393" s="34"/>
    </row>
    <row r="1394" spans="2:13">
      <c r="B1394" s="39">
        <v>44929</v>
      </c>
      <c r="C1394" s="35" t="str">
        <f>VLOOKUP(Ventas[[#This Row],[Codigo]],Stock[#Data],2,FALSE)</f>
        <v>Sedas Lion Rolling Circus 1/4 saborizada Menta</v>
      </c>
      <c r="D1394" s="37">
        <f>VLOOKUP(Ventas[[#This Row],[Codigo]],Stock[#Data],4,FALSE)</f>
        <v>450</v>
      </c>
      <c r="E1394" s="33">
        <f>VLOOKUP(Ventas[[#This Row],[Codigo]],Stock[#Data],3,FALSE)</f>
        <v>217</v>
      </c>
      <c r="F1394" s="38">
        <v>1</v>
      </c>
      <c r="G1394">
        <v>66</v>
      </c>
      <c r="H1394" s="36">
        <f>Ventas[[#This Row],[Precio Venta]]*Ventas[[#This Row],[Cantidad]]-Ventas[[#This Row],[Descuento]]</f>
        <v>450</v>
      </c>
      <c r="I1394" s="34">
        <f>Ventas[[#This Row],[Total]]-Ventas[[#This Row],[Precio compra]]*Ventas[[#This Row],[Cantidad]]</f>
        <v>233</v>
      </c>
      <c r="J1394" s="34"/>
      <c r="K1394" s="34">
        <f>Ventas[[#This Row],[Total]]*Ventas[[#This Row],[Total 3]]</f>
        <v>0</v>
      </c>
      <c r="L1394" s="34"/>
      <c r="M1394" s="34"/>
    </row>
    <row r="1395" spans="2:13">
      <c r="B1395" s="39">
        <v>44929</v>
      </c>
      <c r="C1395" s="35" t="str">
        <f>VLOOKUP(Ventas[[#This Row],[Codigo]],Stock[#Data],2,FALSE)</f>
        <v>TreeMIX KILL MIX 200ml</v>
      </c>
      <c r="D1395" s="37">
        <f>VLOOKUP(Ventas[[#This Row],[Codigo]],Stock[#Data],4,FALSE)</f>
        <v>1500</v>
      </c>
      <c r="E1395" s="33">
        <f>VLOOKUP(Ventas[[#This Row],[Codigo]],Stock[#Data],3,FALSE)</f>
        <v>715</v>
      </c>
      <c r="F1395" s="38">
        <v>1</v>
      </c>
      <c r="G1395">
        <v>35</v>
      </c>
      <c r="H1395" s="36">
        <f>Ventas[[#This Row],[Precio Venta]]*Ventas[[#This Row],[Cantidad]]-Ventas[[#This Row],[Descuento]]</f>
        <v>1500</v>
      </c>
      <c r="I1395" s="34">
        <f>Ventas[[#This Row],[Total]]-Ventas[[#This Row],[Precio compra]]*Ventas[[#This Row],[Cantidad]]</f>
        <v>785</v>
      </c>
      <c r="J1395" s="34"/>
      <c r="K1395" s="34">
        <f>Ventas[[#This Row],[Total]]*Ventas[[#This Row],[Total 3]]</f>
        <v>0</v>
      </c>
      <c r="L1395" s="34"/>
      <c r="M1395" s="34"/>
    </row>
    <row r="1396" spans="2:13">
      <c r="B1396" s="39">
        <v>44929</v>
      </c>
      <c r="C1396" s="35" t="str">
        <f>VLOOKUP(Ventas[[#This Row],[Codigo]],Stock[#Data],2,FALSE)</f>
        <v>Pipa Trop Metal labrado</v>
      </c>
      <c r="D1396" s="37">
        <f>VLOOKUP(Ventas[[#This Row],[Codigo]],Stock[#Data],4,FALSE)</f>
        <v>110</v>
      </c>
      <c r="E1396" s="33">
        <f>VLOOKUP(Ventas[[#This Row],[Codigo]],Stock[#Data],3,FALSE)</f>
        <v>550</v>
      </c>
      <c r="F1396" s="38">
        <v>1</v>
      </c>
      <c r="G1396">
        <v>482</v>
      </c>
      <c r="H1396" s="36">
        <f>Ventas[[#This Row],[Precio Venta]]*Ventas[[#This Row],[Cantidad]]-Ventas[[#This Row],[Descuento]]</f>
        <v>110</v>
      </c>
      <c r="I1396" s="34">
        <f>Ventas[[#This Row],[Total]]-Ventas[[#This Row],[Precio compra]]*Ventas[[#This Row],[Cantidad]]</f>
        <v>-440</v>
      </c>
      <c r="J1396" s="34"/>
      <c r="K1396" s="34">
        <f>Ventas[[#This Row],[Total]]*Ventas[[#This Row],[Total 3]]</f>
        <v>0</v>
      </c>
      <c r="L1396" s="34"/>
      <c r="M1396" s="34"/>
    </row>
    <row r="1397" spans="2:13">
      <c r="B1397" s="39">
        <v>44929</v>
      </c>
      <c r="C1397" s="35" t="str">
        <f>VLOOKUP(Ventas[[#This Row],[Codigo]],Stock[#Data],2,FALSE)</f>
        <v>Sustrato Perlita</v>
      </c>
      <c r="D1397" s="37">
        <f>VLOOKUP(Ventas[[#This Row],[Codigo]],Stock[#Data],4,FALSE)</f>
        <v>800</v>
      </c>
      <c r="E1397" s="33">
        <f>VLOOKUP(Ventas[[#This Row],[Codigo]],Stock[#Data],3,FALSE)</f>
        <v>400</v>
      </c>
      <c r="F1397" s="38">
        <v>1</v>
      </c>
      <c r="G1397">
        <v>52</v>
      </c>
      <c r="H1397" s="36">
        <f>Ventas[[#This Row],[Precio Venta]]*Ventas[[#This Row],[Cantidad]]-Ventas[[#This Row],[Descuento]]</f>
        <v>800</v>
      </c>
      <c r="I1397" s="34">
        <f>Ventas[[#This Row],[Total]]-Ventas[[#This Row],[Precio compra]]*Ventas[[#This Row],[Cantidad]]</f>
        <v>400</v>
      </c>
      <c r="J1397" s="34"/>
      <c r="K1397" s="34">
        <f>Ventas[[#This Row],[Total]]*Ventas[[#This Row],[Total 3]]</f>
        <v>0</v>
      </c>
      <c r="L1397" s="34"/>
      <c r="M1397" s="34"/>
    </row>
    <row r="1398" spans="2:13">
      <c r="B1398" s="39">
        <v>44929</v>
      </c>
      <c r="C1398" s="35" t="str">
        <f>VLOOKUP(Ventas[[#This Row],[Codigo]],Stock[#Data],2,FALSE)</f>
        <v>TreeMIX PRO 200ml</v>
      </c>
      <c r="D1398" s="37">
        <f>VLOOKUP(Ventas[[#This Row],[Codigo]],Stock[#Data],4,FALSE)</f>
        <v>1500</v>
      </c>
      <c r="E1398" s="33">
        <f>VLOOKUP(Ventas[[#This Row],[Codigo]],Stock[#Data],3,FALSE)</f>
        <v>700</v>
      </c>
      <c r="F1398" s="38">
        <v>1</v>
      </c>
      <c r="G1398">
        <v>30</v>
      </c>
      <c r="H1398" s="36">
        <f>Ventas[[#This Row],[Precio Venta]]*Ventas[[#This Row],[Cantidad]]-Ventas[[#This Row],[Descuento]]</f>
        <v>1500</v>
      </c>
      <c r="I1398" s="34">
        <f>Ventas[[#This Row],[Total]]-Ventas[[#This Row],[Precio compra]]*Ventas[[#This Row],[Cantidad]]</f>
        <v>800</v>
      </c>
      <c r="J1398" s="34"/>
      <c r="K1398" s="34">
        <f>Ventas[[#This Row],[Total]]*Ventas[[#This Row],[Total 3]]</f>
        <v>0</v>
      </c>
      <c r="L1398" s="34"/>
      <c r="M1398" s="34"/>
    </row>
    <row r="1399" spans="2:13">
      <c r="B1399" s="39">
        <v>44929</v>
      </c>
      <c r="C1399" s="35" t="str">
        <f>VLOOKUP(Ventas[[#This Row],[Codigo]],Stock[#Data],2,FALSE)</f>
        <v>Pipa Silicona</v>
      </c>
      <c r="D1399" s="37">
        <f>VLOOKUP(Ventas[[#This Row],[Codigo]],Stock[#Data],4,FALSE)</f>
        <v>3800</v>
      </c>
      <c r="E1399" s="33">
        <f>VLOOKUP(Ventas[[#This Row],[Codigo]],Stock[#Data],3,FALSE)</f>
        <v>1895</v>
      </c>
      <c r="F1399" s="38">
        <v>1</v>
      </c>
      <c r="G1399">
        <v>157</v>
      </c>
      <c r="H1399" s="36">
        <f>Ventas[[#This Row],[Precio Venta]]*Ventas[[#This Row],[Cantidad]]-Ventas[[#This Row],[Descuento]]</f>
        <v>3800</v>
      </c>
      <c r="I1399" s="34">
        <f>Ventas[[#This Row],[Total]]-Ventas[[#This Row],[Precio compra]]*Ventas[[#This Row],[Cantidad]]</f>
        <v>1905</v>
      </c>
      <c r="J1399" s="34"/>
      <c r="K1399" s="34">
        <f>Ventas[[#This Row],[Total]]*Ventas[[#This Row],[Total 3]]</f>
        <v>0</v>
      </c>
      <c r="L1399" s="34"/>
      <c r="M1399" s="34"/>
    </row>
    <row r="1400" spans="2:13">
      <c r="B1400" s="39">
        <v>44929</v>
      </c>
      <c r="C1400" s="35" t="str">
        <f>VLOOKUP(Ventas[[#This Row],[Codigo]],Stock[#Data],2,FALSE)</f>
        <v xml:space="preserve">Encendedor Clipper </v>
      </c>
      <c r="D1400" s="37">
        <f>VLOOKUP(Ventas[[#This Row],[Codigo]],Stock[#Data],4,FALSE)</f>
        <v>600</v>
      </c>
      <c r="E1400" s="33">
        <f>VLOOKUP(Ventas[[#This Row],[Codigo]],Stock[#Data],3,FALSE)</f>
        <v>378</v>
      </c>
      <c r="F1400" s="38">
        <v>1</v>
      </c>
      <c r="G1400">
        <v>58</v>
      </c>
      <c r="H1400" s="36">
        <f>Ventas[[#This Row],[Precio Venta]]*Ventas[[#This Row],[Cantidad]]-Ventas[[#This Row],[Descuento]]</f>
        <v>600</v>
      </c>
      <c r="I1400" s="34">
        <f>Ventas[[#This Row],[Total]]-Ventas[[#This Row],[Precio compra]]*Ventas[[#This Row],[Cantidad]]</f>
        <v>222</v>
      </c>
      <c r="J1400" s="34"/>
      <c r="K1400" s="34">
        <f>Ventas[[#This Row],[Total]]*Ventas[[#This Row],[Total 3]]</f>
        <v>0</v>
      </c>
      <c r="L1400" s="34"/>
      <c r="M1400" s="34"/>
    </row>
    <row r="1401" spans="2:13">
      <c r="B1401" s="39">
        <v>44929</v>
      </c>
      <c r="C1401" s="35" t="str">
        <f>VLOOKUP(Ventas[[#This Row],[Codigo]],Stock[#Data],2,FALSE)</f>
        <v xml:space="preserve">Filtros Gizhe + Sedas </v>
      </c>
      <c r="D1401" s="37">
        <f>VLOOKUP(Ventas[[#This Row],[Codigo]],Stock[#Data],4,FALSE)</f>
        <v>350</v>
      </c>
      <c r="E1401" s="33">
        <f>VLOOKUP(Ventas[[#This Row],[Codigo]],Stock[#Data],3,FALSE)</f>
        <v>150</v>
      </c>
      <c r="F1401" s="38">
        <v>1</v>
      </c>
      <c r="G1401">
        <v>476</v>
      </c>
      <c r="H1401" s="36">
        <f>Ventas[[#This Row],[Precio Venta]]*Ventas[[#This Row],[Cantidad]]-Ventas[[#This Row],[Descuento]]</f>
        <v>350</v>
      </c>
      <c r="I1401" s="34">
        <f>Ventas[[#This Row],[Total]]-Ventas[[#This Row],[Precio compra]]*Ventas[[#This Row],[Cantidad]]</f>
        <v>200</v>
      </c>
      <c r="J1401" s="34"/>
      <c r="K1401" s="34">
        <f>Ventas[[#This Row],[Total]]*Ventas[[#This Row],[Total 3]]</f>
        <v>0</v>
      </c>
      <c r="L1401" s="34"/>
      <c r="M1401" s="34"/>
    </row>
    <row r="1402" spans="2:13">
      <c r="B1402" s="39">
        <v>44928</v>
      </c>
      <c r="C1402" s="35" t="str">
        <f>VLOOKUP(Ventas[[#This Row],[Codigo]],Stock[#Data],2,FALSE)</f>
        <v>Sedas OCB 1/4 Virgin Papers</v>
      </c>
      <c r="D1402" s="37">
        <f>VLOOKUP(Ventas[[#This Row],[Codigo]],Stock[#Data],4,FALSE)</f>
        <v>300</v>
      </c>
      <c r="E1402" s="33">
        <f>VLOOKUP(Ventas[[#This Row],[Codigo]],Stock[#Data],3,FALSE)</f>
        <v>165</v>
      </c>
      <c r="F1402" s="38">
        <v>1</v>
      </c>
      <c r="G1402">
        <v>76</v>
      </c>
      <c r="H1402" s="36">
        <f>Ventas[[#This Row],[Precio Venta]]*Ventas[[#This Row],[Cantidad]]-Ventas[[#This Row],[Descuento]]</f>
        <v>300</v>
      </c>
      <c r="I1402" s="34">
        <f>Ventas[[#This Row],[Total]]-Ventas[[#This Row],[Precio compra]]*Ventas[[#This Row],[Cantidad]]</f>
        <v>135</v>
      </c>
      <c r="J1402" s="34"/>
      <c r="K1402" s="34">
        <f>Ventas[[#This Row],[Total]]*Ventas[[#This Row],[Total 3]]</f>
        <v>0</v>
      </c>
      <c r="L1402" s="34"/>
      <c r="M1402" s="34"/>
    </row>
    <row r="1403" spans="2:13">
      <c r="B1403" s="39">
        <v>44928</v>
      </c>
      <c r="C1403" s="35" t="str">
        <f>VLOOKUP(Ventas[[#This Row],[Codigo]],Stock[#Data],2,FALSE)</f>
        <v>Sedas PRISMA 1/4 Purple</v>
      </c>
      <c r="D1403" s="37">
        <f>VLOOKUP(Ventas[[#This Row],[Codigo]],Stock[#Data],4,FALSE)</f>
        <v>200</v>
      </c>
      <c r="E1403" s="33">
        <f>VLOOKUP(Ventas[[#This Row],[Codigo]],Stock[#Data],3,FALSE)</f>
        <v>100</v>
      </c>
      <c r="F1403" s="38">
        <v>1</v>
      </c>
      <c r="G1403">
        <v>90</v>
      </c>
      <c r="H1403" s="36">
        <f>Ventas[[#This Row],[Precio Venta]]*Ventas[[#This Row],[Cantidad]]-Ventas[[#This Row],[Descuento]]</f>
        <v>200</v>
      </c>
      <c r="I1403" s="34">
        <f>Ventas[[#This Row],[Total]]-Ventas[[#This Row],[Precio compra]]*Ventas[[#This Row],[Cantidad]]</f>
        <v>100</v>
      </c>
      <c r="J1403" s="34"/>
      <c r="K1403" s="34">
        <f>Ventas[[#This Row],[Total]]*Ventas[[#This Row],[Total 3]]</f>
        <v>0</v>
      </c>
      <c r="L1403" s="34"/>
      <c r="M1403" s="34"/>
    </row>
    <row r="1404" spans="2:13">
      <c r="B1404" s="39">
        <v>44928</v>
      </c>
      <c r="C1404" s="35" t="str">
        <f>VLOOKUP(Ventas[[#This Row],[Codigo]],Stock[#Data],2,FALSE)</f>
        <v>Pipa Silicona</v>
      </c>
      <c r="D1404" s="37">
        <f>VLOOKUP(Ventas[[#This Row],[Codigo]],Stock[#Data],4,FALSE)</f>
        <v>3800</v>
      </c>
      <c r="E1404" s="33">
        <f>VLOOKUP(Ventas[[#This Row],[Codigo]],Stock[#Data],3,FALSE)</f>
        <v>1895</v>
      </c>
      <c r="F1404" s="38">
        <v>1</v>
      </c>
      <c r="G1404">
        <v>157</v>
      </c>
      <c r="H1404" s="36">
        <f>Ventas[[#This Row],[Precio Venta]]*Ventas[[#This Row],[Cantidad]]-Ventas[[#This Row],[Descuento]]</f>
        <v>3800</v>
      </c>
      <c r="I1404" s="34">
        <f>Ventas[[#This Row],[Total]]-Ventas[[#This Row],[Precio compra]]*Ventas[[#This Row],[Cantidad]]</f>
        <v>1905</v>
      </c>
      <c r="J1404" s="34"/>
      <c r="K1404" s="34">
        <f>Ventas[[#This Row],[Total]]*Ventas[[#This Row],[Total 3]]</f>
        <v>0</v>
      </c>
      <c r="L1404" s="34"/>
      <c r="M1404" s="34"/>
    </row>
    <row r="1405" spans="2:13">
      <c r="B1405" s="39">
        <v>44928</v>
      </c>
      <c r="C1405" s="35" t="str">
        <f>VLOOKUP(Ventas[[#This Row],[Codigo]],Stock[#Data],2,FALSE)</f>
        <v>TreeMIX KILL MIX 200ml</v>
      </c>
      <c r="D1405" s="37">
        <f>VLOOKUP(Ventas[[#This Row],[Codigo]],Stock[#Data],4,FALSE)</f>
        <v>1500</v>
      </c>
      <c r="E1405" s="33">
        <f>VLOOKUP(Ventas[[#This Row],[Codigo]],Stock[#Data],3,FALSE)</f>
        <v>715</v>
      </c>
      <c r="F1405" s="38">
        <v>2</v>
      </c>
      <c r="G1405">
        <v>35</v>
      </c>
      <c r="H1405" s="36">
        <f>Ventas[[#This Row],[Precio Venta]]*Ventas[[#This Row],[Cantidad]]-Ventas[[#This Row],[Descuento]]</f>
        <v>3000</v>
      </c>
      <c r="I1405" s="34">
        <f>Ventas[[#This Row],[Total]]-Ventas[[#This Row],[Precio compra]]*Ventas[[#This Row],[Cantidad]]</f>
        <v>1570</v>
      </c>
      <c r="J1405" s="34"/>
      <c r="K1405" s="34">
        <f>Ventas[[#This Row],[Total]]*Ventas[[#This Row],[Total 3]]</f>
        <v>0</v>
      </c>
      <c r="L1405" s="34"/>
      <c r="M1405" s="34"/>
    </row>
    <row r="1406" spans="2:13">
      <c r="B1406" s="39">
        <v>44928</v>
      </c>
      <c r="C1406" s="35" t="str">
        <f>VLOOKUP(Ventas[[#This Row],[Codigo]],Stock[#Data],2,FALSE)</f>
        <v xml:space="preserve">Clipper Raw </v>
      </c>
      <c r="D1406" s="37">
        <f>VLOOKUP(Ventas[[#This Row],[Codigo]],Stock[#Data],4,FALSE)</f>
        <v>550</v>
      </c>
      <c r="E1406" s="33">
        <f>VLOOKUP(Ventas[[#This Row],[Codigo]],Stock[#Data],3,FALSE)</f>
        <v>276</v>
      </c>
      <c r="F1406" s="38">
        <v>1</v>
      </c>
      <c r="G1406">
        <v>502</v>
      </c>
      <c r="H1406" s="36">
        <f>Ventas[[#This Row],[Precio Venta]]*Ventas[[#This Row],[Cantidad]]-Ventas[[#This Row],[Descuento]]</f>
        <v>550</v>
      </c>
      <c r="I1406" s="34">
        <f>Ventas[[#This Row],[Total]]-Ventas[[#This Row],[Precio compra]]*Ventas[[#This Row],[Cantidad]]</f>
        <v>274</v>
      </c>
      <c r="J1406" s="34"/>
      <c r="K1406" s="34">
        <f>Ventas[[#This Row],[Total]]*Ventas[[#This Row],[Total 3]]</f>
        <v>0</v>
      </c>
      <c r="L1406" s="34"/>
      <c r="M1406" s="34"/>
    </row>
    <row r="1407" spans="2:13">
      <c r="B1407" s="39">
        <v>44928</v>
      </c>
      <c r="C1407" s="35" t="str">
        <f>VLOOKUP(Ventas[[#This Row],[Codigo]],Stock[#Data],2,FALSE)</f>
        <v xml:space="preserve">Picador Bronce </v>
      </c>
      <c r="D1407" s="37">
        <f>VLOOKUP(Ventas[[#This Row],[Codigo]],Stock[#Data],4,FALSE)</f>
        <v>2500</v>
      </c>
      <c r="E1407" s="33">
        <f>VLOOKUP(Ventas[[#This Row],[Codigo]],Stock[#Data],3,FALSE)</f>
        <v>1330</v>
      </c>
      <c r="F1407" s="38">
        <v>1</v>
      </c>
      <c r="G1407">
        <v>340</v>
      </c>
      <c r="H1407" s="36">
        <f>Ventas[[#This Row],[Precio Venta]]*Ventas[[#This Row],[Cantidad]]-Ventas[[#This Row],[Descuento]]</f>
        <v>2500</v>
      </c>
      <c r="I1407" s="34">
        <f>Ventas[[#This Row],[Total]]-Ventas[[#This Row],[Precio compra]]*Ventas[[#This Row],[Cantidad]]</f>
        <v>1170</v>
      </c>
      <c r="J1407" s="34"/>
      <c r="K1407" s="34">
        <f>Ventas[[#This Row],[Total]]*Ventas[[#This Row],[Total 3]]</f>
        <v>0</v>
      </c>
      <c r="L1407" s="34"/>
      <c r="M1407" s="34"/>
    </row>
    <row r="1408" spans="2:13">
      <c r="B1408" s="39">
        <v>44928</v>
      </c>
      <c r="C1408" s="35" t="str">
        <f>VLOOKUP(Ventas[[#This Row],[Codigo]],Stock[#Data],2,FALSE)</f>
        <v>Tips Lion Unbleached</v>
      </c>
      <c r="D1408" s="37">
        <f>VLOOKUP(Ventas[[#This Row],[Codigo]],Stock[#Data],4,FALSE)</f>
        <v>250</v>
      </c>
      <c r="E1408" s="33">
        <f>VLOOKUP(Ventas[[#This Row],[Codigo]],Stock[#Data],3,FALSE)</f>
        <v>137</v>
      </c>
      <c r="F1408" s="38">
        <v>1</v>
      </c>
      <c r="G1408">
        <v>458</v>
      </c>
      <c r="H1408" s="36">
        <f>Ventas[[#This Row],[Precio Venta]]*Ventas[[#This Row],[Cantidad]]-Ventas[[#This Row],[Descuento]]</f>
        <v>250</v>
      </c>
      <c r="I1408" s="34">
        <f>Ventas[[#This Row],[Total]]-Ventas[[#This Row],[Precio compra]]*Ventas[[#This Row],[Cantidad]]</f>
        <v>113</v>
      </c>
      <c r="J1408" s="34"/>
      <c r="K1408" s="34">
        <f>Ventas[[#This Row],[Total]]*Ventas[[#This Row],[Total 3]]</f>
        <v>0</v>
      </c>
      <c r="L1408" s="34"/>
      <c r="M1408" s="34"/>
    </row>
    <row r="1409" spans="2:13">
      <c r="B1409" s="39">
        <v>44928</v>
      </c>
      <c r="C1409" s="35" t="str">
        <f>VLOOKUP(Ventas[[#This Row],[Codigo]],Stock[#Data],2,FALSE)</f>
        <v>Sauver 1/4</v>
      </c>
      <c r="D1409" s="37">
        <f>VLOOKUP(Ventas[[#This Row],[Codigo]],Stock[#Data],4,FALSE)</f>
        <v>200</v>
      </c>
      <c r="E1409" s="33">
        <f>VLOOKUP(Ventas[[#This Row],[Codigo]],Stock[#Data],3,FALSE)</f>
        <v>75</v>
      </c>
      <c r="F1409" s="38">
        <v>1</v>
      </c>
      <c r="G1409">
        <v>149</v>
      </c>
      <c r="H1409" s="36">
        <f>Ventas[[#This Row],[Precio Venta]]*Ventas[[#This Row],[Cantidad]]-Ventas[[#This Row],[Descuento]]</f>
        <v>200</v>
      </c>
      <c r="I1409" s="34">
        <f>Ventas[[#This Row],[Total]]-Ventas[[#This Row],[Precio compra]]*Ventas[[#This Row],[Cantidad]]</f>
        <v>125</v>
      </c>
      <c r="J1409" s="34"/>
      <c r="K1409" s="34">
        <f>Ventas[[#This Row],[Total]]*Ventas[[#This Row],[Total 3]]</f>
        <v>0</v>
      </c>
      <c r="L1409" s="34"/>
      <c r="M1409" s="34"/>
    </row>
    <row r="1410" spans="2:13">
      <c r="B1410" s="39">
        <v>44928</v>
      </c>
      <c r="C1410" s="35" t="str">
        <f>VLOOKUP(Ventas[[#This Row],[Codigo]],Stock[#Data],2,FALSE)</f>
        <v>Tips Lion silver</v>
      </c>
      <c r="D1410" s="37">
        <f>VLOOKUP(Ventas[[#This Row],[Codigo]],Stock[#Data],4,FALSE)</f>
        <v>250</v>
      </c>
      <c r="E1410" s="33">
        <f>VLOOKUP(Ventas[[#This Row],[Codigo]],Stock[#Data],3,FALSE)</f>
        <v>137</v>
      </c>
      <c r="F1410" s="38">
        <v>2</v>
      </c>
      <c r="G1410">
        <v>457</v>
      </c>
      <c r="H1410" s="36">
        <f>Ventas[[#This Row],[Precio Venta]]*Ventas[[#This Row],[Cantidad]]-Ventas[[#This Row],[Descuento]]</f>
        <v>500</v>
      </c>
      <c r="I1410" s="34">
        <f>Ventas[[#This Row],[Total]]-Ventas[[#This Row],[Precio compra]]*Ventas[[#This Row],[Cantidad]]</f>
        <v>226</v>
      </c>
      <c r="J1410" s="34"/>
      <c r="K1410" s="34">
        <f>Ventas[[#This Row],[Total]]*Ventas[[#This Row],[Total 3]]</f>
        <v>0</v>
      </c>
      <c r="L1410" s="34"/>
      <c r="M1410" s="34"/>
    </row>
    <row r="1411" spans="2:13">
      <c r="B1411" s="39">
        <v>44928</v>
      </c>
      <c r="C1411" s="35" t="str">
        <f>VLOOKUP(Ventas[[#This Row],[Codigo]],Stock[#Data],2,FALSE)</f>
        <v>Sustrato Perlita</v>
      </c>
      <c r="D1411" s="37">
        <f>VLOOKUP(Ventas[[#This Row],[Codigo]],Stock[#Data],4,FALSE)</f>
        <v>800</v>
      </c>
      <c r="E1411" s="33">
        <f>VLOOKUP(Ventas[[#This Row],[Codigo]],Stock[#Data],3,FALSE)</f>
        <v>400</v>
      </c>
      <c r="F1411" s="38">
        <v>2</v>
      </c>
      <c r="G1411">
        <v>52</v>
      </c>
      <c r="H1411" s="36">
        <f>Ventas[[#This Row],[Precio Venta]]*Ventas[[#This Row],[Cantidad]]-Ventas[[#This Row],[Descuento]]</f>
        <v>1600</v>
      </c>
      <c r="I1411" s="34">
        <f>Ventas[[#This Row],[Total]]-Ventas[[#This Row],[Precio compra]]*Ventas[[#This Row],[Cantidad]]</f>
        <v>800</v>
      </c>
      <c r="J1411" s="34"/>
      <c r="K1411" s="34">
        <f>Ventas[[#This Row],[Total]]*Ventas[[#This Row],[Total 3]]</f>
        <v>0</v>
      </c>
      <c r="L1411" s="34"/>
      <c r="M1411" s="34"/>
    </row>
    <row r="1412" spans="2:13">
      <c r="B1412" s="39">
        <v>44928</v>
      </c>
      <c r="C1412" s="35" t="str">
        <f>VLOOKUP(Ventas[[#This Row],[Codigo]],Stock[#Data],2,FALSE)</f>
        <v>Namaste Nutripack</v>
      </c>
      <c r="D1412" s="37">
        <f>VLOOKUP(Ventas[[#This Row],[Codigo]],Stock[#Data],4,FALSE)</f>
        <v>6000</v>
      </c>
      <c r="E1412" s="33">
        <f>VLOOKUP(Ventas[[#This Row],[Codigo]],Stock[#Data],3,FALSE)</f>
        <v>3376</v>
      </c>
      <c r="F1412" s="38">
        <v>1</v>
      </c>
      <c r="G1412">
        <v>346</v>
      </c>
      <c r="H1412" s="36">
        <f>Ventas[[#This Row],[Precio Venta]]*Ventas[[#This Row],[Cantidad]]-Ventas[[#This Row],[Descuento]]</f>
        <v>6000</v>
      </c>
      <c r="I1412" s="34">
        <f>Ventas[[#This Row],[Total]]-Ventas[[#This Row],[Precio compra]]*Ventas[[#This Row],[Cantidad]]</f>
        <v>2624</v>
      </c>
      <c r="J1412" s="34"/>
      <c r="K1412" s="34">
        <f>Ventas[[#This Row],[Total]]*Ventas[[#This Row],[Total 3]]</f>
        <v>0</v>
      </c>
      <c r="L1412" s="34"/>
      <c r="M1412" s="34"/>
    </row>
    <row r="1484" spans="2:2">
      <c r="B1484" s="15">
        <v>40858</v>
      </c>
    </row>
  </sheetData>
  <mergeCells count="1">
    <mergeCell ref="B2:M2"/>
  </mergeCells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K1032"/>
  <sheetViews>
    <sheetView showGridLines="0" showRowColHeaders="0" workbookViewId="0">
      <pane ySplit="3" topLeftCell="A4" activePane="bottomLeft" state="frozen"/>
      <selection pane="bottomLeft" activeCell="E4" sqref="E4"/>
    </sheetView>
  </sheetViews>
  <sheetFormatPr baseColWidth="10" defaultRowHeight="15"/>
  <cols>
    <col min="1" max="1" width="1.5703125" customWidth="1"/>
    <col min="2" max="2" width="26.7109375" customWidth="1"/>
    <col min="3" max="3" width="59.42578125" customWidth="1"/>
    <col min="4" max="4" width="26.140625" customWidth="1"/>
    <col min="5" max="5" width="18.85546875" customWidth="1"/>
    <col min="6" max="6" width="26.85546875" style="11" customWidth="1"/>
    <col min="7" max="7" width="27.85546875" style="11" customWidth="1"/>
  </cols>
  <sheetData>
    <row r="1" spans="1:11" ht="69.75" customHeight="1">
      <c r="A1" s="16"/>
      <c r="B1" s="16"/>
      <c r="C1" s="16"/>
      <c r="D1" s="16"/>
      <c r="E1" s="16"/>
      <c r="F1" s="17"/>
      <c r="G1" s="17"/>
      <c r="H1" s="16"/>
      <c r="I1" s="16"/>
      <c r="J1" s="16"/>
      <c r="K1" s="16"/>
    </row>
    <row r="2" spans="1:11" ht="82.5" customHeight="1">
      <c r="A2" s="16"/>
      <c r="B2" s="68" t="s">
        <v>3</v>
      </c>
      <c r="C2" s="68"/>
      <c r="D2" s="68"/>
      <c r="E2" s="68"/>
      <c r="F2" s="68"/>
      <c r="G2" s="68"/>
      <c r="H2" s="16"/>
      <c r="I2" s="16"/>
      <c r="J2" s="16"/>
      <c r="K2" s="16"/>
    </row>
    <row r="3" spans="1:11" ht="20.25" customHeight="1">
      <c r="A3" s="16"/>
      <c r="B3" s="6" t="s">
        <v>0</v>
      </c>
      <c r="C3" s="6" t="s">
        <v>1</v>
      </c>
      <c r="D3" s="6" t="s">
        <v>89</v>
      </c>
      <c r="E3" s="6" t="s">
        <v>90</v>
      </c>
      <c r="F3" s="6" t="s">
        <v>92</v>
      </c>
      <c r="G3" s="6" t="s">
        <v>6</v>
      </c>
      <c r="H3" s="16"/>
      <c r="I3" s="16"/>
      <c r="J3" s="16"/>
      <c r="K3" s="16"/>
    </row>
    <row r="4" spans="1:11" ht="20.25" customHeight="1">
      <c r="A4" s="16"/>
      <c r="B4" s="41" t="s">
        <v>1140</v>
      </c>
      <c r="C4" s="6" t="str">
        <f>VLOOKUP(Compras[[#This Row],[Codigo]],Stock[#Data],2,FALSE)</f>
        <v>Timer Zurich</v>
      </c>
      <c r="D4" s="40">
        <v>6</v>
      </c>
      <c r="E4" s="6">
        <v>265</v>
      </c>
      <c r="F4" s="12">
        <f>VLOOKUP(Compras[[#This Row],[Codigo]],Stock[#Data],3,FALSE)</f>
        <v>2398</v>
      </c>
      <c r="G4" s="43">
        <f>Compras[[#This Row],[Unidad]]*Compras[[#This Row],[Cantidad]]</f>
        <v>14388</v>
      </c>
      <c r="H4" s="16"/>
      <c r="I4" s="16"/>
      <c r="J4" s="16"/>
      <c r="K4" s="16"/>
    </row>
    <row r="5" spans="1:11" ht="20.25" customHeight="1">
      <c r="A5" s="16"/>
      <c r="B5" s="41" t="s">
        <v>1140</v>
      </c>
      <c r="C5" s="6" t="str">
        <f>VLOOKUP(Compras[[#This Row],[Codigo]],Stock[#Data],2,FALSE)</f>
        <v>Power Buffer PH7</v>
      </c>
      <c r="D5" s="40">
        <v>1</v>
      </c>
      <c r="E5" s="6">
        <v>56</v>
      </c>
      <c r="F5" s="12">
        <f>VLOOKUP(Compras[[#This Row],[Codigo]],Stock[#Data],3,FALSE)</f>
        <v>310</v>
      </c>
      <c r="G5" s="43">
        <f>Compras[[#This Row],[Unidad]]*Compras[[#This Row],[Cantidad]]</f>
        <v>310</v>
      </c>
      <c r="H5" s="16"/>
      <c r="I5" s="16"/>
      <c r="J5" s="16"/>
      <c r="K5" s="16"/>
    </row>
    <row r="6" spans="1:11" ht="20.25" customHeight="1">
      <c r="A6" s="16"/>
      <c r="B6" s="41" t="s">
        <v>1140</v>
      </c>
      <c r="C6" s="6" t="str">
        <f>VLOOKUP(Compras[[#This Row],[Codigo]],Stock[#Data],2,FALSE)</f>
        <v>Sedas Smoking x 300</v>
      </c>
      <c r="D6" s="40">
        <v>1</v>
      </c>
      <c r="E6" s="6">
        <v>83</v>
      </c>
      <c r="F6" s="12">
        <f>VLOOKUP(Compras[[#This Row],[Codigo]],Stock[#Data],3,FALSE)</f>
        <v>223</v>
      </c>
      <c r="G6" s="43">
        <f>Compras[[#This Row],[Unidad]]*Compras[[#This Row],[Cantidad]]</f>
        <v>223</v>
      </c>
      <c r="H6" s="16"/>
      <c r="I6" s="16"/>
      <c r="J6" s="16"/>
      <c r="K6" s="16"/>
    </row>
    <row r="7" spans="1:11" ht="20.25" customHeight="1">
      <c r="A7" s="16"/>
      <c r="B7" s="41" t="s">
        <v>1140</v>
      </c>
      <c r="C7" s="6" t="str">
        <f>VLOOKUP(Compras[[#This Row],[Codigo]],Stock[#Data],2,FALSE)</f>
        <v>Sedas PRISMA 1/4 Blue</v>
      </c>
      <c r="D7" s="40">
        <v>1</v>
      </c>
      <c r="E7" s="6">
        <v>91</v>
      </c>
      <c r="F7" s="12">
        <f>VLOOKUP(Compras[[#This Row],[Codigo]],Stock[#Data],3,FALSE)</f>
        <v>100</v>
      </c>
      <c r="G7" s="43">
        <f>Compras[[#This Row],[Unidad]]*Compras[[#This Row],[Cantidad]]</f>
        <v>100</v>
      </c>
      <c r="H7" s="16"/>
      <c r="I7" s="16"/>
      <c r="J7" s="16"/>
      <c r="K7" s="16"/>
    </row>
    <row r="8" spans="1:11" ht="20.25" customHeight="1">
      <c r="A8" s="16"/>
      <c r="B8" s="41" t="s">
        <v>1140</v>
      </c>
      <c r="C8" s="6" t="str">
        <f>VLOOKUP(Compras[[#This Row],[Codigo]],Stock[#Data],2,FALSE)</f>
        <v>Bandeja ZEUS 18x7 con tapa</v>
      </c>
      <c r="D8" s="40">
        <v>1</v>
      </c>
      <c r="E8" s="6">
        <v>137</v>
      </c>
      <c r="F8" s="12">
        <f>VLOOKUP(Compras[[#This Row],[Codigo]],Stock[#Data],3,FALSE)</f>
        <v>816</v>
      </c>
      <c r="G8" s="43">
        <f>Compras[[#This Row],[Unidad]]*Compras[[#This Row],[Cantidad]]</f>
        <v>816</v>
      </c>
      <c r="H8" s="16"/>
      <c r="I8" s="16"/>
      <c r="J8" s="16"/>
      <c r="K8" s="16"/>
    </row>
    <row r="9" spans="1:11" ht="20.25" customHeight="1">
      <c r="A9" s="16"/>
      <c r="B9" s="41" t="s">
        <v>1140</v>
      </c>
      <c r="C9" s="6" t="str">
        <f>VLOOKUP(Compras[[#This Row],[Codigo]],Stock[#Data],2,FALSE)</f>
        <v>Secador Buen Consejo 4 pisos</v>
      </c>
      <c r="D9" s="40">
        <v>1</v>
      </c>
      <c r="E9" s="6">
        <v>262</v>
      </c>
      <c r="F9" s="12">
        <f>VLOOKUP(Compras[[#This Row],[Codigo]],Stock[#Data],3,FALSE)</f>
        <v>3400</v>
      </c>
      <c r="G9" s="43">
        <f>Compras[[#This Row],[Unidad]]*Compras[[#This Row],[Cantidad]]</f>
        <v>3400</v>
      </c>
      <c r="H9" s="16"/>
      <c r="I9" s="16"/>
      <c r="J9" s="16"/>
      <c r="K9" s="16"/>
    </row>
    <row r="10" spans="1:11" ht="20.25" customHeight="1">
      <c r="A10" s="16"/>
      <c r="B10" s="41" t="s">
        <v>1140</v>
      </c>
      <c r="C10" s="6" t="str">
        <f>VLOOKUP(Compras[[#This Row],[Codigo]],Stock[#Data],2,FALSE)</f>
        <v>Cortahilo</v>
      </c>
      <c r="D10" s="40">
        <v>2</v>
      </c>
      <c r="E10" s="6">
        <v>311</v>
      </c>
      <c r="F10" s="12">
        <f>VLOOKUP(Compras[[#This Row],[Codigo]],Stock[#Data],3,FALSE)</f>
        <v>214</v>
      </c>
      <c r="G10" s="43">
        <f>Compras[[#This Row],[Unidad]]*Compras[[#This Row],[Cantidad]]</f>
        <v>428</v>
      </c>
      <c r="H10" s="16"/>
      <c r="I10" s="16"/>
      <c r="J10" s="16"/>
      <c r="K10" s="16"/>
    </row>
    <row r="11" spans="1:11" ht="20.25" customHeight="1">
      <c r="A11" s="16"/>
      <c r="B11" s="41" t="s">
        <v>1135</v>
      </c>
      <c r="C11" s="6" t="str">
        <f>VLOOKUP(Compras[[#This Row],[Codigo]],Stock[#Data],2,FALSE)</f>
        <v>Cigarrera</v>
      </c>
      <c r="D11" s="40">
        <v>1</v>
      </c>
      <c r="E11" s="6">
        <v>428</v>
      </c>
      <c r="F11" s="12">
        <f>VLOOKUP(Compras[[#This Row],[Codigo]],Stock[#Data],3,FALSE)</f>
        <v>1699</v>
      </c>
      <c r="G11" s="43">
        <f>Compras[[#This Row],[Unidad]]*Compras[[#This Row],[Cantidad]]</f>
        <v>1699</v>
      </c>
      <c r="H11" s="16"/>
      <c r="I11" s="16"/>
      <c r="J11" s="16"/>
      <c r="K11" s="16"/>
    </row>
    <row r="12" spans="1:11" ht="20.25" customHeight="1">
      <c r="A12" s="16"/>
      <c r="B12" s="41" t="s">
        <v>1135</v>
      </c>
      <c r="C12" s="6" t="str">
        <f>VLOOKUP(Compras[[#This Row],[Codigo]],Stock[#Data],2,FALSE)</f>
        <v>Bandeja 3 Rayos Chica</v>
      </c>
      <c r="D12" s="40">
        <v>3</v>
      </c>
      <c r="E12" s="6">
        <v>473</v>
      </c>
      <c r="F12" s="12">
        <f>VLOOKUP(Compras[[#This Row],[Codigo]],Stock[#Data],3,FALSE)</f>
        <v>1210</v>
      </c>
      <c r="G12" s="43">
        <f>Compras[[#This Row],[Unidad]]*Compras[[#This Row],[Cantidad]]</f>
        <v>3630</v>
      </c>
      <c r="H12" s="16"/>
      <c r="I12" s="16"/>
      <c r="J12" s="16"/>
      <c r="K12" s="16"/>
    </row>
    <row r="13" spans="1:11" ht="20.25" customHeight="1">
      <c r="A13" s="16"/>
      <c r="B13" s="41" t="s">
        <v>1135</v>
      </c>
      <c r="C13" s="6" t="str">
        <f>VLOOKUP(Compras[[#This Row],[Codigo]],Stock[#Data],2,FALSE)</f>
        <v xml:space="preserve">Polea Santa Planta 5kg </v>
      </c>
      <c r="D13" s="40">
        <v>1</v>
      </c>
      <c r="E13" s="6">
        <v>510</v>
      </c>
      <c r="F13" s="12">
        <f>VLOOKUP(Compras[[#This Row],[Codigo]],Stock[#Data],3,FALSE)</f>
        <v>1375</v>
      </c>
      <c r="G13" s="43">
        <f>Compras[[#This Row],[Unidad]]*Compras[[#This Row],[Cantidad]]</f>
        <v>1375</v>
      </c>
      <c r="H13" s="16"/>
      <c r="I13" s="16"/>
      <c r="J13" s="16"/>
      <c r="K13" s="16"/>
    </row>
    <row r="14" spans="1:11" ht="20.25" customHeight="1">
      <c r="A14" s="16"/>
      <c r="B14" s="41" t="s">
        <v>1135</v>
      </c>
      <c r="C14" s="6" t="str">
        <f>VLOOKUP(Compras[[#This Row],[Codigo]],Stock[#Data],2,FALSE)</f>
        <v>Sauver XL</v>
      </c>
      <c r="D14" s="40">
        <v>12</v>
      </c>
      <c r="E14" s="6">
        <v>529</v>
      </c>
      <c r="F14" s="12">
        <f>VLOOKUP(Compras[[#This Row],[Codigo]],Stock[#Data],3,FALSE)</f>
        <v>65</v>
      </c>
      <c r="G14" s="43">
        <f>Compras[[#This Row],[Unidad]]*Compras[[#This Row],[Cantidad]]</f>
        <v>780</v>
      </c>
      <c r="H14" s="16"/>
      <c r="I14" s="16"/>
      <c r="J14" s="16"/>
      <c r="K14" s="16"/>
    </row>
    <row r="15" spans="1:11" ht="20.25" customHeight="1">
      <c r="A15" s="16"/>
      <c r="B15" s="41" t="s">
        <v>1135</v>
      </c>
      <c r="C15" s="6" t="str">
        <f>VLOOKUP(Compras[[#This Row],[Codigo]],Stock[#Data],2,FALSE)</f>
        <v>Recipiente de Silicona</v>
      </c>
      <c r="D15" s="40">
        <v>4</v>
      </c>
      <c r="E15" s="6">
        <v>547</v>
      </c>
      <c r="F15" s="12">
        <f>VLOOKUP(Compras[[#This Row],[Codigo]],Stock[#Data],3,FALSE)</f>
        <v>383</v>
      </c>
      <c r="G15" s="43">
        <f>Compras[[#This Row],[Unidad]]*Compras[[#This Row],[Cantidad]]</f>
        <v>1532</v>
      </c>
      <c r="H15" s="16"/>
      <c r="I15" s="16"/>
      <c r="J15" s="16"/>
      <c r="K15" s="16"/>
    </row>
    <row r="16" spans="1:11" ht="20.25" customHeight="1">
      <c r="A16" s="16"/>
      <c r="B16" s="41" t="s">
        <v>1123</v>
      </c>
      <c r="C16" s="6" t="str">
        <f>VLOOKUP(Compras[[#This Row],[Codigo]],Stock[#Data],2,FALSE)</f>
        <v>RAW Humidifying Stone</v>
      </c>
      <c r="D16" s="40">
        <v>10</v>
      </c>
      <c r="E16" s="6">
        <v>929</v>
      </c>
      <c r="F16" s="12">
        <f>VLOOKUP(Compras[[#This Row],[Codigo]],Stock[#Data],3,FALSE)</f>
        <v>442</v>
      </c>
      <c r="G16" s="43">
        <f>Compras[[#This Row],[Unidad]]*Compras[[#This Row],[Cantidad]]</f>
        <v>4420</v>
      </c>
      <c r="H16" s="16"/>
      <c r="I16" s="16"/>
      <c r="J16" s="16"/>
      <c r="K16" s="16"/>
    </row>
    <row r="17" spans="1:11" ht="20.25" customHeight="1">
      <c r="A17" s="16"/>
      <c r="B17" s="41" t="s">
        <v>1123</v>
      </c>
      <c r="C17" s="6" t="str">
        <f>VLOOKUP(Compras[[#This Row],[Codigo]],Stock[#Data],2,FALSE)</f>
        <v>Sedas Elements 1/4 Magnetic</v>
      </c>
      <c r="D17" s="40">
        <v>25</v>
      </c>
      <c r="E17" s="6">
        <v>928</v>
      </c>
      <c r="F17" s="12">
        <f>VLOOKUP(Compras[[#This Row],[Codigo]],Stock[#Data],3,FALSE)</f>
        <v>213</v>
      </c>
      <c r="G17" s="43">
        <f>Compras[[#This Row],[Unidad]]*Compras[[#This Row],[Cantidad]]</f>
        <v>5325</v>
      </c>
      <c r="H17" s="16"/>
      <c r="I17" s="16"/>
      <c r="J17" s="16"/>
      <c r="K17" s="16"/>
    </row>
    <row r="18" spans="1:11" ht="20.25" customHeight="1">
      <c r="A18" s="16"/>
      <c r="B18" s="41" t="s">
        <v>1123</v>
      </c>
      <c r="C18" s="6" t="str">
        <f>VLOOKUP(Compras[[#This Row],[Codigo]],Stock[#Data],2,FALSE)</f>
        <v>Sedas RAW Connoisseur 1/4</v>
      </c>
      <c r="D18" s="40">
        <v>23</v>
      </c>
      <c r="E18" s="6">
        <v>927</v>
      </c>
      <c r="F18" s="12">
        <f>VLOOKUP(Compras[[#This Row],[Codigo]],Stock[#Data],3,FALSE)</f>
        <v>677</v>
      </c>
      <c r="G18" s="43">
        <f>Compras[[#This Row],[Unidad]]*Compras[[#This Row],[Cantidad]]</f>
        <v>15571</v>
      </c>
      <c r="H18" s="16"/>
      <c r="I18" s="16"/>
      <c r="J18" s="16"/>
      <c r="K18" s="16"/>
    </row>
    <row r="19" spans="1:11" ht="20.25" customHeight="1">
      <c r="A19" s="16"/>
      <c r="B19" s="41" t="s">
        <v>1101</v>
      </c>
      <c r="C19" s="6" t="str">
        <f>VLOOKUP(Compras[[#This Row],[Codigo]],Stock[#Data],2,FALSE)</f>
        <v>Tabaco Van Kiff Chocolate</v>
      </c>
      <c r="D19" s="40">
        <v>5</v>
      </c>
      <c r="E19" s="6">
        <v>119</v>
      </c>
      <c r="F19" s="12">
        <f>VLOOKUP(Compras[[#This Row],[Codigo]],Stock[#Data],3,FALSE)</f>
        <v>580</v>
      </c>
      <c r="G19" s="43">
        <f>Compras[[#This Row],[Unidad]]*Compras[[#This Row],[Cantidad]]</f>
        <v>2900</v>
      </c>
      <c r="H19" s="16"/>
      <c r="I19" s="16"/>
      <c r="J19" s="16"/>
      <c r="K19" s="16"/>
    </row>
    <row r="20" spans="1:11" ht="20.25" customHeight="1">
      <c r="A20" s="16"/>
      <c r="B20" s="41" t="s">
        <v>1101</v>
      </c>
      <c r="C20" s="6" t="str">
        <f>VLOOKUP(Compras[[#This Row],[Codigo]],Stock[#Data],2,FALSE)</f>
        <v>Tabaco Van Kiff Vainilla</v>
      </c>
      <c r="D20" s="40">
        <v>5</v>
      </c>
      <c r="E20" s="6">
        <v>120</v>
      </c>
      <c r="F20" s="12">
        <f>VLOOKUP(Compras[[#This Row],[Codigo]],Stock[#Data],3,FALSE)</f>
        <v>580</v>
      </c>
      <c r="G20" s="43">
        <f>Compras[[#This Row],[Unidad]]*Compras[[#This Row],[Cantidad]]</f>
        <v>2900</v>
      </c>
      <c r="H20" s="16"/>
      <c r="I20" s="16"/>
      <c r="J20" s="16"/>
      <c r="K20" s="16"/>
    </row>
    <row r="21" spans="1:11" ht="20.25" customHeight="1">
      <c r="A21" s="16"/>
      <c r="B21" s="41" t="s">
        <v>1101</v>
      </c>
      <c r="C21" s="6" t="str">
        <f>VLOOKUP(Compras[[#This Row],[Codigo]],Stock[#Data],2,FALSE)</f>
        <v>Tabaco Van Kiff Natural</v>
      </c>
      <c r="D21" s="40">
        <v>5</v>
      </c>
      <c r="E21" s="6">
        <v>117</v>
      </c>
      <c r="F21" s="12">
        <f>VLOOKUP(Compras[[#This Row],[Codigo]],Stock[#Data],3,FALSE)</f>
        <v>580</v>
      </c>
      <c r="G21" s="43">
        <f>Compras[[#This Row],[Unidad]]*Compras[[#This Row],[Cantidad]]</f>
        <v>2900</v>
      </c>
      <c r="H21" s="16"/>
      <c r="I21" s="16"/>
      <c r="J21" s="16"/>
      <c r="K21" s="16"/>
    </row>
    <row r="22" spans="1:11" ht="20.25" customHeight="1">
      <c r="A22" s="16"/>
      <c r="B22" s="41" t="s">
        <v>1101</v>
      </c>
      <c r="C22" s="6" t="str">
        <f>VLOOKUP(Compras[[#This Row],[Codigo]],Stock[#Data],2,FALSE)</f>
        <v>Turbina Bate</v>
      </c>
      <c r="D22" s="40">
        <v>4</v>
      </c>
      <c r="E22" s="6">
        <v>165</v>
      </c>
      <c r="F22" s="12">
        <f>VLOOKUP(Compras[[#This Row],[Codigo]],Stock[#Data],3,FALSE)</f>
        <v>1237</v>
      </c>
      <c r="G22" s="43">
        <f>Compras[[#This Row],[Unidad]]*Compras[[#This Row],[Cantidad]]</f>
        <v>4948</v>
      </c>
      <c r="H22" s="16"/>
      <c r="I22" s="16"/>
      <c r="J22" s="16"/>
      <c r="K22" s="16"/>
    </row>
    <row r="23" spans="1:11" ht="20.25" customHeight="1">
      <c r="A23" s="16"/>
      <c r="B23" s="41" t="s">
        <v>1101</v>
      </c>
      <c r="C23" s="6" t="str">
        <f>VLOOKUP(Compras[[#This Row],[Codigo]],Stock[#Data],2,FALSE)</f>
        <v xml:space="preserve">Encendedor Clipper </v>
      </c>
      <c r="D23" s="40">
        <v>24</v>
      </c>
      <c r="E23" s="6">
        <v>58</v>
      </c>
      <c r="F23" s="12">
        <f>VLOOKUP(Compras[[#This Row],[Codigo]],Stock[#Data],3,FALSE)</f>
        <v>378</v>
      </c>
      <c r="G23" s="43">
        <f>Compras[[#This Row],[Unidad]]*Compras[[#This Row],[Cantidad]]</f>
        <v>9072</v>
      </c>
      <c r="H23" s="16"/>
      <c r="I23" s="16"/>
      <c r="J23" s="16"/>
      <c r="K23" s="16"/>
    </row>
    <row r="24" spans="1:11" ht="20.25" customHeight="1">
      <c r="A24" s="16"/>
      <c r="B24" s="41" t="s">
        <v>1101</v>
      </c>
      <c r="C24" s="6" t="str">
        <f>VLOOKUP(Compras[[#This Row],[Codigo]],Stock[#Data],2,FALSE)</f>
        <v>Cortahilo</v>
      </c>
      <c r="D24" s="40">
        <v>10</v>
      </c>
      <c r="E24" s="6">
        <v>311</v>
      </c>
      <c r="F24" s="12">
        <f>VLOOKUP(Compras[[#This Row],[Codigo]],Stock[#Data],3,FALSE)</f>
        <v>214</v>
      </c>
      <c r="G24" s="43">
        <f>Compras[[#This Row],[Unidad]]*Compras[[#This Row],[Cantidad]]</f>
        <v>2140</v>
      </c>
      <c r="H24" s="16"/>
      <c r="I24" s="16"/>
      <c r="J24" s="16"/>
      <c r="K24" s="16"/>
    </row>
    <row r="25" spans="1:11" ht="20.25" customHeight="1">
      <c r="A25" s="16"/>
      <c r="B25" s="41" t="s">
        <v>1101</v>
      </c>
      <c r="C25" s="6" t="str">
        <f>VLOOKUP(Compras[[#This Row],[Codigo]],Stock[#Data],2,FALSE)</f>
        <v>Cenicero STAMPS Metal Grande</v>
      </c>
      <c r="D25" s="40">
        <v>1</v>
      </c>
      <c r="E25" s="6">
        <v>919</v>
      </c>
      <c r="F25" s="12">
        <f>VLOOKUP(Compras[[#This Row],[Codigo]],Stock[#Data],3,FALSE)</f>
        <v>714</v>
      </c>
      <c r="G25" s="43">
        <f>Compras[[#This Row],[Unidad]]*Compras[[#This Row],[Cantidad]]</f>
        <v>714</v>
      </c>
      <c r="H25" s="16"/>
      <c r="I25" s="16"/>
      <c r="J25" s="16"/>
      <c r="K25" s="16"/>
    </row>
    <row r="26" spans="1:11" ht="20.25" customHeight="1">
      <c r="A26" s="16"/>
      <c r="B26" s="41" t="s">
        <v>1101</v>
      </c>
      <c r="C26" s="6" t="str">
        <f>VLOOKUP(Compras[[#This Row],[Codigo]],Stock[#Data],2,FALSE)</f>
        <v>Pipa D&amp;K Metal Con Tapa</v>
      </c>
      <c r="D26" s="40">
        <v>2</v>
      </c>
      <c r="E26" s="6">
        <v>920</v>
      </c>
      <c r="F26" s="12">
        <f>VLOOKUP(Compras[[#This Row],[Codigo]],Stock[#Data],3,FALSE)</f>
        <v>1379</v>
      </c>
      <c r="G26" s="43">
        <f>Compras[[#This Row],[Unidad]]*Compras[[#This Row],[Cantidad]]</f>
        <v>2758</v>
      </c>
      <c r="H26" s="16"/>
      <c r="I26" s="16"/>
      <c r="J26" s="16"/>
      <c r="K26" s="16"/>
    </row>
    <row r="27" spans="1:11" ht="20.25" customHeight="1">
      <c r="A27" s="16"/>
      <c r="B27" s="41" t="s">
        <v>1101</v>
      </c>
      <c r="C27" s="6" t="str">
        <f>VLOOKUP(Compras[[#This Row],[Codigo]],Stock[#Data],2,FALSE)</f>
        <v>Lupa x60 Sin Broche</v>
      </c>
      <c r="D27" s="40">
        <v>3</v>
      </c>
      <c r="E27" s="6">
        <v>921</v>
      </c>
      <c r="F27" s="12">
        <f>VLOOKUP(Compras[[#This Row],[Codigo]],Stock[#Data],3,FALSE)</f>
        <v>1904</v>
      </c>
      <c r="G27" s="43">
        <f>Compras[[#This Row],[Unidad]]*Compras[[#This Row],[Cantidad]]</f>
        <v>5712</v>
      </c>
      <c r="H27" s="16"/>
      <c r="I27" s="16"/>
      <c r="J27" s="16"/>
      <c r="K27" s="16"/>
    </row>
    <row r="28" spans="1:11" ht="20.25" customHeight="1">
      <c r="A28" s="16"/>
      <c r="B28" s="41" t="s">
        <v>1101</v>
      </c>
      <c r="C28" s="6" t="str">
        <f>VLOOKUP(Compras[[#This Row],[Codigo]],Stock[#Data],2,FALSE)</f>
        <v>Picador Bull Dog Acrilico Transparente 3p</v>
      </c>
      <c r="D28" s="40">
        <v>3</v>
      </c>
      <c r="E28" s="6">
        <v>922</v>
      </c>
      <c r="F28" s="12">
        <f>VLOOKUP(Compras[[#This Row],[Codigo]],Stock[#Data],3,FALSE)</f>
        <v>1124</v>
      </c>
      <c r="G28" s="43">
        <f>Compras[[#This Row],[Unidad]]*Compras[[#This Row],[Cantidad]]</f>
        <v>3372</v>
      </c>
      <c r="H28" s="16"/>
      <c r="I28" s="16"/>
      <c r="J28" s="16"/>
      <c r="K28" s="16"/>
    </row>
    <row r="29" spans="1:11" ht="20.25" customHeight="1">
      <c r="A29" s="16"/>
      <c r="B29" s="41" t="s">
        <v>1101</v>
      </c>
      <c r="C29" s="6" t="str">
        <f>VLOOKUP(Compras[[#This Row],[Codigo]],Stock[#Data],2,FALSE)</f>
        <v>Turbina Zeppelin Metal</v>
      </c>
      <c r="D29" s="40">
        <v>3</v>
      </c>
      <c r="E29" s="6">
        <v>923</v>
      </c>
      <c r="F29" s="12">
        <f>VLOOKUP(Compras[[#This Row],[Codigo]],Stock[#Data],3,FALSE)</f>
        <v>1237</v>
      </c>
      <c r="G29" s="43">
        <f>Compras[[#This Row],[Unidad]]*Compras[[#This Row],[Cantidad]]</f>
        <v>3711</v>
      </c>
      <c r="H29" s="16"/>
      <c r="I29" s="16"/>
      <c r="J29" s="16"/>
      <c r="K29" s="16"/>
    </row>
    <row r="30" spans="1:11" ht="20.25" customHeight="1">
      <c r="A30" s="16"/>
      <c r="B30" s="41" t="s">
        <v>1101</v>
      </c>
      <c r="C30" s="6" t="str">
        <f>VLOOKUP(Compras[[#This Row],[Codigo]],Stock[#Data],2,FALSE)</f>
        <v xml:space="preserve">Picador Zeus Cañamo </v>
      </c>
      <c r="D30" s="40">
        <v>1</v>
      </c>
      <c r="E30" s="6">
        <v>924</v>
      </c>
      <c r="F30" s="12">
        <f>VLOOKUP(Compras[[#This Row],[Codigo]],Stock[#Data],3,FALSE)</f>
        <v>531</v>
      </c>
      <c r="G30" s="43">
        <f>Compras[[#This Row],[Unidad]]*Compras[[#This Row],[Cantidad]]</f>
        <v>531</v>
      </c>
      <c r="H30" s="16"/>
      <c r="I30" s="16"/>
      <c r="J30" s="16"/>
      <c r="K30" s="16"/>
    </row>
    <row r="31" spans="1:11" ht="20.25" customHeight="1">
      <c r="A31" s="16"/>
      <c r="B31" s="41" t="s">
        <v>1101</v>
      </c>
      <c r="C31" s="6" t="str">
        <f>VLOOKUP(Compras[[#This Row],[Codigo]],Stock[#Data],2,FALSE)</f>
        <v>Bandeja Metal Ovalada</v>
      </c>
      <c r="D31" s="40">
        <v>1</v>
      </c>
      <c r="E31" s="6">
        <v>925</v>
      </c>
      <c r="F31" s="12">
        <f>VLOOKUP(Compras[[#This Row],[Codigo]],Stock[#Data],3,FALSE)</f>
        <v>960</v>
      </c>
      <c r="G31" s="43">
        <f>Compras[[#This Row],[Unidad]]*Compras[[#This Row],[Cantidad]]</f>
        <v>960</v>
      </c>
      <c r="H31" s="16"/>
      <c r="I31" s="16"/>
      <c r="J31" s="16"/>
      <c r="K31" s="16"/>
    </row>
    <row r="32" spans="1:11" ht="20.25" customHeight="1">
      <c r="A32" s="16"/>
      <c r="B32" s="41" t="s">
        <v>1101</v>
      </c>
      <c r="C32" s="6" t="str">
        <f>VLOOKUP(Compras[[#This Row],[Codigo]],Stock[#Data],2,FALSE)</f>
        <v>Bong Tornasolado</v>
      </c>
      <c r="D32" s="40">
        <v>1</v>
      </c>
      <c r="E32" s="6">
        <v>926</v>
      </c>
      <c r="F32" s="12">
        <f>VLOOKUP(Compras[[#This Row],[Codigo]],Stock[#Data],3,FALSE)</f>
        <v>3644</v>
      </c>
      <c r="G32" s="43">
        <f>Compras[[#This Row],[Unidad]]*Compras[[#This Row],[Cantidad]]</f>
        <v>3644</v>
      </c>
      <c r="H32" s="16"/>
      <c r="I32" s="16"/>
      <c r="J32" s="16"/>
      <c r="K32" s="16"/>
    </row>
    <row r="33" spans="1:11" ht="20.25" customHeight="1">
      <c r="A33" s="16"/>
      <c r="B33" s="41" t="s">
        <v>1101</v>
      </c>
      <c r="C33" s="6" t="str">
        <f>VLOOKUP(Compras[[#This Row],[Codigo]],Stock[#Data],2,FALSE)</f>
        <v>Termohidrógeno</v>
      </c>
      <c r="D33" s="40">
        <v>10</v>
      </c>
      <c r="E33" s="6">
        <v>187</v>
      </c>
      <c r="F33" s="12">
        <f>VLOOKUP(Compras[[#This Row],[Codigo]],Stock[#Data],3,FALSE)</f>
        <v>2000</v>
      </c>
      <c r="G33" s="43">
        <f>Compras[[#This Row],[Unidad]]*Compras[[#This Row],[Cantidad]]</f>
        <v>20000</v>
      </c>
      <c r="H33" s="16"/>
      <c r="I33" s="16"/>
      <c r="J33" s="16"/>
      <c r="K33" s="16"/>
    </row>
    <row r="34" spans="1:11" ht="20.25" customHeight="1">
      <c r="A34" s="16"/>
      <c r="B34" s="41" t="s">
        <v>1101</v>
      </c>
      <c r="C34" s="6" t="str">
        <f>VLOOKUP(Compras[[#This Row],[Codigo]],Stock[#Data],2,FALSE)</f>
        <v>Maceta Soplada 3l Cuadrada</v>
      </c>
      <c r="D34" s="40">
        <v>1</v>
      </c>
      <c r="E34" s="6">
        <v>811</v>
      </c>
      <c r="F34" s="12">
        <f>VLOOKUP(Compras[[#This Row],[Codigo]],Stock[#Data],3,FALSE)</f>
        <v>40</v>
      </c>
      <c r="G34" s="43">
        <f>Compras[[#This Row],[Unidad]]*Compras[[#This Row],[Cantidad]]</f>
        <v>40</v>
      </c>
      <c r="H34" s="16"/>
      <c r="I34" s="16"/>
      <c r="J34" s="16"/>
      <c r="K34" s="16"/>
    </row>
    <row r="35" spans="1:11" ht="20.25" customHeight="1">
      <c r="A35" s="16"/>
      <c r="B35" s="41" t="s">
        <v>1101</v>
      </c>
      <c r="C35" s="6" t="str">
        <f>VLOOKUP(Compras[[#This Row],[Codigo]],Stock[#Data],2,FALSE)</f>
        <v>Maceta Soplada 5l</v>
      </c>
      <c r="D35" s="40">
        <v>27</v>
      </c>
      <c r="E35" s="6">
        <v>810</v>
      </c>
      <c r="F35" s="12">
        <f>VLOOKUP(Compras[[#This Row],[Codigo]],Stock[#Data],3,FALSE)</f>
        <v>144</v>
      </c>
      <c r="G35" s="43">
        <f>Compras[[#This Row],[Unidad]]*Compras[[#This Row],[Cantidad]]</f>
        <v>3888</v>
      </c>
      <c r="H35" s="16"/>
      <c r="I35" s="16"/>
      <c r="J35" s="16"/>
      <c r="K35" s="16"/>
    </row>
    <row r="36" spans="1:11" ht="20.25" customHeight="1">
      <c r="A36" s="16"/>
      <c r="B36" s="41" t="s">
        <v>1101</v>
      </c>
      <c r="C36" s="6" t="str">
        <f>VLOOKUP(Compras[[#This Row],[Codigo]],Stock[#Data],2,FALSE)</f>
        <v>Maceta Soplada 6l</v>
      </c>
      <c r="D36" s="40">
        <v>15</v>
      </c>
      <c r="E36" s="6">
        <v>809</v>
      </c>
      <c r="F36" s="12">
        <f>VLOOKUP(Compras[[#This Row],[Codigo]],Stock[#Data],3,FALSE)</f>
        <v>110</v>
      </c>
      <c r="G36" s="43">
        <f>Compras[[#This Row],[Unidad]]*Compras[[#This Row],[Cantidad]]</f>
        <v>1650</v>
      </c>
      <c r="H36" s="16"/>
      <c r="I36" s="16"/>
      <c r="J36" s="16"/>
      <c r="K36" s="16"/>
    </row>
    <row r="37" spans="1:11" ht="20.25" customHeight="1">
      <c r="A37" s="16"/>
      <c r="B37" s="41" t="s">
        <v>1101</v>
      </c>
      <c r="C37" s="6" t="str">
        <f>VLOOKUP(Compras[[#This Row],[Codigo]],Stock[#Data],2,FALSE)</f>
        <v>Maceta Soplada N10</v>
      </c>
      <c r="D37" s="40">
        <v>110</v>
      </c>
      <c r="E37" s="6">
        <v>808</v>
      </c>
      <c r="F37" s="12">
        <f>VLOOKUP(Compras[[#This Row],[Codigo]],Stock[#Data],3,FALSE)</f>
        <v>50</v>
      </c>
      <c r="G37" s="43">
        <f>Compras[[#This Row],[Unidad]]*Compras[[#This Row],[Cantidad]]</f>
        <v>5500</v>
      </c>
      <c r="H37" s="16"/>
      <c r="I37" s="16"/>
      <c r="J37" s="16"/>
      <c r="K37" s="16"/>
    </row>
    <row r="38" spans="1:11" ht="20.25" customHeight="1">
      <c r="A38" s="16"/>
      <c r="B38" s="41" t="s">
        <v>1101</v>
      </c>
      <c r="C38" s="6" t="str">
        <f>VLOOKUP(Compras[[#This Row],[Codigo]],Stock[#Data],2,FALSE)</f>
        <v>Macetas Sopladas 10l</v>
      </c>
      <c r="D38" s="40">
        <v>71</v>
      </c>
      <c r="E38" s="6">
        <v>248</v>
      </c>
      <c r="F38" s="12">
        <f>VLOOKUP(Compras[[#This Row],[Codigo]],Stock[#Data],3,FALSE)</f>
        <v>178</v>
      </c>
      <c r="G38" s="43">
        <f>Compras[[#This Row],[Unidad]]*Compras[[#This Row],[Cantidad]]</f>
        <v>12638</v>
      </c>
      <c r="H38" s="16"/>
      <c r="I38" s="16"/>
      <c r="J38" s="16"/>
      <c r="K38" s="16"/>
    </row>
    <row r="39" spans="1:11" ht="20.25" customHeight="1">
      <c r="A39" s="16"/>
      <c r="B39" s="41" t="s">
        <v>1101</v>
      </c>
      <c r="C39" s="6" t="str">
        <f>VLOOKUP(Compras[[#This Row],[Codigo]],Stock[#Data],2,FALSE)</f>
        <v>Macetas Root House 3,7 litros</v>
      </c>
      <c r="D39" s="40">
        <v>2</v>
      </c>
      <c r="E39" s="6">
        <v>249</v>
      </c>
      <c r="F39" s="12">
        <f>VLOOKUP(Compras[[#This Row],[Codigo]],Stock[#Data],3,FALSE)</f>
        <v>445</v>
      </c>
      <c r="G39" s="43">
        <f>Compras[[#This Row],[Unidad]]*Compras[[#This Row],[Cantidad]]</f>
        <v>890</v>
      </c>
      <c r="H39" s="16"/>
      <c r="I39" s="16"/>
      <c r="J39" s="16"/>
      <c r="K39" s="16"/>
    </row>
    <row r="40" spans="1:11" ht="20.25" customHeight="1">
      <c r="A40" s="16"/>
      <c r="B40" s="41" t="s">
        <v>1101</v>
      </c>
      <c r="C40" s="6" t="str">
        <f>VLOOKUP(Compras[[#This Row],[Codigo]],Stock[#Data],2,FALSE)</f>
        <v>Macetas Root House 35 litros</v>
      </c>
      <c r="D40" s="40">
        <v>17</v>
      </c>
      <c r="E40" s="6">
        <v>251</v>
      </c>
      <c r="F40" s="12">
        <f>VLOOKUP(Compras[[#This Row],[Codigo]],Stock[#Data],3,FALSE)</f>
        <v>1970</v>
      </c>
      <c r="G40" s="43">
        <f>Compras[[#This Row],[Unidad]]*Compras[[#This Row],[Cantidad]]</f>
        <v>33490</v>
      </c>
      <c r="H40" s="16"/>
      <c r="I40" s="16"/>
      <c r="J40" s="16"/>
      <c r="K40" s="16"/>
    </row>
    <row r="41" spans="1:11" ht="20.25" customHeight="1">
      <c r="A41" s="16"/>
      <c r="B41" s="41" t="s">
        <v>1101</v>
      </c>
      <c r="C41" s="6" t="str">
        <f>VLOOKUP(Compras[[#This Row],[Codigo]],Stock[#Data],2,FALSE)</f>
        <v>Maceta Root House 18l</v>
      </c>
      <c r="D41" s="40">
        <v>9</v>
      </c>
      <c r="E41" s="6">
        <v>807</v>
      </c>
      <c r="F41" s="12">
        <f>VLOOKUP(Compras[[#This Row],[Codigo]],Stock[#Data],3,FALSE)</f>
        <v>1140</v>
      </c>
      <c r="G41" s="43">
        <f>Compras[[#This Row],[Unidad]]*Compras[[#This Row],[Cantidad]]</f>
        <v>10260</v>
      </c>
      <c r="H41" s="16"/>
      <c r="I41" s="16"/>
      <c r="J41" s="16"/>
      <c r="K41" s="16"/>
    </row>
    <row r="42" spans="1:11" ht="20.25" customHeight="1">
      <c r="A42" s="16"/>
      <c r="B42" s="41" t="s">
        <v>1101</v>
      </c>
      <c r="C42" s="6" t="str">
        <f>VLOOKUP(Compras[[#This Row],[Codigo]],Stock[#Data],2,FALSE)</f>
        <v>Macetas Root House 10 litros</v>
      </c>
      <c r="D42" s="40">
        <v>7</v>
      </c>
      <c r="E42" s="6">
        <v>250</v>
      </c>
      <c r="F42" s="12">
        <f>VLOOKUP(Compras[[#This Row],[Codigo]],Stock[#Data],3,FALSE)</f>
        <v>750</v>
      </c>
      <c r="G42" s="43">
        <f>Compras[[#This Row],[Unidad]]*Compras[[#This Row],[Cantidad]]</f>
        <v>5250</v>
      </c>
      <c r="H42" s="16"/>
      <c r="I42" s="16"/>
      <c r="J42" s="16"/>
      <c r="K42" s="16"/>
    </row>
    <row r="43" spans="1:11" ht="20.25" customHeight="1">
      <c r="A43" s="16"/>
      <c r="B43" s="41" t="s">
        <v>1101</v>
      </c>
      <c r="C43" s="6" t="str">
        <f>VLOOKUP(Compras[[#This Row],[Codigo]],Stock[#Data],2,FALSE)</f>
        <v>Macetas Mad Rocket 25 Litros</v>
      </c>
      <c r="D43" s="40">
        <v>18</v>
      </c>
      <c r="E43" s="6">
        <v>291</v>
      </c>
      <c r="F43" s="12">
        <f>VLOOKUP(Compras[[#This Row],[Codigo]],Stock[#Data],3,FALSE)</f>
        <v>1143</v>
      </c>
      <c r="G43" s="43">
        <f>Compras[[#This Row],[Unidad]]*Compras[[#This Row],[Cantidad]]</f>
        <v>20574</v>
      </c>
      <c r="H43" s="16"/>
      <c r="I43" s="16"/>
      <c r="J43" s="16"/>
      <c r="K43" s="16"/>
    </row>
    <row r="44" spans="1:11" ht="20.25" customHeight="1">
      <c r="A44" s="16"/>
      <c r="B44" s="41" t="s">
        <v>1101</v>
      </c>
      <c r="C44" s="6" t="str">
        <f>VLOOKUP(Compras[[#This Row],[Codigo]],Stock[#Data],2,FALSE)</f>
        <v>Maceta Mad Rocket 5l</v>
      </c>
      <c r="D44" s="40">
        <v>12</v>
      </c>
      <c r="E44" s="6">
        <v>806</v>
      </c>
      <c r="F44" s="12">
        <f>VLOOKUP(Compras[[#This Row],[Codigo]],Stock[#Data],3,FALSE)</f>
        <v>443</v>
      </c>
      <c r="G44" s="43">
        <f>Compras[[#This Row],[Unidad]]*Compras[[#This Row],[Cantidad]]</f>
        <v>5316</v>
      </c>
      <c r="H44" s="16"/>
      <c r="I44" s="16"/>
      <c r="J44" s="16"/>
      <c r="K44" s="16"/>
    </row>
    <row r="45" spans="1:11" ht="20.25" customHeight="1">
      <c r="A45" s="16"/>
      <c r="B45" s="41" t="s">
        <v>1101</v>
      </c>
      <c r="C45" s="6" t="str">
        <f>VLOOKUP(Compras[[#This Row],[Codigo]],Stock[#Data],2,FALSE)</f>
        <v>Hielos de Whisky Schon</v>
      </c>
      <c r="D45" s="40">
        <v>1</v>
      </c>
      <c r="E45" s="6">
        <v>805</v>
      </c>
      <c r="F45" s="12">
        <f>VLOOKUP(Compras[[#This Row],[Codigo]],Stock[#Data],3,FALSE)</f>
        <v>1500</v>
      </c>
      <c r="G45" s="43">
        <f>Compras[[#This Row],[Unidad]]*Compras[[#This Row],[Cantidad]]</f>
        <v>1500</v>
      </c>
      <c r="H45" s="16"/>
      <c r="I45" s="16"/>
      <c r="J45" s="16"/>
      <c r="K45" s="16"/>
    </row>
    <row r="46" spans="1:11" ht="20.25" customHeight="1">
      <c r="A46" s="16"/>
      <c r="B46" s="41" t="s">
        <v>1101</v>
      </c>
      <c r="C46" s="6" t="str">
        <f>VLOOKUP(Compras[[#This Row],[Codigo]],Stock[#Data],2,FALSE)</f>
        <v>Repuesto de Vapo Smoke</v>
      </c>
      <c r="D46" s="40">
        <v>2</v>
      </c>
      <c r="E46" s="6">
        <v>804</v>
      </c>
      <c r="F46" s="12">
        <f>VLOOKUP(Compras[[#This Row],[Codigo]],Stock[#Data],3,FALSE)</f>
        <v>1000</v>
      </c>
      <c r="G46" s="43">
        <f>Compras[[#This Row],[Unidad]]*Compras[[#This Row],[Cantidad]]</f>
        <v>2000</v>
      </c>
      <c r="H46" s="16"/>
      <c r="I46" s="16"/>
      <c r="J46" s="16"/>
      <c r="K46" s="16"/>
    </row>
    <row r="47" spans="1:11" ht="20.25" customHeight="1">
      <c r="A47" s="16"/>
      <c r="B47" s="41" t="s">
        <v>1101</v>
      </c>
      <c r="C47" s="6" t="str">
        <f>VLOOKUP(Compras[[#This Row],[Codigo]],Stock[#Data],2,FALSE)</f>
        <v>Sauver XL</v>
      </c>
      <c r="D47" s="40">
        <v>3</v>
      </c>
      <c r="E47" s="6">
        <v>529</v>
      </c>
      <c r="F47" s="12">
        <f>VLOOKUP(Compras[[#This Row],[Codigo]],Stock[#Data],3,FALSE)</f>
        <v>65</v>
      </c>
      <c r="G47" s="43">
        <f>Compras[[#This Row],[Unidad]]*Compras[[#This Row],[Cantidad]]</f>
        <v>195</v>
      </c>
      <c r="H47" s="16"/>
      <c r="I47" s="16"/>
      <c r="J47" s="16"/>
      <c r="K47" s="16"/>
    </row>
    <row r="48" spans="1:11" ht="20.25" customHeight="1">
      <c r="A48" s="16"/>
      <c r="B48" s="41" t="s">
        <v>1101</v>
      </c>
      <c r="C48" s="6" t="str">
        <f>VLOOKUP(Compras[[#This Row],[Codigo]],Stock[#Data],2,FALSE)</f>
        <v>Kaloud Calentador de Carbon</v>
      </c>
      <c r="D48" s="40">
        <v>2</v>
      </c>
      <c r="E48" s="6">
        <v>803</v>
      </c>
      <c r="F48" s="12">
        <f>VLOOKUP(Compras[[#This Row],[Codigo]],Stock[#Data],3,FALSE)</f>
        <v>400</v>
      </c>
      <c r="G48" s="43">
        <f>Compras[[#This Row],[Unidad]]*Compras[[#This Row],[Cantidad]]</f>
        <v>800</v>
      </c>
      <c r="H48" s="16"/>
      <c r="I48" s="16"/>
      <c r="J48" s="16"/>
      <c r="K48" s="16"/>
    </row>
    <row r="49" spans="1:11" ht="20.25" customHeight="1">
      <c r="A49" s="16"/>
      <c r="B49" s="41" t="s">
        <v>1101</v>
      </c>
      <c r="C49" s="6" t="str">
        <f>VLOOKUP(Compras[[#This Row],[Codigo]],Stock[#Data],2,FALSE)</f>
        <v>Papel Aluminio para Narguile</v>
      </c>
      <c r="D49" s="40">
        <v>2</v>
      </c>
      <c r="E49" s="6">
        <v>918</v>
      </c>
      <c r="F49" s="12">
        <f>VLOOKUP(Compras[[#This Row],[Codigo]],Stock[#Data],3,FALSE)</f>
        <v>200</v>
      </c>
      <c r="G49" s="43">
        <f>Compras[[#This Row],[Unidad]]*Compras[[#This Row],[Cantidad]]</f>
        <v>400</v>
      </c>
      <c r="H49" s="16"/>
      <c r="I49" s="16"/>
      <c r="J49" s="16"/>
      <c r="K49" s="16"/>
    </row>
    <row r="50" spans="1:11" ht="20.25" customHeight="1">
      <c r="A50" s="16"/>
      <c r="B50" s="41" t="s">
        <v>1101</v>
      </c>
      <c r="C50" s="6" t="str">
        <f>VLOOKUP(Compras[[#This Row],[Codigo]],Stock[#Data],2,FALSE)</f>
        <v>Boveda 45g 62%</v>
      </c>
      <c r="D50" s="40">
        <v>2</v>
      </c>
      <c r="E50" s="6">
        <v>802</v>
      </c>
      <c r="F50" s="12">
        <f>VLOOKUP(Compras[[#This Row],[Codigo]],Stock[#Data],3,FALSE)</f>
        <v>400</v>
      </c>
      <c r="G50" s="43">
        <f>Compras[[#This Row],[Unidad]]*Compras[[#This Row],[Cantidad]]</f>
        <v>800</v>
      </c>
      <c r="H50" s="16"/>
      <c r="I50" s="16"/>
      <c r="J50" s="16"/>
      <c r="K50" s="16"/>
    </row>
    <row r="51" spans="1:11" ht="20.25" customHeight="1">
      <c r="A51" s="16"/>
      <c r="B51" s="41" t="s">
        <v>1101</v>
      </c>
      <c r="C51" s="6" t="str">
        <f>VLOOKUP(Compras[[#This Row],[Codigo]],Stock[#Data],2,FALSE)</f>
        <v>Porta Boveda Chico</v>
      </c>
      <c r="D51" s="40">
        <v>4</v>
      </c>
      <c r="E51" s="6">
        <v>801</v>
      </c>
      <c r="F51" s="12">
        <f>VLOOKUP(Compras[[#This Row],[Codigo]],Stock[#Data],3,FALSE)</f>
        <v>200</v>
      </c>
      <c r="G51" s="43">
        <f>Compras[[#This Row],[Unidad]]*Compras[[#This Row],[Cantidad]]</f>
        <v>800</v>
      </c>
      <c r="H51" s="16"/>
      <c r="I51" s="16"/>
      <c r="J51" s="16"/>
      <c r="K51" s="16"/>
    </row>
    <row r="52" spans="1:11" ht="20.25" customHeight="1">
      <c r="A52" s="16"/>
      <c r="B52" s="41" t="s">
        <v>1101</v>
      </c>
      <c r="C52" s="6" t="str">
        <f>VLOOKUP(Compras[[#This Row],[Codigo]],Stock[#Data],2,FALSE)</f>
        <v>Tabaquera Palta</v>
      </c>
      <c r="D52" s="40">
        <v>2</v>
      </c>
      <c r="E52" s="6">
        <v>800</v>
      </c>
      <c r="F52" s="12">
        <f>VLOOKUP(Compras[[#This Row],[Codigo]],Stock[#Data],3,FALSE)</f>
        <v>400</v>
      </c>
      <c r="G52" s="43">
        <f>Compras[[#This Row],[Unidad]]*Compras[[#This Row],[Cantidad]]</f>
        <v>800</v>
      </c>
      <c r="H52" s="16"/>
      <c r="I52" s="16"/>
      <c r="J52" s="16"/>
      <c r="K52" s="16"/>
    </row>
    <row r="53" spans="1:11" ht="20.25" customHeight="1">
      <c r="A53" s="16"/>
      <c r="B53" s="41" t="s">
        <v>1101</v>
      </c>
      <c r="C53" s="6" t="str">
        <f>VLOOKUP(Compras[[#This Row],[Codigo]],Stock[#Data],2,FALSE)</f>
        <v>Saca Bocado</v>
      </c>
      <c r="D53" s="40">
        <v>4</v>
      </c>
      <c r="E53" s="6">
        <v>799</v>
      </c>
      <c r="F53" s="12">
        <f>VLOOKUP(Compras[[#This Row],[Codigo]],Stock[#Data],3,FALSE)</f>
        <v>450</v>
      </c>
      <c r="G53" s="43">
        <f>Compras[[#This Row],[Unidad]]*Compras[[#This Row],[Cantidad]]</f>
        <v>1800</v>
      </c>
      <c r="H53" s="16"/>
      <c r="I53" s="16"/>
      <c r="J53" s="16"/>
      <c r="K53" s="16"/>
    </row>
    <row r="54" spans="1:11" ht="20.25" customHeight="1">
      <c r="A54" s="16"/>
      <c r="B54" s="41" t="s">
        <v>1101</v>
      </c>
      <c r="C54" s="6" t="str">
        <f>VLOOKUP(Compras[[#This Row],[Codigo]],Stock[#Data],2,FALSE)</f>
        <v>Corta Habano Plateado</v>
      </c>
      <c r="D54" s="40">
        <v>2</v>
      </c>
      <c r="E54" s="6">
        <v>797</v>
      </c>
      <c r="F54" s="12">
        <f>VLOOKUP(Compras[[#This Row],[Codigo]],Stock[#Data],3,FALSE)</f>
        <v>1500</v>
      </c>
      <c r="G54" s="43">
        <f>Compras[[#This Row],[Unidad]]*Compras[[#This Row],[Cantidad]]</f>
        <v>3000</v>
      </c>
      <c r="H54" s="16"/>
      <c r="I54" s="16"/>
      <c r="J54" s="16"/>
      <c r="K54" s="16"/>
    </row>
    <row r="55" spans="1:11" ht="20.25" customHeight="1">
      <c r="A55" s="16"/>
      <c r="B55" s="41" t="s">
        <v>1101</v>
      </c>
      <c r="C55" s="6" t="str">
        <f>VLOOKUP(Compras[[#This Row],[Codigo]],Stock[#Data],2,FALSE)</f>
        <v>Corta Habano Plastico</v>
      </c>
      <c r="D55" s="40">
        <v>1</v>
      </c>
      <c r="E55" s="6">
        <v>798</v>
      </c>
      <c r="F55" s="12">
        <f>VLOOKUP(Compras[[#This Row],[Codigo]],Stock[#Data],3,FALSE)</f>
        <v>350</v>
      </c>
      <c r="G55" s="43">
        <f>Compras[[#This Row],[Unidad]]*Compras[[#This Row],[Cantidad]]</f>
        <v>350</v>
      </c>
      <c r="H55" s="16"/>
      <c r="I55" s="16"/>
      <c r="J55" s="16"/>
      <c r="K55" s="16"/>
    </row>
    <row r="56" spans="1:11" ht="20.25" customHeight="1">
      <c r="A56" s="16"/>
      <c r="B56" s="41" t="s">
        <v>1101</v>
      </c>
      <c r="C56" s="6" t="str">
        <f>VLOOKUP(Compras[[#This Row],[Codigo]],Stock[#Data],2,FALSE)</f>
        <v>Limpia Pipa Faro</v>
      </c>
      <c r="D56" s="40">
        <v>2</v>
      </c>
      <c r="E56" s="6">
        <v>796</v>
      </c>
      <c r="F56" s="12">
        <f>VLOOKUP(Compras[[#This Row],[Codigo]],Stock[#Data],3,FALSE)</f>
        <v>1000</v>
      </c>
      <c r="G56" s="43">
        <f>Compras[[#This Row],[Unidad]]*Compras[[#This Row],[Cantidad]]</f>
        <v>2000</v>
      </c>
      <c r="H56" s="16"/>
      <c r="I56" s="16"/>
      <c r="J56" s="16"/>
      <c r="K56" s="16"/>
    </row>
    <row r="57" spans="1:11" ht="20.25" customHeight="1">
      <c r="A57" s="16"/>
      <c r="B57" s="41" t="s">
        <v>1101</v>
      </c>
      <c r="C57" s="6" t="str">
        <f>VLOOKUP(Compras[[#This Row],[Codigo]],Stock[#Data],2,FALSE)</f>
        <v>Demonio Verde 250ml</v>
      </c>
      <c r="D57" s="40">
        <v>3</v>
      </c>
      <c r="E57" s="6">
        <v>794</v>
      </c>
      <c r="F57" s="12">
        <f>VLOOKUP(Compras[[#This Row],[Codigo]],Stock[#Data],3,FALSE)</f>
        <v>300</v>
      </c>
      <c r="G57" s="43">
        <f>Compras[[#This Row],[Unidad]]*Compras[[#This Row],[Cantidad]]</f>
        <v>900</v>
      </c>
      <c r="H57" s="16"/>
      <c r="I57" s="16"/>
      <c r="J57" s="16"/>
      <c r="K57" s="16"/>
    </row>
    <row r="58" spans="1:11" ht="20.25" customHeight="1">
      <c r="A58" s="16"/>
      <c r="B58" s="41" t="s">
        <v>1101</v>
      </c>
      <c r="C58" s="6" t="str">
        <f>VLOOKUP(Compras[[#This Row],[Codigo]],Stock[#Data],2,FALSE)</f>
        <v>Demonio Verde 100ml</v>
      </c>
      <c r="D58" s="40">
        <v>3</v>
      </c>
      <c r="E58" s="6">
        <v>795</v>
      </c>
      <c r="F58" s="12">
        <f>VLOOKUP(Compras[[#This Row],[Codigo]],Stock[#Data],3,FALSE)</f>
        <v>200</v>
      </c>
      <c r="G58" s="43">
        <f>Compras[[#This Row],[Unidad]]*Compras[[#This Row],[Cantidad]]</f>
        <v>600</v>
      </c>
      <c r="H58" s="16"/>
      <c r="I58" s="16"/>
      <c r="J58" s="16"/>
      <c r="K58" s="16"/>
    </row>
    <row r="59" spans="1:11" ht="20.25" customHeight="1">
      <c r="A59" s="16"/>
      <c r="B59" s="41" t="s">
        <v>1101</v>
      </c>
      <c r="C59" s="6" t="str">
        <f>VLOOKUP(Compras[[#This Row],[Codigo]],Stock[#Data],2,FALSE)</f>
        <v>Canamama Shampoo</v>
      </c>
      <c r="D59" s="40">
        <v>2</v>
      </c>
      <c r="E59" s="6">
        <v>793</v>
      </c>
      <c r="F59" s="12">
        <f>VLOOKUP(Compras[[#This Row],[Codigo]],Stock[#Data],3,FALSE)</f>
        <v>600</v>
      </c>
      <c r="G59" s="43">
        <f>Compras[[#This Row],[Unidad]]*Compras[[#This Row],[Cantidad]]</f>
        <v>1200</v>
      </c>
      <c r="H59" s="16"/>
      <c r="I59" s="16"/>
      <c r="J59" s="16"/>
      <c r="K59" s="16"/>
    </row>
    <row r="60" spans="1:11" ht="20.25" customHeight="1">
      <c r="A60" s="16"/>
      <c r="B60" s="41" t="s">
        <v>1101</v>
      </c>
      <c r="C60" s="6" t="str">
        <f>VLOOKUP(Compras[[#This Row],[Codigo]],Stock[#Data],2,FALSE)</f>
        <v>Canamama Acondicionador</v>
      </c>
      <c r="D60" s="40">
        <v>2</v>
      </c>
      <c r="E60" s="6">
        <v>792</v>
      </c>
      <c r="F60" s="12">
        <f>VLOOKUP(Compras[[#This Row],[Codigo]],Stock[#Data],3,FALSE)</f>
        <v>800</v>
      </c>
      <c r="G60" s="43">
        <f>Compras[[#This Row],[Unidad]]*Compras[[#This Row],[Cantidad]]</f>
        <v>1600</v>
      </c>
      <c r="H60" s="16"/>
      <c r="I60" s="16"/>
      <c r="J60" s="16"/>
      <c r="K60" s="16"/>
    </row>
    <row r="61" spans="1:11" ht="20.25" customHeight="1">
      <c r="A61" s="16"/>
      <c r="B61" s="41" t="s">
        <v>1101</v>
      </c>
      <c r="C61" s="6" t="str">
        <f>VLOOKUP(Compras[[#This Row],[Codigo]],Stock[#Data],2,FALSE)</f>
        <v>Canamama Balsamo para Labios</v>
      </c>
      <c r="D61" s="40">
        <v>7</v>
      </c>
      <c r="E61" s="6">
        <v>791</v>
      </c>
      <c r="F61" s="12">
        <f>VLOOKUP(Compras[[#This Row],[Codigo]],Stock[#Data],3,FALSE)</f>
        <v>400</v>
      </c>
      <c r="G61" s="43">
        <f>Compras[[#This Row],[Unidad]]*Compras[[#This Row],[Cantidad]]</f>
        <v>2800</v>
      </c>
      <c r="H61" s="16"/>
      <c r="I61" s="16"/>
      <c r="J61" s="16"/>
      <c r="K61" s="16"/>
    </row>
    <row r="62" spans="1:11" ht="20.25" customHeight="1">
      <c r="A62" s="16"/>
      <c r="B62" s="41" t="s">
        <v>1101</v>
      </c>
      <c r="C62" s="6" t="str">
        <f>VLOOKUP(Compras[[#This Row],[Codigo]],Stock[#Data],2,FALSE)</f>
        <v>Canamama Aceite para Pelo</v>
      </c>
      <c r="D62" s="40">
        <v>1</v>
      </c>
      <c r="E62" s="6">
        <v>790</v>
      </c>
      <c r="F62" s="12">
        <f>VLOOKUP(Compras[[#This Row],[Codigo]],Stock[#Data],3,FALSE)</f>
        <v>700</v>
      </c>
      <c r="G62" s="43">
        <f>Compras[[#This Row],[Unidad]]*Compras[[#This Row],[Cantidad]]</f>
        <v>700</v>
      </c>
      <c r="H62" s="16"/>
      <c r="I62" s="16"/>
      <c r="J62" s="16"/>
      <c r="K62" s="16"/>
    </row>
    <row r="63" spans="1:11" ht="20.25" customHeight="1">
      <c r="A63" s="16"/>
      <c r="B63" s="41" t="s">
        <v>1101</v>
      </c>
      <c r="C63" s="6" t="str">
        <f>VLOOKUP(Compras[[#This Row],[Codigo]],Stock[#Data],2,FALSE)</f>
        <v>Canamama Aceite Deportivo</v>
      </c>
      <c r="D63" s="40">
        <v>3</v>
      </c>
      <c r="E63" s="6">
        <v>789</v>
      </c>
      <c r="F63" s="12">
        <f>VLOOKUP(Compras[[#This Row],[Codigo]],Stock[#Data],3,FALSE)</f>
        <v>700</v>
      </c>
      <c r="G63" s="43">
        <f>Compras[[#This Row],[Unidad]]*Compras[[#This Row],[Cantidad]]</f>
        <v>2100</v>
      </c>
      <c r="H63" s="16"/>
      <c r="I63" s="16"/>
      <c r="J63" s="16"/>
      <c r="K63" s="16"/>
    </row>
    <row r="64" spans="1:11" ht="20.25" customHeight="1">
      <c r="A64" s="16"/>
      <c r="B64" s="41" t="s">
        <v>1101</v>
      </c>
      <c r="C64" s="6" t="str">
        <f>VLOOKUP(Compras[[#This Row],[Codigo]],Stock[#Data],2,FALSE)</f>
        <v>Canamama Aceite para Pies Cansados</v>
      </c>
      <c r="D64" s="40">
        <v>4</v>
      </c>
      <c r="E64" s="6">
        <v>788</v>
      </c>
      <c r="F64" s="12">
        <f>VLOOKUP(Compras[[#This Row],[Codigo]],Stock[#Data],3,FALSE)</f>
        <v>700</v>
      </c>
      <c r="G64" s="43">
        <f>Compras[[#This Row],[Unidad]]*Compras[[#This Row],[Cantidad]]</f>
        <v>2800</v>
      </c>
      <c r="H64" s="16"/>
      <c r="I64" s="16"/>
      <c r="J64" s="16"/>
      <c r="K64" s="16"/>
    </row>
    <row r="65" spans="1:11" ht="20.25" customHeight="1">
      <c r="A65" s="16"/>
      <c r="B65" s="41" t="s">
        <v>1101</v>
      </c>
      <c r="C65" s="6" t="str">
        <f>VLOOKUP(Compras[[#This Row],[Codigo]],Stock[#Data],2,FALSE)</f>
        <v>Canamama Aceite para Barba 30ml</v>
      </c>
      <c r="D65" s="40">
        <v>4</v>
      </c>
      <c r="E65" s="6">
        <v>787</v>
      </c>
      <c r="F65" s="12">
        <f>VLOOKUP(Compras[[#This Row],[Codigo]],Stock[#Data],3,FALSE)</f>
        <v>550</v>
      </c>
      <c r="G65" s="43">
        <f>Compras[[#This Row],[Unidad]]*Compras[[#This Row],[Cantidad]]</f>
        <v>2200</v>
      </c>
      <c r="H65" s="16"/>
      <c r="I65" s="16"/>
      <c r="J65" s="16"/>
      <c r="K65" s="16"/>
    </row>
    <row r="66" spans="1:11" ht="20.25" customHeight="1">
      <c r="A66" s="16"/>
      <c r="B66" s="41" t="s">
        <v>1101</v>
      </c>
      <c r="C66" s="6" t="str">
        <f>VLOOKUP(Compras[[#This Row],[Codigo]],Stock[#Data],2,FALSE)</f>
        <v>Canamama Crema de Guayaba y Cannabis 150ml</v>
      </c>
      <c r="D66" s="40">
        <v>2</v>
      </c>
      <c r="E66" s="6">
        <v>786</v>
      </c>
      <c r="F66" s="12">
        <f>VLOOKUP(Compras[[#This Row],[Codigo]],Stock[#Data],3,FALSE)</f>
        <v>600</v>
      </c>
      <c r="G66" s="43">
        <f>Compras[[#This Row],[Unidad]]*Compras[[#This Row],[Cantidad]]</f>
        <v>1200</v>
      </c>
      <c r="H66" s="16"/>
      <c r="I66" s="16"/>
      <c r="J66" s="16"/>
      <c r="K66" s="16"/>
    </row>
    <row r="67" spans="1:11" ht="20.25" customHeight="1">
      <c r="A67" s="16"/>
      <c r="B67" s="41" t="s">
        <v>1101</v>
      </c>
      <c r="C67" s="6" t="str">
        <f>VLOOKUP(Compras[[#This Row],[Codigo]],Stock[#Data],2,FALSE)</f>
        <v>Canamama Crema para Tatoo</v>
      </c>
      <c r="D67" s="40">
        <v>4</v>
      </c>
      <c r="E67" s="6">
        <v>785</v>
      </c>
      <c r="F67" s="12">
        <f>VLOOKUP(Compras[[#This Row],[Codigo]],Stock[#Data],3,FALSE)</f>
        <v>650</v>
      </c>
      <c r="G67" s="43">
        <f>Compras[[#This Row],[Unidad]]*Compras[[#This Row],[Cantidad]]</f>
        <v>2600</v>
      </c>
      <c r="H67" s="16"/>
      <c r="I67" s="16"/>
      <c r="J67" s="16"/>
      <c r="K67" s="16"/>
    </row>
    <row r="68" spans="1:11" ht="20.25" customHeight="1">
      <c r="A68" s="16"/>
      <c r="B68" s="41" t="s">
        <v>1101</v>
      </c>
      <c r="C68" s="6" t="str">
        <f>VLOOKUP(Compras[[#This Row],[Codigo]],Stock[#Data],2,FALSE)</f>
        <v>Canamama Crema Corporal</v>
      </c>
      <c r="D68" s="40">
        <v>1</v>
      </c>
      <c r="E68" s="6">
        <v>784</v>
      </c>
      <c r="F68" s="12">
        <f>VLOOKUP(Compras[[#This Row],[Codigo]],Stock[#Data],3,FALSE)</f>
        <v>650</v>
      </c>
      <c r="G68" s="43">
        <f>Compras[[#This Row],[Unidad]]*Compras[[#This Row],[Cantidad]]</f>
        <v>650</v>
      </c>
      <c r="H68" s="16"/>
      <c r="I68" s="16"/>
      <c r="J68" s="16"/>
      <c r="K68" s="16"/>
    </row>
    <row r="69" spans="1:11" ht="20.25" customHeight="1">
      <c r="A69" s="16"/>
      <c r="B69" s="41" t="s">
        <v>1101</v>
      </c>
      <c r="C69" s="6" t="str">
        <f>VLOOKUP(Compras[[#This Row],[Codigo]],Stock[#Data],2,FALSE)</f>
        <v>Canamama Gel Intimo 50ml</v>
      </c>
      <c r="D69" s="40">
        <v>1</v>
      </c>
      <c r="E69" s="6">
        <v>783</v>
      </c>
      <c r="F69" s="12">
        <f>VLOOKUP(Compras[[#This Row],[Codigo]],Stock[#Data],3,FALSE)</f>
        <v>500</v>
      </c>
      <c r="G69" s="43">
        <f>Compras[[#This Row],[Unidad]]*Compras[[#This Row],[Cantidad]]</f>
        <v>500</v>
      </c>
      <c r="H69" s="16"/>
      <c r="I69" s="16"/>
      <c r="J69" s="16"/>
      <c r="K69" s="16"/>
    </row>
    <row r="70" spans="1:11" ht="20.25" customHeight="1">
      <c r="A70" s="16"/>
      <c r="B70" s="41" t="s">
        <v>1101</v>
      </c>
      <c r="C70" s="6" t="str">
        <f>VLOOKUP(Compras[[#This Row],[Codigo]],Stock[#Data],2,FALSE)</f>
        <v>Canamama Roll on Anti Stress</v>
      </c>
      <c r="D70" s="40">
        <v>3</v>
      </c>
      <c r="E70" s="6">
        <v>782</v>
      </c>
      <c r="F70" s="12">
        <f>VLOOKUP(Compras[[#This Row],[Codigo]],Stock[#Data],3,FALSE)</f>
        <v>700</v>
      </c>
      <c r="G70" s="43">
        <f>Compras[[#This Row],[Unidad]]*Compras[[#This Row],[Cantidad]]</f>
        <v>2100</v>
      </c>
      <c r="H70" s="16"/>
      <c r="I70" s="16"/>
      <c r="J70" s="16"/>
      <c r="K70" s="16"/>
    </row>
    <row r="71" spans="1:11" ht="20.25" customHeight="1">
      <c r="A71" s="16"/>
      <c r="B71" s="41" t="s">
        <v>1101</v>
      </c>
      <c r="C71" s="6" t="str">
        <f>VLOOKUP(Compras[[#This Row],[Codigo]],Stock[#Data],2,FALSE)</f>
        <v>Habanos Principe</v>
      </c>
      <c r="D71" s="40">
        <v>2</v>
      </c>
      <c r="E71" s="6">
        <v>781</v>
      </c>
      <c r="F71" s="12">
        <f>VLOOKUP(Compras[[#This Row],[Codigo]],Stock[#Data],3,FALSE)</f>
        <v>200</v>
      </c>
      <c r="G71" s="43">
        <f>Compras[[#This Row],[Unidad]]*Compras[[#This Row],[Cantidad]]</f>
        <v>400</v>
      </c>
      <c r="H71" s="16"/>
      <c r="I71" s="16"/>
      <c r="J71" s="16"/>
      <c r="K71" s="16"/>
    </row>
    <row r="72" spans="1:11" ht="20.25" customHeight="1">
      <c r="A72" s="16"/>
      <c r="B72" s="41" t="s">
        <v>1101</v>
      </c>
      <c r="C72" s="6" t="str">
        <f>VLOOKUP(Compras[[#This Row],[Codigo]],Stock[#Data],2,FALSE)</f>
        <v>Habanos Cienfiegos</v>
      </c>
      <c r="D72" s="40">
        <v>4</v>
      </c>
      <c r="E72" s="6">
        <v>780</v>
      </c>
      <c r="F72" s="12">
        <f>VLOOKUP(Compras[[#This Row],[Codigo]],Stock[#Data],3,FALSE)</f>
        <v>200</v>
      </c>
      <c r="G72" s="43">
        <f>Compras[[#This Row],[Unidad]]*Compras[[#This Row],[Cantidad]]</f>
        <v>800</v>
      </c>
      <c r="H72" s="16"/>
      <c r="I72" s="16"/>
      <c r="J72" s="16"/>
      <c r="K72" s="16"/>
    </row>
    <row r="73" spans="1:11" ht="20.25" customHeight="1">
      <c r="A73" s="16"/>
      <c r="B73" s="41" t="s">
        <v>1101</v>
      </c>
      <c r="C73" s="6" t="str">
        <f>VLOOKUP(Compras[[#This Row],[Codigo]],Stock[#Data],2,FALSE)</f>
        <v>Tabaco Mazaya Mix</v>
      </c>
      <c r="D73" s="40">
        <v>2</v>
      </c>
      <c r="E73" s="6">
        <v>779</v>
      </c>
      <c r="F73" s="12">
        <f>VLOOKUP(Compras[[#This Row],[Codigo]],Stock[#Data],3,FALSE)</f>
        <v>400</v>
      </c>
      <c r="G73" s="43">
        <f>Compras[[#This Row],[Unidad]]*Compras[[#This Row],[Cantidad]]</f>
        <v>800</v>
      </c>
      <c r="H73" s="16"/>
      <c r="I73" s="16"/>
      <c r="J73" s="16"/>
      <c r="K73" s="16"/>
    </row>
    <row r="74" spans="1:11" ht="20.25" customHeight="1">
      <c r="A74" s="16"/>
      <c r="B74" s="41" t="s">
        <v>1101</v>
      </c>
      <c r="C74" s="6" t="str">
        <f>VLOOKUP(Compras[[#This Row],[Codigo]],Stock[#Data],2,FALSE)</f>
        <v>Tabaco para Narguile Zomo Limon</v>
      </c>
      <c r="D74" s="40">
        <v>5</v>
      </c>
      <c r="E74" s="6">
        <v>778</v>
      </c>
      <c r="F74" s="12">
        <f>VLOOKUP(Compras[[#This Row],[Codigo]],Stock[#Data],3,FALSE)</f>
        <v>400</v>
      </c>
      <c r="G74" s="43">
        <f>Compras[[#This Row],[Unidad]]*Compras[[#This Row],[Cantidad]]</f>
        <v>2000</v>
      </c>
      <c r="H74" s="16"/>
      <c r="I74" s="16"/>
      <c r="J74" s="16"/>
      <c r="K74" s="16"/>
    </row>
    <row r="75" spans="1:11" ht="20.25" customHeight="1">
      <c r="A75" s="16"/>
      <c r="B75" s="41" t="s">
        <v>1101</v>
      </c>
      <c r="C75" s="6" t="str">
        <f>VLOOKUP(Compras[[#This Row],[Codigo]],Stock[#Data],2,FALSE)</f>
        <v xml:space="preserve">Tabaco para Narguile Zomo Sandia </v>
      </c>
      <c r="D75" s="40">
        <v>2</v>
      </c>
      <c r="E75" s="6">
        <v>777</v>
      </c>
      <c r="F75" s="12">
        <f>VLOOKUP(Compras[[#This Row],[Codigo]],Stock[#Data],3,FALSE)</f>
        <v>400</v>
      </c>
      <c r="G75" s="43">
        <f>Compras[[#This Row],[Unidad]]*Compras[[#This Row],[Cantidad]]</f>
        <v>800</v>
      </c>
      <c r="H75" s="16"/>
      <c r="I75" s="16"/>
      <c r="J75" s="16"/>
      <c r="K75" s="16"/>
    </row>
    <row r="76" spans="1:11" ht="20.25" customHeight="1">
      <c r="A76" s="16"/>
      <c r="B76" s="41" t="s">
        <v>1101</v>
      </c>
      <c r="C76" s="6" t="str">
        <f>VLOOKUP(Compras[[#This Row],[Codigo]],Stock[#Data],2,FALSE)</f>
        <v>Tabaco Exotic Fruit Mango</v>
      </c>
      <c r="D76" s="40">
        <v>1</v>
      </c>
      <c r="E76" s="6">
        <v>775</v>
      </c>
      <c r="F76" s="12">
        <f>VLOOKUP(Compras[[#This Row],[Codigo]],Stock[#Data],3,FALSE)</f>
        <v>350</v>
      </c>
      <c r="G76" s="43">
        <f>Compras[[#This Row],[Unidad]]*Compras[[#This Row],[Cantidad]]</f>
        <v>350</v>
      </c>
      <c r="H76" s="16"/>
      <c r="I76" s="16"/>
      <c r="J76" s="16"/>
      <c r="K76" s="16"/>
    </row>
    <row r="77" spans="1:11" ht="20.25" customHeight="1">
      <c r="A77" s="16"/>
      <c r="B77" s="41" t="s">
        <v>1101</v>
      </c>
      <c r="C77" s="6" t="str">
        <f>VLOOKUP(Compras[[#This Row],[Codigo]],Stock[#Data],2,FALSE)</f>
        <v>Tabaco Exotic Fruit Ciruela</v>
      </c>
      <c r="D77" s="40">
        <v>1</v>
      </c>
      <c r="E77" s="6">
        <v>776</v>
      </c>
      <c r="F77" s="12">
        <f>VLOOKUP(Compras[[#This Row],[Codigo]],Stock[#Data],3,FALSE)</f>
        <v>350</v>
      </c>
      <c r="G77" s="43">
        <f>Compras[[#This Row],[Unidad]]*Compras[[#This Row],[Cantidad]]</f>
        <v>350</v>
      </c>
      <c r="H77" s="16"/>
      <c r="I77" s="16"/>
      <c r="J77" s="16"/>
      <c r="K77" s="16"/>
    </row>
    <row r="78" spans="1:11" ht="20.25" customHeight="1">
      <c r="A78" s="16"/>
      <c r="B78" s="41" t="s">
        <v>1101</v>
      </c>
      <c r="C78" s="6" t="str">
        <f>VLOOKUP(Compras[[#This Row],[Codigo]],Stock[#Data],2,FALSE)</f>
        <v>Tabaco Padilla Natural Virginia</v>
      </c>
      <c r="D78" s="40">
        <v>2</v>
      </c>
      <c r="E78" s="6">
        <v>774</v>
      </c>
      <c r="F78" s="12">
        <f>VLOOKUP(Compras[[#This Row],[Codigo]],Stock[#Data],3,FALSE)</f>
        <v>200</v>
      </c>
      <c r="G78" s="43">
        <f>Compras[[#This Row],[Unidad]]*Compras[[#This Row],[Cantidad]]</f>
        <v>400</v>
      </c>
      <c r="H78" s="16"/>
      <c r="I78" s="16"/>
      <c r="J78" s="16"/>
      <c r="K78" s="16"/>
    </row>
    <row r="79" spans="1:11" ht="20.25" customHeight="1">
      <c r="A79" s="16"/>
      <c r="B79" s="41" t="s">
        <v>1101</v>
      </c>
      <c r="C79" s="6" t="str">
        <f>VLOOKUP(Compras[[#This Row],[Codigo]],Stock[#Data],2,FALSE)</f>
        <v>Tabaco Cuatro Leguas Natural</v>
      </c>
      <c r="D79" s="40">
        <v>2</v>
      </c>
      <c r="E79" s="6">
        <v>773</v>
      </c>
      <c r="F79" s="12">
        <f>VLOOKUP(Compras[[#This Row],[Codigo]],Stock[#Data],3,FALSE)</f>
        <v>200</v>
      </c>
      <c r="G79" s="43">
        <f>Compras[[#This Row],[Unidad]]*Compras[[#This Row],[Cantidad]]</f>
        <v>400</v>
      </c>
      <c r="H79" s="16"/>
      <c r="I79" s="16"/>
      <c r="J79" s="16"/>
      <c r="K79" s="16"/>
    </row>
    <row r="80" spans="1:11" ht="20.25" customHeight="1">
      <c r="A80" s="16"/>
      <c r="B80" s="41" t="s">
        <v>1101</v>
      </c>
      <c r="C80" s="6" t="str">
        <f>VLOOKUP(Compras[[#This Row],[Codigo]],Stock[#Data],2,FALSE)</f>
        <v>Tabaco Red Field Virginia</v>
      </c>
      <c r="D80" s="40">
        <v>1</v>
      </c>
      <c r="E80" s="6">
        <v>771</v>
      </c>
      <c r="F80" s="12">
        <f>VLOOKUP(Compras[[#This Row],[Codigo]],Stock[#Data],3,FALSE)</f>
        <v>250</v>
      </c>
      <c r="G80" s="43">
        <f>Compras[[#This Row],[Unidad]]*Compras[[#This Row],[Cantidad]]</f>
        <v>250</v>
      </c>
      <c r="H80" s="16"/>
      <c r="I80" s="16"/>
      <c r="J80" s="16"/>
      <c r="K80" s="16"/>
    </row>
    <row r="81" spans="1:11" ht="20.25" customHeight="1">
      <c r="A81" s="16"/>
      <c r="B81" s="41" t="s">
        <v>1101</v>
      </c>
      <c r="C81" s="6" t="str">
        <f>VLOOKUP(Compras[[#This Row],[Codigo]],Stock[#Data],2,FALSE)</f>
        <v>Tabaco Red Field Vainilla</v>
      </c>
      <c r="D81" s="40">
        <v>1</v>
      </c>
      <c r="E81" s="6">
        <v>772</v>
      </c>
      <c r="F81" s="12">
        <f>VLOOKUP(Compras[[#This Row],[Codigo]],Stock[#Data],3,FALSE)</f>
        <v>250</v>
      </c>
      <c r="G81" s="43">
        <f>Compras[[#This Row],[Unidad]]*Compras[[#This Row],[Cantidad]]</f>
        <v>250</v>
      </c>
      <c r="H81" s="16"/>
      <c r="I81" s="16"/>
      <c r="J81" s="16"/>
      <c r="K81" s="16"/>
    </row>
    <row r="82" spans="1:11" ht="20.25" customHeight="1">
      <c r="A82" s="16"/>
      <c r="B82" s="41" t="s">
        <v>1101</v>
      </c>
      <c r="C82" s="6" t="str">
        <f>VLOOKUP(Compras[[#This Row],[Codigo]],Stock[#Data],2,FALSE)</f>
        <v>Tabaco Bringg para Pipa Vainilla</v>
      </c>
      <c r="D82" s="40">
        <v>3</v>
      </c>
      <c r="E82" s="6">
        <v>769</v>
      </c>
      <c r="F82" s="12">
        <f>VLOOKUP(Compras[[#This Row],[Codigo]],Stock[#Data],3,FALSE)</f>
        <v>750</v>
      </c>
      <c r="G82" s="43">
        <f>Compras[[#This Row],[Unidad]]*Compras[[#This Row],[Cantidad]]</f>
        <v>2250</v>
      </c>
      <c r="H82" s="16"/>
      <c r="I82" s="16"/>
      <c r="J82" s="16"/>
      <c r="K82" s="16"/>
    </row>
    <row r="83" spans="1:11" ht="20.25" customHeight="1">
      <c r="A83" s="16"/>
      <c r="B83" s="41" t="s">
        <v>1101</v>
      </c>
      <c r="C83" s="6" t="str">
        <f>VLOOKUP(Compras[[#This Row],[Codigo]],Stock[#Data],2,FALSE)</f>
        <v>Tabaco Bringg para Pipa Regular</v>
      </c>
      <c r="D83" s="40">
        <v>3</v>
      </c>
      <c r="E83" s="6">
        <v>770</v>
      </c>
      <c r="F83" s="12">
        <f>VLOOKUP(Compras[[#This Row],[Codigo]],Stock[#Data],3,FALSE)</f>
        <v>750</v>
      </c>
      <c r="G83" s="43">
        <f>Compras[[#This Row],[Unidad]]*Compras[[#This Row],[Cantidad]]</f>
        <v>2250</v>
      </c>
      <c r="H83" s="16"/>
      <c r="I83" s="16"/>
      <c r="J83" s="16"/>
      <c r="K83" s="16"/>
    </row>
    <row r="84" spans="1:11" ht="20.25" customHeight="1">
      <c r="A84" s="16"/>
      <c r="B84" s="41" t="s">
        <v>1101</v>
      </c>
      <c r="C84" s="6" t="str">
        <f>VLOOKUP(Compras[[#This Row],[Codigo]],Stock[#Data],2,FALSE)</f>
        <v>Tabaco Achalay Virginia</v>
      </c>
      <c r="D84" s="40">
        <v>4</v>
      </c>
      <c r="E84" s="6">
        <v>768</v>
      </c>
      <c r="F84" s="12">
        <f>VLOOKUP(Compras[[#This Row],[Codigo]],Stock[#Data],3,FALSE)</f>
        <v>170</v>
      </c>
      <c r="G84" s="43">
        <f>Compras[[#This Row],[Unidad]]*Compras[[#This Row],[Cantidad]]</f>
        <v>680</v>
      </c>
      <c r="H84" s="16"/>
      <c r="I84" s="16"/>
      <c r="J84" s="16"/>
      <c r="K84" s="16"/>
    </row>
    <row r="85" spans="1:11" ht="20.25" customHeight="1">
      <c r="A85" s="16"/>
      <c r="B85" s="41" t="s">
        <v>1101</v>
      </c>
      <c r="C85" s="6" t="str">
        <f>VLOOKUP(Compras[[#This Row],[Codigo]],Stock[#Data],2,FALSE)</f>
        <v>Tabaco Achalay Menta</v>
      </c>
      <c r="D85" s="40">
        <v>3</v>
      </c>
      <c r="E85" s="6">
        <v>767</v>
      </c>
      <c r="F85" s="12">
        <f>VLOOKUP(Compras[[#This Row],[Codigo]],Stock[#Data],3,FALSE)</f>
        <v>170</v>
      </c>
      <c r="G85" s="43">
        <f>Compras[[#This Row],[Unidad]]*Compras[[#This Row],[Cantidad]]</f>
        <v>510</v>
      </c>
      <c r="H85" s="16"/>
      <c r="I85" s="16"/>
      <c r="J85" s="16"/>
      <c r="K85" s="16"/>
    </row>
    <row r="86" spans="1:11" ht="20.25" customHeight="1">
      <c r="A86" s="16"/>
      <c r="B86" s="41" t="s">
        <v>1101</v>
      </c>
      <c r="C86" s="6" t="str">
        <f>VLOOKUP(Compras[[#This Row],[Codigo]],Stock[#Data],2,FALSE)</f>
        <v>Tabaco Saints Natural</v>
      </c>
      <c r="D86" s="40">
        <v>4</v>
      </c>
      <c r="E86" s="6">
        <v>766</v>
      </c>
      <c r="F86" s="12">
        <f>VLOOKUP(Compras[[#This Row],[Codigo]],Stock[#Data],3,FALSE)</f>
        <v>420</v>
      </c>
      <c r="G86" s="43">
        <f>Compras[[#This Row],[Unidad]]*Compras[[#This Row],[Cantidad]]</f>
        <v>1680</v>
      </c>
      <c r="H86" s="16"/>
      <c r="I86" s="16"/>
      <c r="J86" s="16"/>
      <c r="K86" s="16"/>
    </row>
    <row r="87" spans="1:11" ht="20.25" customHeight="1">
      <c r="A87" s="16"/>
      <c r="B87" s="41" t="s">
        <v>1101</v>
      </c>
      <c r="C87" s="6" t="str">
        <f>VLOOKUP(Compras[[#This Row],[Codigo]],Stock[#Data],2,FALSE)</f>
        <v>Tabaco Manitou Natural</v>
      </c>
      <c r="D87" s="40">
        <v>6</v>
      </c>
      <c r="E87" s="6">
        <v>765</v>
      </c>
      <c r="F87" s="12">
        <f>VLOOKUP(Compras[[#This Row],[Codigo]],Stock[#Data],3,FALSE)</f>
        <v>400</v>
      </c>
      <c r="G87" s="43">
        <f>Compras[[#This Row],[Unidad]]*Compras[[#This Row],[Cantidad]]</f>
        <v>2400</v>
      </c>
      <c r="H87" s="16"/>
      <c r="I87" s="16"/>
      <c r="J87" s="16"/>
      <c r="K87" s="16"/>
    </row>
    <row r="88" spans="1:11" ht="20.25" customHeight="1">
      <c r="A88" s="16"/>
      <c r="B88" s="41" t="s">
        <v>1101</v>
      </c>
      <c r="C88" s="6" t="str">
        <f>VLOOKUP(Compras[[#This Row],[Codigo]],Stock[#Data],2,FALSE)</f>
        <v>Tabaco Cerrito Chocolate</v>
      </c>
      <c r="D88" s="40">
        <v>9</v>
      </c>
      <c r="E88" s="6">
        <v>764</v>
      </c>
      <c r="F88" s="12">
        <f>VLOOKUP(Compras[[#This Row],[Codigo]],Stock[#Data],3,FALSE)</f>
        <v>450</v>
      </c>
      <c r="G88" s="43">
        <f>Compras[[#This Row],[Unidad]]*Compras[[#This Row],[Cantidad]]</f>
        <v>4050</v>
      </c>
      <c r="H88" s="16"/>
      <c r="I88" s="16"/>
      <c r="J88" s="16"/>
      <c r="K88" s="16"/>
    </row>
    <row r="89" spans="1:11" ht="20.25" customHeight="1">
      <c r="A89" s="16"/>
      <c r="B89" s="41" t="s">
        <v>1101</v>
      </c>
      <c r="C89" s="6" t="str">
        <f>VLOOKUP(Compras[[#This Row],[Codigo]],Stock[#Data],2,FALSE)</f>
        <v>Tabaco para Pipa Argento Nougat</v>
      </c>
      <c r="D89" s="40">
        <v>2</v>
      </c>
      <c r="E89" s="6">
        <v>763</v>
      </c>
      <c r="F89" s="12">
        <f>VLOOKUP(Compras[[#This Row],[Codigo]],Stock[#Data],3,FALSE)</f>
        <v>550</v>
      </c>
      <c r="G89" s="43">
        <f>Compras[[#This Row],[Unidad]]*Compras[[#This Row],[Cantidad]]</f>
        <v>1100</v>
      </c>
      <c r="H89" s="16"/>
      <c r="I89" s="16"/>
      <c r="J89" s="16"/>
      <c r="K89" s="16"/>
    </row>
    <row r="90" spans="1:11" ht="20.25" customHeight="1">
      <c r="A90" s="16"/>
      <c r="B90" s="41" t="s">
        <v>1101</v>
      </c>
      <c r="C90" s="6" t="str">
        <f>VLOOKUP(Compras[[#This Row],[Codigo]],Stock[#Data],2,FALSE)</f>
        <v xml:space="preserve">Tabaco para Pipa Argento Whisky y Chocolate </v>
      </c>
      <c r="D90" s="40">
        <v>3</v>
      </c>
      <c r="E90" s="6">
        <v>762</v>
      </c>
      <c r="F90" s="12">
        <f>VLOOKUP(Compras[[#This Row],[Codigo]],Stock[#Data],3,FALSE)</f>
        <v>550</v>
      </c>
      <c r="G90" s="43">
        <f>Compras[[#This Row],[Unidad]]*Compras[[#This Row],[Cantidad]]</f>
        <v>1650</v>
      </c>
      <c r="H90" s="16"/>
      <c r="I90" s="16"/>
      <c r="J90" s="16"/>
      <c r="K90" s="16"/>
    </row>
    <row r="91" spans="1:11" ht="20.25" customHeight="1">
      <c r="A91" s="16"/>
      <c r="B91" s="41" t="s">
        <v>1101</v>
      </c>
      <c r="C91" s="6" t="str">
        <f>VLOOKUP(Compras[[#This Row],[Codigo]],Stock[#Data],2,FALSE)</f>
        <v>Tabaco para Pipa Argento Duo</v>
      </c>
      <c r="D91" s="40">
        <v>2</v>
      </c>
      <c r="E91" s="6">
        <v>761</v>
      </c>
      <c r="F91" s="12">
        <f>VLOOKUP(Compras[[#This Row],[Codigo]],Stock[#Data],3,FALSE)</f>
        <v>550</v>
      </c>
      <c r="G91" s="43">
        <f>Compras[[#This Row],[Unidad]]*Compras[[#This Row],[Cantidad]]</f>
        <v>1100</v>
      </c>
      <c r="H91" s="16"/>
      <c r="I91" s="16"/>
      <c r="J91" s="16"/>
      <c r="K91" s="16"/>
    </row>
    <row r="92" spans="1:11" ht="20.25" customHeight="1">
      <c r="A92" s="16"/>
      <c r="B92" s="41" t="s">
        <v>1101</v>
      </c>
      <c r="C92" s="6" t="str">
        <f>VLOOKUP(Compras[[#This Row],[Codigo]],Stock[#Data],2,FALSE)</f>
        <v>Tabaco para Pipa Argento Negro</v>
      </c>
      <c r="D92" s="40">
        <v>4</v>
      </c>
      <c r="E92" s="6">
        <v>760</v>
      </c>
      <c r="F92" s="12">
        <f>VLOOKUP(Compras[[#This Row],[Codigo]],Stock[#Data],3,FALSE)</f>
        <v>550</v>
      </c>
      <c r="G92" s="43">
        <f>Compras[[#This Row],[Unidad]]*Compras[[#This Row],[Cantidad]]</f>
        <v>2200</v>
      </c>
      <c r="H92" s="16"/>
      <c r="I92" s="16"/>
      <c r="J92" s="16"/>
      <c r="K92" s="16"/>
    </row>
    <row r="93" spans="1:11" ht="20.25" customHeight="1">
      <c r="A93" s="16"/>
      <c r="B93" s="41" t="s">
        <v>1101</v>
      </c>
      <c r="C93" s="6" t="str">
        <f>VLOOKUP(Compras[[#This Row],[Codigo]],Stock[#Data],2,FALSE)</f>
        <v>Tabaco Argento Natural</v>
      </c>
      <c r="D93" s="40">
        <v>3</v>
      </c>
      <c r="E93" s="6">
        <v>757</v>
      </c>
      <c r="F93" s="12">
        <f>VLOOKUP(Compras[[#This Row],[Codigo]],Stock[#Data],3,FALSE)</f>
        <v>425</v>
      </c>
      <c r="G93" s="43">
        <f>Compras[[#This Row],[Unidad]]*Compras[[#This Row],[Cantidad]]</f>
        <v>1275</v>
      </c>
      <c r="H93" s="16"/>
      <c r="I93" s="16"/>
      <c r="J93" s="16"/>
      <c r="K93" s="16"/>
    </row>
    <row r="94" spans="1:11" ht="20.25" customHeight="1">
      <c r="A94" s="16"/>
      <c r="B94" s="41" t="s">
        <v>1101</v>
      </c>
      <c r="C94" s="6" t="str">
        <f>VLOOKUP(Compras[[#This Row],[Codigo]],Stock[#Data],2,FALSE)</f>
        <v>Tabaco para Pipa Argento Natural</v>
      </c>
      <c r="D94" s="40">
        <v>3</v>
      </c>
      <c r="E94" s="6">
        <v>759</v>
      </c>
      <c r="F94" s="12">
        <f>VLOOKUP(Compras[[#This Row],[Codigo]],Stock[#Data],3,FALSE)</f>
        <v>550</v>
      </c>
      <c r="G94" s="43">
        <f>Compras[[#This Row],[Unidad]]*Compras[[#This Row],[Cantidad]]</f>
        <v>1650</v>
      </c>
      <c r="H94" s="16"/>
      <c r="I94" s="16"/>
      <c r="J94" s="16"/>
      <c r="K94" s="16"/>
    </row>
    <row r="95" spans="1:11" ht="20.25" customHeight="1">
      <c r="A95" s="16"/>
      <c r="B95" s="41" t="s">
        <v>1101</v>
      </c>
      <c r="C95" s="6" t="str">
        <f>VLOOKUP(Compras[[#This Row],[Codigo]],Stock[#Data],2,FALSE)</f>
        <v>Tabaco Argento Vainilla</v>
      </c>
      <c r="D95" s="40">
        <v>6</v>
      </c>
      <c r="E95" s="6">
        <v>758</v>
      </c>
      <c r="F95" s="12">
        <f>VLOOKUP(Compras[[#This Row],[Codigo]],Stock[#Data],3,FALSE)</f>
        <v>425</v>
      </c>
      <c r="G95" s="43">
        <f>Compras[[#This Row],[Unidad]]*Compras[[#This Row],[Cantidad]]</f>
        <v>2550</v>
      </c>
      <c r="H95" s="16"/>
      <c r="I95" s="16"/>
      <c r="J95" s="16"/>
      <c r="K95" s="16"/>
    </row>
    <row r="96" spans="1:11" ht="20.25" customHeight="1">
      <c r="A96" s="16"/>
      <c r="B96" s="41" t="s">
        <v>1101</v>
      </c>
      <c r="C96" s="6" t="str">
        <f>VLOOKUP(Compras[[#This Row],[Codigo]],Stock[#Data],2,FALSE)</f>
        <v>Tabaco Argento Chocolate</v>
      </c>
      <c r="D96" s="40">
        <v>6</v>
      </c>
      <c r="E96" s="6">
        <v>756</v>
      </c>
      <c r="F96" s="12">
        <f>VLOOKUP(Compras[[#This Row],[Codigo]],Stock[#Data],3,FALSE)</f>
        <v>425</v>
      </c>
      <c r="G96" s="43">
        <f>Compras[[#This Row],[Unidad]]*Compras[[#This Row],[Cantidad]]</f>
        <v>2550</v>
      </c>
      <c r="H96" s="16"/>
      <c r="I96" s="16"/>
      <c r="J96" s="16"/>
      <c r="K96" s="16"/>
    </row>
    <row r="97" spans="1:11" ht="20.25" customHeight="1">
      <c r="A97" s="16"/>
      <c r="B97" s="41" t="s">
        <v>1101</v>
      </c>
      <c r="C97" s="6" t="str">
        <f>VLOOKUP(Compras[[#This Row],[Codigo]],Stock[#Data],2,FALSE)</f>
        <v>Tabaco Moro Vainilla</v>
      </c>
      <c r="D97" s="40">
        <v>8</v>
      </c>
      <c r="E97" s="6">
        <v>755</v>
      </c>
      <c r="F97" s="12">
        <f>VLOOKUP(Compras[[#This Row],[Codigo]],Stock[#Data],3,FALSE)</f>
        <v>425</v>
      </c>
      <c r="G97" s="43">
        <f>Compras[[#This Row],[Unidad]]*Compras[[#This Row],[Cantidad]]</f>
        <v>3400</v>
      </c>
      <c r="H97" s="16"/>
      <c r="I97" s="16"/>
      <c r="J97" s="16"/>
      <c r="K97" s="16"/>
    </row>
    <row r="98" spans="1:11" ht="20.25" customHeight="1">
      <c r="A98" s="16"/>
      <c r="B98" s="41" t="s">
        <v>1101</v>
      </c>
      <c r="C98" s="6" t="str">
        <f>VLOOKUP(Compras[[#This Row],[Codigo]],Stock[#Data],2,FALSE)</f>
        <v>Tabaco Moro Virginia Blend</v>
      </c>
      <c r="D98" s="40">
        <v>3</v>
      </c>
      <c r="E98" s="6">
        <v>754</v>
      </c>
      <c r="F98" s="12">
        <f>VLOOKUP(Compras[[#This Row],[Codigo]],Stock[#Data],3,FALSE)</f>
        <v>425</v>
      </c>
      <c r="G98" s="43">
        <f>Compras[[#This Row],[Unidad]]*Compras[[#This Row],[Cantidad]]</f>
        <v>1275</v>
      </c>
      <c r="H98" s="16"/>
      <c r="I98" s="16"/>
      <c r="J98" s="16"/>
      <c r="K98" s="16"/>
    </row>
    <row r="99" spans="1:11" ht="20.25" customHeight="1">
      <c r="A99" s="16"/>
      <c r="B99" s="41" t="s">
        <v>1101</v>
      </c>
      <c r="C99" s="6" t="str">
        <f>VLOOKUP(Compras[[#This Row],[Codigo]],Stock[#Data],2,FALSE)</f>
        <v>Tabaco Moro Dark Blend</v>
      </c>
      <c r="D99" s="40">
        <v>2</v>
      </c>
      <c r="E99" s="6">
        <v>753</v>
      </c>
      <c r="F99" s="12">
        <f>VLOOKUP(Compras[[#This Row],[Codigo]],Stock[#Data],3,FALSE)</f>
        <v>425</v>
      </c>
      <c r="G99" s="43">
        <f>Compras[[#This Row],[Unidad]]*Compras[[#This Row],[Cantidad]]</f>
        <v>850</v>
      </c>
      <c r="H99" s="16"/>
      <c r="I99" s="16"/>
      <c r="J99" s="16"/>
      <c r="K99" s="16"/>
    </row>
    <row r="100" spans="1:11" ht="20.25" customHeight="1">
      <c r="A100" s="16"/>
      <c r="B100" s="41" t="s">
        <v>1101</v>
      </c>
      <c r="C100" s="6" t="str">
        <f>VLOOKUP(Compras[[#This Row],[Codigo]],Stock[#Data],2,FALSE)</f>
        <v>Tabaco Moro Mango</v>
      </c>
      <c r="D100" s="40">
        <v>6</v>
      </c>
      <c r="E100" s="6">
        <v>366</v>
      </c>
      <c r="F100" s="12">
        <f>VLOOKUP(Compras[[#This Row],[Codigo]],Stock[#Data],3,FALSE)</f>
        <v>525</v>
      </c>
      <c r="G100" s="43">
        <f>Compras[[#This Row],[Unidad]]*Compras[[#This Row],[Cantidad]]</f>
        <v>3150</v>
      </c>
      <c r="H100" s="16"/>
      <c r="I100" s="16"/>
      <c r="J100" s="16"/>
      <c r="K100" s="16"/>
    </row>
    <row r="101" spans="1:11" ht="20.25" customHeight="1">
      <c r="A101" s="16"/>
      <c r="B101" s="41" t="s">
        <v>1101</v>
      </c>
      <c r="C101" s="6" t="str">
        <f>VLOOKUP(Compras[[#This Row],[Codigo]],Stock[#Data],2,FALSE)</f>
        <v xml:space="preserve">Tabaco Las Hojas Natural </v>
      </c>
      <c r="D101" s="40">
        <v>8</v>
      </c>
      <c r="E101" s="6">
        <v>748</v>
      </c>
      <c r="F101" s="12">
        <f>VLOOKUP(Compras[[#This Row],[Codigo]],Stock[#Data],3,FALSE)</f>
        <v>350</v>
      </c>
      <c r="G101" s="43">
        <f>Compras[[#This Row],[Unidad]]*Compras[[#This Row],[Cantidad]]</f>
        <v>2800</v>
      </c>
      <c r="H101" s="16"/>
      <c r="I101" s="16"/>
      <c r="J101" s="16"/>
      <c r="K101" s="16"/>
    </row>
    <row r="102" spans="1:11" ht="20.25" customHeight="1">
      <c r="A102" s="16"/>
      <c r="B102" s="41" t="s">
        <v>1101</v>
      </c>
      <c r="C102" s="6" t="str">
        <f>VLOOKUP(Compras[[#This Row],[Codigo]],Stock[#Data],2,FALSE)</f>
        <v xml:space="preserve">Tabaco Las Hojas Vainilla </v>
      </c>
      <c r="D102" s="40">
        <v>2</v>
      </c>
      <c r="E102" s="6">
        <v>750</v>
      </c>
      <c r="F102" s="12">
        <f>VLOOKUP(Compras[[#This Row],[Codigo]],Stock[#Data],3,FALSE)</f>
        <v>350</v>
      </c>
      <c r="G102" s="43">
        <f>Compras[[#This Row],[Unidad]]*Compras[[#This Row],[Cantidad]]</f>
        <v>700</v>
      </c>
      <c r="H102" s="16"/>
      <c r="I102" s="16"/>
      <c r="J102" s="16"/>
      <c r="K102" s="16"/>
    </row>
    <row r="103" spans="1:11" ht="20.25" customHeight="1">
      <c r="A103" s="16"/>
      <c r="B103" s="41" t="s">
        <v>1101</v>
      </c>
      <c r="C103" s="6" t="str">
        <f>VLOOKUP(Compras[[#This Row],[Codigo]],Stock[#Data],2,FALSE)</f>
        <v>Tabaco Las Hojas Uva</v>
      </c>
      <c r="D103" s="40">
        <v>6</v>
      </c>
      <c r="E103" s="6">
        <v>751</v>
      </c>
      <c r="F103" s="12">
        <f>VLOOKUP(Compras[[#This Row],[Codigo]],Stock[#Data],3,FALSE)</f>
        <v>350</v>
      </c>
      <c r="G103" s="43">
        <f>Compras[[#This Row],[Unidad]]*Compras[[#This Row],[Cantidad]]</f>
        <v>2100</v>
      </c>
      <c r="H103" s="16"/>
      <c r="I103" s="16"/>
      <c r="J103" s="16"/>
      <c r="K103" s="16"/>
    </row>
    <row r="104" spans="1:11" ht="20.25" customHeight="1">
      <c r="A104" s="16"/>
      <c r="B104" s="41" t="s">
        <v>1101</v>
      </c>
      <c r="C104" s="6" t="str">
        <f>VLOOKUP(Compras[[#This Row],[Codigo]],Stock[#Data],2,FALSE)</f>
        <v>Tabaco Las Hojas Chocolate</v>
      </c>
      <c r="D104" s="40">
        <v>5</v>
      </c>
      <c r="E104" s="6">
        <v>749</v>
      </c>
      <c r="F104" s="12">
        <f>VLOOKUP(Compras[[#This Row],[Codigo]],Stock[#Data],3,FALSE)</f>
        <v>350</v>
      </c>
      <c r="G104" s="43">
        <f>Compras[[#This Row],[Unidad]]*Compras[[#This Row],[Cantidad]]</f>
        <v>1750</v>
      </c>
      <c r="H104" s="16"/>
      <c r="I104" s="16"/>
      <c r="J104" s="16"/>
      <c r="K104" s="16"/>
    </row>
    <row r="105" spans="1:11" ht="20.25" customHeight="1">
      <c r="A105" s="16"/>
      <c r="B105" s="41" t="s">
        <v>1101</v>
      </c>
      <c r="C105" s="6" t="str">
        <f>VLOOKUP(Compras[[#This Row],[Codigo]],Stock[#Data],2,FALSE)</f>
        <v>Melaza de Caña 250ml Terra Viva</v>
      </c>
      <c r="D105" s="40">
        <v>4</v>
      </c>
      <c r="E105" s="6">
        <v>747</v>
      </c>
      <c r="F105" s="12">
        <f>VLOOKUP(Compras[[#This Row],[Codigo]],Stock[#Data],3,FALSE)</f>
        <v>400</v>
      </c>
      <c r="G105" s="43">
        <f>Compras[[#This Row],[Unidad]]*Compras[[#This Row],[Cantidad]]</f>
        <v>1600</v>
      </c>
      <c r="H105" s="16"/>
      <c r="I105" s="16"/>
      <c r="J105" s="16"/>
      <c r="K105" s="16"/>
    </row>
    <row r="106" spans="1:11" ht="20.25" customHeight="1">
      <c r="A106" s="16"/>
      <c r="B106" s="41" t="s">
        <v>1101</v>
      </c>
      <c r="C106" s="6" t="str">
        <f>VLOOKUP(Compras[[#This Row],[Codigo]],Stock[#Data],2,FALSE)</f>
        <v>Revienta Esquejes 50cc</v>
      </c>
      <c r="D106" s="40">
        <v>4</v>
      </c>
      <c r="E106" s="6">
        <v>494</v>
      </c>
      <c r="F106" s="12">
        <f>VLOOKUP(Compras[[#This Row],[Codigo]],Stock[#Data],3,FALSE)</f>
        <v>1660</v>
      </c>
      <c r="G106" s="43">
        <f>Compras[[#This Row],[Unidad]]*Compras[[#This Row],[Cantidad]]</f>
        <v>6640</v>
      </c>
      <c r="H106" s="16"/>
      <c r="I106" s="16"/>
      <c r="J106" s="16"/>
      <c r="K106" s="16"/>
    </row>
    <row r="107" spans="1:11" ht="20.25" customHeight="1">
      <c r="A107" s="16"/>
      <c r="B107" s="41" t="s">
        <v>1101</v>
      </c>
      <c r="C107" s="6" t="str">
        <f>VLOOKUP(Compras[[#This Row],[Codigo]],Stock[#Data],2,FALSE)</f>
        <v>Revienta Plagas 100cc</v>
      </c>
      <c r="D107" s="40">
        <v>3</v>
      </c>
      <c r="E107" s="6">
        <v>746</v>
      </c>
      <c r="F107" s="12">
        <f>VLOOKUP(Compras[[#This Row],[Codigo]],Stock[#Data],3,FALSE)</f>
        <v>240</v>
      </c>
      <c r="G107" s="43">
        <f>Compras[[#This Row],[Unidad]]*Compras[[#This Row],[Cantidad]]</f>
        <v>720</v>
      </c>
      <c r="H107" s="16"/>
      <c r="I107" s="16"/>
      <c r="J107" s="16"/>
      <c r="K107" s="16"/>
    </row>
    <row r="108" spans="1:11" ht="20.25" customHeight="1">
      <c r="A108" s="16"/>
      <c r="B108" s="41" t="s">
        <v>1101</v>
      </c>
      <c r="C108" s="6" t="str">
        <f>VLOOKUP(Compras[[#This Row],[Codigo]],Stock[#Data],2,FALSE)</f>
        <v>Ph+ 250ml Magic Hidro</v>
      </c>
      <c r="D108" s="40">
        <v>1</v>
      </c>
      <c r="E108" s="6">
        <v>745</v>
      </c>
      <c r="F108" s="12">
        <f>VLOOKUP(Compras[[#This Row],[Codigo]],Stock[#Data],3,FALSE)</f>
        <v>250</v>
      </c>
      <c r="G108" s="43">
        <f>Compras[[#This Row],[Unidad]]*Compras[[#This Row],[Cantidad]]</f>
        <v>250</v>
      </c>
      <c r="H108" s="16"/>
      <c r="I108" s="16"/>
      <c r="J108" s="16"/>
      <c r="K108" s="16"/>
    </row>
    <row r="109" spans="1:11" ht="20.25" customHeight="1">
      <c r="A109" s="16"/>
      <c r="B109" s="41" t="s">
        <v>1101</v>
      </c>
      <c r="C109" s="6" t="str">
        <f>VLOOKUP(Compras[[#This Row],[Codigo]],Stock[#Data],2,FALSE)</f>
        <v>Raiz 250ml Magic Hidro</v>
      </c>
      <c r="D109" s="40">
        <v>3</v>
      </c>
      <c r="E109" s="6">
        <v>744</v>
      </c>
      <c r="F109" s="12">
        <f>VLOOKUP(Compras[[#This Row],[Codigo]],Stock[#Data],3,FALSE)</f>
        <v>1900</v>
      </c>
      <c r="G109" s="43">
        <f>Compras[[#This Row],[Unidad]]*Compras[[#This Row],[Cantidad]]</f>
        <v>5700</v>
      </c>
      <c r="H109" s="16"/>
      <c r="I109" s="16"/>
      <c r="J109" s="16"/>
      <c r="K109" s="16"/>
    </row>
    <row r="110" spans="1:11" ht="20.25" customHeight="1">
      <c r="A110" s="16"/>
      <c r="B110" s="41" t="s">
        <v>1101</v>
      </c>
      <c r="C110" s="6" t="str">
        <f>VLOOKUP(Compras[[#This Row],[Codigo]],Stock[#Data],2,FALSE)</f>
        <v>Macro 250ml Magic Hidro</v>
      </c>
      <c r="D110" s="40">
        <v>3</v>
      </c>
      <c r="E110" s="6">
        <v>742</v>
      </c>
      <c r="F110" s="12">
        <f>VLOOKUP(Compras[[#This Row],[Codigo]],Stock[#Data],3,FALSE)</f>
        <v>1900</v>
      </c>
      <c r="G110" s="43">
        <f>Compras[[#This Row],[Unidad]]*Compras[[#This Row],[Cantidad]]</f>
        <v>5700</v>
      </c>
      <c r="H110" s="16"/>
      <c r="I110" s="16"/>
      <c r="J110" s="16"/>
      <c r="K110" s="16"/>
    </row>
    <row r="111" spans="1:11" ht="20.25" customHeight="1">
      <c r="A111" s="16"/>
      <c r="B111" s="41" t="s">
        <v>1101</v>
      </c>
      <c r="C111" s="6" t="str">
        <f>VLOOKUP(Compras[[#This Row],[Codigo]],Stock[#Data],2,FALSE)</f>
        <v>Micro 250ml Magic Hidro</v>
      </c>
      <c r="D111" s="40">
        <v>3</v>
      </c>
      <c r="E111" s="6">
        <v>741</v>
      </c>
      <c r="F111" s="12">
        <f>VLOOKUP(Compras[[#This Row],[Codigo]],Stock[#Data],3,FALSE)</f>
        <v>1900</v>
      </c>
      <c r="G111" s="43">
        <f>Compras[[#This Row],[Unidad]]*Compras[[#This Row],[Cantidad]]</f>
        <v>5700</v>
      </c>
      <c r="H111" s="16"/>
      <c r="I111" s="16"/>
      <c r="J111" s="16"/>
      <c r="K111" s="16"/>
    </row>
    <row r="112" spans="1:11" ht="20.25" customHeight="1">
      <c r="A112" s="16"/>
      <c r="B112" s="41" t="s">
        <v>1101</v>
      </c>
      <c r="C112" s="6" t="str">
        <f>VLOOKUP(Compras[[#This Row],[Codigo]],Stock[#Data],2,FALSE)</f>
        <v>Flora 250ml Magic Hidro</v>
      </c>
      <c r="D112" s="40">
        <v>3</v>
      </c>
      <c r="E112" s="6">
        <v>743</v>
      </c>
      <c r="F112" s="12">
        <f>VLOOKUP(Compras[[#This Row],[Codigo]],Stock[#Data],3,FALSE)</f>
        <v>1900</v>
      </c>
      <c r="G112" s="43">
        <f>Compras[[#This Row],[Unidad]]*Compras[[#This Row],[Cantidad]]</f>
        <v>5700</v>
      </c>
      <c r="H112" s="16"/>
      <c r="I112" s="16"/>
      <c r="J112" s="16"/>
      <c r="K112" s="16"/>
    </row>
    <row r="113" spans="1:11" ht="20.25" customHeight="1">
      <c r="A113" s="16"/>
      <c r="B113" s="41" t="s">
        <v>1101</v>
      </c>
      <c r="C113" s="6" t="str">
        <f>VLOOKUP(Compras[[#This Row],[Codigo]],Stock[#Data],2,FALSE)</f>
        <v>Flora 1l Magic Hidro</v>
      </c>
      <c r="D113" s="40">
        <v>1</v>
      </c>
      <c r="E113" s="6">
        <v>739</v>
      </c>
      <c r="F113" s="12">
        <f>VLOOKUP(Compras[[#This Row],[Codigo]],Stock[#Data],3,FALSE)</f>
        <v>2300</v>
      </c>
      <c r="G113" s="43">
        <f>Compras[[#This Row],[Unidad]]*Compras[[#This Row],[Cantidad]]</f>
        <v>2300</v>
      </c>
      <c r="H113" s="16"/>
      <c r="I113" s="16"/>
      <c r="J113" s="16"/>
      <c r="K113" s="16"/>
    </row>
    <row r="114" spans="1:11" ht="20.25" customHeight="1">
      <c r="A114" s="16"/>
      <c r="B114" s="41" t="s">
        <v>1101</v>
      </c>
      <c r="C114" s="6" t="str">
        <f>VLOOKUP(Compras[[#This Row],[Codigo]],Stock[#Data],2,FALSE)</f>
        <v>Macro 1l Magic Hidro</v>
      </c>
      <c r="D114" s="40">
        <v>1</v>
      </c>
      <c r="E114" s="6">
        <v>740</v>
      </c>
      <c r="F114" s="12">
        <f>VLOOKUP(Compras[[#This Row],[Codigo]],Stock[#Data],3,FALSE)</f>
        <v>2300</v>
      </c>
      <c r="G114" s="43">
        <f>Compras[[#This Row],[Unidad]]*Compras[[#This Row],[Cantidad]]</f>
        <v>2300</v>
      </c>
      <c r="H114" s="16"/>
      <c r="I114" s="16"/>
      <c r="J114" s="16"/>
      <c r="K114" s="16"/>
    </row>
    <row r="115" spans="1:11" ht="20.25" customHeight="1">
      <c r="A115" s="16"/>
      <c r="B115" s="41" t="s">
        <v>1101</v>
      </c>
      <c r="C115" s="6" t="str">
        <f>VLOOKUP(Compras[[#This Row],[Codigo]],Stock[#Data],2,FALSE)</f>
        <v>Micro 1l Magic Hidro</v>
      </c>
      <c r="D115" s="40">
        <v>1</v>
      </c>
      <c r="E115" s="6">
        <v>738</v>
      </c>
      <c r="F115" s="12">
        <f>VLOOKUP(Compras[[#This Row],[Codigo]],Stock[#Data],3,FALSE)</f>
        <v>2300</v>
      </c>
      <c r="G115" s="43">
        <f>Compras[[#This Row],[Unidad]]*Compras[[#This Row],[Cantidad]]</f>
        <v>2300</v>
      </c>
      <c r="H115" s="16"/>
      <c r="I115" s="16"/>
      <c r="J115" s="16"/>
      <c r="K115" s="16"/>
    </row>
    <row r="116" spans="1:11" ht="20.25" customHeight="1">
      <c r="A116" s="16"/>
      <c r="B116" s="41" t="s">
        <v>1101</v>
      </c>
      <c r="C116" s="6" t="str">
        <f>VLOOKUP(Compras[[#This Row],[Codigo]],Stock[#Data],2,FALSE)</f>
        <v>Bloom 1l Top Crop</v>
      </c>
      <c r="D116" s="40">
        <v>7</v>
      </c>
      <c r="E116" s="6">
        <v>694</v>
      </c>
      <c r="F116" s="12">
        <f>VLOOKUP(Compras[[#This Row],[Codigo]],Stock[#Data],3,FALSE)</f>
        <v>3250</v>
      </c>
      <c r="G116" s="43">
        <f>Compras[[#This Row],[Unidad]]*Compras[[#This Row],[Cantidad]]</f>
        <v>22750</v>
      </c>
      <c r="H116" s="16"/>
      <c r="I116" s="16"/>
      <c r="J116" s="16"/>
      <c r="K116" s="16"/>
    </row>
    <row r="117" spans="1:11" ht="20.25" customHeight="1">
      <c r="A117" s="16"/>
      <c r="B117" s="41" t="s">
        <v>1101</v>
      </c>
      <c r="C117" s="6" t="str">
        <f>VLOOKUP(Compras[[#This Row],[Codigo]],Stock[#Data],2,FALSE)</f>
        <v>Auto 1l Top Crop</v>
      </c>
      <c r="D117" s="40">
        <v>2</v>
      </c>
      <c r="E117" s="6">
        <v>693</v>
      </c>
      <c r="F117" s="12">
        <f>VLOOKUP(Compras[[#This Row],[Codigo]],Stock[#Data],3,FALSE)</f>
        <v>4680</v>
      </c>
      <c r="G117" s="43">
        <f>Compras[[#This Row],[Unidad]]*Compras[[#This Row],[Cantidad]]</f>
        <v>9360</v>
      </c>
      <c r="H117" s="16"/>
      <c r="I117" s="16"/>
      <c r="J117" s="16"/>
      <c r="K117" s="16"/>
    </row>
    <row r="118" spans="1:11" ht="20.25" customHeight="1">
      <c r="A118" s="16"/>
      <c r="B118" s="41" t="s">
        <v>1101</v>
      </c>
      <c r="C118" s="6" t="str">
        <f>VLOOKUP(Compras[[#This Row],[Codigo]],Stock[#Data],2,FALSE)</f>
        <v>Wash 1l Top Crop</v>
      </c>
      <c r="D118" s="40">
        <v>2</v>
      </c>
      <c r="E118" s="6">
        <v>692</v>
      </c>
      <c r="F118" s="12">
        <f>VLOOKUP(Compras[[#This Row],[Codigo]],Stock[#Data],3,FALSE)</f>
        <v>2100</v>
      </c>
      <c r="G118" s="43">
        <f>Compras[[#This Row],[Unidad]]*Compras[[#This Row],[Cantidad]]</f>
        <v>4200</v>
      </c>
      <c r="H118" s="16"/>
      <c r="I118" s="16"/>
      <c r="J118" s="16"/>
      <c r="K118" s="16"/>
    </row>
    <row r="119" spans="1:11" ht="20.25" customHeight="1">
      <c r="A119" s="16"/>
      <c r="B119" s="41" t="s">
        <v>1101</v>
      </c>
      <c r="C119" s="6" t="str">
        <f>VLOOKUP(Compras[[#This Row],[Codigo]],Stock[#Data],2,FALSE)</f>
        <v>Candy 1l Top Crop</v>
      </c>
      <c r="D119" s="40">
        <v>3</v>
      </c>
      <c r="E119" s="6">
        <v>691</v>
      </c>
      <c r="F119" s="12">
        <f>VLOOKUP(Compras[[#This Row],[Codigo]],Stock[#Data],3,FALSE)</f>
        <v>3240</v>
      </c>
      <c r="G119" s="43">
        <f>Compras[[#This Row],[Unidad]]*Compras[[#This Row],[Cantidad]]</f>
        <v>9720</v>
      </c>
      <c r="H119" s="16"/>
      <c r="I119" s="16"/>
      <c r="J119" s="16"/>
      <c r="K119" s="16"/>
    </row>
    <row r="120" spans="1:11" ht="20.25" customHeight="1">
      <c r="A120" s="16"/>
      <c r="B120" s="41" t="s">
        <v>1101</v>
      </c>
      <c r="C120" s="6" t="str">
        <f>VLOOKUP(Compras[[#This Row],[Codigo]],Stock[#Data],2,FALSE)</f>
        <v>Coco B 1l Top Crop</v>
      </c>
      <c r="D120" s="40">
        <v>3</v>
      </c>
      <c r="E120" s="6">
        <v>690</v>
      </c>
      <c r="F120" s="12">
        <f>VLOOKUP(Compras[[#This Row],[Codigo]],Stock[#Data],3,FALSE)</f>
        <v>1920</v>
      </c>
      <c r="G120" s="43">
        <f>Compras[[#This Row],[Unidad]]*Compras[[#This Row],[Cantidad]]</f>
        <v>5760</v>
      </c>
      <c r="H120" s="16"/>
      <c r="I120" s="16"/>
      <c r="J120" s="16"/>
      <c r="K120" s="16"/>
    </row>
    <row r="121" spans="1:11" ht="20.25" customHeight="1">
      <c r="A121" s="16"/>
      <c r="B121" s="41" t="s">
        <v>1101</v>
      </c>
      <c r="C121" s="6" t="str">
        <f>VLOOKUP(Compras[[#This Row],[Codigo]],Stock[#Data],2,FALSE)</f>
        <v>Coco A 1l Top Crop</v>
      </c>
      <c r="D121" s="40">
        <v>2</v>
      </c>
      <c r="E121" s="6">
        <v>689</v>
      </c>
      <c r="F121" s="12">
        <f>VLOOKUP(Compras[[#This Row],[Codigo]],Stock[#Data],3,FALSE)</f>
        <v>1920</v>
      </c>
      <c r="G121" s="43">
        <f>Compras[[#This Row],[Unidad]]*Compras[[#This Row],[Cantidad]]</f>
        <v>3840</v>
      </c>
      <c r="H121" s="16"/>
      <c r="I121" s="16"/>
      <c r="J121" s="16"/>
      <c r="K121" s="16"/>
    </row>
    <row r="122" spans="1:11" ht="20.25" customHeight="1">
      <c r="A122" s="16"/>
      <c r="B122" s="41" t="s">
        <v>1101</v>
      </c>
      <c r="C122" s="6" t="str">
        <f>VLOOKUP(Compras[[#This Row],[Codigo]],Stock[#Data],2,FALSE)</f>
        <v>Cyclone 50cc Top Crop</v>
      </c>
      <c r="D122" s="40">
        <v>2</v>
      </c>
      <c r="E122" s="6">
        <v>917</v>
      </c>
      <c r="F122" s="12">
        <f>VLOOKUP(Compras[[#This Row],[Codigo]],Stock[#Data],3,FALSE)</f>
        <v>1500</v>
      </c>
      <c r="G122" s="43">
        <f>Compras[[#This Row],[Unidad]]*Compras[[#This Row],[Cantidad]]</f>
        <v>3000</v>
      </c>
      <c r="H122" s="16"/>
      <c r="I122" s="16"/>
      <c r="J122" s="16"/>
      <c r="K122" s="16"/>
    </row>
    <row r="123" spans="1:11" ht="20.25" customHeight="1">
      <c r="A123" s="16"/>
      <c r="B123" s="41" t="s">
        <v>1101</v>
      </c>
      <c r="C123" s="6" t="str">
        <f>VLOOKUP(Compras[[#This Row],[Codigo]],Stock[#Data],2,FALSE)</f>
        <v>Top Bud 100ml Top Crop</v>
      </c>
      <c r="D123" s="40">
        <v>2</v>
      </c>
      <c r="E123" s="6">
        <v>916</v>
      </c>
      <c r="F123" s="12">
        <f>VLOOKUP(Compras[[#This Row],[Codigo]],Stock[#Data],3,FALSE)</f>
        <v>2003</v>
      </c>
      <c r="G123" s="43">
        <f>Compras[[#This Row],[Unidad]]*Compras[[#This Row],[Cantidad]]</f>
        <v>4006</v>
      </c>
      <c r="H123" s="16"/>
      <c r="I123" s="16"/>
      <c r="J123" s="16"/>
      <c r="K123" s="16"/>
    </row>
    <row r="124" spans="1:11" ht="20.25" customHeight="1">
      <c r="A124" s="16"/>
      <c r="B124" s="41" t="s">
        <v>1101</v>
      </c>
      <c r="C124" s="6" t="str">
        <f>VLOOKUP(Compras[[#This Row],[Codigo]],Stock[#Data],2,FALSE)</f>
        <v>Big One 100ml Top Crop</v>
      </c>
      <c r="D124" s="40">
        <v>2</v>
      </c>
      <c r="E124" s="6">
        <v>915</v>
      </c>
      <c r="F124" s="12">
        <f>VLOOKUP(Compras[[#This Row],[Codigo]],Stock[#Data],3,FALSE)</f>
        <v>1800</v>
      </c>
      <c r="G124" s="43">
        <f>Compras[[#This Row],[Unidad]]*Compras[[#This Row],[Cantidad]]</f>
        <v>3600</v>
      </c>
      <c r="H124" s="16"/>
      <c r="I124" s="16"/>
      <c r="J124" s="16"/>
      <c r="K124" s="16"/>
    </row>
    <row r="125" spans="1:11" ht="20.25" customHeight="1">
      <c r="A125" s="16"/>
      <c r="B125" s="41" t="s">
        <v>1101</v>
      </c>
      <c r="C125" s="6" t="str">
        <f>VLOOKUP(Compras[[#This Row],[Codigo]],Stock[#Data],2,FALSE)</f>
        <v>Green Explosion 100ml Top Crop</v>
      </c>
      <c r="D125" s="40">
        <v>4</v>
      </c>
      <c r="E125" s="6">
        <v>914</v>
      </c>
      <c r="F125" s="12">
        <f>VLOOKUP(Compras[[#This Row],[Codigo]],Stock[#Data],3,FALSE)</f>
        <v>1405</v>
      </c>
      <c r="G125" s="43">
        <f>Compras[[#This Row],[Unidad]]*Compras[[#This Row],[Cantidad]]</f>
        <v>5620</v>
      </c>
      <c r="H125" s="16"/>
      <c r="I125" s="16"/>
      <c r="J125" s="16"/>
      <c r="K125" s="16"/>
    </row>
    <row r="126" spans="1:11" ht="20.25" customHeight="1">
      <c r="A126" s="16"/>
      <c r="B126" s="41" t="s">
        <v>1101</v>
      </c>
      <c r="C126" s="6" t="str">
        <f>VLOOKUP(Compras[[#This Row],[Codigo]],Stock[#Data],2,FALSE)</f>
        <v>Barrier 100ml Top Crop</v>
      </c>
      <c r="D126" s="40">
        <v>7</v>
      </c>
      <c r="E126" s="6">
        <v>913</v>
      </c>
      <c r="F126" s="12">
        <f>VLOOKUP(Compras[[#This Row],[Codigo]],Stock[#Data],3,FALSE)</f>
        <v>600</v>
      </c>
      <c r="G126" s="43">
        <f>Compras[[#This Row],[Unidad]]*Compras[[#This Row],[Cantidad]]</f>
        <v>4200</v>
      </c>
      <c r="H126" s="16"/>
      <c r="I126" s="16"/>
      <c r="J126" s="16"/>
      <c r="K126" s="16"/>
    </row>
    <row r="127" spans="1:11" ht="20.25" customHeight="1">
      <c r="A127" s="16"/>
      <c r="B127" s="41" t="s">
        <v>1101</v>
      </c>
      <c r="C127" s="6" t="str">
        <f>VLOOKUP(Compras[[#This Row],[Codigo]],Stock[#Data],2,FALSE)</f>
        <v>Coco A 250ml Top Crop</v>
      </c>
      <c r="D127" s="40">
        <v>6</v>
      </c>
      <c r="E127" s="6">
        <v>912</v>
      </c>
      <c r="F127" s="12">
        <f>VLOOKUP(Compras[[#This Row],[Codigo]],Stock[#Data],3,FALSE)</f>
        <v>180</v>
      </c>
      <c r="G127" s="43">
        <f>Compras[[#This Row],[Unidad]]*Compras[[#This Row],[Cantidad]]</f>
        <v>1080</v>
      </c>
      <c r="H127" s="16"/>
      <c r="I127" s="16"/>
      <c r="J127" s="16"/>
      <c r="K127" s="16"/>
    </row>
    <row r="128" spans="1:11" ht="20.25" customHeight="1">
      <c r="A128" s="16"/>
      <c r="B128" s="41" t="s">
        <v>1101</v>
      </c>
      <c r="C128" s="6" t="str">
        <f>VLOOKUP(Compras[[#This Row],[Codigo]],Stock[#Data],2,FALSE)</f>
        <v>Coco B 250ml Top Crop</v>
      </c>
      <c r="D128" s="40">
        <v>4</v>
      </c>
      <c r="E128" s="6">
        <v>826</v>
      </c>
      <c r="F128" s="12">
        <f>VLOOKUP(Compras[[#This Row],[Codigo]],Stock[#Data],3,FALSE)</f>
        <v>180</v>
      </c>
      <c r="G128" s="43">
        <f>Compras[[#This Row],[Unidad]]*Compras[[#This Row],[Cantidad]]</f>
        <v>720</v>
      </c>
      <c r="H128" s="16"/>
      <c r="I128" s="16"/>
      <c r="J128" s="16"/>
      <c r="K128" s="16"/>
    </row>
    <row r="129" spans="1:11" ht="20.25" customHeight="1">
      <c r="A129" s="16"/>
      <c r="B129" s="41" t="s">
        <v>1101</v>
      </c>
      <c r="C129" s="6" t="str">
        <f>VLOOKUP(Compras[[#This Row],[Codigo]],Stock[#Data],2,FALSE)</f>
        <v>Barrier 250ml Top Crop</v>
      </c>
      <c r="D129" s="40">
        <v>4</v>
      </c>
      <c r="E129" s="6">
        <v>688</v>
      </c>
      <c r="F129" s="12">
        <f>VLOOKUP(Compras[[#This Row],[Codigo]],Stock[#Data],3,FALSE)</f>
        <v>1200</v>
      </c>
      <c r="G129" s="43">
        <f>Compras[[#This Row],[Unidad]]*Compras[[#This Row],[Cantidad]]</f>
        <v>4800</v>
      </c>
      <c r="H129" s="16"/>
      <c r="I129" s="16"/>
      <c r="J129" s="16"/>
      <c r="K129" s="16"/>
    </row>
    <row r="130" spans="1:11" ht="20.25" customHeight="1">
      <c r="A130" s="16"/>
      <c r="B130" s="41" t="s">
        <v>1101</v>
      </c>
      <c r="C130" s="6" t="str">
        <f>VLOOKUP(Compras[[#This Row],[Codigo]],Stock[#Data],2,FALSE)</f>
        <v>Big One 250ml Top Crop</v>
      </c>
      <c r="D130" s="40">
        <v>3</v>
      </c>
      <c r="E130" s="6">
        <v>687</v>
      </c>
      <c r="F130" s="12">
        <f>VLOOKUP(Compras[[#This Row],[Codigo]],Stock[#Data],3,FALSE)</f>
        <v>3000</v>
      </c>
      <c r="G130" s="43">
        <f>Compras[[#This Row],[Unidad]]*Compras[[#This Row],[Cantidad]]</f>
        <v>9000</v>
      </c>
      <c r="H130" s="16"/>
      <c r="I130" s="16"/>
      <c r="J130" s="16"/>
      <c r="K130" s="16"/>
    </row>
    <row r="131" spans="1:11" ht="20.25" customHeight="1">
      <c r="A131" s="16"/>
      <c r="B131" s="41" t="s">
        <v>1101</v>
      </c>
      <c r="C131" s="6" t="str">
        <f>VLOOKUP(Compras[[#This Row],[Codigo]],Stock[#Data],2,FALSE)</f>
        <v>Green Explosion 250ml Top Crop</v>
      </c>
      <c r="D131" s="40">
        <v>2</v>
      </c>
      <c r="E131" s="6">
        <v>735</v>
      </c>
      <c r="F131" s="12">
        <f>VLOOKUP(Compras[[#This Row],[Codigo]],Stock[#Data],3,FALSE)</f>
        <v>1710</v>
      </c>
      <c r="G131" s="43">
        <f>Compras[[#This Row],[Unidad]]*Compras[[#This Row],[Cantidad]]</f>
        <v>3420</v>
      </c>
      <c r="H131" s="16"/>
      <c r="I131" s="16"/>
      <c r="J131" s="16"/>
      <c r="K131" s="16"/>
    </row>
    <row r="132" spans="1:11" ht="20.25" customHeight="1">
      <c r="A132" s="16"/>
      <c r="B132" s="41" t="s">
        <v>1101</v>
      </c>
      <c r="C132" s="6" t="str">
        <f>VLOOKUP(Compras[[#This Row],[Codigo]],Stock[#Data],2,FALSE)</f>
        <v>Deeper Underground 250ml Top Crop</v>
      </c>
      <c r="D132" s="40">
        <v>6</v>
      </c>
      <c r="E132" s="6">
        <v>686</v>
      </c>
      <c r="F132" s="12">
        <f>VLOOKUP(Compras[[#This Row],[Codigo]],Stock[#Data],3,FALSE)</f>
        <v>1500</v>
      </c>
      <c r="G132" s="43">
        <f>Compras[[#This Row],[Unidad]]*Compras[[#This Row],[Cantidad]]</f>
        <v>9000</v>
      </c>
      <c r="H132" s="16"/>
      <c r="I132" s="16"/>
      <c r="J132" s="16"/>
      <c r="K132" s="16"/>
    </row>
    <row r="133" spans="1:11" ht="20.25" customHeight="1">
      <c r="A133" s="16"/>
      <c r="B133" s="41" t="s">
        <v>1101</v>
      </c>
      <c r="C133" s="6" t="str">
        <f>VLOOKUP(Compras[[#This Row],[Codigo]],Stock[#Data],2,FALSE)</f>
        <v>Top Crop Auto 250ml</v>
      </c>
      <c r="D133" s="40">
        <v>3</v>
      </c>
      <c r="E133" s="6">
        <v>685</v>
      </c>
      <c r="F133" s="12">
        <f>VLOOKUP(Compras[[#This Row],[Codigo]],Stock[#Data],3,FALSE)</f>
        <v>1560</v>
      </c>
      <c r="G133" s="43">
        <f>Compras[[#This Row],[Unidad]]*Compras[[#This Row],[Cantidad]]</f>
        <v>4680</v>
      </c>
      <c r="H133" s="16"/>
      <c r="I133" s="16"/>
      <c r="J133" s="16"/>
      <c r="K133" s="16"/>
    </row>
    <row r="134" spans="1:11" ht="20.25" customHeight="1">
      <c r="A134" s="16"/>
      <c r="B134" s="41" t="s">
        <v>1101</v>
      </c>
      <c r="C134" s="6" t="str">
        <f>VLOOKUP(Compras[[#This Row],[Codigo]],Stock[#Data],2,FALSE)</f>
        <v>Solu Pack Tupak</v>
      </c>
      <c r="D134" s="40">
        <v>1</v>
      </c>
      <c r="E134" s="6">
        <v>734</v>
      </c>
      <c r="F134" s="12">
        <f>VLOOKUP(Compras[[#This Row],[Codigo]],Stock[#Data],3,FALSE)</f>
        <v>300</v>
      </c>
      <c r="G134" s="43">
        <f>Compras[[#This Row],[Unidad]]*Compras[[#This Row],[Cantidad]]</f>
        <v>300</v>
      </c>
      <c r="H134" s="16"/>
      <c r="I134" s="16"/>
      <c r="J134" s="16"/>
      <c r="K134" s="16"/>
    </row>
    <row r="135" spans="1:11" ht="20.25" customHeight="1">
      <c r="A135" s="16"/>
      <c r="B135" s="41" t="s">
        <v>1101</v>
      </c>
      <c r="C135" s="6" t="str">
        <f>VLOOKUP(Compras[[#This Row],[Codigo]],Stock[#Data],2,FALSE)</f>
        <v>GuanoPack 500g Tupak</v>
      </c>
      <c r="D135" s="40">
        <v>3</v>
      </c>
      <c r="E135" s="6">
        <v>733</v>
      </c>
      <c r="F135" s="12">
        <f>VLOOKUP(Compras[[#This Row],[Codigo]],Stock[#Data],3,FALSE)</f>
        <v>300</v>
      </c>
      <c r="G135" s="43">
        <f>Compras[[#This Row],[Unidad]]*Compras[[#This Row],[Cantidad]]</f>
        <v>900</v>
      </c>
      <c r="H135" s="16"/>
      <c r="I135" s="16"/>
      <c r="J135" s="16"/>
      <c r="K135" s="16"/>
    </row>
    <row r="136" spans="1:11" ht="20.25" customHeight="1">
      <c r="A136" s="16"/>
      <c r="B136" s="41" t="s">
        <v>1101</v>
      </c>
      <c r="C136" s="6" t="str">
        <f>VLOOKUP(Compras[[#This Row],[Codigo]],Stock[#Data],2,FALSE)</f>
        <v>Melaza 220cc Linea Dorada</v>
      </c>
      <c r="D136" s="40">
        <v>6</v>
      </c>
      <c r="E136" s="6">
        <v>732</v>
      </c>
      <c r="F136" s="12">
        <f>VLOOKUP(Compras[[#This Row],[Codigo]],Stock[#Data],3,FALSE)</f>
        <v>620</v>
      </c>
      <c r="G136" s="43">
        <f>Compras[[#This Row],[Unidad]]*Compras[[#This Row],[Cantidad]]</f>
        <v>3720</v>
      </c>
      <c r="H136" s="16"/>
      <c r="I136" s="16"/>
      <c r="J136" s="16"/>
      <c r="K136" s="16"/>
    </row>
    <row r="137" spans="1:11" ht="20.25" customHeight="1">
      <c r="A137" s="16"/>
      <c r="B137" s="41" t="s">
        <v>1101</v>
      </c>
      <c r="C137" s="6" t="str">
        <f>VLOOKUP(Compras[[#This Row],[Codigo]],Stock[#Data],2,FALSE)</f>
        <v>Nostress aceite de neem</v>
      </c>
      <c r="D137" s="40">
        <v>8</v>
      </c>
      <c r="E137" s="6">
        <v>20</v>
      </c>
      <c r="F137" s="12">
        <f>VLOOKUP(Compras[[#This Row],[Codigo]],Stock[#Data],3,FALSE)</f>
        <v>430</v>
      </c>
      <c r="G137" s="43">
        <f>Compras[[#This Row],[Unidad]]*Compras[[#This Row],[Cantidad]]</f>
        <v>3440</v>
      </c>
      <c r="H137" s="16"/>
      <c r="I137" s="16"/>
      <c r="J137" s="16"/>
      <c r="K137" s="16"/>
    </row>
    <row r="138" spans="1:11" ht="20.25" customHeight="1">
      <c r="A138" s="16"/>
      <c r="B138" s="41" t="s">
        <v>1101</v>
      </c>
      <c r="C138" s="6" t="str">
        <f>VLOOKUP(Compras[[#This Row],[Codigo]],Stock[#Data],2,FALSE)</f>
        <v>Nostress Dolomita</v>
      </c>
      <c r="D138" s="40">
        <v>3</v>
      </c>
      <c r="E138" s="6">
        <v>452</v>
      </c>
      <c r="F138" s="12">
        <f>VLOOKUP(Compras[[#This Row],[Codigo]],Stock[#Data],3,FALSE)</f>
        <v>230</v>
      </c>
      <c r="G138" s="43">
        <f>Compras[[#This Row],[Unidad]]*Compras[[#This Row],[Cantidad]]</f>
        <v>690</v>
      </c>
      <c r="H138" s="16"/>
      <c r="I138" s="16"/>
      <c r="J138" s="16"/>
      <c r="K138" s="16"/>
    </row>
    <row r="139" spans="1:11" ht="20.25" customHeight="1">
      <c r="A139" s="16"/>
      <c r="B139" s="41" t="s">
        <v>1101</v>
      </c>
      <c r="C139" s="6" t="str">
        <f>VLOOKUP(Compras[[#This Row],[Codigo]],Stock[#Data],2,FALSE)</f>
        <v xml:space="preserve">Todo en 1 250ml Nostress </v>
      </c>
      <c r="D139" s="40">
        <v>1</v>
      </c>
      <c r="E139" s="6">
        <v>731</v>
      </c>
      <c r="F139" s="12">
        <f>VLOOKUP(Compras[[#This Row],[Codigo]],Stock[#Data],3,FALSE)</f>
        <v>700</v>
      </c>
      <c r="G139" s="43">
        <f>Compras[[#This Row],[Unidad]]*Compras[[#This Row],[Cantidad]]</f>
        <v>700</v>
      </c>
      <c r="H139" s="16"/>
      <c r="I139" s="16"/>
      <c r="J139" s="16"/>
      <c r="K139" s="16"/>
    </row>
    <row r="140" spans="1:11" ht="20.25" customHeight="1">
      <c r="A140" s="16"/>
      <c r="B140" s="41" t="s">
        <v>1101</v>
      </c>
      <c r="C140" s="6" t="str">
        <f>VLOOKUP(Compras[[#This Row],[Codigo]],Stock[#Data],2,FALSE)</f>
        <v>Todo en 1 1l Nostress</v>
      </c>
      <c r="D140" s="40">
        <v>2</v>
      </c>
      <c r="E140" s="6">
        <v>730</v>
      </c>
      <c r="F140" s="12">
        <f>VLOOKUP(Compras[[#This Row],[Codigo]],Stock[#Data],3,FALSE)</f>
        <v>1500</v>
      </c>
      <c r="G140" s="43">
        <f>Compras[[#This Row],[Unidad]]*Compras[[#This Row],[Cantidad]]</f>
        <v>3000</v>
      </c>
      <c r="H140" s="16"/>
      <c r="I140" s="16"/>
      <c r="J140" s="16"/>
      <c r="K140" s="16"/>
    </row>
    <row r="141" spans="1:11" ht="20.25" customHeight="1">
      <c r="A141" s="16"/>
      <c r="B141" s="41" t="s">
        <v>1101</v>
      </c>
      <c r="C141" s="6" t="str">
        <f>VLOOKUP(Compras[[#This Row],[Codigo]],Stock[#Data],2,FALSE)</f>
        <v>Lixi 2l</v>
      </c>
      <c r="D141" s="40">
        <v>3</v>
      </c>
      <c r="E141" s="6">
        <v>729</v>
      </c>
      <c r="F141" s="12">
        <f>VLOOKUP(Compras[[#This Row],[Codigo]],Stock[#Data],3,FALSE)</f>
        <v>660</v>
      </c>
      <c r="G141" s="43">
        <f>Compras[[#This Row],[Unidad]]*Compras[[#This Row],[Cantidad]]</f>
        <v>1980</v>
      </c>
      <c r="H141" s="16"/>
      <c r="I141" s="16"/>
      <c r="J141" s="16"/>
      <c r="K141" s="16"/>
    </row>
    <row r="142" spans="1:11" ht="20.25" customHeight="1">
      <c r="A142" s="16"/>
      <c r="B142" s="41" t="s">
        <v>1101</v>
      </c>
      <c r="C142" s="6" t="str">
        <f>VLOOKUP(Compras[[#This Row],[Codigo]],Stock[#Data],2,FALSE)</f>
        <v>Bio Micorrizas 50cc Melumba</v>
      </c>
      <c r="D142" s="40">
        <v>4</v>
      </c>
      <c r="E142" s="6">
        <v>728</v>
      </c>
      <c r="F142" s="12">
        <f>VLOOKUP(Compras[[#This Row],[Codigo]],Stock[#Data],3,FALSE)</f>
        <v>150</v>
      </c>
      <c r="G142" s="43">
        <f>Compras[[#This Row],[Unidad]]*Compras[[#This Row],[Cantidad]]</f>
        <v>600</v>
      </c>
      <c r="H142" s="16"/>
      <c r="I142" s="16"/>
      <c r="J142" s="16"/>
      <c r="K142" s="16"/>
    </row>
    <row r="143" spans="1:11" ht="20.25" customHeight="1">
      <c r="A143" s="16"/>
      <c r="B143" s="41" t="s">
        <v>1101</v>
      </c>
      <c r="C143" s="6" t="str">
        <f>VLOOKUP(Compras[[#This Row],[Codigo]],Stock[#Data],2,FALSE)</f>
        <v>Bio Neem 50cc Melumba</v>
      </c>
      <c r="D143" s="40">
        <v>6</v>
      </c>
      <c r="E143" s="6">
        <v>727</v>
      </c>
      <c r="F143" s="12">
        <f>VLOOKUP(Compras[[#This Row],[Codigo]],Stock[#Data],3,FALSE)</f>
        <v>150</v>
      </c>
      <c r="G143" s="43">
        <f>Compras[[#This Row],[Unidad]]*Compras[[#This Row],[Cantidad]]</f>
        <v>900</v>
      </c>
      <c r="H143" s="16"/>
      <c r="I143" s="16"/>
      <c r="J143" s="16"/>
      <c r="K143" s="16"/>
    </row>
    <row r="144" spans="1:11" ht="20.25" customHeight="1">
      <c r="A144" s="16"/>
      <c r="B144" s="41" t="s">
        <v>1101</v>
      </c>
      <c r="C144" s="6" t="str">
        <f>VLOOKUP(Compras[[#This Row],[Codigo]],Stock[#Data],2,FALSE)</f>
        <v>Bio Trichodermas 50cc Melumba</v>
      </c>
      <c r="D144" s="40">
        <v>6</v>
      </c>
      <c r="E144" s="6">
        <v>726</v>
      </c>
      <c r="F144" s="12">
        <f>VLOOKUP(Compras[[#This Row],[Codigo]],Stock[#Data],3,FALSE)</f>
        <v>220</v>
      </c>
      <c r="G144" s="43">
        <f>Compras[[#This Row],[Unidad]]*Compras[[#This Row],[Cantidad]]</f>
        <v>1320</v>
      </c>
      <c r="H144" s="16"/>
      <c r="I144" s="16"/>
      <c r="J144" s="16"/>
      <c r="K144" s="16"/>
    </row>
    <row r="145" spans="1:11" ht="20.25" customHeight="1">
      <c r="A145" s="16"/>
      <c r="B145" s="41" t="s">
        <v>1101</v>
      </c>
      <c r="C145" s="6" t="str">
        <f>VLOOKUP(Compras[[#This Row],[Codigo]],Stock[#Data],2,FALSE)</f>
        <v>Bio Enraizante 50cc Melumba</v>
      </c>
      <c r="D145" s="40">
        <v>1</v>
      </c>
      <c r="E145" s="6">
        <v>725</v>
      </c>
      <c r="F145" s="12">
        <f>VLOOKUP(Compras[[#This Row],[Codigo]],Stock[#Data],3,FALSE)</f>
        <v>190</v>
      </c>
      <c r="G145" s="43">
        <f>Compras[[#This Row],[Unidad]]*Compras[[#This Row],[Cantidad]]</f>
        <v>190</v>
      </c>
      <c r="H145" s="16"/>
      <c r="I145" s="16"/>
      <c r="J145" s="16"/>
      <c r="K145" s="16"/>
    </row>
    <row r="146" spans="1:11" ht="20.25" customHeight="1">
      <c r="A146" s="16"/>
      <c r="B146" s="41" t="s">
        <v>1101</v>
      </c>
      <c r="C146" s="6" t="str">
        <f>VLOOKUP(Compras[[#This Row],[Codigo]],Stock[#Data],2,FALSE)</f>
        <v>Bio Automaticas 125g Melumba</v>
      </c>
      <c r="D146" s="40">
        <v>5</v>
      </c>
      <c r="E146" s="6">
        <v>724</v>
      </c>
      <c r="F146" s="12">
        <f>VLOOKUP(Compras[[#This Row],[Codigo]],Stock[#Data],3,FALSE)</f>
        <v>350</v>
      </c>
      <c r="G146" s="43">
        <f>Compras[[#This Row],[Unidad]]*Compras[[#This Row],[Cantidad]]</f>
        <v>1750</v>
      </c>
      <c r="H146" s="16"/>
      <c r="I146" s="16"/>
      <c r="J146" s="16"/>
      <c r="K146" s="16"/>
    </row>
    <row r="147" spans="1:11" ht="20.25" customHeight="1">
      <c r="A147" s="16"/>
      <c r="B147" s="41" t="s">
        <v>1101</v>
      </c>
      <c r="C147" s="6" t="str">
        <f>VLOOKUP(Compras[[#This Row],[Codigo]],Stock[#Data],2,FALSE)</f>
        <v>Bio Flora 125g Melumba</v>
      </c>
      <c r="D147" s="40">
        <v>1</v>
      </c>
      <c r="E147" s="6">
        <v>723</v>
      </c>
      <c r="F147" s="12">
        <f>VLOOKUP(Compras[[#This Row],[Codigo]],Stock[#Data],3,FALSE)</f>
        <v>320</v>
      </c>
      <c r="G147" s="43">
        <f>Compras[[#This Row],[Unidad]]*Compras[[#This Row],[Cantidad]]</f>
        <v>320</v>
      </c>
      <c r="H147" s="16"/>
      <c r="I147" s="16"/>
      <c r="J147" s="16"/>
      <c r="K147" s="16"/>
    </row>
    <row r="148" spans="1:11" ht="20.25" customHeight="1">
      <c r="A148" s="16"/>
      <c r="B148" s="41" t="s">
        <v>1101</v>
      </c>
      <c r="C148" s="6" t="str">
        <f>VLOOKUP(Compras[[#This Row],[Codigo]],Stock[#Data],2,FALSE)</f>
        <v>Bio Potasico 125g Melumba</v>
      </c>
      <c r="D148" s="40">
        <v>6</v>
      </c>
      <c r="E148" s="6">
        <v>722</v>
      </c>
      <c r="F148" s="12">
        <f>VLOOKUP(Compras[[#This Row],[Codigo]],Stock[#Data],3,FALSE)</f>
        <v>200</v>
      </c>
      <c r="G148" s="43">
        <f>Compras[[#This Row],[Unidad]]*Compras[[#This Row],[Cantidad]]</f>
        <v>1200</v>
      </c>
      <c r="H148" s="16"/>
      <c r="I148" s="16"/>
      <c r="J148" s="16"/>
      <c r="K148" s="16"/>
    </row>
    <row r="149" spans="1:11" ht="20.25" customHeight="1">
      <c r="A149" s="16"/>
      <c r="B149" s="41" t="s">
        <v>1101</v>
      </c>
      <c r="C149" s="6" t="str">
        <f>VLOOKUP(Compras[[#This Row],[Codigo]],Stock[#Data],2,FALSE)</f>
        <v>Bio Flora 250g Melumba</v>
      </c>
      <c r="D149" s="40">
        <v>1</v>
      </c>
      <c r="E149" s="6">
        <v>721</v>
      </c>
      <c r="F149" s="12">
        <f>VLOOKUP(Compras[[#This Row],[Codigo]],Stock[#Data],3,FALSE)</f>
        <v>600</v>
      </c>
      <c r="G149" s="43">
        <f>Compras[[#This Row],[Unidad]]*Compras[[#This Row],[Cantidad]]</f>
        <v>600</v>
      </c>
      <c r="H149" s="16"/>
      <c r="I149" s="16"/>
      <c r="J149" s="16"/>
      <c r="K149" s="16"/>
    </row>
    <row r="150" spans="1:11" ht="20.25" customHeight="1">
      <c r="A150" s="16"/>
      <c r="B150" s="41" t="s">
        <v>1101</v>
      </c>
      <c r="C150" s="6" t="str">
        <f>VLOOKUP(Compras[[#This Row],[Codigo]],Stock[#Data],2,FALSE)</f>
        <v>Bio Diatomeas 150g Melumba</v>
      </c>
      <c r="D150" s="40">
        <v>3</v>
      </c>
      <c r="E150" s="6">
        <v>720</v>
      </c>
      <c r="F150" s="12">
        <f>VLOOKUP(Compras[[#This Row],[Codigo]],Stock[#Data],3,FALSE)</f>
        <v>250</v>
      </c>
      <c r="G150" s="43">
        <f>Compras[[#This Row],[Unidad]]*Compras[[#This Row],[Cantidad]]</f>
        <v>750</v>
      </c>
      <c r="H150" s="16"/>
      <c r="I150" s="16"/>
      <c r="J150" s="16"/>
      <c r="K150" s="16"/>
    </row>
    <row r="151" spans="1:11" ht="20.25" customHeight="1">
      <c r="A151" s="16"/>
      <c r="B151" s="41" t="s">
        <v>1101</v>
      </c>
      <c r="C151" s="6" t="str">
        <f>VLOOKUP(Compras[[#This Row],[Codigo]],Stock[#Data],2,FALSE)</f>
        <v xml:space="preserve">Bio Nutrientes 150g Melumba </v>
      </c>
      <c r="D151" s="40">
        <v>2</v>
      </c>
      <c r="E151" s="6">
        <v>719</v>
      </c>
      <c r="F151" s="12">
        <f>VLOOKUP(Compras[[#This Row],[Codigo]],Stock[#Data],3,FALSE)</f>
        <v>500</v>
      </c>
      <c r="G151" s="43">
        <f>Compras[[#This Row],[Unidad]]*Compras[[#This Row],[Cantidad]]</f>
        <v>1000</v>
      </c>
      <c r="H151" s="16"/>
      <c r="I151" s="16"/>
      <c r="J151" s="16"/>
      <c r="K151" s="16"/>
    </row>
    <row r="152" spans="1:11" ht="20.25" customHeight="1">
      <c r="A152" s="16"/>
      <c r="B152" s="41" t="s">
        <v>1101</v>
      </c>
      <c r="C152" s="6" t="str">
        <f>VLOOKUP(Compras[[#This Row],[Codigo]],Stock[#Data],2,FALSE)</f>
        <v xml:space="preserve">Indian 1l Monkey </v>
      </c>
      <c r="D152" s="40">
        <v>6</v>
      </c>
      <c r="E152" s="6">
        <v>718</v>
      </c>
      <c r="F152" s="12">
        <f>VLOOKUP(Compras[[#This Row],[Codigo]],Stock[#Data],3,FALSE)</f>
        <v>1200</v>
      </c>
      <c r="G152" s="43">
        <f>Compras[[#This Row],[Unidad]]*Compras[[#This Row],[Cantidad]]</f>
        <v>7200</v>
      </c>
      <c r="H152" s="16"/>
      <c r="I152" s="16"/>
      <c r="J152" s="16"/>
      <c r="K152" s="16"/>
    </row>
    <row r="153" spans="1:11" ht="20.25" customHeight="1">
      <c r="A153" s="16"/>
      <c r="B153" s="41" t="s">
        <v>1101</v>
      </c>
      <c r="C153" s="6" t="str">
        <f>VLOOKUP(Compras[[#This Row],[Codigo]],Stock[#Data],2,FALSE)</f>
        <v>Flowers 1l Monkey</v>
      </c>
      <c r="D153" s="40">
        <v>6</v>
      </c>
      <c r="E153" s="6">
        <v>717</v>
      </c>
      <c r="F153" s="12">
        <f>VLOOKUP(Compras[[#This Row],[Codigo]],Stock[#Data],3,FALSE)</f>
        <v>1200</v>
      </c>
      <c r="G153" s="43">
        <f>Compras[[#This Row],[Unidad]]*Compras[[#This Row],[Cantidad]]</f>
        <v>7200</v>
      </c>
      <c r="H153" s="16"/>
      <c r="I153" s="16"/>
      <c r="J153" s="16"/>
      <c r="K153" s="16"/>
    </row>
    <row r="154" spans="1:11" ht="20.25" customHeight="1">
      <c r="A154" s="16"/>
      <c r="B154" s="41" t="s">
        <v>1101</v>
      </c>
      <c r="C154" s="6" t="str">
        <f>VLOOKUP(Compras[[#This Row],[Codigo]],Stock[#Data],2,FALSE)</f>
        <v>Kong 1l Monkey</v>
      </c>
      <c r="D154" s="40">
        <v>6</v>
      </c>
      <c r="E154" s="6">
        <v>716</v>
      </c>
      <c r="F154" s="12">
        <f>VLOOKUP(Compras[[#This Row],[Codigo]],Stock[#Data],3,FALSE)</f>
        <v>120</v>
      </c>
      <c r="G154" s="43">
        <f>Compras[[#This Row],[Unidad]]*Compras[[#This Row],[Cantidad]]</f>
        <v>720</v>
      </c>
      <c r="H154" s="16"/>
      <c r="I154" s="16"/>
      <c r="J154" s="16"/>
      <c r="K154" s="16"/>
    </row>
    <row r="155" spans="1:11" ht="20.25" customHeight="1">
      <c r="A155" s="16"/>
      <c r="B155" s="41" t="s">
        <v>1101</v>
      </c>
      <c r="C155" s="6" t="str">
        <f>VLOOKUP(Compras[[#This Row],[Codigo]],Stock[#Data],2,FALSE)</f>
        <v>Indian 200ml Monkey</v>
      </c>
      <c r="D155" s="40">
        <v>4</v>
      </c>
      <c r="E155" s="6">
        <v>715</v>
      </c>
      <c r="F155" s="12">
        <f>VLOOKUP(Compras[[#This Row],[Codigo]],Stock[#Data],3,FALSE)</f>
        <v>360</v>
      </c>
      <c r="G155" s="43">
        <f>Compras[[#This Row],[Unidad]]*Compras[[#This Row],[Cantidad]]</f>
        <v>1440</v>
      </c>
      <c r="H155" s="16"/>
      <c r="I155" s="16"/>
      <c r="J155" s="16"/>
      <c r="K155" s="16"/>
    </row>
    <row r="156" spans="1:11" ht="20.25" customHeight="1">
      <c r="A156" s="16"/>
      <c r="B156" s="41" t="s">
        <v>1101</v>
      </c>
      <c r="C156" s="6" t="str">
        <f>VLOOKUP(Compras[[#This Row],[Codigo]],Stock[#Data],2,FALSE)</f>
        <v>Flowers 200ml Monkey</v>
      </c>
      <c r="D156" s="40">
        <v>4</v>
      </c>
      <c r="E156" s="6">
        <v>714</v>
      </c>
      <c r="F156" s="12">
        <f>VLOOKUP(Compras[[#This Row],[Codigo]],Stock[#Data],3,FALSE)</f>
        <v>360</v>
      </c>
      <c r="G156" s="43">
        <f>Compras[[#This Row],[Unidad]]*Compras[[#This Row],[Cantidad]]</f>
        <v>1440</v>
      </c>
      <c r="H156" s="16"/>
      <c r="I156" s="16"/>
      <c r="J156" s="16"/>
      <c r="K156" s="16"/>
    </row>
    <row r="157" spans="1:11" ht="20.25" customHeight="1">
      <c r="A157" s="16"/>
      <c r="B157" s="41" t="s">
        <v>1101</v>
      </c>
      <c r="C157" s="6" t="str">
        <f>VLOOKUP(Compras[[#This Row],[Codigo]],Stock[#Data],2,FALSE)</f>
        <v>Kong 200ml Monkey</v>
      </c>
      <c r="D157" s="40">
        <v>3</v>
      </c>
      <c r="E157" s="6">
        <v>713</v>
      </c>
      <c r="F157" s="12">
        <f>VLOOKUP(Compras[[#This Row],[Codigo]],Stock[#Data],3,FALSE)</f>
        <v>360</v>
      </c>
      <c r="G157" s="43">
        <f>Compras[[#This Row],[Unidad]]*Compras[[#This Row],[Cantidad]]</f>
        <v>1080</v>
      </c>
      <c r="H157" s="16"/>
      <c r="I157" s="16"/>
      <c r="J157" s="16"/>
      <c r="K157" s="16"/>
    </row>
    <row r="158" spans="1:11" ht="20.25" customHeight="1">
      <c r="A158" s="16"/>
      <c r="B158" s="41" t="s">
        <v>1101</v>
      </c>
      <c r="C158" s="6" t="str">
        <f>VLOOKUP(Compras[[#This Row],[Codigo]],Stock[#Data],2,FALSE)</f>
        <v>Neem 100ml Monkey</v>
      </c>
      <c r="D158" s="40">
        <v>4</v>
      </c>
      <c r="E158" s="6">
        <v>712</v>
      </c>
      <c r="F158" s="12">
        <f>VLOOKUP(Compras[[#This Row],[Codigo]],Stock[#Data],3,FALSE)</f>
        <v>680</v>
      </c>
      <c r="G158" s="43">
        <f>Compras[[#This Row],[Unidad]]*Compras[[#This Row],[Cantidad]]</f>
        <v>2720</v>
      </c>
      <c r="H158" s="16"/>
      <c r="I158" s="16"/>
      <c r="J158" s="16"/>
      <c r="K158" s="16"/>
    </row>
    <row r="159" spans="1:11" ht="20.25" customHeight="1">
      <c r="A159" s="16"/>
      <c r="B159" s="41" t="s">
        <v>1101</v>
      </c>
      <c r="C159" s="6" t="str">
        <f>VLOOKUP(Compras[[#This Row],[Codigo]],Stock[#Data],2,FALSE)</f>
        <v>Indian 100ml Monkey</v>
      </c>
      <c r="D159" s="40">
        <v>1</v>
      </c>
      <c r="E159" s="6">
        <v>711</v>
      </c>
      <c r="F159" s="12">
        <f>VLOOKUP(Compras[[#This Row],[Codigo]],Stock[#Data],3,FALSE)</f>
        <v>230</v>
      </c>
      <c r="G159" s="43">
        <f>Compras[[#This Row],[Unidad]]*Compras[[#This Row],[Cantidad]]</f>
        <v>230</v>
      </c>
      <c r="H159" s="16"/>
      <c r="I159" s="16"/>
      <c r="J159" s="16"/>
      <c r="K159" s="16"/>
    </row>
    <row r="160" spans="1:11" ht="20.25" customHeight="1">
      <c r="A160" s="16"/>
      <c r="B160" s="41" t="s">
        <v>1101</v>
      </c>
      <c r="C160" s="6" t="str">
        <f>VLOOKUP(Compras[[#This Row],[Codigo]],Stock[#Data],2,FALSE)</f>
        <v xml:space="preserve">Flowers 100ml Monkey </v>
      </c>
      <c r="D160" s="40">
        <v>7</v>
      </c>
      <c r="E160" s="6">
        <v>710</v>
      </c>
      <c r="F160" s="12">
        <f>VLOOKUP(Compras[[#This Row],[Codigo]],Stock[#Data],3,FALSE)</f>
        <v>220</v>
      </c>
      <c r="G160" s="43">
        <f>Compras[[#This Row],[Unidad]]*Compras[[#This Row],[Cantidad]]</f>
        <v>1540</v>
      </c>
      <c r="H160" s="16"/>
      <c r="I160" s="16"/>
      <c r="J160" s="16"/>
      <c r="K160" s="16"/>
    </row>
    <row r="161" spans="1:11" ht="20.25" customHeight="1">
      <c r="A161" s="16"/>
      <c r="B161" s="41" t="s">
        <v>1101</v>
      </c>
      <c r="C161" s="6" t="str">
        <f>VLOOKUP(Compras[[#This Row],[Codigo]],Stock[#Data],2,FALSE)</f>
        <v>Kong 100ml Monkey</v>
      </c>
      <c r="D161" s="40">
        <v>8</v>
      </c>
      <c r="E161" s="6">
        <v>709</v>
      </c>
      <c r="F161" s="12">
        <f>VLOOKUP(Compras[[#This Row],[Codigo]],Stock[#Data],3,FALSE)</f>
        <v>220</v>
      </c>
      <c r="G161" s="43">
        <f>Compras[[#This Row],[Unidad]]*Compras[[#This Row],[Cantidad]]</f>
        <v>1760</v>
      </c>
      <c r="H161" s="16"/>
      <c r="I161" s="16"/>
      <c r="J161" s="16"/>
      <c r="K161" s="16"/>
    </row>
    <row r="162" spans="1:11" ht="20.25" customHeight="1">
      <c r="A162" s="16"/>
      <c r="B162" s="41" t="s">
        <v>1101</v>
      </c>
      <c r="C162" s="6" t="str">
        <f>VLOOKUP(Compras[[#This Row],[Codigo]],Stock[#Data],2,FALSE)</f>
        <v>Melaza 500ml Monkey</v>
      </c>
      <c r="D162" s="40">
        <v>2</v>
      </c>
      <c r="E162" s="6">
        <v>708</v>
      </c>
      <c r="F162" s="12">
        <f>VLOOKUP(Compras[[#This Row],[Codigo]],Stock[#Data],3,FALSE)</f>
        <v>520</v>
      </c>
      <c r="G162" s="43">
        <f>Compras[[#This Row],[Unidad]]*Compras[[#This Row],[Cantidad]]</f>
        <v>1040</v>
      </c>
      <c r="H162" s="16"/>
      <c r="I162" s="16"/>
      <c r="J162" s="16"/>
      <c r="K162" s="16"/>
    </row>
    <row r="163" spans="1:11" ht="20.25" customHeight="1">
      <c r="A163" s="16"/>
      <c r="B163" s="41" t="s">
        <v>1101</v>
      </c>
      <c r="C163" s="6" t="str">
        <f>VLOOKUP(Compras[[#This Row],[Codigo]],Stock[#Data],2,FALSE)</f>
        <v>Bioestimulante Radicular 50cc Organic Life</v>
      </c>
      <c r="D163" s="40">
        <v>4</v>
      </c>
      <c r="E163" s="6">
        <v>737</v>
      </c>
      <c r="F163" s="12">
        <f>VLOOKUP(Compras[[#This Row],[Codigo]],Stock[#Data],3,FALSE)</f>
        <v>350</v>
      </c>
      <c r="G163" s="43">
        <f>Compras[[#This Row],[Unidad]]*Compras[[#This Row],[Cantidad]]</f>
        <v>1400</v>
      </c>
      <c r="H163" s="16"/>
      <c r="I163" s="16"/>
      <c r="J163" s="16"/>
      <c r="K163" s="16"/>
    </row>
    <row r="164" spans="1:11" ht="20.25" customHeight="1">
      <c r="A164" s="16"/>
      <c r="B164" s="41" t="s">
        <v>1101</v>
      </c>
      <c r="C164" s="6" t="str">
        <f>VLOOKUP(Compras[[#This Row],[Codigo]],Stock[#Data],2,FALSE)</f>
        <v xml:space="preserve">Micorrizas 30ml Organic Life </v>
      </c>
      <c r="D164" s="40">
        <v>10</v>
      </c>
      <c r="E164" s="6">
        <v>684</v>
      </c>
      <c r="F164" s="12">
        <f>VLOOKUP(Compras[[#This Row],[Codigo]],Stock[#Data],3,FALSE)</f>
        <v>435</v>
      </c>
      <c r="G164" s="43">
        <f>Compras[[#This Row],[Unidad]]*Compras[[#This Row],[Cantidad]]</f>
        <v>4350</v>
      </c>
      <c r="H164" s="16"/>
      <c r="I164" s="16"/>
      <c r="J164" s="16"/>
      <c r="K164" s="16"/>
    </row>
    <row r="165" spans="1:11" ht="20.25" customHeight="1">
      <c r="A165" s="16"/>
      <c r="B165" s="41" t="s">
        <v>1101</v>
      </c>
      <c r="C165" s="6" t="str">
        <f>VLOOKUP(Compras[[#This Row],[Codigo]],Stock[#Data],2,FALSE)</f>
        <v>Neem 30cc Organic Life</v>
      </c>
      <c r="D165" s="40">
        <v>5</v>
      </c>
      <c r="E165" s="6">
        <v>736</v>
      </c>
      <c r="F165" s="12">
        <f>VLOOKUP(Compras[[#This Row],[Codigo]],Stock[#Data],3,FALSE)</f>
        <v>250</v>
      </c>
      <c r="G165" s="43">
        <f>Compras[[#This Row],[Unidad]]*Compras[[#This Row],[Cantidad]]</f>
        <v>1250</v>
      </c>
      <c r="H165" s="16"/>
      <c r="I165" s="16"/>
      <c r="J165" s="16"/>
      <c r="K165" s="16"/>
    </row>
    <row r="166" spans="1:11" ht="20.25" customHeight="1">
      <c r="A166" s="16"/>
      <c r="B166" s="41" t="s">
        <v>1101</v>
      </c>
      <c r="C166" s="6" t="str">
        <f>VLOOKUP(Compras[[#This Row],[Codigo]],Stock[#Data],2,FALSE)</f>
        <v>Organic Life Silicio</v>
      </c>
      <c r="D166" s="40">
        <v>2</v>
      </c>
      <c r="E166" s="6">
        <v>19</v>
      </c>
      <c r="F166" s="12">
        <f>VLOOKUP(Compras[[#This Row],[Codigo]],Stock[#Data],3,FALSE)</f>
        <v>435</v>
      </c>
      <c r="G166" s="43">
        <f>Compras[[#This Row],[Unidad]]*Compras[[#This Row],[Cantidad]]</f>
        <v>870</v>
      </c>
      <c r="H166" s="16"/>
      <c r="I166" s="16"/>
      <c r="J166" s="16"/>
      <c r="K166" s="16"/>
    </row>
    <row r="167" spans="1:11" ht="20.25" customHeight="1">
      <c r="A167" s="16"/>
      <c r="B167" s="41" t="s">
        <v>1101</v>
      </c>
      <c r="C167" s="6" t="str">
        <f>VLOOKUP(Compras[[#This Row],[Codigo]],Stock[#Data],2,FALSE)</f>
        <v xml:space="preserve">Beauveria Bassiana Organic Life </v>
      </c>
      <c r="D167" s="40">
        <v>12</v>
      </c>
      <c r="E167" s="6">
        <v>598</v>
      </c>
      <c r="F167" s="12">
        <f>VLOOKUP(Compras[[#This Row],[Codigo]],Stock[#Data],3,FALSE)</f>
        <v>490</v>
      </c>
      <c r="G167" s="43">
        <f>Compras[[#This Row],[Unidad]]*Compras[[#This Row],[Cantidad]]</f>
        <v>5880</v>
      </c>
      <c r="H167" s="16"/>
      <c r="I167" s="16"/>
      <c r="J167" s="16"/>
      <c r="K167" s="16"/>
    </row>
    <row r="168" spans="1:11" ht="20.25" customHeight="1">
      <c r="A168" s="16"/>
      <c r="B168" s="41" t="s">
        <v>1101</v>
      </c>
      <c r="C168" s="6" t="str">
        <f>VLOOKUP(Compras[[#This Row],[Codigo]],Stock[#Data],2,FALSE)</f>
        <v>Organic Life gel enraizante</v>
      </c>
      <c r="D168" s="40">
        <v>9</v>
      </c>
      <c r="E168" s="6">
        <v>16</v>
      </c>
      <c r="F168" s="12">
        <f>VLOOKUP(Compras[[#This Row],[Codigo]],Stock[#Data],3,FALSE)</f>
        <v>425</v>
      </c>
      <c r="G168" s="43">
        <f>Compras[[#This Row],[Unidad]]*Compras[[#This Row],[Cantidad]]</f>
        <v>3825</v>
      </c>
      <c r="H168" s="16"/>
      <c r="I168" s="16"/>
      <c r="J168" s="16"/>
      <c r="K168" s="16"/>
    </row>
    <row r="169" spans="1:11" ht="20.25" customHeight="1">
      <c r="A169" s="16"/>
      <c r="B169" s="41" t="s">
        <v>1101</v>
      </c>
      <c r="C169" s="6" t="str">
        <f>VLOOKUP(Compras[[#This Row],[Codigo]],Stock[#Data],2,FALSE)</f>
        <v>Organic Life jabón potásico</v>
      </c>
      <c r="D169" s="40">
        <v>11</v>
      </c>
      <c r="E169" s="6">
        <v>18</v>
      </c>
      <c r="F169" s="12">
        <f>VLOOKUP(Compras[[#This Row],[Codigo]],Stock[#Data],3,FALSE)</f>
        <v>240</v>
      </c>
      <c r="G169" s="43">
        <f>Compras[[#This Row],[Unidad]]*Compras[[#This Row],[Cantidad]]</f>
        <v>2640</v>
      </c>
      <c r="H169" s="16"/>
      <c r="I169" s="16"/>
      <c r="J169" s="16"/>
      <c r="K169" s="16"/>
    </row>
    <row r="170" spans="1:11" ht="20.25" customHeight="1">
      <c r="A170" s="16"/>
      <c r="B170" s="41" t="s">
        <v>1101</v>
      </c>
      <c r="C170" s="6" t="str">
        <f>VLOOKUP(Compras[[#This Row],[Codigo]],Stock[#Data],2,FALSE)</f>
        <v>Mico 200ml TreeMix</v>
      </c>
      <c r="D170" s="40">
        <v>3</v>
      </c>
      <c r="E170" s="6">
        <v>683</v>
      </c>
      <c r="F170" s="12">
        <f>VLOOKUP(Compras[[#This Row],[Codigo]],Stock[#Data],3,FALSE)</f>
        <v>951</v>
      </c>
      <c r="G170" s="43">
        <f>Compras[[#This Row],[Unidad]]*Compras[[#This Row],[Cantidad]]</f>
        <v>2853</v>
      </c>
      <c r="H170" s="16"/>
      <c r="I170" s="16"/>
      <c r="J170" s="16"/>
      <c r="K170" s="16"/>
    </row>
    <row r="171" spans="1:11" ht="20.25" customHeight="1">
      <c r="A171" s="16"/>
      <c r="B171" s="41" t="s">
        <v>1101</v>
      </c>
      <c r="C171" s="6" t="str">
        <f>VLOOKUP(Compras[[#This Row],[Codigo]],Stock[#Data],2,FALSE)</f>
        <v>TreeMIX ZYM 200ml</v>
      </c>
      <c r="D171" s="40">
        <v>5</v>
      </c>
      <c r="E171" s="6">
        <v>34</v>
      </c>
      <c r="F171" s="12">
        <f>VLOOKUP(Compras[[#This Row],[Codigo]],Stock[#Data],3,FALSE)</f>
        <v>2020</v>
      </c>
      <c r="G171" s="43">
        <f>Compras[[#This Row],[Unidad]]*Compras[[#This Row],[Cantidad]]</f>
        <v>10100</v>
      </c>
      <c r="H171" s="16"/>
      <c r="I171" s="16"/>
      <c r="J171" s="16"/>
      <c r="K171" s="16"/>
    </row>
    <row r="172" spans="1:11" ht="20.25" customHeight="1">
      <c r="A172" s="16"/>
      <c r="B172" s="41" t="s">
        <v>1101</v>
      </c>
      <c r="C172" s="6" t="str">
        <f>VLOOKUP(Compras[[#This Row],[Codigo]],Stock[#Data],2,FALSE)</f>
        <v>Tree Mix  Candy 200ml</v>
      </c>
      <c r="D172" s="40">
        <v>4</v>
      </c>
      <c r="E172" s="6">
        <v>450</v>
      </c>
      <c r="F172" s="12">
        <f>VLOOKUP(Compras[[#This Row],[Codigo]],Stock[#Data],3,FALSE)</f>
        <v>520</v>
      </c>
      <c r="G172" s="43">
        <f>Compras[[#This Row],[Unidad]]*Compras[[#This Row],[Cantidad]]</f>
        <v>2080</v>
      </c>
      <c r="H172" s="16"/>
      <c r="I172" s="16"/>
      <c r="J172" s="16"/>
      <c r="K172" s="16"/>
    </row>
    <row r="173" spans="1:11" ht="20.25" customHeight="1">
      <c r="A173" s="16"/>
      <c r="B173" s="41" t="s">
        <v>1101</v>
      </c>
      <c r="C173" s="6" t="str">
        <f>VLOOKUP(Compras[[#This Row],[Codigo]],Stock[#Data],2,FALSE)</f>
        <v>Harina de Sangre 200g GAP</v>
      </c>
      <c r="D173" s="40">
        <v>3</v>
      </c>
      <c r="E173" s="6">
        <v>707</v>
      </c>
      <c r="F173" s="12">
        <f>VLOOKUP(Compras[[#This Row],[Codigo]],Stock[#Data],3,FALSE)</f>
        <v>300</v>
      </c>
      <c r="G173" s="43">
        <f>Compras[[#This Row],[Unidad]]*Compras[[#This Row],[Cantidad]]</f>
        <v>900</v>
      </c>
      <c r="H173" s="16"/>
      <c r="I173" s="16"/>
      <c r="J173" s="16"/>
      <c r="K173" s="16"/>
    </row>
    <row r="174" spans="1:11" ht="20.25" customHeight="1">
      <c r="A174" s="16"/>
      <c r="B174" s="41" t="s">
        <v>1101</v>
      </c>
      <c r="C174" s="6" t="str">
        <f>VLOOKUP(Compras[[#This Row],[Codigo]],Stock[#Data],2,FALSE)</f>
        <v>Jabon Potasico 250ml GAP</v>
      </c>
      <c r="D174" s="40">
        <v>1</v>
      </c>
      <c r="E174" s="6">
        <v>706</v>
      </c>
      <c r="F174" s="12">
        <f>VLOOKUP(Compras[[#This Row],[Codigo]],Stock[#Data],3,FALSE)</f>
        <v>200</v>
      </c>
      <c r="G174" s="43">
        <f>Compras[[#This Row],[Unidad]]*Compras[[#This Row],[Cantidad]]</f>
        <v>200</v>
      </c>
      <c r="H174" s="16"/>
      <c r="I174" s="16"/>
      <c r="J174" s="16"/>
      <c r="K174" s="16"/>
    </row>
    <row r="175" spans="1:11" ht="20.25" customHeight="1">
      <c r="A175" s="16"/>
      <c r="B175" s="41" t="s">
        <v>1101</v>
      </c>
      <c r="C175" s="6" t="str">
        <f>VLOOKUP(Compras[[#This Row],[Codigo]],Stock[#Data],2,FALSE)</f>
        <v>Trichodermas 30ml GAP</v>
      </c>
      <c r="D175" s="40">
        <v>1</v>
      </c>
      <c r="E175" s="6">
        <v>705</v>
      </c>
      <c r="F175" s="12">
        <f>VLOOKUP(Compras[[#This Row],[Codigo]],Stock[#Data],3,FALSE)</f>
        <v>200</v>
      </c>
      <c r="G175" s="43">
        <f>Compras[[#This Row],[Unidad]]*Compras[[#This Row],[Cantidad]]</f>
        <v>200</v>
      </c>
      <c r="H175" s="16"/>
      <c r="I175" s="16"/>
      <c r="J175" s="16"/>
      <c r="K175" s="16"/>
    </row>
    <row r="176" spans="1:11" ht="20.25" customHeight="1">
      <c r="A176" s="16"/>
      <c r="B176" s="41" t="s">
        <v>1101</v>
      </c>
      <c r="C176" s="6" t="str">
        <f>VLOOKUP(Compras[[#This Row],[Codigo]],Stock[#Data],2,FALSE)</f>
        <v>Aceite de Neem 30ml GAP</v>
      </c>
      <c r="D176" s="40">
        <v>1</v>
      </c>
      <c r="E176" s="6">
        <v>704</v>
      </c>
      <c r="F176" s="12">
        <f>VLOOKUP(Compras[[#This Row],[Codigo]],Stock[#Data],3,FALSE)</f>
        <v>180</v>
      </c>
      <c r="G176" s="43">
        <f>Compras[[#This Row],[Unidad]]*Compras[[#This Row],[Cantidad]]</f>
        <v>180</v>
      </c>
      <c r="H176" s="16"/>
      <c r="I176" s="16"/>
      <c r="J176" s="16"/>
      <c r="K176" s="16"/>
    </row>
    <row r="177" spans="1:11" ht="20.25" customHeight="1">
      <c r="A177" s="16"/>
      <c r="B177" s="41" t="s">
        <v>1101</v>
      </c>
      <c r="C177" s="6" t="str">
        <f>VLOOKUP(Compras[[#This Row],[Codigo]],Stock[#Data],2,FALSE)</f>
        <v>Tierra de Diatomeas 80g GAP</v>
      </c>
      <c r="D177" s="40">
        <v>2</v>
      </c>
      <c r="E177" s="6">
        <v>703</v>
      </c>
      <c r="F177" s="12">
        <f>VLOOKUP(Compras[[#This Row],[Codigo]],Stock[#Data],3,FALSE)</f>
        <v>200</v>
      </c>
      <c r="G177" s="43">
        <f>Compras[[#This Row],[Unidad]]*Compras[[#This Row],[Cantidad]]</f>
        <v>400</v>
      </c>
      <c r="H177" s="16"/>
      <c r="I177" s="16"/>
      <c r="J177" s="16"/>
      <c r="K177" s="16"/>
    </row>
    <row r="178" spans="1:11" ht="20.25" customHeight="1">
      <c r="A178" s="16"/>
      <c r="B178" s="41" t="s">
        <v>1101</v>
      </c>
      <c r="C178" s="6" t="str">
        <f>VLOOKUP(Compras[[#This Row],[Codigo]],Stock[#Data],2,FALSE)</f>
        <v>STS 500ml GAP</v>
      </c>
      <c r="D178" s="40">
        <v>2</v>
      </c>
      <c r="E178" s="6">
        <v>702</v>
      </c>
      <c r="F178" s="12">
        <f>VLOOKUP(Compras[[#This Row],[Codigo]],Stock[#Data],3,FALSE)</f>
        <v>900</v>
      </c>
      <c r="G178" s="43">
        <f>Compras[[#This Row],[Unidad]]*Compras[[#This Row],[Cantidad]]</f>
        <v>1800</v>
      </c>
      <c r="H178" s="16"/>
      <c r="I178" s="16"/>
      <c r="J178" s="16"/>
      <c r="K178" s="16"/>
    </row>
    <row r="179" spans="1:11" ht="20.25" customHeight="1">
      <c r="A179" s="16"/>
      <c r="B179" s="41" t="s">
        <v>1101</v>
      </c>
      <c r="C179" s="6" t="str">
        <f>VLOOKUP(Compras[[#This Row],[Codigo]],Stock[#Data],2,FALSE)</f>
        <v>STS 250ml GAP</v>
      </c>
      <c r="D179" s="40">
        <v>1</v>
      </c>
      <c r="E179" s="6">
        <v>701</v>
      </c>
      <c r="F179" s="12">
        <f>VLOOKUP(Compras[[#This Row],[Codigo]],Stock[#Data],3,FALSE)</f>
        <v>500</v>
      </c>
      <c r="G179" s="43">
        <f>Compras[[#This Row],[Unidad]]*Compras[[#This Row],[Cantidad]]</f>
        <v>500</v>
      </c>
      <c r="H179" s="16"/>
      <c r="I179" s="16"/>
      <c r="J179" s="16"/>
      <c r="K179" s="16"/>
    </row>
    <row r="180" spans="1:11" ht="20.25" customHeight="1">
      <c r="A180" s="16"/>
      <c r="B180" s="41" t="s">
        <v>1101</v>
      </c>
      <c r="C180" s="6" t="str">
        <f>VLOOKUP(Compras[[#This Row],[Codigo]],Stock[#Data],2,FALSE)</f>
        <v>Dolomita 200g GAP</v>
      </c>
      <c r="D180" s="40">
        <v>2</v>
      </c>
      <c r="E180" s="6">
        <v>700</v>
      </c>
      <c r="F180" s="12">
        <f>VLOOKUP(Compras[[#This Row],[Codigo]],Stock[#Data],3,FALSE)</f>
        <v>200</v>
      </c>
      <c r="G180" s="43">
        <f>Compras[[#This Row],[Unidad]]*Compras[[#This Row],[Cantidad]]</f>
        <v>400</v>
      </c>
      <c r="H180" s="16"/>
      <c r="I180" s="16"/>
      <c r="J180" s="16"/>
      <c r="K180" s="16"/>
    </row>
    <row r="181" spans="1:11" ht="20.25" customHeight="1">
      <c r="A181" s="16"/>
      <c r="B181" s="41" t="s">
        <v>1101</v>
      </c>
      <c r="C181" s="6" t="str">
        <f>VLOOKUP(Compras[[#This Row],[Codigo]],Stock[#Data],2,FALSE)</f>
        <v>Harina de Pescado 200g GAP</v>
      </c>
      <c r="D181" s="40">
        <v>2</v>
      </c>
      <c r="E181" s="6">
        <v>699</v>
      </c>
      <c r="F181" s="12">
        <f>VLOOKUP(Compras[[#This Row],[Codigo]],Stock[#Data],3,FALSE)</f>
        <v>340</v>
      </c>
      <c r="G181" s="43">
        <f>Compras[[#This Row],[Unidad]]*Compras[[#This Row],[Cantidad]]</f>
        <v>680</v>
      </c>
      <c r="H181" s="16"/>
      <c r="I181" s="16"/>
      <c r="J181" s="16"/>
      <c r="K181" s="16"/>
    </row>
    <row r="182" spans="1:11" ht="20.25" customHeight="1">
      <c r="A182" s="16"/>
      <c r="B182" s="41" t="s">
        <v>1101</v>
      </c>
      <c r="C182" s="6" t="str">
        <f>VLOOKUP(Compras[[#This Row],[Codigo]],Stock[#Data],2,FALSE)</f>
        <v>Guano de Gallina 1k GAP</v>
      </c>
      <c r="D182" s="40">
        <v>2</v>
      </c>
      <c r="E182" s="6">
        <v>698</v>
      </c>
      <c r="F182" s="12">
        <f>VLOOKUP(Compras[[#This Row],[Codigo]],Stock[#Data],3,FALSE)</f>
        <v>600</v>
      </c>
      <c r="G182" s="43">
        <f>Compras[[#This Row],[Unidad]]*Compras[[#This Row],[Cantidad]]</f>
        <v>1200</v>
      </c>
      <c r="H182" s="16"/>
      <c r="I182" s="16"/>
      <c r="J182" s="16"/>
      <c r="K182" s="16"/>
    </row>
    <row r="183" spans="1:11" ht="20.25" customHeight="1">
      <c r="A183" s="16"/>
      <c r="B183" s="41" t="s">
        <v>1101</v>
      </c>
      <c r="C183" s="6" t="str">
        <f>VLOOKUP(Compras[[#This Row],[Codigo]],Stock[#Data],2,FALSE)</f>
        <v>Guano de Gallina 500g GAP</v>
      </c>
      <c r="D183" s="40">
        <v>3</v>
      </c>
      <c r="E183" s="6">
        <v>697</v>
      </c>
      <c r="F183" s="12">
        <f>VLOOKUP(Compras[[#This Row],[Codigo]],Stock[#Data],3,FALSE)</f>
        <v>400</v>
      </c>
      <c r="G183" s="43">
        <f>Compras[[#This Row],[Unidad]]*Compras[[#This Row],[Cantidad]]</f>
        <v>1200</v>
      </c>
      <c r="H183" s="16"/>
      <c r="I183" s="16"/>
      <c r="J183" s="16"/>
      <c r="K183" s="16"/>
    </row>
    <row r="184" spans="1:11" ht="20.25" customHeight="1">
      <c r="A184" s="16"/>
      <c r="B184" s="41" t="s">
        <v>1101</v>
      </c>
      <c r="C184" s="6" t="str">
        <f>VLOOKUP(Compras[[#This Row],[Codigo]],Stock[#Data],2,FALSE)</f>
        <v>Alga Delta 100ml</v>
      </c>
      <c r="D184" s="40">
        <v>2</v>
      </c>
      <c r="E184" s="6">
        <v>471</v>
      </c>
      <c r="F184" s="12">
        <f>VLOOKUP(Compras[[#This Row],[Codigo]],Stock[#Data],3,FALSE)</f>
        <v>808</v>
      </c>
      <c r="G184" s="43">
        <f>Compras[[#This Row],[Unidad]]*Compras[[#This Row],[Cantidad]]</f>
        <v>1616</v>
      </c>
      <c r="H184" s="16"/>
      <c r="I184" s="16"/>
      <c r="J184" s="16"/>
      <c r="K184" s="16"/>
    </row>
    <row r="185" spans="1:11" ht="20.25" customHeight="1">
      <c r="A185" s="16"/>
      <c r="B185" s="41" t="s">
        <v>1101</v>
      </c>
      <c r="C185" s="6" t="str">
        <f>VLOOKUP(Compras[[#This Row],[Codigo]],Stock[#Data],2,FALSE)</f>
        <v>SKOG King Clon</v>
      </c>
      <c r="D185" s="40">
        <v>2</v>
      </c>
      <c r="E185" s="6">
        <v>15</v>
      </c>
      <c r="F185" s="12">
        <f>VLOOKUP(Compras[[#This Row],[Codigo]],Stock[#Data],3,FALSE)</f>
        <v>485</v>
      </c>
      <c r="G185" s="43">
        <f>Compras[[#This Row],[Unidad]]*Compras[[#This Row],[Cantidad]]</f>
        <v>970</v>
      </c>
      <c r="H185" s="16"/>
      <c r="I185" s="16"/>
      <c r="J185" s="16"/>
      <c r="K185" s="16"/>
    </row>
    <row r="186" spans="1:11" ht="20.25" customHeight="1">
      <c r="A186" s="16"/>
      <c r="B186" s="41" t="s">
        <v>1101</v>
      </c>
      <c r="C186" s="6" t="str">
        <f>VLOOKUP(Compras[[#This Row],[Codigo]],Stock[#Data],2,FALSE)</f>
        <v>Ento 30ml Skog</v>
      </c>
      <c r="D186" s="40">
        <v>2</v>
      </c>
      <c r="E186" s="6">
        <v>682</v>
      </c>
      <c r="F186" s="12">
        <f>VLOOKUP(Compras[[#This Row],[Codigo]],Stock[#Data],3,FALSE)</f>
        <v>500</v>
      </c>
      <c r="G186" s="43">
        <f>Compras[[#This Row],[Unidad]]*Compras[[#This Row],[Cantidad]]</f>
        <v>1000</v>
      </c>
      <c r="H186" s="16"/>
      <c r="I186" s="16"/>
      <c r="J186" s="16"/>
      <c r="K186" s="16"/>
    </row>
    <row r="187" spans="1:11" ht="20.25" customHeight="1">
      <c r="A187" s="16"/>
      <c r="B187" s="41" t="s">
        <v>1101</v>
      </c>
      <c r="C187" s="6" t="str">
        <f>VLOOKUP(Compras[[#This Row],[Codigo]],Stock[#Data],2,FALSE)</f>
        <v>Vax Skog</v>
      </c>
      <c r="D187" s="40">
        <v>7</v>
      </c>
      <c r="E187" s="6">
        <v>454</v>
      </c>
      <c r="F187" s="12">
        <f>VLOOKUP(Compras[[#This Row],[Codigo]],Stock[#Data],3,FALSE)</f>
        <v>376</v>
      </c>
      <c r="G187" s="43">
        <f>Compras[[#This Row],[Unidad]]*Compras[[#This Row],[Cantidad]]</f>
        <v>2632</v>
      </c>
      <c r="H187" s="16"/>
      <c r="I187" s="16"/>
      <c r="J187" s="16"/>
      <c r="K187" s="16"/>
    </row>
    <row r="188" spans="1:11" ht="20.25" customHeight="1">
      <c r="A188" s="16"/>
      <c r="B188" s="41" t="s">
        <v>1101</v>
      </c>
      <c r="C188" s="6" t="str">
        <f>VLOOKUP(Compras[[#This Row],[Codigo]],Stock[#Data],2,FALSE)</f>
        <v>Phos 30ml Skog</v>
      </c>
      <c r="D188" s="40">
        <v>6</v>
      </c>
      <c r="E188" s="6">
        <v>681</v>
      </c>
      <c r="F188" s="12">
        <f>VLOOKUP(Compras[[#This Row],[Codigo]],Stock[#Data],3,FALSE)</f>
        <v>500</v>
      </c>
      <c r="G188" s="43">
        <f>Compras[[#This Row],[Unidad]]*Compras[[#This Row],[Cantidad]]</f>
        <v>3000</v>
      </c>
      <c r="H188" s="16"/>
      <c r="I188" s="16"/>
      <c r="J188" s="16"/>
      <c r="K188" s="16"/>
    </row>
    <row r="189" spans="1:11" ht="20.25" customHeight="1">
      <c r="A189" s="16"/>
      <c r="B189" s="41" t="s">
        <v>1101</v>
      </c>
      <c r="C189" s="6" t="str">
        <f>VLOOKUP(Compras[[#This Row],[Codigo]],Stock[#Data],2,FALSE)</f>
        <v>SKOG Zeta</v>
      </c>
      <c r="D189" s="40">
        <v>9</v>
      </c>
      <c r="E189" s="6">
        <v>13</v>
      </c>
      <c r="F189" s="12">
        <f>VLOOKUP(Compras[[#This Row],[Codigo]],Stock[#Data],3,FALSE)</f>
        <v>405</v>
      </c>
      <c r="G189" s="43">
        <f>Compras[[#This Row],[Unidad]]*Compras[[#This Row],[Cantidad]]</f>
        <v>3645</v>
      </c>
      <c r="H189" s="16"/>
      <c r="I189" s="16"/>
      <c r="J189" s="16"/>
      <c r="K189" s="16"/>
    </row>
    <row r="190" spans="1:11" ht="20.25" customHeight="1">
      <c r="A190" s="16"/>
      <c r="B190" s="41" t="s">
        <v>1101</v>
      </c>
      <c r="C190" s="6" t="str">
        <f>VLOOKUP(Compras[[#This Row],[Codigo]],Stock[#Data],2,FALSE)</f>
        <v>Alga Delta 200ml Skog</v>
      </c>
      <c r="D190" s="40">
        <v>10</v>
      </c>
      <c r="E190" s="6">
        <v>680</v>
      </c>
      <c r="F190" s="12">
        <f>VLOOKUP(Compras[[#This Row],[Codigo]],Stock[#Data],3,FALSE)</f>
        <v>1455</v>
      </c>
      <c r="G190" s="43">
        <f>Compras[[#This Row],[Unidad]]*Compras[[#This Row],[Cantidad]]</f>
        <v>14550</v>
      </c>
      <c r="H190" s="16"/>
      <c r="I190" s="16"/>
      <c r="J190" s="16"/>
      <c r="K190" s="16"/>
    </row>
    <row r="191" spans="1:11" ht="20.25" customHeight="1">
      <c r="A191" s="16"/>
      <c r="B191" s="41" t="s">
        <v>1101</v>
      </c>
      <c r="C191" s="6" t="str">
        <f>VLOOKUP(Compras[[#This Row],[Codigo]],Stock[#Data],2,FALSE)</f>
        <v>Leonardita 200ml Skog</v>
      </c>
      <c r="D191" s="40">
        <v>5</v>
      </c>
      <c r="E191" s="6">
        <v>679</v>
      </c>
      <c r="F191" s="12">
        <f>VLOOKUP(Compras[[#This Row],[Codigo]],Stock[#Data],3,FALSE)</f>
        <v>700</v>
      </c>
      <c r="G191" s="43">
        <f>Compras[[#This Row],[Unidad]]*Compras[[#This Row],[Cantidad]]</f>
        <v>3500</v>
      </c>
      <c r="H191" s="16"/>
      <c r="I191" s="16"/>
      <c r="J191" s="16"/>
      <c r="K191" s="16"/>
    </row>
    <row r="192" spans="1:11" ht="20.25" customHeight="1">
      <c r="A192" s="16"/>
      <c r="B192" s="41" t="s">
        <v>1101</v>
      </c>
      <c r="C192" s="6" t="str">
        <f>VLOOKUP(Compras[[#This Row],[Codigo]],Stock[#Data],2,FALSE)</f>
        <v>Purin de Paraiso 100cc Green Leaf</v>
      </c>
      <c r="D192" s="40">
        <v>1</v>
      </c>
      <c r="E192" s="6">
        <v>678</v>
      </c>
      <c r="F192" s="12">
        <f>VLOOKUP(Compras[[#This Row],[Codigo]],Stock[#Data],3,FALSE)</f>
        <v>498</v>
      </c>
      <c r="G192" s="43">
        <f>Compras[[#This Row],[Unidad]]*Compras[[#This Row],[Cantidad]]</f>
        <v>498</v>
      </c>
      <c r="H192" s="16"/>
      <c r="I192" s="16"/>
      <c r="J192" s="16"/>
      <c r="K192" s="16"/>
    </row>
    <row r="193" spans="1:11" ht="20.25" customHeight="1">
      <c r="A193" s="16"/>
      <c r="B193" s="41" t="s">
        <v>1101</v>
      </c>
      <c r="C193" s="6" t="str">
        <f>VLOOKUP(Compras[[#This Row],[Codigo]],Stock[#Data],2,FALSE)</f>
        <v>6 en 1 250cc Green Leaf</v>
      </c>
      <c r="D193" s="40">
        <v>3</v>
      </c>
      <c r="E193" s="6">
        <v>677</v>
      </c>
      <c r="F193" s="12">
        <f>VLOOKUP(Compras[[#This Row],[Codigo]],Stock[#Data],3,FALSE)</f>
        <v>1324</v>
      </c>
      <c r="G193" s="43">
        <f>Compras[[#This Row],[Unidad]]*Compras[[#This Row],[Cantidad]]</f>
        <v>3972</v>
      </c>
      <c r="H193" s="16"/>
      <c r="I193" s="16"/>
      <c r="J193" s="16"/>
      <c r="K193" s="16"/>
    </row>
    <row r="194" spans="1:11" ht="20.25" customHeight="1">
      <c r="A194" s="16"/>
      <c r="B194" s="41" t="s">
        <v>1101</v>
      </c>
      <c r="C194" s="6" t="str">
        <f>VLOOKUP(Compras[[#This Row],[Codigo]],Stock[#Data],2,FALSE)</f>
        <v>4 en 1 250ml Green Leaf Insumos</v>
      </c>
      <c r="D194" s="40">
        <v>1</v>
      </c>
      <c r="E194" s="6">
        <v>576</v>
      </c>
      <c r="F194" s="12">
        <f>VLOOKUP(Compras[[#This Row],[Codigo]],Stock[#Data],3,FALSE)</f>
        <v>1179</v>
      </c>
      <c r="G194" s="43">
        <f>Compras[[#This Row],[Unidad]]*Compras[[#This Row],[Cantidad]]</f>
        <v>1179</v>
      </c>
      <c r="H194" s="16"/>
      <c r="I194" s="16"/>
      <c r="J194" s="16"/>
      <c r="K194" s="16"/>
    </row>
    <row r="195" spans="1:11" ht="20.25" customHeight="1">
      <c r="A195" s="16"/>
      <c r="B195" s="41" t="s">
        <v>1101</v>
      </c>
      <c r="C195" s="6" t="str">
        <f>VLOOKUP(Compras[[#This Row],[Codigo]],Stock[#Data],2,FALSE)</f>
        <v>Silicio 200cc Green Leaf</v>
      </c>
      <c r="D195" s="40">
        <v>3</v>
      </c>
      <c r="E195" s="6">
        <v>676</v>
      </c>
      <c r="F195" s="12">
        <f>VLOOKUP(Compras[[#This Row],[Codigo]],Stock[#Data],3,FALSE)</f>
        <v>391</v>
      </c>
      <c r="G195" s="43">
        <f>Compras[[#This Row],[Unidad]]*Compras[[#This Row],[Cantidad]]</f>
        <v>1173</v>
      </c>
      <c r="H195" s="16"/>
      <c r="I195" s="16"/>
      <c r="J195" s="16"/>
      <c r="K195" s="16"/>
    </row>
    <row r="196" spans="1:11" ht="20.25" customHeight="1">
      <c r="A196" s="16"/>
      <c r="B196" s="41" t="s">
        <v>1101</v>
      </c>
      <c r="C196" s="6" t="str">
        <f>VLOOKUP(Compras[[#This Row],[Codigo]],Stock[#Data],2,FALSE)</f>
        <v xml:space="preserve">Harina de Sangre 100cc Green Leaf </v>
      </c>
      <c r="D196" s="40">
        <v>7</v>
      </c>
      <c r="E196" s="6">
        <v>675</v>
      </c>
      <c r="F196" s="12">
        <f>VLOOKUP(Compras[[#This Row],[Codigo]],Stock[#Data],3,FALSE)</f>
        <v>380</v>
      </c>
      <c r="G196" s="43">
        <f>Compras[[#This Row],[Unidad]]*Compras[[#This Row],[Cantidad]]</f>
        <v>2660</v>
      </c>
      <c r="H196" s="16"/>
      <c r="I196" s="16"/>
      <c r="J196" s="16"/>
      <c r="K196" s="16"/>
    </row>
    <row r="197" spans="1:11" ht="20.25" customHeight="1">
      <c r="A197" s="16"/>
      <c r="B197" s="41" t="s">
        <v>1101</v>
      </c>
      <c r="C197" s="6" t="str">
        <f>VLOOKUP(Compras[[#This Row],[Codigo]],Stock[#Data],2,FALSE)</f>
        <v>Harina de Hueso 100cc Green Leaf</v>
      </c>
      <c r="D197" s="40">
        <v>6</v>
      </c>
      <c r="E197" s="6">
        <v>674</v>
      </c>
      <c r="F197" s="12">
        <f>VLOOKUP(Compras[[#This Row],[Codigo]],Stock[#Data],3,FALSE)</f>
        <v>325</v>
      </c>
      <c r="G197" s="43">
        <f>Compras[[#This Row],[Unidad]]*Compras[[#This Row],[Cantidad]]</f>
        <v>1950</v>
      </c>
      <c r="H197" s="16"/>
      <c r="I197" s="16"/>
      <c r="J197" s="16"/>
      <c r="K197" s="16"/>
    </row>
    <row r="198" spans="1:11" ht="20.25" customHeight="1">
      <c r="A198" s="16"/>
      <c r="B198" s="41" t="s">
        <v>1101</v>
      </c>
      <c r="C198" s="6" t="str">
        <f>VLOOKUP(Compras[[#This Row],[Codigo]],Stock[#Data],2,FALSE)</f>
        <v>Bokashi Japones 200cc Green Leaf</v>
      </c>
      <c r="D198" s="40">
        <v>2</v>
      </c>
      <c r="E198" s="6">
        <v>673</v>
      </c>
      <c r="F198" s="12">
        <f>VLOOKUP(Compras[[#This Row],[Codigo]],Stock[#Data],3,FALSE)</f>
        <v>391</v>
      </c>
      <c r="G198" s="43">
        <f>Compras[[#This Row],[Unidad]]*Compras[[#This Row],[Cantidad]]</f>
        <v>782</v>
      </c>
      <c r="H198" s="16"/>
      <c r="I198" s="16"/>
      <c r="J198" s="16"/>
      <c r="K198" s="16"/>
    </row>
    <row r="199" spans="1:11" ht="20.25" customHeight="1">
      <c r="A199" s="16"/>
      <c r="B199" s="41" t="s">
        <v>1101</v>
      </c>
      <c r="C199" s="6" t="str">
        <f>VLOOKUP(Compras[[#This Row],[Codigo]],Stock[#Data],2,FALSE)</f>
        <v>Beauveria Bassiana 30cc Green Leaf</v>
      </c>
      <c r="D199" s="40">
        <v>5</v>
      </c>
      <c r="E199" s="6">
        <v>672</v>
      </c>
      <c r="F199" s="12">
        <f>VLOOKUP(Compras[[#This Row],[Codigo]],Stock[#Data],3,FALSE)</f>
        <v>543</v>
      </c>
      <c r="G199" s="43">
        <f>Compras[[#This Row],[Unidad]]*Compras[[#This Row],[Cantidad]]</f>
        <v>2715</v>
      </c>
      <c r="H199" s="16"/>
      <c r="I199" s="16"/>
      <c r="J199" s="16"/>
      <c r="K199" s="16"/>
    </row>
    <row r="200" spans="1:11" ht="20.25" customHeight="1">
      <c r="A200" s="16"/>
      <c r="B200" s="41" t="s">
        <v>1101</v>
      </c>
      <c r="C200" s="6" t="str">
        <f>VLOOKUP(Compras[[#This Row],[Codigo]],Stock[#Data],2,FALSE)</f>
        <v>Mosca Blanca 100cc Green Leaf</v>
      </c>
      <c r="D200" s="40">
        <v>8</v>
      </c>
      <c r="E200" s="6">
        <v>671</v>
      </c>
      <c r="F200" s="12">
        <f>VLOOKUP(Compras[[#This Row],[Codigo]],Stock[#Data],3,FALSE)</f>
        <v>498</v>
      </c>
      <c r="G200" s="43">
        <f>Compras[[#This Row],[Unidad]]*Compras[[#This Row],[Cantidad]]</f>
        <v>3984</v>
      </c>
      <c r="H200" s="16"/>
      <c r="I200" s="16"/>
      <c r="J200" s="16"/>
      <c r="K200" s="16"/>
    </row>
    <row r="201" spans="1:11" ht="20.25" customHeight="1">
      <c r="A201" s="16"/>
      <c r="B201" s="41" t="s">
        <v>1101</v>
      </c>
      <c r="C201" s="6" t="str">
        <f>VLOOKUP(Compras[[#This Row],[Codigo]],Stock[#Data],2,FALSE)</f>
        <v>Purin de Cola de Caballo 100cc Green Leaf</v>
      </c>
      <c r="D201" s="40">
        <v>6</v>
      </c>
      <c r="E201" s="6">
        <v>670</v>
      </c>
      <c r="F201" s="12">
        <f>VLOOKUP(Compras[[#This Row],[Codigo]],Stock[#Data],3,FALSE)</f>
        <v>498</v>
      </c>
      <c r="G201" s="43">
        <f>Compras[[#This Row],[Unidad]]*Compras[[#This Row],[Cantidad]]</f>
        <v>2988</v>
      </c>
      <c r="H201" s="16"/>
      <c r="I201" s="16"/>
      <c r="J201" s="16"/>
      <c r="K201" s="16"/>
    </row>
    <row r="202" spans="1:11" ht="20.25" customHeight="1">
      <c r="A202" s="16"/>
      <c r="B202" s="41" t="s">
        <v>1101</v>
      </c>
      <c r="C202" s="6" t="str">
        <f>VLOOKUP(Compras[[#This Row],[Codigo]],Stock[#Data],2,FALSE)</f>
        <v>Plaguicida Cactus y Suculentas 100cc Green Leaf</v>
      </c>
      <c r="D202" s="40">
        <v>8</v>
      </c>
      <c r="E202" s="6">
        <v>669</v>
      </c>
      <c r="F202" s="12">
        <f>VLOOKUP(Compras[[#This Row],[Codigo]],Stock[#Data],3,FALSE)</f>
        <v>498</v>
      </c>
      <c r="G202" s="43">
        <f>Compras[[#This Row],[Unidad]]*Compras[[#This Row],[Cantidad]]</f>
        <v>3984</v>
      </c>
      <c r="H202" s="16"/>
      <c r="I202" s="16"/>
      <c r="J202" s="16"/>
      <c r="K202" s="16"/>
    </row>
    <row r="203" spans="1:11" ht="20.25" customHeight="1">
      <c r="A203" s="16"/>
      <c r="B203" s="41" t="s">
        <v>1101</v>
      </c>
      <c r="C203" s="6" t="str">
        <f>VLOOKUP(Compras[[#This Row],[Codigo]],Stock[#Data],2,FALSE)</f>
        <v>Trips Green Leaf Insumos 100ml</v>
      </c>
      <c r="D203" s="40">
        <v>7</v>
      </c>
      <c r="E203" s="6">
        <v>577</v>
      </c>
      <c r="F203" s="12">
        <f>VLOOKUP(Compras[[#This Row],[Codigo]],Stock[#Data],3,FALSE)</f>
        <v>498</v>
      </c>
      <c r="G203" s="43">
        <f>Compras[[#This Row],[Unidad]]*Compras[[#This Row],[Cantidad]]</f>
        <v>3486</v>
      </c>
      <c r="H203" s="16"/>
      <c r="I203" s="16"/>
      <c r="J203" s="16"/>
      <c r="K203" s="16"/>
    </row>
    <row r="204" spans="1:11" ht="20.25" customHeight="1">
      <c r="A204" s="16"/>
      <c r="B204" s="41" t="s">
        <v>1101</v>
      </c>
      <c r="C204" s="6" t="str">
        <f>VLOOKUP(Compras[[#This Row],[Codigo]],Stock[#Data],2,FALSE)</f>
        <v>4 en 1 100ml Green Leaf Insumos</v>
      </c>
      <c r="D204" s="40">
        <v>3</v>
      </c>
      <c r="E204" s="6">
        <v>575</v>
      </c>
      <c r="F204" s="12">
        <f>VLOOKUP(Compras[[#This Row],[Codigo]],Stock[#Data],3,FALSE)</f>
        <v>498</v>
      </c>
      <c r="G204" s="43">
        <f>Compras[[#This Row],[Unidad]]*Compras[[#This Row],[Cantidad]]</f>
        <v>1494</v>
      </c>
      <c r="H204" s="16"/>
      <c r="I204" s="16"/>
      <c r="J204" s="16"/>
      <c r="K204" s="16"/>
    </row>
    <row r="205" spans="1:11" ht="20.25" customHeight="1">
      <c r="A205" s="16"/>
      <c r="B205" s="41" t="s">
        <v>1101</v>
      </c>
      <c r="C205" s="6" t="str">
        <f>VLOOKUP(Compras[[#This Row],[Codigo]],Stock[#Data],2,FALSE)</f>
        <v>Purin de Ortiga Green Leaf 100cc</v>
      </c>
      <c r="D205" s="40">
        <v>8</v>
      </c>
      <c r="E205" s="6">
        <v>668</v>
      </c>
      <c r="F205" s="12">
        <f>VLOOKUP(Compras[[#This Row],[Codigo]],Stock[#Data],3,FALSE)</f>
        <v>498</v>
      </c>
      <c r="G205" s="43">
        <f>Compras[[#This Row],[Unidad]]*Compras[[#This Row],[Cantidad]]</f>
        <v>3984</v>
      </c>
      <c r="H205" s="16"/>
      <c r="I205" s="16"/>
      <c r="J205" s="16"/>
      <c r="K205" s="16"/>
    </row>
    <row r="206" spans="1:11" ht="20.25" customHeight="1">
      <c r="A206" s="16"/>
      <c r="B206" s="41" t="s">
        <v>1101</v>
      </c>
      <c r="C206" s="6" t="str">
        <f>VLOOKUP(Compras[[#This Row],[Codigo]],Stock[#Data],2,FALSE)</f>
        <v>Repelente para Hormigas Green Leaf</v>
      </c>
      <c r="D206" s="40">
        <v>6</v>
      </c>
      <c r="E206" s="6">
        <v>469</v>
      </c>
      <c r="F206" s="12">
        <f>VLOOKUP(Compras[[#This Row],[Codigo]],Stock[#Data],3,FALSE)</f>
        <v>498</v>
      </c>
      <c r="G206" s="43">
        <f>Compras[[#This Row],[Unidad]]*Compras[[#This Row],[Cantidad]]</f>
        <v>2988</v>
      </c>
      <c r="H206" s="16"/>
      <c r="I206" s="16"/>
      <c r="J206" s="16"/>
      <c r="K206" s="16"/>
    </row>
    <row r="207" spans="1:11" ht="20.25" customHeight="1">
      <c r="A207" s="16"/>
      <c r="B207" s="41" t="s">
        <v>1101</v>
      </c>
      <c r="C207" s="6" t="str">
        <f>VLOOKUP(Compras[[#This Row],[Codigo]],Stock[#Data],2,FALSE)</f>
        <v>Tierra de Diatomeas 200cc Green Leaf</v>
      </c>
      <c r="D207" s="40">
        <v>4</v>
      </c>
      <c r="E207" s="6">
        <v>667</v>
      </c>
      <c r="F207" s="12">
        <f>VLOOKUP(Compras[[#This Row],[Codigo]],Stock[#Data],3,FALSE)</f>
        <v>380</v>
      </c>
      <c r="G207" s="43">
        <f>Compras[[#This Row],[Unidad]]*Compras[[#This Row],[Cantidad]]</f>
        <v>1520</v>
      </c>
      <c r="H207" s="16"/>
      <c r="I207" s="16"/>
      <c r="J207" s="16"/>
      <c r="K207" s="16"/>
    </row>
    <row r="208" spans="1:11" ht="20.25" customHeight="1">
      <c r="A208" s="16"/>
      <c r="B208" s="41" t="s">
        <v>1101</v>
      </c>
      <c r="C208" s="6" t="str">
        <f>VLOOKUP(Compras[[#This Row],[Codigo]],Stock[#Data],2,FALSE)</f>
        <v>Cultivate Jabon Potasico 1l</v>
      </c>
      <c r="D208" s="40">
        <v>1</v>
      </c>
      <c r="E208" s="6">
        <v>666</v>
      </c>
      <c r="F208" s="12">
        <f>VLOOKUP(Compras[[#This Row],[Codigo]],Stock[#Data],3,FALSE)</f>
        <v>2500</v>
      </c>
      <c r="G208" s="43">
        <f>Compras[[#This Row],[Unidad]]*Compras[[#This Row],[Cantidad]]</f>
        <v>2500</v>
      </c>
      <c r="H208" s="16"/>
      <c r="I208" s="16"/>
      <c r="J208" s="16"/>
      <c r="K208" s="16"/>
    </row>
    <row r="209" spans="1:11" ht="20.25" customHeight="1">
      <c r="A209" s="16"/>
      <c r="B209" s="41" t="s">
        <v>1101</v>
      </c>
      <c r="C209" s="6" t="str">
        <f>VLOOKUP(Compras[[#This Row],[Codigo]],Stock[#Data],2,FALSE)</f>
        <v>Trichodermas Cultivate</v>
      </c>
      <c r="D209" s="40">
        <v>10</v>
      </c>
      <c r="E209" s="6">
        <v>578</v>
      </c>
      <c r="F209" s="12">
        <f>VLOOKUP(Compras[[#This Row],[Codigo]],Stock[#Data],3,FALSE)</f>
        <v>957</v>
      </c>
      <c r="G209" s="43">
        <f>Compras[[#This Row],[Unidad]]*Compras[[#This Row],[Cantidad]]</f>
        <v>9570</v>
      </c>
      <c r="H209" s="16"/>
      <c r="I209" s="16"/>
      <c r="J209" s="16"/>
      <c r="K209" s="16"/>
    </row>
    <row r="210" spans="1:11" ht="20.25" customHeight="1">
      <c r="A210" s="16"/>
      <c r="B210" s="41" t="s">
        <v>1101</v>
      </c>
      <c r="C210" s="6" t="str">
        <f>VLOOKUP(Compras[[#This Row],[Codigo]],Stock[#Data],2,FALSE)</f>
        <v>Cultivate Dolomita 30g</v>
      </c>
      <c r="D210" s="40">
        <v>5</v>
      </c>
      <c r="E210" s="6">
        <v>665</v>
      </c>
      <c r="F210" s="12">
        <f>VLOOKUP(Compras[[#This Row],[Codigo]],Stock[#Data],3,FALSE)</f>
        <v>462</v>
      </c>
      <c r="G210" s="43">
        <f>Compras[[#This Row],[Unidad]]*Compras[[#This Row],[Cantidad]]</f>
        <v>2310</v>
      </c>
      <c r="H210" s="16"/>
      <c r="I210" s="16"/>
      <c r="J210" s="16"/>
      <c r="K210" s="16"/>
    </row>
    <row r="211" spans="1:11" ht="20.25" customHeight="1">
      <c r="A211" s="16"/>
      <c r="B211" s="41" t="s">
        <v>1101</v>
      </c>
      <c r="C211" s="6" t="str">
        <f>VLOOKUP(Compras[[#This Row],[Codigo]],Stock[#Data],2,FALSE)</f>
        <v>Cultivate Jabon Potasico 250ml</v>
      </c>
      <c r="D211" s="40">
        <v>4</v>
      </c>
      <c r="E211" s="6">
        <v>542</v>
      </c>
      <c r="F211" s="12">
        <f>VLOOKUP(Compras[[#This Row],[Codigo]],Stock[#Data],3,FALSE)</f>
        <v>810</v>
      </c>
      <c r="G211" s="43">
        <f>Compras[[#This Row],[Unidad]]*Compras[[#This Row],[Cantidad]]</f>
        <v>3240</v>
      </c>
      <c r="H211" s="16"/>
      <c r="I211" s="16"/>
      <c r="J211" s="16"/>
      <c r="K211" s="16"/>
    </row>
    <row r="212" spans="1:11" ht="20.25" customHeight="1">
      <c r="A212" s="16"/>
      <c r="B212" s="41" t="s">
        <v>1101</v>
      </c>
      <c r="C212" s="6" t="str">
        <f>VLOOKUP(Compras[[#This Row],[Codigo]],Stock[#Data],2,FALSE)</f>
        <v>Cultivate Tierra de Diatomeas 200cc</v>
      </c>
      <c r="D212" s="40">
        <v>9</v>
      </c>
      <c r="E212" s="6">
        <v>664</v>
      </c>
      <c r="F212" s="12">
        <f>VLOOKUP(Compras[[#This Row],[Codigo]],Stock[#Data],3,FALSE)</f>
        <v>610</v>
      </c>
      <c r="G212" s="43">
        <f>Compras[[#This Row],[Unidad]]*Compras[[#This Row],[Cantidad]]</f>
        <v>5490</v>
      </c>
      <c r="H212" s="16"/>
      <c r="I212" s="16"/>
      <c r="J212" s="16"/>
      <c r="K212" s="16"/>
    </row>
    <row r="213" spans="1:11" ht="20.25" customHeight="1">
      <c r="A213" s="16"/>
      <c r="B213" s="41" t="s">
        <v>1101</v>
      </c>
      <c r="C213" s="6" t="str">
        <f>VLOOKUP(Compras[[#This Row],[Codigo]],Stock[#Data],2,FALSE)</f>
        <v>Bio Brew</v>
      </c>
      <c r="D213" s="40">
        <v>1</v>
      </c>
      <c r="E213" s="6">
        <v>11</v>
      </c>
      <c r="F213" s="12">
        <f>VLOOKUP(Compras[[#This Row],[Codigo]],Stock[#Data],3,FALSE)</f>
        <v>530</v>
      </c>
      <c r="G213" s="43">
        <f>Compras[[#This Row],[Unidad]]*Compras[[#This Row],[Cantidad]]</f>
        <v>530</v>
      </c>
      <c r="H213" s="16"/>
      <c r="I213" s="16"/>
      <c r="J213" s="16"/>
      <c r="K213" s="16"/>
    </row>
    <row r="214" spans="1:11" ht="20.25" customHeight="1">
      <c r="A214" s="16"/>
      <c r="B214" s="41" t="s">
        <v>1101</v>
      </c>
      <c r="C214" s="6" t="str">
        <f>VLOOKUP(Compras[[#This Row],[Codigo]],Stock[#Data],2,FALSE)</f>
        <v>Maca Brew 500cc</v>
      </c>
      <c r="D214" s="40">
        <v>11</v>
      </c>
      <c r="E214" s="6">
        <v>12</v>
      </c>
      <c r="F214" s="12">
        <f>VLOOKUP(Compras[[#This Row],[Codigo]],Stock[#Data],3,FALSE)</f>
        <v>470</v>
      </c>
      <c r="G214" s="43">
        <f>Compras[[#This Row],[Unidad]]*Compras[[#This Row],[Cantidad]]</f>
        <v>5170</v>
      </c>
      <c r="H214" s="16"/>
      <c r="I214" s="16"/>
      <c r="J214" s="16"/>
      <c r="K214" s="16"/>
    </row>
    <row r="215" spans="1:11" ht="20.25" customHeight="1">
      <c r="A215" s="16"/>
      <c r="B215" s="41" t="s">
        <v>1101</v>
      </c>
      <c r="C215" s="6" t="str">
        <f>VLOOKUP(Compras[[#This Row],[Codigo]],Stock[#Data],2,FALSE)</f>
        <v>Maca Brew 1l</v>
      </c>
      <c r="D215" s="40">
        <v>10</v>
      </c>
      <c r="E215" s="6">
        <v>696</v>
      </c>
      <c r="F215" s="12">
        <f>VLOOKUP(Compras[[#This Row],[Codigo]],Stock[#Data],3,FALSE)</f>
        <v>650</v>
      </c>
      <c r="G215" s="43">
        <f>Compras[[#This Row],[Unidad]]*Compras[[#This Row],[Cantidad]]</f>
        <v>6500</v>
      </c>
      <c r="H215" s="16"/>
      <c r="I215" s="16"/>
      <c r="J215" s="16"/>
      <c r="K215" s="16"/>
    </row>
    <row r="216" spans="1:11" ht="20.25" customHeight="1">
      <c r="A216" s="16"/>
      <c r="B216" s="41" t="s">
        <v>1101</v>
      </c>
      <c r="C216" s="6" t="str">
        <f>VLOOKUP(Compras[[#This Row],[Codigo]],Stock[#Data],2,FALSE)</f>
        <v>Clonaste Namaste 30gr</v>
      </c>
      <c r="D216" s="40">
        <v>3</v>
      </c>
      <c r="E216" s="6">
        <v>486</v>
      </c>
      <c r="F216" s="12">
        <f>VLOOKUP(Compras[[#This Row],[Codigo]],Stock[#Data],3,FALSE)</f>
        <v>1054</v>
      </c>
      <c r="G216" s="43">
        <f>Compras[[#This Row],[Unidad]]*Compras[[#This Row],[Cantidad]]</f>
        <v>3162</v>
      </c>
      <c r="H216" s="16"/>
      <c r="I216" s="16"/>
      <c r="J216" s="16"/>
      <c r="K216" s="16"/>
    </row>
    <row r="217" spans="1:11" ht="20.25" customHeight="1">
      <c r="A217" s="16"/>
      <c r="B217" s="41" t="s">
        <v>1101</v>
      </c>
      <c r="C217" s="6" t="str">
        <f>VLOOKUP(Compras[[#This Row],[Codigo]],Stock[#Data],2,FALSE)</f>
        <v>Namaste Detox 2l</v>
      </c>
      <c r="D217" s="40">
        <v>2</v>
      </c>
      <c r="E217" s="6">
        <v>663</v>
      </c>
      <c r="F217" s="12">
        <f>VLOOKUP(Compras[[#This Row],[Codigo]],Stock[#Data],3,FALSE)</f>
        <v>2415</v>
      </c>
      <c r="G217" s="43">
        <f>Compras[[#This Row],[Unidad]]*Compras[[#This Row],[Cantidad]]</f>
        <v>4830</v>
      </c>
      <c r="H217" s="16"/>
      <c r="I217" s="16"/>
      <c r="J217" s="16"/>
      <c r="K217" s="16"/>
    </row>
    <row r="218" spans="1:11" ht="20.25" customHeight="1">
      <c r="A218" s="16"/>
      <c r="B218" s="41" t="s">
        <v>1101</v>
      </c>
      <c r="C218" s="6" t="str">
        <f>VLOOKUP(Compras[[#This Row],[Codigo]],Stock[#Data],2,FALSE)</f>
        <v>Namaste Ph- 2l</v>
      </c>
      <c r="D218" s="40">
        <v>2</v>
      </c>
      <c r="E218" s="6">
        <v>662</v>
      </c>
      <c r="F218" s="12">
        <f>VLOOKUP(Compras[[#This Row],[Codigo]],Stock[#Data],3,FALSE)</f>
        <v>4103</v>
      </c>
      <c r="G218" s="43">
        <f>Compras[[#This Row],[Unidad]]*Compras[[#This Row],[Cantidad]]</f>
        <v>8206</v>
      </c>
      <c r="H218" s="16"/>
      <c r="I218" s="16"/>
      <c r="J218" s="16"/>
      <c r="K218" s="16"/>
    </row>
    <row r="219" spans="1:11" ht="20.25" customHeight="1">
      <c r="A219" s="16"/>
      <c r="B219" s="41" t="s">
        <v>1101</v>
      </c>
      <c r="C219" s="6" t="str">
        <f>VLOOKUP(Compras[[#This Row],[Codigo]],Stock[#Data],2,FALSE)</f>
        <v>Namaste Oro Negro 2l</v>
      </c>
      <c r="D219" s="40">
        <v>4</v>
      </c>
      <c r="E219" s="6">
        <v>661</v>
      </c>
      <c r="F219" s="12">
        <f>VLOOKUP(Compras[[#This Row],[Codigo]],Stock[#Data],3,FALSE)</f>
        <v>3417</v>
      </c>
      <c r="G219" s="43">
        <f>Compras[[#This Row],[Unidad]]*Compras[[#This Row],[Cantidad]]</f>
        <v>13668</v>
      </c>
      <c r="H219" s="16"/>
      <c r="I219" s="16"/>
      <c r="J219" s="16"/>
      <c r="K219" s="16"/>
    </row>
    <row r="220" spans="1:11" ht="20.25" customHeight="1">
      <c r="A220" s="16"/>
      <c r="B220" s="41" t="s">
        <v>1101</v>
      </c>
      <c r="C220" s="6" t="str">
        <f>VLOOKUP(Compras[[#This Row],[Codigo]],Stock[#Data],2,FALSE)</f>
        <v>Namaste Flora Booster 2l</v>
      </c>
      <c r="D220" s="40">
        <v>4</v>
      </c>
      <c r="E220" s="6">
        <v>660</v>
      </c>
      <c r="F220" s="12">
        <f>VLOOKUP(Compras[[#This Row],[Codigo]],Stock[#Data],3,FALSE)</f>
        <v>3624</v>
      </c>
      <c r="G220" s="43">
        <f>Compras[[#This Row],[Unidad]]*Compras[[#This Row],[Cantidad]]</f>
        <v>14496</v>
      </c>
      <c r="H220" s="16"/>
      <c r="I220" s="16"/>
      <c r="J220" s="16"/>
      <c r="K220" s="16"/>
    </row>
    <row r="221" spans="1:11" ht="20.25" customHeight="1">
      <c r="A221" s="16"/>
      <c r="B221" s="41" t="s">
        <v>1101</v>
      </c>
      <c r="C221" s="6" t="str">
        <f>VLOOKUP(Compras[[#This Row],[Codigo]],Stock[#Data],2,FALSE)</f>
        <v>Namaste PH- 500ml</v>
      </c>
      <c r="D221" s="40">
        <v>5</v>
      </c>
      <c r="E221" s="6">
        <v>541</v>
      </c>
      <c r="F221" s="12">
        <f>VLOOKUP(Compras[[#This Row],[Codigo]],Stock[#Data],3,FALSE)</f>
        <v>1345</v>
      </c>
      <c r="G221" s="43">
        <f>Compras[[#This Row],[Unidad]]*Compras[[#This Row],[Cantidad]]</f>
        <v>6725</v>
      </c>
      <c r="H221" s="16"/>
      <c r="I221" s="16"/>
      <c r="J221" s="16"/>
      <c r="K221" s="16"/>
    </row>
    <row r="222" spans="1:11" ht="20.25" customHeight="1">
      <c r="A222" s="16"/>
      <c r="B222" s="41" t="s">
        <v>1101</v>
      </c>
      <c r="C222" s="6" t="str">
        <f>VLOOKUP(Compras[[#This Row],[Codigo]],Stock[#Data],2,FALSE)</f>
        <v>Namaste Shanti 500ml</v>
      </c>
      <c r="D222" s="40">
        <v>2</v>
      </c>
      <c r="E222" s="6">
        <v>539</v>
      </c>
      <c r="F222" s="12">
        <f>VLOOKUP(Compras[[#This Row],[Codigo]],Stock[#Data],3,FALSE)</f>
        <v>3216</v>
      </c>
      <c r="G222" s="43">
        <f>Compras[[#This Row],[Unidad]]*Compras[[#This Row],[Cantidad]]</f>
        <v>6432</v>
      </c>
      <c r="H222" s="16"/>
      <c r="I222" s="16"/>
      <c r="J222" s="16"/>
      <c r="K222" s="16"/>
    </row>
    <row r="223" spans="1:11" ht="20.25" customHeight="1">
      <c r="A223" s="16"/>
      <c r="B223" s="41" t="s">
        <v>1101</v>
      </c>
      <c r="C223" s="6" t="str">
        <f>VLOOKUP(Compras[[#This Row],[Codigo]],Stock[#Data],2,FALSE)</f>
        <v>Namaste Detox 500ml</v>
      </c>
      <c r="D223" s="40">
        <v>6</v>
      </c>
      <c r="E223" s="6">
        <v>659</v>
      </c>
      <c r="F223" s="12">
        <f>VLOOKUP(Compras[[#This Row],[Codigo]],Stock[#Data],3,FALSE)</f>
        <v>772</v>
      </c>
      <c r="G223" s="43">
        <f>Compras[[#This Row],[Unidad]]*Compras[[#This Row],[Cantidad]]</f>
        <v>4632</v>
      </c>
      <c r="H223" s="16"/>
      <c r="I223" s="16"/>
      <c r="J223" s="16"/>
      <c r="K223" s="16"/>
    </row>
    <row r="224" spans="1:11" ht="20.25" customHeight="1">
      <c r="A224" s="16"/>
      <c r="B224" s="41" t="s">
        <v>1101</v>
      </c>
      <c r="C224" s="6" t="str">
        <f>VLOOKUP(Compras[[#This Row],[Codigo]],Stock[#Data],2,FALSE)</f>
        <v>Namaste Trico+ 100gr</v>
      </c>
      <c r="D224" s="40">
        <v>2</v>
      </c>
      <c r="E224" s="6">
        <v>479</v>
      </c>
      <c r="F224" s="12">
        <f>VLOOKUP(Compras[[#This Row],[Codigo]],Stock[#Data],3,FALSE)</f>
        <v>541</v>
      </c>
      <c r="G224" s="43">
        <f>Compras[[#This Row],[Unidad]]*Compras[[#This Row],[Cantidad]]</f>
        <v>1082</v>
      </c>
      <c r="H224" s="16"/>
      <c r="I224" s="16"/>
      <c r="J224" s="16"/>
      <c r="K224" s="16"/>
    </row>
    <row r="225" spans="1:11" ht="20.25" customHeight="1">
      <c r="A225" s="16"/>
      <c r="B225" s="41" t="s">
        <v>1101</v>
      </c>
      <c r="C225" s="6" t="str">
        <f>VLOOKUP(Compras[[#This Row],[Codigo]],Stock[#Data],2,FALSE)</f>
        <v>Namaste Shanti 100ml</v>
      </c>
      <c r="D225" s="40">
        <v>2</v>
      </c>
      <c r="E225" s="6">
        <v>569</v>
      </c>
      <c r="F225" s="12">
        <f>VLOOKUP(Compras[[#This Row],[Codigo]],Stock[#Data],3,FALSE)</f>
        <v>932</v>
      </c>
      <c r="G225" s="43">
        <f>Compras[[#This Row],[Unidad]]*Compras[[#This Row],[Cantidad]]</f>
        <v>1864</v>
      </c>
      <c r="H225" s="16"/>
      <c r="I225" s="16"/>
      <c r="J225" s="16"/>
      <c r="K225" s="16"/>
    </row>
    <row r="226" spans="1:11" ht="20.25" customHeight="1">
      <c r="A226" s="16"/>
      <c r="B226" s="41" t="s">
        <v>1101</v>
      </c>
      <c r="C226" s="6" t="str">
        <f>VLOOKUP(Compras[[#This Row],[Codigo]],Stock[#Data],2,FALSE)</f>
        <v>Namaste Bioprotect 100ml</v>
      </c>
      <c r="D226" s="40">
        <v>10</v>
      </c>
      <c r="E226" s="6">
        <v>540</v>
      </c>
      <c r="F226" s="12">
        <f>VLOOKUP(Compras[[#This Row],[Codigo]],Stock[#Data],3,FALSE)</f>
        <v>600</v>
      </c>
      <c r="G226" s="43">
        <f>Compras[[#This Row],[Unidad]]*Compras[[#This Row],[Cantidad]]</f>
        <v>6000</v>
      </c>
      <c r="H226" s="16"/>
      <c r="I226" s="16"/>
      <c r="J226" s="16"/>
      <c r="K226" s="16"/>
    </row>
    <row r="227" spans="1:11" ht="20.25" customHeight="1">
      <c r="A227" s="16"/>
      <c r="B227" s="41" t="s">
        <v>1101</v>
      </c>
      <c r="C227" s="6" t="str">
        <f>VLOOKUP(Compras[[#This Row],[Codigo]],Stock[#Data],2,FALSE)</f>
        <v>Namaste Ph- 100ml</v>
      </c>
      <c r="D227" s="40">
        <v>10</v>
      </c>
      <c r="E227" s="6">
        <v>605</v>
      </c>
      <c r="F227" s="12">
        <f>VLOOKUP(Compras[[#This Row],[Codigo]],Stock[#Data],3,FALSE)</f>
        <v>412</v>
      </c>
      <c r="G227" s="43">
        <f>Compras[[#This Row],[Unidad]]*Compras[[#This Row],[Cantidad]]</f>
        <v>4120</v>
      </c>
      <c r="H227" s="16"/>
      <c r="I227" s="16"/>
      <c r="J227" s="16"/>
      <c r="K227" s="16"/>
    </row>
    <row r="228" spans="1:11" ht="20.25" customHeight="1">
      <c r="A228" s="16"/>
      <c r="B228" s="41" t="s">
        <v>1101</v>
      </c>
      <c r="C228" s="6" t="str">
        <f>VLOOKUP(Compras[[#This Row],[Codigo]],Stock[#Data],2,FALSE)</f>
        <v>Namaste BioNeem 30ml</v>
      </c>
      <c r="D228" s="40">
        <v>6</v>
      </c>
      <c r="E228" s="6">
        <v>658</v>
      </c>
      <c r="F228" s="12">
        <f>VLOOKUP(Compras[[#This Row],[Codigo]],Stock[#Data],3,FALSE)</f>
        <v>646</v>
      </c>
      <c r="G228" s="43">
        <f>Compras[[#This Row],[Unidad]]*Compras[[#This Row],[Cantidad]]</f>
        <v>3876</v>
      </c>
      <c r="H228" s="16"/>
      <c r="I228" s="16"/>
      <c r="J228" s="16"/>
      <c r="K228" s="16"/>
    </row>
    <row r="229" spans="1:11" ht="20.25" customHeight="1">
      <c r="A229" s="16"/>
      <c r="B229" s="41" t="s">
        <v>1101</v>
      </c>
      <c r="C229" s="6" t="str">
        <f>VLOOKUP(Compras[[#This Row],[Codigo]],Stock[#Data],2,FALSE)</f>
        <v>VAMP Pocion INFERNAL</v>
      </c>
      <c r="D229" s="40">
        <v>1</v>
      </c>
      <c r="E229" s="6">
        <v>42</v>
      </c>
      <c r="F229" s="12">
        <f>VLOOKUP(Compras[[#This Row],[Codigo]],Stock[#Data],3,FALSE)</f>
        <v>795</v>
      </c>
      <c r="G229" s="43">
        <f>Compras[[#This Row],[Unidad]]*Compras[[#This Row],[Cantidad]]</f>
        <v>795</v>
      </c>
      <c r="H229" s="16"/>
      <c r="I229" s="16"/>
      <c r="J229" s="16"/>
      <c r="K229" s="16"/>
    </row>
    <row r="230" spans="1:11" ht="20.25" customHeight="1">
      <c r="A230" s="16"/>
      <c r="B230" s="41" t="s">
        <v>1101</v>
      </c>
      <c r="C230" s="6" t="str">
        <f>VLOOKUP(Compras[[#This Row],[Codigo]],Stock[#Data],2,FALSE)</f>
        <v>VAMP hechizo BLOOM</v>
      </c>
      <c r="D230" s="40">
        <v>6</v>
      </c>
      <c r="E230" s="6">
        <v>40</v>
      </c>
      <c r="F230" s="12">
        <f>VLOOKUP(Compras[[#This Row],[Codigo]],Stock[#Data],3,FALSE)</f>
        <v>600</v>
      </c>
      <c r="G230" s="43">
        <f>Compras[[#This Row],[Unidad]]*Compras[[#This Row],[Cantidad]]</f>
        <v>3600</v>
      </c>
      <c r="H230" s="16"/>
      <c r="I230" s="16"/>
      <c r="J230" s="16"/>
      <c r="K230" s="16"/>
    </row>
    <row r="231" spans="1:11" ht="20.25" customHeight="1">
      <c r="A231" s="16"/>
      <c r="B231" s="41" t="s">
        <v>1101</v>
      </c>
      <c r="C231" s="6" t="str">
        <f>VLOOKUP(Compras[[#This Row],[Codigo]],Stock[#Data],2,FALSE)</f>
        <v>VAMP Pocion IMPKBLE</v>
      </c>
      <c r="D231" s="40">
        <v>7</v>
      </c>
      <c r="E231" s="6">
        <v>41</v>
      </c>
      <c r="F231" s="12">
        <f>VLOOKUP(Compras[[#This Row],[Codigo]],Stock[#Data],3,FALSE)</f>
        <v>795</v>
      </c>
      <c r="G231" s="43">
        <f>Compras[[#This Row],[Unidad]]*Compras[[#This Row],[Cantidad]]</f>
        <v>5565</v>
      </c>
      <c r="H231" s="16"/>
      <c r="I231" s="16"/>
      <c r="J231" s="16"/>
      <c r="K231" s="16"/>
    </row>
    <row r="232" spans="1:11" ht="20.25" customHeight="1">
      <c r="A232" s="16"/>
      <c r="B232" s="41" t="s">
        <v>1101</v>
      </c>
      <c r="C232" s="6" t="str">
        <f>VLOOKUP(Compras[[#This Row],[Codigo]],Stock[#Data],2,FALSE)</f>
        <v>VAMP hechizo BOOM</v>
      </c>
      <c r="D232" s="40">
        <v>4</v>
      </c>
      <c r="E232" s="6">
        <v>39</v>
      </c>
      <c r="F232" s="12">
        <f>VLOOKUP(Compras[[#This Row],[Codigo]],Stock[#Data],3,FALSE)</f>
        <v>600</v>
      </c>
      <c r="G232" s="43">
        <f>Compras[[#This Row],[Unidad]]*Compras[[#This Row],[Cantidad]]</f>
        <v>2400</v>
      </c>
      <c r="H232" s="16"/>
      <c r="I232" s="16"/>
      <c r="J232" s="16"/>
      <c r="K232" s="16"/>
    </row>
    <row r="233" spans="1:11" ht="20.25" customHeight="1">
      <c r="A233" s="16"/>
      <c r="B233" s="41" t="s">
        <v>1101</v>
      </c>
      <c r="C233" s="6" t="str">
        <f>VLOOKUP(Compras[[#This Row],[Codigo]],Stock[#Data],2,FALSE)</f>
        <v>VAMP Guano de murcielago Vegetativo</v>
      </c>
      <c r="D233" s="40">
        <v>6</v>
      </c>
      <c r="E233" s="6">
        <v>37</v>
      </c>
      <c r="F233" s="12">
        <f>VLOOKUP(Compras[[#This Row],[Codigo]],Stock[#Data],3,FALSE)</f>
        <v>510</v>
      </c>
      <c r="G233" s="43">
        <f>Compras[[#This Row],[Unidad]]*Compras[[#This Row],[Cantidad]]</f>
        <v>3060</v>
      </c>
      <c r="H233" s="16"/>
      <c r="I233" s="16"/>
      <c r="J233" s="16"/>
      <c r="K233" s="16"/>
    </row>
    <row r="234" spans="1:11" ht="20.25" customHeight="1">
      <c r="A234" s="16"/>
      <c r="B234" s="41" t="s">
        <v>1101</v>
      </c>
      <c r="C234" s="6" t="str">
        <f>VLOOKUP(Compras[[#This Row],[Codigo]],Stock[#Data],2,FALSE)</f>
        <v>VAMP Arcilla Volcanica</v>
      </c>
      <c r="D234" s="40">
        <v>1</v>
      </c>
      <c r="E234" s="6">
        <v>43</v>
      </c>
      <c r="F234" s="12">
        <f>VLOOKUP(Compras[[#This Row],[Codigo]],Stock[#Data],3,FALSE)</f>
        <v>458</v>
      </c>
      <c r="G234" s="43">
        <f>Compras[[#This Row],[Unidad]]*Compras[[#This Row],[Cantidad]]</f>
        <v>458</v>
      </c>
      <c r="H234" s="16"/>
      <c r="I234" s="16"/>
      <c r="J234" s="16"/>
      <c r="K234" s="16"/>
    </row>
    <row r="235" spans="1:11" ht="20.25" customHeight="1">
      <c r="A235" s="16"/>
      <c r="B235" s="41" t="s">
        <v>1101</v>
      </c>
      <c r="C235" s="6" t="str">
        <f>VLOOKUP(Compras[[#This Row],[Codigo]],Stock[#Data],2,FALSE)</f>
        <v>Guano de Gallina Vege Vamp</v>
      </c>
      <c r="D235" s="40">
        <v>2</v>
      </c>
      <c r="E235" s="6">
        <v>695</v>
      </c>
      <c r="F235" s="12">
        <f>VLOOKUP(Compras[[#This Row],[Codigo]],Stock[#Data],3,FALSE)</f>
        <v>345</v>
      </c>
      <c r="G235" s="43">
        <f>Compras[[#This Row],[Unidad]]*Compras[[#This Row],[Cantidad]]</f>
        <v>690</v>
      </c>
      <c r="H235" s="16"/>
      <c r="I235" s="16"/>
      <c r="J235" s="16"/>
      <c r="K235" s="16"/>
    </row>
    <row r="236" spans="1:11" ht="20.25" customHeight="1">
      <c r="A236" s="16"/>
      <c r="B236" s="41" t="s">
        <v>1101</v>
      </c>
      <c r="C236" s="6" t="str">
        <f>VLOOKUP(Compras[[#This Row],[Codigo]],Stock[#Data],2,FALSE)</f>
        <v>Vamp Guano de Gallina Flora</v>
      </c>
      <c r="D236" s="40">
        <v>5</v>
      </c>
      <c r="E236" s="6">
        <v>461</v>
      </c>
      <c r="F236" s="12">
        <f>VLOOKUP(Compras[[#This Row],[Codigo]],Stock[#Data],3,FALSE)</f>
        <v>345</v>
      </c>
      <c r="G236" s="43">
        <f>Compras[[#This Row],[Unidad]]*Compras[[#This Row],[Cantidad]]</f>
        <v>1725</v>
      </c>
      <c r="H236" s="16"/>
      <c r="I236" s="16"/>
      <c r="J236" s="16"/>
      <c r="K236" s="16"/>
    </row>
    <row r="237" spans="1:11" ht="20.25" customHeight="1">
      <c r="A237" s="16"/>
      <c r="B237" s="41" t="s">
        <v>1101</v>
      </c>
      <c r="C237" s="6" t="str">
        <f>VLOOKUP(Compras[[#This Row],[Codigo]],Stock[#Data],2,FALSE)</f>
        <v>Pangea D-Killer 100g</v>
      </c>
      <c r="D237" s="40">
        <v>4</v>
      </c>
      <c r="E237" s="6">
        <v>657</v>
      </c>
      <c r="F237" s="12">
        <f>VLOOKUP(Compras[[#This Row],[Codigo]],Stock[#Data],3,FALSE)</f>
        <v>605</v>
      </c>
      <c r="G237" s="43">
        <f>Compras[[#This Row],[Unidad]]*Compras[[#This Row],[Cantidad]]</f>
        <v>2420</v>
      </c>
      <c r="H237" s="16"/>
      <c r="I237" s="16"/>
      <c r="J237" s="16"/>
      <c r="K237" s="16"/>
    </row>
    <row r="238" spans="1:11" ht="20.25" customHeight="1">
      <c r="A238" s="16"/>
      <c r="B238" s="41" t="s">
        <v>1101</v>
      </c>
      <c r="C238" s="6" t="str">
        <f>VLOOKUP(Compras[[#This Row],[Codigo]],Stock[#Data],2,FALSE)</f>
        <v>Pangea Bloom Starter 100ml</v>
      </c>
      <c r="D238" s="40">
        <v>5</v>
      </c>
      <c r="E238" s="6">
        <v>656</v>
      </c>
      <c r="F238" s="12">
        <f>VLOOKUP(Compras[[#This Row],[Codigo]],Stock[#Data],3,FALSE)</f>
        <v>940</v>
      </c>
      <c r="G238" s="43">
        <f>Compras[[#This Row],[Unidad]]*Compras[[#This Row],[Cantidad]]</f>
        <v>4700</v>
      </c>
      <c r="H238" s="16"/>
      <c r="I238" s="16"/>
      <c r="J238" s="16"/>
      <c r="K238" s="16"/>
    </row>
    <row r="239" spans="1:11" ht="20.25" customHeight="1">
      <c r="A239" s="16"/>
      <c r="B239" s="41" t="s">
        <v>1101</v>
      </c>
      <c r="C239" s="6" t="str">
        <f>VLOOKUP(Compras[[#This Row],[Codigo]],Stock[#Data],2,FALSE)</f>
        <v>Pangea Fisher Juice 100ml</v>
      </c>
      <c r="D239" s="40">
        <v>6</v>
      </c>
      <c r="E239" s="6">
        <v>655</v>
      </c>
      <c r="F239" s="12">
        <f>VLOOKUP(Compras[[#This Row],[Codigo]],Stock[#Data],3,FALSE)</f>
        <v>727</v>
      </c>
      <c r="G239" s="43">
        <f>Compras[[#This Row],[Unidad]]*Compras[[#This Row],[Cantidad]]</f>
        <v>4362</v>
      </c>
      <c r="H239" s="16"/>
      <c r="I239" s="16"/>
      <c r="J239" s="16"/>
      <c r="K239" s="16"/>
    </row>
    <row r="240" spans="1:11" ht="20.25" customHeight="1">
      <c r="A240" s="16"/>
      <c r="B240" s="41" t="s">
        <v>1101</v>
      </c>
      <c r="C240" s="6" t="str">
        <f>VLOOKUP(Compras[[#This Row],[Codigo]],Stock[#Data],2,FALSE)</f>
        <v>Pangea Last Chance 100ml</v>
      </c>
      <c r="D240" s="40">
        <v>2</v>
      </c>
      <c r="E240" s="6">
        <v>654</v>
      </c>
      <c r="F240" s="12">
        <f>VLOOKUP(Compras[[#This Row],[Codigo]],Stock[#Data],3,FALSE)</f>
        <v>727</v>
      </c>
      <c r="G240" s="43">
        <f>Compras[[#This Row],[Unidad]]*Compras[[#This Row],[Cantidad]]</f>
        <v>1454</v>
      </c>
      <c r="H240" s="16"/>
      <c r="I240" s="16"/>
      <c r="J240" s="16"/>
      <c r="K240" s="16"/>
    </row>
    <row r="241" spans="1:11" ht="20.25" customHeight="1">
      <c r="A241" s="16"/>
      <c r="B241" s="41" t="s">
        <v>1101</v>
      </c>
      <c r="C241" s="6" t="str">
        <f>VLOOKUP(Compras[[#This Row],[Codigo]],Stock[#Data],2,FALSE)</f>
        <v>Pangea Fisher Juice 300ml</v>
      </c>
      <c r="D241" s="40">
        <v>3</v>
      </c>
      <c r="E241" s="6">
        <v>653</v>
      </c>
      <c r="F241" s="12">
        <f>VLOOKUP(Compras[[#This Row],[Codigo]],Stock[#Data],3,FALSE)</f>
        <v>1605</v>
      </c>
      <c r="G241" s="43">
        <f>Compras[[#This Row],[Unidad]]*Compras[[#This Row],[Cantidad]]</f>
        <v>4815</v>
      </c>
      <c r="H241" s="16"/>
      <c r="I241" s="16"/>
      <c r="J241" s="16"/>
      <c r="K241" s="16"/>
    </row>
    <row r="242" spans="1:11" ht="20.25" customHeight="1">
      <c r="A242" s="16"/>
      <c r="B242" s="41" t="s">
        <v>1101</v>
      </c>
      <c r="C242" s="6" t="str">
        <f>VLOOKUP(Compras[[#This Row],[Codigo]],Stock[#Data],2,FALSE)</f>
        <v>Pangea Healty 300ml</v>
      </c>
      <c r="D242" s="40">
        <v>3</v>
      </c>
      <c r="E242" s="6">
        <v>652</v>
      </c>
      <c r="F242" s="12">
        <f>VLOOKUP(Compras[[#This Row],[Codigo]],Stock[#Data],3,FALSE)</f>
        <v>907</v>
      </c>
      <c r="G242" s="43">
        <f>Compras[[#This Row],[Unidad]]*Compras[[#This Row],[Cantidad]]</f>
        <v>2721</v>
      </c>
      <c r="H242" s="16"/>
      <c r="I242" s="16"/>
      <c r="J242" s="16"/>
      <c r="K242" s="16"/>
    </row>
    <row r="243" spans="1:11" ht="20.25" customHeight="1">
      <c r="A243" s="16"/>
      <c r="B243" s="41" t="s">
        <v>1101</v>
      </c>
      <c r="C243" s="6" t="str">
        <f>VLOOKUP(Compras[[#This Row],[Codigo]],Stock[#Data],2,FALSE)</f>
        <v>Pangea Last Chance 300ml</v>
      </c>
      <c r="D243" s="40">
        <v>2</v>
      </c>
      <c r="E243" s="6">
        <v>651</v>
      </c>
      <c r="F243" s="12">
        <f>VLOOKUP(Compras[[#This Row],[Codigo]],Stock[#Data],3,FALSE)</f>
        <v>1605</v>
      </c>
      <c r="G243" s="43">
        <f>Compras[[#This Row],[Unidad]]*Compras[[#This Row],[Cantidad]]</f>
        <v>3210</v>
      </c>
      <c r="H243" s="16"/>
      <c r="I243" s="16"/>
      <c r="J243" s="16"/>
      <c r="K243" s="16"/>
    </row>
    <row r="244" spans="1:11" ht="20.25" customHeight="1">
      <c r="A244" s="16"/>
      <c r="B244" s="41" t="s">
        <v>1101</v>
      </c>
      <c r="C244" s="6" t="str">
        <f>VLOOKUP(Compras[[#This Row],[Codigo]],Stock[#Data],2,FALSE)</f>
        <v>Pangea Black Rooster 300ml</v>
      </c>
      <c r="D244" s="40">
        <v>3</v>
      </c>
      <c r="E244" s="6">
        <v>650</v>
      </c>
      <c r="F244" s="12">
        <f>VLOOKUP(Compras[[#This Row],[Codigo]],Stock[#Data],3,FALSE)</f>
        <v>1090</v>
      </c>
      <c r="G244" s="43">
        <f>Compras[[#This Row],[Unidad]]*Compras[[#This Row],[Cantidad]]</f>
        <v>3270</v>
      </c>
      <c r="H244" s="16"/>
      <c r="I244" s="16"/>
      <c r="J244" s="16"/>
      <c r="K244" s="16"/>
    </row>
    <row r="245" spans="1:11" ht="20.25" customHeight="1">
      <c r="A245" s="16"/>
      <c r="B245" s="41" t="s">
        <v>1101</v>
      </c>
      <c r="C245" s="6" t="str">
        <f>VLOOKUP(Compras[[#This Row],[Codigo]],Stock[#Data],2,FALSE)</f>
        <v>Kawsay Power Finish 250ml</v>
      </c>
      <c r="D245" s="40">
        <v>5</v>
      </c>
      <c r="E245" s="6">
        <v>649</v>
      </c>
      <c r="F245" s="12">
        <f>VLOOKUP(Compras[[#This Row],[Codigo]],Stock[#Data],3,FALSE)</f>
        <v>1200</v>
      </c>
      <c r="G245" s="43">
        <f>Compras[[#This Row],[Unidad]]*Compras[[#This Row],[Cantidad]]</f>
        <v>6000</v>
      </c>
      <c r="H245" s="16"/>
      <c r="I245" s="16"/>
      <c r="J245" s="16"/>
      <c r="K245" s="16"/>
    </row>
    <row r="246" spans="1:11" ht="20.25" customHeight="1">
      <c r="A246" s="16"/>
      <c r="B246" s="41" t="s">
        <v>1101</v>
      </c>
      <c r="C246" s="6" t="str">
        <f>VLOOKUP(Compras[[#This Row],[Codigo]],Stock[#Data],2,FALSE)</f>
        <v>Kawsay Bloom 250ml</v>
      </c>
      <c r="D246" s="40">
        <v>2</v>
      </c>
      <c r="E246" s="6">
        <v>648</v>
      </c>
      <c r="F246" s="12">
        <f>VLOOKUP(Compras[[#This Row],[Codigo]],Stock[#Data],3,FALSE)</f>
        <v>1500</v>
      </c>
      <c r="G246" s="43">
        <f>Compras[[#This Row],[Unidad]]*Compras[[#This Row],[Cantidad]]</f>
        <v>3000</v>
      </c>
      <c r="H246" s="16"/>
      <c r="I246" s="16"/>
      <c r="J246" s="16"/>
      <c r="K246" s="16"/>
    </row>
    <row r="247" spans="1:11" ht="20.25" customHeight="1">
      <c r="A247" s="16"/>
      <c r="B247" s="41" t="s">
        <v>1101</v>
      </c>
      <c r="C247" s="6" t="str">
        <f>VLOOKUP(Compras[[#This Row],[Codigo]],Stock[#Data],2,FALSE)</f>
        <v>Kawsay Vege 250ml</v>
      </c>
      <c r="D247" s="40">
        <v>3</v>
      </c>
      <c r="E247" s="6">
        <v>647</v>
      </c>
      <c r="F247" s="12">
        <f>VLOOKUP(Compras[[#This Row],[Codigo]],Stock[#Data],3,FALSE)</f>
        <v>1500</v>
      </c>
      <c r="G247" s="43">
        <f>Compras[[#This Row],[Unidad]]*Compras[[#This Row],[Cantidad]]</f>
        <v>4500</v>
      </c>
      <c r="H247" s="16"/>
      <c r="I247" s="16"/>
      <c r="J247" s="16"/>
      <c r="K247" s="16"/>
    </row>
    <row r="248" spans="1:11" ht="20.25" customHeight="1">
      <c r="A248" s="16"/>
      <c r="B248" s="41" t="s">
        <v>1101</v>
      </c>
      <c r="C248" s="6" t="str">
        <f>VLOOKUP(Compras[[#This Row],[Codigo]],Stock[#Data],2,FALSE)</f>
        <v>Kawsay Base A 250ml</v>
      </c>
      <c r="D248" s="40">
        <v>2</v>
      </c>
      <c r="E248" s="6">
        <v>645</v>
      </c>
      <c r="F248" s="12">
        <f>VLOOKUP(Compras[[#This Row],[Codigo]],Stock[#Data],3,FALSE)</f>
        <v>1200</v>
      </c>
      <c r="G248" s="43">
        <f>Compras[[#This Row],[Unidad]]*Compras[[#This Row],[Cantidad]]</f>
        <v>2400</v>
      </c>
      <c r="H248" s="16"/>
      <c r="I248" s="16"/>
      <c r="J248" s="16"/>
      <c r="K248" s="16"/>
    </row>
    <row r="249" spans="1:11" ht="20.25" customHeight="1">
      <c r="A249" s="16"/>
      <c r="B249" s="41" t="s">
        <v>1101</v>
      </c>
      <c r="C249" s="6" t="str">
        <f>VLOOKUP(Compras[[#This Row],[Codigo]],Stock[#Data],2,FALSE)</f>
        <v>Kawsay Base B 250ml</v>
      </c>
      <c r="D249" s="40">
        <v>2</v>
      </c>
      <c r="E249" s="6">
        <v>646</v>
      </c>
      <c r="F249" s="12">
        <f>VLOOKUP(Compras[[#This Row],[Codigo]],Stock[#Data],3,FALSE)</f>
        <v>1200</v>
      </c>
      <c r="G249" s="43">
        <f>Compras[[#This Row],[Unidad]]*Compras[[#This Row],[Cantidad]]</f>
        <v>2400</v>
      </c>
      <c r="H249" s="16"/>
      <c r="I249" s="16"/>
      <c r="J249" s="16"/>
      <c r="K249" s="16"/>
    </row>
    <row r="250" spans="1:11" ht="20.25" customHeight="1">
      <c r="A250" s="16"/>
      <c r="B250" s="41" t="s">
        <v>1101</v>
      </c>
      <c r="C250" s="6" t="str">
        <f>VLOOKUP(Compras[[#This Row],[Codigo]],Stock[#Data],2,FALSE)</f>
        <v>Kawsay Ph- 60ml</v>
      </c>
      <c r="D250" s="40">
        <v>8</v>
      </c>
      <c r="E250" s="6">
        <v>644</v>
      </c>
      <c r="F250" s="12">
        <f>VLOOKUP(Compras[[#This Row],[Codigo]],Stock[#Data],3,FALSE)</f>
        <v>1050</v>
      </c>
      <c r="G250" s="43">
        <f>Compras[[#This Row],[Unidad]]*Compras[[#This Row],[Cantidad]]</f>
        <v>8400</v>
      </c>
      <c r="H250" s="16"/>
      <c r="I250" s="16"/>
      <c r="J250" s="16"/>
      <c r="K250" s="16"/>
    </row>
    <row r="251" spans="1:11" ht="20.25" customHeight="1">
      <c r="A251" s="16"/>
      <c r="B251" s="41" t="s">
        <v>1101</v>
      </c>
      <c r="C251" s="6" t="str">
        <f>VLOOKUP(Compras[[#This Row],[Codigo]],Stock[#Data],2,FALSE)</f>
        <v>Kawsay Ph+ 60ml</v>
      </c>
      <c r="D251" s="40">
        <v>10</v>
      </c>
      <c r="E251" s="6">
        <v>643</v>
      </c>
      <c r="F251" s="12">
        <f>VLOOKUP(Compras[[#This Row],[Codigo]],Stock[#Data],3,FALSE)</f>
        <v>1050</v>
      </c>
      <c r="G251" s="43">
        <f>Compras[[#This Row],[Unidad]]*Compras[[#This Row],[Cantidad]]</f>
        <v>10500</v>
      </c>
      <c r="H251" s="16"/>
      <c r="I251" s="16"/>
      <c r="J251" s="16"/>
      <c r="K251" s="16"/>
    </row>
    <row r="252" spans="1:11" ht="20.25" customHeight="1">
      <c r="A252" s="16"/>
      <c r="B252" s="41" t="s">
        <v>1101</v>
      </c>
      <c r="C252" s="6" t="str">
        <f>VLOOKUP(Compras[[#This Row],[Codigo]],Stock[#Data],2,FALSE)</f>
        <v>Kawsay Ph- 30ml</v>
      </c>
      <c r="D252" s="40">
        <v>5</v>
      </c>
      <c r="E252" s="6">
        <v>642</v>
      </c>
      <c r="F252" s="12">
        <f>VLOOKUP(Compras[[#This Row],[Codigo]],Stock[#Data],3,FALSE)</f>
        <v>600</v>
      </c>
      <c r="G252" s="43">
        <f>Compras[[#This Row],[Unidad]]*Compras[[#This Row],[Cantidad]]</f>
        <v>3000</v>
      </c>
      <c r="H252" s="16"/>
      <c r="I252" s="16"/>
      <c r="J252" s="16"/>
      <c r="K252" s="16"/>
    </row>
    <row r="253" spans="1:11" ht="20.25" customHeight="1">
      <c r="A253" s="16"/>
      <c r="B253" s="41" t="s">
        <v>1101</v>
      </c>
      <c r="C253" s="6" t="str">
        <f>VLOOKUP(Compras[[#This Row],[Codigo]],Stock[#Data],2,FALSE)</f>
        <v>Kawsay Ph+ 30ml</v>
      </c>
      <c r="D253" s="40">
        <v>4</v>
      </c>
      <c r="E253" s="6">
        <v>641</v>
      </c>
      <c r="F253" s="12">
        <f>VLOOKUP(Compras[[#This Row],[Codigo]],Stock[#Data],3,FALSE)</f>
        <v>600</v>
      </c>
      <c r="G253" s="43">
        <f>Compras[[#This Row],[Unidad]]*Compras[[#This Row],[Cantidad]]</f>
        <v>2400</v>
      </c>
      <c r="H253" s="16"/>
      <c r="I253" s="16"/>
      <c r="J253" s="16"/>
      <c r="K253" s="16"/>
    </row>
    <row r="254" spans="1:11" ht="20.25" customHeight="1">
      <c r="A254" s="16"/>
      <c r="B254" s="41" t="s">
        <v>1101</v>
      </c>
      <c r="C254" s="6" t="str">
        <f>VLOOKUP(Compras[[#This Row],[Codigo]],Stock[#Data],2,FALSE)</f>
        <v>Kawsay Control Plagas 50ml</v>
      </c>
      <c r="D254" s="40">
        <v>9</v>
      </c>
      <c r="E254" s="6">
        <v>640</v>
      </c>
      <c r="F254" s="12">
        <f>VLOOKUP(Compras[[#This Row],[Codigo]],Stock[#Data],3,FALSE)</f>
        <v>1200</v>
      </c>
      <c r="G254" s="43">
        <f>Compras[[#This Row],[Unidad]]*Compras[[#This Row],[Cantidad]]</f>
        <v>10800</v>
      </c>
      <c r="H254" s="16"/>
      <c r="I254" s="16"/>
      <c r="J254" s="16"/>
      <c r="K254" s="16"/>
    </row>
    <row r="255" spans="1:11" ht="20.25" customHeight="1">
      <c r="A255" s="16"/>
      <c r="B255" s="41" t="s">
        <v>1101</v>
      </c>
      <c r="C255" s="6" t="str">
        <f>VLOOKUP(Compras[[#This Row],[Codigo]],Stock[#Data],2,FALSE)</f>
        <v>Kawsay Micorrizas 50ml</v>
      </c>
      <c r="D255" s="40">
        <v>4</v>
      </c>
      <c r="E255" s="6">
        <v>638</v>
      </c>
      <c r="F255" s="12">
        <f>VLOOKUP(Compras[[#This Row],[Codigo]],Stock[#Data],3,FALSE)</f>
        <v>1275</v>
      </c>
      <c r="G255" s="43">
        <f>Compras[[#This Row],[Unidad]]*Compras[[#This Row],[Cantidad]]</f>
        <v>5100</v>
      </c>
      <c r="H255" s="16"/>
      <c r="I255" s="16"/>
      <c r="J255" s="16"/>
      <c r="K255" s="16"/>
    </row>
    <row r="256" spans="1:11" ht="20.25" customHeight="1">
      <c r="A256" s="16"/>
      <c r="B256" s="41" t="s">
        <v>1101</v>
      </c>
      <c r="C256" s="6" t="str">
        <f>VLOOKUP(Compras[[#This Row],[Codigo]],Stock[#Data],2,FALSE)</f>
        <v>Kawsay Micorrizas 30ml</v>
      </c>
      <c r="D256" s="40">
        <v>5</v>
      </c>
      <c r="E256" s="6">
        <v>637</v>
      </c>
      <c r="F256" s="12">
        <f>VLOOKUP(Compras[[#This Row],[Codigo]],Stock[#Data],3,FALSE)</f>
        <v>1050</v>
      </c>
      <c r="G256" s="43">
        <f>Compras[[#This Row],[Unidad]]*Compras[[#This Row],[Cantidad]]</f>
        <v>5250</v>
      </c>
      <c r="H256" s="16"/>
      <c r="I256" s="16"/>
      <c r="J256" s="16"/>
      <c r="K256" s="16"/>
    </row>
    <row r="257" spans="1:11" ht="20.25" customHeight="1">
      <c r="A257" s="16"/>
      <c r="B257" s="41" t="s">
        <v>1101</v>
      </c>
      <c r="C257" s="6" t="str">
        <f>VLOOKUP(Compras[[#This Row],[Codigo]],Stock[#Data],2,FALSE)</f>
        <v>Kawsay Trichodermas 50ml</v>
      </c>
      <c r="D257" s="40">
        <v>5</v>
      </c>
      <c r="E257" s="6">
        <v>639</v>
      </c>
      <c r="F257" s="12">
        <f>VLOOKUP(Compras[[#This Row],[Codigo]],Stock[#Data],3,FALSE)</f>
        <v>1650</v>
      </c>
      <c r="G257" s="43">
        <f>Compras[[#This Row],[Unidad]]*Compras[[#This Row],[Cantidad]]</f>
        <v>8250</v>
      </c>
      <c r="H257" s="16"/>
      <c r="I257" s="16"/>
      <c r="J257" s="16"/>
      <c r="K257" s="16"/>
    </row>
    <row r="258" spans="1:11" ht="20.25" customHeight="1">
      <c r="A258" s="16"/>
      <c r="B258" s="41" t="s">
        <v>1101</v>
      </c>
      <c r="C258" s="6" t="str">
        <f>VLOOKUP(Compras[[#This Row],[Codigo]],Stock[#Data],2,FALSE)</f>
        <v>Kawsay Trichodermas 30ml</v>
      </c>
      <c r="D258" s="40">
        <v>5</v>
      </c>
      <c r="E258" s="6">
        <v>636</v>
      </c>
      <c r="F258" s="12">
        <f>VLOOKUP(Compras[[#This Row],[Codigo]],Stock[#Data],3,FALSE)</f>
        <v>1050</v>
      </c>
      <c r="G258" s="43">
        <f>Compras[[#This Row],[Unidad]]*Compras[[#This Row],[Cantidad]]</f>
        <v>5250</v>
      </c>
      <c r="H258" s="16"/>
      <c r="I258" s="16"/>
      <c r="J258" s="16"/>
      <c r="K258" s="16"/>
    </row>
    <row r="259" spans="1:11" ht="20.25" customHeight="1">
      <c r="A259" s="16"/>
      <c r="B259" s="41" t="s">
        <v>1101</v>
      </c>
      <c r="C259" s="6" t="str">
        <f>VLOOKUP(Compras[[#This Row],[Codigo]],Stock[#Data],2,FALSE)</f>
        <v>Kawsay Silicio 1l</v>
      </c>
      <c r="D259" s="40">
        <v>4</v>
      </c>
      <c r="E259" s="6">
        <v>635</v>
      </c>
      <c r="F259" s="12">
        <f>VLOOKUP(Compras[[#This Row],[Codigo]],Stock[#Data],3,FALSE)</f>
        <v>3800</v>
      </c>
      <c r="G259" s="43">
        <f>Compras[[#This Row],[Unidad]]*Compras[[#This Row],[Cantidad]]</f>
        <v>15200</v>
      </c>
      <c r="H259" s="16"/>
      <c r="I259" s="16"/>
      <c r="J259" s="16"/>
      <c r="K259" s="16"/>
    </row>
    <row r="260" spans="1:11" ht="20.25" customHeight="1">
      <c r="A260" s="16"/>
      <c r="B260" s="41" t="s">
        <v>1101</v>
      </c>
      <c r="C260" s="6" t="str">
        <f>VLOOKUP(Compras[[#This Row],[Codigo]],Stock[#Data],2,FALSE)</f>
        <v>Kawsay Bloom 1l</v>
      </c>
      <c r="D260" s="40">
        <v>1</v>
      </c>
      <c r="E260" s="6">
        <v>633</v>
      </c>
      <c r="F260" s="12">
        <f>VLOOKUP(Compras[[#This Row],[Codigo]],Stock[#Data],3,FALSE)</f>
        <v>4200</v>
      </c>
      <c r="G260" s="43">
        <f>Compras[[#This Row],[Unidad]]*Compras[[#This Row],[Cantidad]]</f>
        <v>4200</v>
      </c>
      <c r="H260" s="16"/>
      <c r="I260" s="16"/>
      <c r="J260" s="16"/>
      <c r="K260" s="16"/>
    </row>
    <row r="261" spans="1:11" ht="20.25" customHeight="1">
      <c r="A261" s="16"/>
      <c r="B261" s="41" t="s">
        <v>1101</v>
      </c>
      <c r="C261" s="6" t="str">
        <f>VLOOKUP(Compras[[#This Row],[Codigo]],Stock[#Data],2,FALSE)</f>
        <v>Kawsay Vege 1l</v>
      </c>
      <c r="D261" s="40">
        <v>1</v>
      </c>
      <c r="E261" s="6">
        <v>634</v>
      </c>
      <c r="F261" s="12">
        <f>VLOOKUP(Compras[[#This Row],[Codigo]],Stock[#Data],3,FALSE)</f>
        <v>4200</v>
      </c>
      <c r="G261" s="43">
        <f>Compras[[#This Row],[Unidad]]*Compras[[#This Row],[Cantidad]]</f>
        <v>4200</v>
      </c>
      <c r="H261" s="16"/>
      <c r="I261" s="16"/>
      <c r="J261" s="16"/>
      <c r="K261" s="16"/>
    </row>
    <row r="262" spans="1:11" ht="20.25" customHeight="1">
      <c r="A262" s="16"/>
      <c r="B262" s="41" t="s">
        <v>1101</v>
      </c>
      <c r="C262" s="6" t="str">
        <f>VLOOKUP(Compras[[#This Row],[Codigo]],Stock[#Data],2,FALSE)</f>
        <v xml:space="preserve">Kawsay Base B 1l </v>
      </c>
      <c r="D262" s="40">
        <v>1</v>
      </c>
      <c r="E262" s="6">
        <v>631</v>
      </c>
      <c r="F262" s="12">
        <f>VLOOKUP(Compras[[#This Row],[Codigo]],Stock[#Data],3,FALSE)</f>
        <v>3750</v>
      </c>
      <c r="G262" s="43">
        <f>Compras[[#This Row],[Unidad]]*Compras[[#This Row],[Cantidad]]</f>
        <v>3750</v>
      </c>
      <c r="H262" s="16"/>
      <c r="I262" s="16"/>
      <c r="J262" s="16"/>
      <c r="K262" s="16"/>
    </row>
    <row r="263" spans="1:11" ht="20.25" customHeight="1">
      <c r="A263" s="16"/>
      <c r="B263" s="41" t="s">
        <v>1101</v>
      </c>
      <c r="C263" s="6" t="str">
        <f>VLOOKUP(Compras[[#This Row],[Codigo]],Stock[#Data],2,FALSE)</f>
        <v xml:space="preserve">Kawsay Base A 1l </v>
      </c>
      <c r="D263" s="40">
        <v>1</v>
      </c>
      <c r="E263" s="6">
        <v>632</v>
      </c>
      <c r="F263" s="12">
        <f>VLOOKUP(Compras[[#This Row],[Codigo]],Stock[#Data],3,FALSE)</f>
        <v>3750</v>
      </c>
      <c r="G263" s="43">
        <f>Compras[[#This Row],[Unidad]]*Compras[[#This Row],[Cantidad]]</f>
        <v>3750</v>
      </c>
      <c r="H263" s="16"/>
      <c r="I263" s="16"/>
      <c r="J263" s="16"/>
      <c r="K263" s="16"/>
    </row>
    <row r="264" spans="1:11" ht="20.25" customHeight="1">
      <c r="A264" s="16"/>
      <c r="B264" s="41" t="s">
        <v>1101</v>
      </c>
      <c r="C264" s="6" t="str">
        <f>VLOOKUP(Compras[[#This Row],[Codigo]],Stock[#Data],2,FALSE)</f>
        <v>Kawsay Bloom 500ml</v>
      </c>
      <c r="D264" s="40">
        <v>1</v>
      </c>
      <c r="E264" s="6">
        <v>630</v>
      </c>
      <c r="F264" s="12">
        <f>VLOOKUP(Compras[[#This Row],[Codigo]],Stock[#Data],3,FALSE)</f>
        <v>2300</v>
      </c>
      <c r="G264" s="43">
        <f>Compras[[#This Row],[Unidad]]*Compras[[#This Row],[Cantidad]]</f>
        <v>2300</v>
      </c>
      <c r="H264" s="16"/>
      <c r="I264" s="16"/>
      <c r="J264" s="16"/>
      <c r="K264" s="16"/>
    </row>
    <row r="265" spans="1:11" ht="20.25" customHeight="1">
      <c r="A265" s="16"/>
      <c r="B265" s="41" t="s">
        <v>1101</v>
      </c>
      <c r="C265" s="6" t="str">
        <f>VLOOKUP(Compras[[#This Row],[Codigo]],Stock[#Data],2,FALSE)</f>
        <v>Kawsay Vege 500ml</v>
      </c>
      <c r="D265" s="40">
        <v>5</v>
      </c>
      <c r="E265" s="6">
        <v>629</v>
      </c>
      <c r="F265" s="12">
        <f>VLOOKUP(Compras[[#This Row],[Codigo]],Stock[#Data],3,FALSE)</f>
        <v>2300</v>
      </c>
      <c r="G265" s="43">
        <f>Compras[[#This Row],[Unidad]]*Compras[[#This Row],[Cantidad]]</f>
        <v>11500</v>
      </c>
      <c r="H265" s="16"/>
      <c r="I265" s="16"/>
      <c r="J265" s="16"/>
      <c r="K265" s="16"/>
    </row>
    <row r="266" spans="1:11" ht="20.25" customHeight="1">
      <c r="A266" s="16"/>
      <c r="B266" s="41" t="s">
        <v>1101</v>
      </c>
      <c r="C266" s="6" t="str">
        <f>VLOOKUP(Compras[[#This Row],[Codigo]],Stock[#Data],2,FALSE)</f>
        <v>Kawsay Base B 2l</v>
      </c>
      <c r="D266" s="40">
        <v>4</v>
      </c>
      <c r="E266" s="6">
        <v>623</v>
      </c>
      <c r="F266" s="12">
        <f>VLOOKUP(Compras[[#This Row],[Codigo]],Stock[#Data],3,FALSE)</f>
        <v>6500</v>
      </c>
      <c r="G266" s="43">
        <f>Compras[[#This Row],[Unidad]]*Compras[[#This Row],[Cantidad]]</f>
        <v>26000</v>
      </c>
      <c r="H266" s="16"/>
      <c r="I266" s="16"/>
      <c r="J266" s="16"/>
      <c r="K266" s="16"/>
    </row>
    <row r="267" spans="1:11" ht="20.25" customHeight="1">
      <c r="A267" s="16"/>
      <c r="B267" s="41" t="s">
        <v>1101</v>
      </c>
      <c r="C267" s="6" t="str">
        <f>VLOOKUP(Compras[[#This Row],[Codigo]],Stock[#Data],2,FALSE)</f>
        <v xml:space="preserve">Kawsay Base A 2l </v>
      </c>
      <c r="D267" s="40">
        <v>4</v>
      </c>
      <c r="E267" s="6">
        <v>624</v>
      </c>
      <c r="F267" s="12">
        <f>VLOOKUP(Compras[[#This Row],[Codigo]],Stock[#Data],3,FALSE)</f>
        <v>6500</v>
      </c>
      <c r="G267" s="43">
        <f>Compras[[#This Row],[Unidad]]*Compras[[#This Row],[Cantidad]]</f>
        <v>26000</v>
      </c>
      <c r="H267" s="16"/>
      <c r="I267" s="16"/>
      <c r="J267" s="16"/>
      <c r="K267" s="16"/>
    </row>
    <row r="268" spans="1:11" ht="20.25" customHeight="1">
      <c r="A268" s="16"/>
      <c r="B268" s="41" t="s">
        <v>1101</v>
      </c>
      <c r="C268" s="6" t="str">
        <f>VLOOKUP(Compras[[#This Row],[Codigo]],Stock[#Data],2,FALSE)</f>
        <v>Kawsay Vege 2l</v>
      </c>
      <c r="D268" s="40">
        <v>4</v>
      </c>
      <c r="E268" s="6">
        <v>625</v>
      </c>
      <c r="F268" s="12">
        <f>VLOOKUP(Compras[[#This Row],[Codigo]],Stock[#Data],3,FALSE)</f>
        <v>6800</v>
      </c>
      <c r="G268" s="43">
        <f>Compras[[#This Row],[Unidad]]*Compras[[#This Row],[Cantidad]]</f>
        <v>27200</v>
      </c>
      <c r="H268" s="16"/>
      <c r="I268" s="16"/>
      <c r="J268" s="16"/>
      <c r="K268" s="16"/>
    </row>
    <row r="269" spans="1:11" ht="20.25" customHeight="1">
      <c r="A269" s="16"/>
      <c r="B269" s="41" t="s">
        <v>1101</v>
      </c>
      <c r="C269" s="6" t="str">
        <f>VLOOKUP(Compras[[#This Row],[Codigo]],Stock[#Data],2,FALSE)</f>
        <v>Kawsay Vege 1l</v>
      </c>
      <c r="D269" s="40">
        <v>2</v>
      </c>
      <c r="E269" s="6">
        <v>634</v>
      </c>
      <c r="F269" s="12">
        <f>VLOOKUP(Compras[[#This Row],[Codigo]],Stock[#Data],3,FALSE)</f>
        <v>4200</v>
      </c>
      <c r="G269" s="43">
        <f>Compras[[#This Row],[Unidad]]*Compras[[#This Row],[Cantidad]]</f>
        <v>8400</v>
      </c>
      <c r="H269" s="16"/>
      <c r="I269" s="16"/>
      <c r="J269" s="16"/>
      <c r="K269" s="16"/>
    </row>
    <row r="270" spans="1:11" ht="20.25" customHeight="1">
      <c r="A270" s="16"/>
      <c r="B270" s="41" t="s">
        <v>1101</v>
      </c>
      <c r="C270" s="6" t="str">
        <f>VLOOKUP(Compras[[#This Row],[Codigo]],Stock[#Data],2,FALSE)</f>
        <v xml:space="preserve">Kawsay Base A 1l </v>
      </c>
      <c r="D270" s="40">
        <v>1</v>
      </c>
      <c r="E270" s="6">
        <v>632</v>
      </c>
      <c r="F270" s="12">
        <f>VLOOKUP(Compras[[#This Row],[Codigo]],Stock[#Data],3,FALSE)</f>
        <v>3750</v>
      </c>
      <c r="G270" s="43">
        <f>Compras[[#This Row],[Unidad]]*Compras[[#This Row],[Cantidad]]</f>
        <v>3750</v>
      </c>
      <c r="H270" s="16"/>
      <c r="I270" s="16"/>
      <c r="J270" s="16"/>
      <c r="K270" s="16"/>
    </row>
    <row r="271" spans="1:11" ht="20.25" customHeight="1">
      <c r="A271" s="16"/>
      <c r="B271" s="41" t="s">
        <v>1101</v>
      </c>
      <c r="C271" s="6" t="str">
        <f>VLOOKUP(Compras[[#This Row],[Codigo]],Stock[#Data],2,FALSE)</f>
        <v xml:space="preserve">Kawsay Base B 1l </v>
      </c>
      <c r="D271" s="40">
        <v>1</v>
      </c>
      <c r="E271" s="6">
        <v>631</v>
      </c>
      <c r="F271" s="12">
        <f>VLOOKUP(Compras[[#This Row],[Codigo]],Stock[#Data],3,FALSE)</f>
        <v>3750</v>
      </c>
      <c r="G271" s="43">
        <f>Compras[[#This Row],[Unidad]]*Compras[[#This Row],[Cantidad]]</f>
        <v>3750</v>
      </c>
      <c r="H271" s="16"/>
      <c r="I271" s="16"/>
      <c r="J271" s="16"/>
      <c r="K271" s="16"/>
    </row>
    <row r="272" spans="1:11" ht="20.25" customHeight="1">
      <c r="A272" s="16"/>
      <c r="B272" s="41" t="s">
        <v>1101</v>
      </c>
      <c r="C272" s="6" t="str">
        <f>VLOOKUP(Compras[[#This Row],[Codigo]],Stock[#Data],2,FALSE)</f>
        <v>Maceta  Cultivate 60l</v>
      </c>
      <c r="D272" s="40">
        <v>21</v>
      </c>
      <c r="E272" s="6">
        <v>812</v>
      </c>
      <c r="F272" s="12">
        <f>VLOOKUP(Compras[[#This Row],[Codigo]],Stock[#Data],3,FALSE)</f>
        <v>580</v>
      </c>
      <c r="G272" s="43">
        <f>Compras[[#This Row],[Unidad]]*Compras[[#This Row],[Cantidad]]</f>
        <v>12180</v>
      </c>
      <c r="H272" s="16"/>
      <c r="I272" s="16"/>
      <c r="J272" s="16"/>
      <c r="K272" s="16"/>
    </row>
    <row r="273" spans="1:11" ht="20.25" customHeight="1">
      <c r="A273" s="16"/>
      <c r="B273" s="41" t="s">
        <v>1101</v>
      </c>
      <c r="C273" s="6" t="str">
        <f>VLOOKUP(Compras[[#This Row],[Codigo]],Stock[#Data],2,FALSE)</f>
        <v>Maceta Cultivate 50l</v>
      </c>
      <c r="D273" s="40">
        <v>16</v>
      </c>
      <c r="E273" s="6">
        <v>813</v>
      </c>
      <c r="F273" s="12">
        <f>VLOOKUP(Compras[[#This Row],[Codigo]],Stock[#Data],3,FALSE)</f>
        <v>530</v>
      </c>
      <c r="G273" s="43">
        <f>Compras[[#This Row],[Unidad]]*Compras[[#This Row],[Cantidad]]</f>
        <v>8480</v>
      </c>
      <c r="H273" s="16"/>
      <c r="I273" s="16"/>
      <c r="J273" s="16"/>
      <c r="K273" s="16"/>
    </row>
    <row r="274" spans="1:11" ht="20.25" customHeight="1">
      <c r="A274" s="16"/>
      <c r="B274" s="41" t="s">
        <v>1101</v>
      </c>
      <c r="C274" s="6" t="str">
        <f>VLOOKUP(Compras[[#This Row],[Codigo]],Stock[#Data],2,FALSE)</f>
        <v>Geotextiles 40L cultivate</v>
      </c>
      <c r="D274" s="40">
        <v>18</v>
      </c>
      <c r="E274" s="6">
        <v>597</v>
      </c>
      <c r="F274" s="12">
        <f>VLOOKUP(Compras[[#This Row],[Codigo]],Stock[#Data],3,FALSE)</f>
        <v>638</v>
      </c>
      <c r="G274" s="43">
        <f>Compras[[#This Row],[Unidad]]*Compras[[#This Row],[Cantidad]]</f>
        <v>11484</v>
      </c>
      <c r="H274" s="16"/>
      <c r="I274" s="16"/>
      <c r="J274" s="16"/>
      <c r="K274" s="16"/>
    </row>
    <row r="275" spans="1:11" ht="20.25" customHeight="1">
      <c r="A275" s="16"/>
      <c r="B275" s="41" t="s">
        <v>1101</v>
      </c>
      <c r="C275" s="6" t="str">
        <f>VLOOKUP(Compras[[#This Row],[Codigo]],Stock[#Data],2,FALSE)</f>
        <v>Maceta Cultivate 5l</v>
      </c>
      <c r="D275" s="40">
        <v>4</v>
      </c>
      <c r="E275" s="6">
        <v>814</v>
      </c>
      <c r="F275" s="12">
        <f>VLOOKUP(Compras[[#This Row],[Codigo]],Stock[#Data],3,FALSE)</f>
        <v>200</v>
      </c>
      <c r="G275" s="43">
        <f>Compras[[#This Row],[Unidad]]*Compras[[#This Row],[Cantidad]]</f>
        <v>800</v>
      </c>
      <c r="H275" s="16"/>
      <c r="I275" s="16"/>
      <c r="J275" s="16"/>
      <c r="K275" s="16"/>
    </row>
    <row r="276" spans="1:11" ht="20.25" customHeight="1">
      <c r="A276" s="16"/>
      <c r="B276" s="41" t="s">
        <v>1101</v>
      </c>
      <c r="C276" s="6" t="str">
        <f>VLOOKUP(Compras[[#This Row],[Codigo]],Stock[#Data],2,FALSE)</f>
        <v>Maceta Cultivate 10l</v>
      </c>
      <c r="D276" s="40">
        <v>3</v>
      </c>
      <c r="E276" s="6">
        <v>815</v>
      </c>
      <c r="F276" s="12">
        <f>VLOOKUP(Compras[[#This Row],[Codigo]],Stock[#Data],3,FALSE)</f>
        <v>220</v>
      </c>
      <c r="G276" s="43">
        <f>Compras[[#This Row],[Unidad]]*Compras[[#This Row],[Cantidad]]</f>
        <v>660</v>
      </c>
      <c r="H276" s="16"/>
      <c r="I276" s="16"/>
      <c r="J276" s="16"/>
      <c r="K276" s="16"/>
    </row>
    <row r="277" spans="1:11" ht="20.25" customHeight="1">
      <c r="A277" s="16"/>
      <c r="B277" s="41" t="s">
        <v>1101</v>
      </c>
      <c r="C277" s="6" t="str">
        <f>VLOOKUP(Compras[[#This Row],[Codigo]],Stock[#Data],2,FALSE)</f>
        <v>Maceta Cultivate 20l</v>
      </c>
      <c r="D277" s="40">
        <v>2</v>
      </c>
      <c r="E277" s="6">
        <v>816</v>
      </c>
      <c r="F277" s="12">
        <f>VLOOKUP(Compras[[#This Row],[Codigo]],Stock[#Data],3,FALSE)</f>
        <v>370</v>
      </c>
      <c r="G277" s="43">
        <f>Compras[[#This Row],[Unidad]]*Compras[[#This Row],[Cantidad]]</f>
        <v>740</v>
      </c>
      <c r="H277" s="16"/>
      <c r="I277" s="16"/>
      <c r="J277" s="16"/>
      <c r="K277" s="16"/>
    </row>
    <row r="278" spans="1:11" ht="20.25" customHeight="1">
      <c r="A278" s="16"/>
      <c r="B278" s="41" t="s">
        <v>1101</v>
      </c>
      <c r="C278" s="6" t="str">
        <f>VLOOKUP(Compras[[#This Row],[Codigo]],Stock[#Data],2,FALSE)</f>
        <v>Macetas Root House 3,7 litros</v>
      </c>
      <c r="D278" s="40">
        <v>10</v>
      </c>
      <c r="E278" s="6">
        <v>249</v>
      </c>
      <c r="F278" s="12">
        <f>VLOOKUP(Compras[[#This Row],[Codigo]],Stock[#Data],3,FALSE)</f>
        <v>445</v>
      </c>
      <c r="G278" s="43">
        <f>Compras[[#This Row],[Unidad]]*Compras[[#This Row],[Cantidad]]</f>
        <v>4450</v>
      </c>
      <c r="H278" s="16"/>
      <c r="I278" s="16"/>
      <c r="J278" s="16"/>
      <c r="K278" s="16"/>
    </row>
    <row r="279" spans="1:11" ht="20.25" customHeight="1">
      <c r="A279" s="16"/>
      <c r="B279" s="41" t="s">
        <v>1101</v>
      </c>
      <c r="C279" s="6" t="str">
        <f>VLOOKUP(Compras[[#This Row],[Codigo]],Stock[#Data],2,FALSE)</f>
        <v>Maceta D-Grows 80l</v>
      </c>
      <c r="D279" s="40">
        <v>4</v>
      </c>
      <c r="E279" s="6">
        <v>817</v>
      </c>
      <c r="F279" s="12">
        <f>VLOOKUP(Compras[[#This Row],[Codigo]],Stock[#Data],3,FALSE)</f>
        <v>400</v>
      </c>
      <c r="G279" s="43">
        <f>Compras[[#This Row],[Unidad]]*Compras[[#This Row],[Cantidad]]</f>
        <v>1600</v>
      </c>
      <c r="H279" s="16"/>
      <c r="I279" s="16"/>
      <c r="J279" s="16"/>
      <c r="K279" s="16"/>
    </row>
    <row r="280" spans="1:11" ht="20.25" customHeight="1">
      <c r="A280" s="16"/>
      <c r="B280" s="41" t="s">
        <v>1101</v>
      </c>
      <c r="C280" s="6" t="str">
        <f>VLOOKUP(Compras[[#This Row],[Codigo]],Stock[#Data],2,FALSE)</f>
        <v>Maceta D-Grows 7l</v>
      </c>
      <c r="D280" s="40">
        <v>4</v>
      </c>
      <c r="E280" s="6">
        <v>818</v>
      </c>
      <c r="F280" s="12">
        <f>VLOOKUP(Compras[[#This Row],[Codigo]],Stock[#Data],3,FALSE)</f>
        <v>200</v>
      </c>
      <c r="G280" s="43">
        <f>Compras[[#This Row],[Unidad]]*Compras[[#This Row],[Cantidad]]</f>
        <v>800</v>
      </c>
      <c r="H280" s="16"/>
      <c r="I280" s="16"/>
      <c r="J280" s="16"/>
      <c r="K280" s="16"/>
    </row>
    <row r="281" spans="1:11" ht="20.25" customHeight="1">
      <c r="A281" s="16"/>
      <c r="B281" s="41" t="s">
        <v>1101</v>
      </c>
      <c r="C281" s="6" t="str">
        <f>VLOOKUP(Compras[[#This Row],[Codigo]],Stock[#Data],2,FALSE)</f>
        <v>Maceta D-Grows 4l</v>
      </c>
      <c r="D281" s="40">
        <v>4</v>
      </c>
      <c r="E281" s="6">
        <v>819</v>
      </c>
      <c r="F281" s="12">
        <f>VLOOKUP(Compras[[#This Row],[Codigo]],Stock[#Data],3,FALSE)</f>
        <v>100</v>
      </c>
      <c r="G281" s="43">
        <f>Compras[[#This Row],[Unidad]]*Compras[[#This Row],[Cantidad]]</f>
        <v>400</v>
      </c>
      <c r="H281" s="16"/>
      <c r="I281" s="16"/>
      <c r="J281" s="16"/>
      <c r="K281" s="16"/>
    </row>
    <row r="282" spans="1:11" ht="20.25" customHeight="1">
      <c r="A282" s="16"/>
      <c r="B282" s="41" t="s">
        <v>1101</v>
      </c>
      <c r="C282" s="6" t="str">
        <f>VLOOKUP(Compras[[#This Row],[Codigo]],Stock[#Data],2,FALSE)</f>
        <v>Maceta Iration 10l</v>
      </c>
      <c r="D282" s="40">
        <v>2</v>
      </c>
      <c r="E282" s="6">
        <v>821</v>
      </c>
      <c r="F282" s="12">
        <f>VLOOKUP(Compras[[#This Row],[Codigo]],Stock[#Data],3,FALSE)</f>
        <v>200</v>
      </c>
      <c r="G282" s="43">
        <f>Compras[[#This Row],[Unidad]]*Compras[[#This Row],[Cantidad]]</f>
        <v>400</v>
      </c>
      <c r="H282" s="16"/>
      <c r="I282" s="16"/>
      <c r="J282" s="16"/>
      <c r="K282" s="16"/>
    </row>
    <row r="283" spans="1:11" ht="20.25" customHeight="1">
      <c r="A283" s="16"/>
      <c r="B283" s="41" t="s">
        <v>1101</v>
      </c>
      <c r="C283" s="6" t="str">
        <f>VLOOKUP(Compras[[#This Row],[Codigo]],Stock[#Data],2,FALSE)</f>
        <v>Maceta Iration 15l</v>
      </c>
      <c r="D283" s="40">
        <v>1</v>
      </c>
      <c r="E283" s="6">
        <v>820</v>
      </c>
      <c r="F283" s="12">
        <f>VLOOKUP(Compras[[#This Row],[Codigo]],Stock[#Data],3,FALSE)</f>
        <v>250</v>
      </c>
      <c r="G283" s="43">
        <f>Compras[[#This Row],[Unidad]]*Compras[[#This Row],[Cantidad]]</f>
        <v>250</v>
      </c>
      <c r="H283" s="16"/>
      <c r="I283" s="16"/>
      <c r="J283" s="16"/>
      <c r="K283" s="16"/>
    </row>
    <row r="284" spans="1:11" ht="20.25" customHeight="1">
      <c r="A284" s="16"/>
      <c r="B284" s="41" t="s">
        <v>1101</v>
      </c>
      <c r="C284" s="6" t="str">
        <f>VLOOKUP(Compras[[#This Row],[Codigo]],Stock[#Data],2,FALSE)</f>
        <v>Filtro de Olor 4"</v>
      </c>
      <c r="D284" s="40">
        <v>1</v>
      </c>
      <c r="E284" s="6">
        <v>822</v>
      </c>
      <c r="F284" s="12">
        <f>VLOOKUP(Compras[[#This Row],[Codigo]],Stock[#Data],3,FALSE)</f>
        <v>3000</v>
      </c>
      <c r="G284" s="43">
        <f>Compras[[#This Row],[Unidad]]*Compras[[#This Row],[Cantidad]]</f>
        <v>3000</v>
      </c>
      <c r="H284" s="16"/>
      <c r="I284" s="16"/>
      <c r="J284" s="16"/>
      <c r="K284" s="16"/>
    </row>
    <row r="285" spans="1:11" ht="20.25" customHeight="1">
      <c r="A285" s="16"/>
      <c r="B285" s="41" t="s">
        <v>1101</v>
      </c>
      <c r="C285" s="6" t="str">
        <f>VLOOKUP(Compras[[#This Row],[Codigo]],Stock[#Data],2,FALSE)</f>
        <v>Kawsay Base B 500ml</v>
      </c>
      <c r="D285" s="40">
        <v>2</v>
      </c>
      <c r="E285" s="6">
        <v>627</v>
      </c>
      <c r="F285" s="12">
        <f>VLOOKUP(Compras[[#This Row],[Codigo]],Stock[#Data],3,FALSE)</f>
        <v>2000</v>
      </c>
      <c r="G285" s="43">
        <f>Compras[[#This Row],[Unidad]]*Compras[[#This Row],[Cantidad]]</f>
        <v>4000</v>
      </c>
      <c r="H285" s="16"/>
      <c r="I285" s="16"/>
      <c r="J285" s="16"/>
      <c r="K285" s="16"/>
    </row>
    <row r="286" spans="1:11" ht="20.25" customHeight="1">
      <c r="A286" s="16"/>
      <c r="B286" s="41" t="s">
        <v>1101</v>
      </c>
      <c r="C286" s="6" t="str">
        <f>VLOOKUP(Compras[[#This Row],[Codigo]],Stock[#Data],2,FALSE)</f>
        <v xml:space="preserve">Kawsay Base A 500ml </v>
      </c>
      <c r="D286" s="40">
        <v>2</v>
      </c>
      <c r="E286" s="6">
        <v>628</v>
      </c>
      <c r="F286" s="12">
        <f>VLOOKUP(Compras[[#This Row],[Codigo]],Stock[#Data],3,FALSE)</f>
        <v>2000</v>
      </c>
      <c r="G286" s="43">
        <f>Compras[[#This Row],[Unidad]]*Compras[[#This Row],[Cantidad]]</f>
        <v>4000</v>
      </c>
      <c r="H286" s="16"/>
      <c r="I286" s="16"/>
      <c r="J286" s="16"/>
      <c r="K286" s="16"/>
    </row>
    <row r="287" spans="1:11" ht="20.25" customHeight="1">
      <c r="A287" s="16"/>
      <c r="B287" s="41" t="s">
        <v>1101</v>
      </c>
      <c r="C287" s="6" t="str">
        <f>VLOOKUP(Compras[[#This Row],[Codigo]],Stock[#Data],2,FALSE)</f>
        <v>Kawsay Bloom 500ml</v>
      </c>
      <c r="D287" s="40">
        <v>3</v>
      </c>
      <c r="E287" s="6">
        <v>630</v>
      </c>
      <c r="F287" s="12">
        <f>VLOOKUP(Compras[[#This Row],[Codigo]],Stock[#Data],3,FALSE)</f>
        <v>2300</v>
      </c>
      <c r="G287" s="43">
        <f>Compras[[#This Row],[Unidad]]*Compras[[#This Row],[Cantidad]]</f>
        <v>6900</v>
      </c>
      <c r="H287" s="16"/>
      <c r="I287" s="16"/>
      <c r="J287" s="16"/>
      <c r="K287" s="16"/>
    </row>
    <row r="288" spans="1:11" ht="20.25" customHeight="1">
      <c r="A288" s="16"/>
      <c r="B288" s="41" t="s">
        <v>1101</v>
      </c>
      <c r="C288" s="6" t="str">
        <f>VLOOKUP(Compras[[#This Row],[Codigo]],Stock[#Data],2,FALSE)</f>
        <v>Kawsay Silicio 500ml</v>
      </c>
      <c r="D288" s="40">
        <v>3</v>
      </c>
      <c r="E288" s="6">
        <v>823</v>
      </c>
      <c r="F288" s="12">
        <f>VLOOKUP(Compras[[#This Row],[Codigo]],Stock[#Data],3,FALSE)</f>
        <v>2250</v>
      </c>
      <c r="G288" s="43">
        <f>Compras[[#This Row],[Unidad]]*Compras[[#This Row],[Cantidad]]</f>
        <v>6750</v>
      </c>
      <c r="H288" s="16"/>
      <c r="I288" s="16"/>
      <c r="J288" s="16"/>
      <c r="K288" s="16"/>
    </row>
    <row r="289" spans="1:11" ht="20.25" customHeight="1">
      <c r="A289" s="16"/>
      <c r="B289" s="41" t="s">
        <v>1101</v>
      </c>
      <c r="C289" s="6" t="str">
        <f>VLOOKUP(Compras[[#This Row],[Codigo]],Stock[#Data],2,FALSE)</f>
        <v>Kawsay Bloom 2l</v>
      </c>
      <c r="D289" s="40">
        <v>2</v>
      </c>
      <c r="E289" s="6">
        <v>626</v>
      </c>
      <c r="F289" s="12">
        <f>VLOOKUP(Compras[[#This Row],[Codigo]],Stock[#Data],3,FALSE)</f>
        <v>6800</v>
      </c>
      <c r="G289" s="43">
        <f>Compras[[#This Row],[Unidad]]*Compras[[#This Row],[Cantidad]]</f>
        <v>13600</v>
      </c>
      <c r="H289" s="16"/>
      <c r="I289" s="16"/>
      <c r="J289" s="16"/>
      <c r="K289" s="16"/>
    </row>
    <row r="290" spans="1:11" ht="20.25" customHeight="1">
      <c r="A290" s="16"/>
      <c r="B290" s="41" t="s">
        <v>1101</v>
      </c>
      <c r="C290" s="6" t="str">
        <f>VLOOKUP(Compras[[#This Row],[Codigo]],Stock[#Data],2,FALSE)</f>
        <v>Raiz 1l Magic Hidro</v>
      </c>
      <c r="D290" s="40">
        <v>1</v>
      </c>
      <c r="E290" s="6">
        <v>824</v>
      </c>
      <c r="F290" s="12">
        <f>VLOOKUP(Compras[[#This Row],[Codigo]],Stock[#Data],3,FALSE)</f>
        <v>2300</v>
      </c>
      <c r="G290" s="43">
        <f>Compras[[#This Row],[Unidad]]*Compras[[#This Row],[Cantidad]]</f>
        <v>2300</v>
      </c>
      <c r="H290" s="16"/>
      <c r="I290" s="16"/>
      <c r="J290" s="16"/>
      <c r="K290" s="16"/>
    </row>
    <row r="291" spans="1:11" ht="20.25" customHeight="1">
      <c r="A291" s="16"/>
      <c r="B291" s="41" t="s">
        <v>1101</v>
      </c>
      <c r="C291" s="6" t="str">
        <f>VLOOKUP(Compras[[#This Row],[Codigo]],Stock[#Data],2,FALSE)</f>
        <v>Ph+ 1l Magic Hidro</v>
      </c>
      <c r="D291" s="40">
        <v>2</v>
      </c>
      <c r="E291" s="6">
        <v>825</v>
      </c>
      <c r="F291" s="12">
        <f>VLOOKUP(Compras[[#This Row],[Codigo]],Stock[#Data],3,FALSE)</f>
        <v>250</v>
      </c>
      <c r="G291" s="43">
        <f>Compras[[#This Row],[Unidad]]*Compras[[#This Row],[Cantidad]]</f>
        <v>500</v>
      </c>
      <c r="H291" s="16"/>
      <c r="I291" s="16"/>
      <c r="J291" s="16"/>
      <c r="K291" s="16"/>
    </row>
    <row r="292" spans="1:11" ht="20.25" customHeight="1">
      <c r="A292" s="16"/>
      <c r="B292" s="41" t="s">
        <v>1101</v>
      </c>
      <c r="C292" s="6" t="str">
        <f>VLOOKUP(Compras[[#This Row],[Codigo]],Stock[#Data],2,FALSE)</f>
        <v>Coco B 250ml Top Crop</v>
      </c>
      <c r="D292" s="40">
        <v>3</v>
      </c>
      <c r="E292" s="6">
        <v>826</v>
      </c>
      <c r="F292" s="12">
        <f>VLOOKUP(Compras[[#This Row],[Codigo]],Stock[#Data],3,FALSE)</f>
        <v>180</v>
      </c>
      <c r="G292" s="43">
        <f>Compras[[#This Row],[Unidad]]*Compras[[#This Row],[Cantidad]]</f>
        <v>540</v>
      </c>
      <c r="H292" s="16"/>
      <c r="I292" s="16"/>
      <c r="J292" s="16"/>
      <c r="K292" s="16"/>
    </row>
    <row r="293" spans="1:11" ht="20.25" customHeight="1">
      <c r="A293" s="16"/>
      <c r="B293" s="41" t="s">
        <v>1101</v>
      </c>
      <c r="C293" s="6" t="str">
        <f>VLOOKUP(Compras[[#This Row],[Codigo]],Stock[#Data],2,FALSE)</f>
        <v>Candy 250ml Top Crop</v>
      </c>
      <c r="D293" s="40">
        <v>2</v>
      </c>
      <c r="E293" s="6">
        <v>827</v>
      </c>
      <c r="F293" s="12">
        <f>VLOOKUP(Compras[[#This Row],[Codigo]],Stock[#Data],3,FALSE)</f>
        <v>1081</v>
      </c>
      <c r="G293" s="43">
        <f>Compras[[#This Row],[Unidad]]*Compras[[#This Row],[Cantidad]]</f>
        <v>2162</v>
      </c>
      <c r="H293" s="16"/>
      <c r="I293" s="16"/>
      <c r="J293" s="16"/>
      <c r="K293" s="16"/>
    </row>
    <row r="294" spans="1:11" ht="20.25" customHeight="1">
      <c r="A294" s="16"/>
      <c r="B294" s="41" t="s">
        <v>1101</v>
      </c>
      <c r="C294" s="6" t="str">
        <f>VLOOKUP(Compras[[#This Row],[Codigo]],Stock[#Data],2,FALSE)</f>
        <v>VAMP hechizo BOOM</v>
      </c>
      <c r="D294" s="40">
        <v>3</v>
      </c>
      <c r="E294" s="6">
        <v>39</v>
      </c>
      <c r="F294" s="12">
        <f>VLOOKUP(Compras[[#This Row],[Codigo]],Stock[#Data],3,FALSE)</f>
        <v>600</v>
      </c>
      <c r="G294" s="43">
        <f>Compras[[#This Row],[Unidad]]*Compras[[#This Row],[Cantidad]]</f>
        <v>1800</v>
      </c>
      <c r="H294" s="16"/>
      <c r="I294" s="16"/>
      <c r="J294" s="16"/>
      <c r="K294" s="16"/>
    </row>
    <row r="295" spans="1:11" ht="20.25" customHeight="1">
      <c r="A295" s="16"/>
      <c r="B295" s="41" t="s">
        <v>1101</v>
      </c>
      <c r="C295" s="6" t="str">
        <f>VLOOKUP(Compras[[#This Row],[Codigo]],Stock[#Data],2,FALSE)</f>
        <v>VAMP hechizo BLOOM</v>
      </c>
      <c r="D295" s="40">
        <v>2</v>
      </c>
      <c r="E295" s="6">
        <v>40</v>
      </c>
      <c r="F295" s="12">
        <f>VLOOKUP(Compras[[#This Row],[Codigo]],Stock[#Data],3,FALSE)</f>
        <v>600</v>
      </c>
      <c r="G295" s="43">
        <f>Compras[[#This Row],[Unidad]]*Compras[[#This Row],[Cantidad]]</f>
        <v>1200</v>
      </c>
      <c r="H295" s="16"/>
      <c r="I295" s="16"/>
      <c r="J295" s="16"/>
      <c r="K295" s="16"/>
    </row>
    <row r="296" spans="1:11" ht="20.25" customHeight="1">
      <c r="A296" s="16"/>
      <c r="B296" s="41" t="s">
        <v>1101</v>
      </c>
      <c r="C296" s="6" t="str">
        <f>VLOOKUP(Compras[[#This Row],[Codigo]],Stock[#Data],2,FALSE)</f>
        <v>Tierra de Diatomeas 200cc Green Leaf</v>
      </c>
      <c r="D296" s="40">
        <v>3</v>
      </c>
      <c r="E296" s="6">
        <v>667</v>
      </c>
      <c r="F296" s="12">
        <f>VLOOKUP(Compras[[#This Row],[Codigo]],Stock[#Data],3,FALSE)</f>
        <v>380</v>
      </c>
      <c r="G296" s="43">
        <f>Compras[[#This Row],[Unidad]]*Compras[[#This Row],[Cantidad]]</f>
        <v>1140</v>
      </c>
      <c r="H296" s="16"/>
      <c r="I296" s="16"/>
      <c r="J296" s="16"/>
      <c r="K296" s="16"/>
    </row>
    <row r="297" spans="1:11" ht="20.25" customHeight="1">
      <c r="A297" s="16"/>
      <c r="B297" s="41" t="s">
        <v>1101</v>
      </c>
      <c r="C297" s="6" t="str">
        <f>VLOOKUP(Compras[[#This Row],[Codigo]],Stock[#Data],2,FALSE)</f>
        <v>4 en 1 250ml Green Leaf Insumos</v>
      </c>
      <c r="D297" s="40">
        <v>1</v>
      </c>
      <c r="E297" s="6">
        <v>576</v>
      </c>
      <c r="F297" s="12">
        <f>VLOOKUP(Compras[[#This Row],[Codigo]],Stock[#Data],3,FALSE)</f>
        <v>1179</v>
      </c>
      <c r="G297" s="43">
        <f>Compras[[#This Row],[Unidad]]*Compras[[#This Row],[Cantidad]]</f>
        <v>1179</v>
      </c>
      <c r="H297" s="16"/>
      <c r="I297" s="16"/>
      <c r="J297" s="16"/>
      <c r="K297" s="16"/>
    </row>
    <row r="298" spans="1:11" ht="20.25" customHeight="1">
      <c r="A298" s="16"/>
      <c r="B298" s="41" t="s">
        <v>1101</v>
      </c>
      <c r="C298" s="6" t="str">
        <f>VLOOKUP(Compras[[#This Row],[Codigo]],Stock[#Data],2,FALSE)</f>
        <v>Gas Butano 160cc Clear</v>
      </c>
      <c r="D298" s="40">
        <v>8</v>
      </c>
      <c r="E298" s="6">
        <v>828</v>
      </c>
      <c r="F298" s="12">
        <f>VLOOKUP(Compras[[#This Row],[Codigo]],Stock[#Data],3,FALSE)</f>
        <v>468</v>
      </c>
      <c r="G298" s="43">
        <f>Compras[[#This Row],[Unidad]]*Compras[[#This Row],[Cantidad]]</f>
        <v>3744</v>
      </c>
      <c r="H298" s="16"/>
      <c r="I298" s="16"/>
      <c r="J298" s="16"/>
      <c r="K298" s="16"/>
    </row>
    <row r="299" spans="1:11" ht="20.25" customHeight="1">
      <c r="A299" s="16"/>
      <c r="B299" s="41" t="s">
        <v>1101</v>
      </c>
      <c r="C299" s="6" t="str">
        <f>VLOOKUP(Compras[[#This Row],[Codigo]],Stock[#Data],2,FALSE)</f>
        <v>Gas Butano 400cc Clear</v>
      </c>
      <c r="D299" s="40">
        <v>9</v>
      </c>
      <c r="E299" s="6">
        <v>829</v>
      </c>
      <c r="F299" s="12">
        <f>VLOOKUP(Compras[[#This Row],[Codigo]],Stock[#Data],3,FALSE)</f>
        <v>523</v>
      </c>
      <c r="G299" s="43">
        <f>Compras[[#This Row],[Unidad]]*Compras[[#This Row],[Cantidad]]</f>
        <v>4707</v>
      </c>
      <c r="H299" s="16"/>
      <c r="I299" s="16"/>
      <c r="J299" s="16"/>
      <c r="K299" s="16"/>
    </row>
    <row r="300" spans="1:11" ht="20.25" customHeight="1">
      <c r="A300" s="16"/>
      <c r="B300" s="41" t="s">
        <v>1101</v>
      </c>
      <c r="C300" s="6" t="str">
        <f>VLOOKUP(Compras[[#This Row],[Codigo]],Stock[#Data],2,FALSE)</f>
        <v>Mecha de Bencina Zippo</v>
      </c>
      <c r="D300" s="40">
        <v>5</v>
      </c>
      <c r="E300" s="6">
        <v>830</v>
      </c>
      <c r="F300" s="12">
        <f>VLOOKUP(Compras[[#This Row],[Codigo]],Stock[#Data],3,FALSE)</f>
        <v>250</v>
      </c>
      <c r="G300" s="43">
        <f>Compras[[#This Row],[Unidad]]*Compras[[#This Row],[Cantidad]]</f>
        <v>1250</v>
      </c>
      <c r="H300" s="16"/>
      <c r="I300" s="16"/>
      <c r="J300" s="16"/>
      <c r="K300" s="16"/>
    </row>
    <row r="301" spans="1:11" ht="20.25" customHeight="1">
      <c r="A301" s="16"/>
      <c r="B301" s="41" t="s">
        <v>1101</v>
      </c>
      <c r="C301" s="6" t="str">
        <f>VLOOKUP(Compras[[#This Row],[Codigo]],Stock[#Data],2,FALSE)</f>
        <v>Llavero Picador</v>
      </c>
      <c r="D301" s="40">
        <v>1</v>
      </c>
      <c r="E301" s="6">
        <v>831</v>
      </c>
      <c r="F301" s="12">
        <f>VLOOKUP(Compras[[#This Row],[Codigo]],Stock[#Data],3,FALSE)</f>
        <v>500</v>
      </c>
      <c r="G301" s="43">
        <f>Compras[[#This Row],[Unidad]]*Compras[[#This Row],[Cantidad]]</f>
        <v>500</v>
      </c>
      <c r="H301" s="16"/>
      <c r="I301" s="16"/>
      <c r="J301" s="16"/>
      <c r="K301" s="16"/>
    </row>
    <row r="302" spans="1:11" ht="20.25" customHeight="1">
      <c r="A302" s="16"/>
      <c r="B302" s="41" t="s">
        <v>1101</v>
      </c>
      <c r="C302" s="6" t="str">
        <f>VLOOKUP(Compras[[#This Row],[Codigo]],Stock[#Data],2,FALSE)</f>
        <v>Repuesto de Vapo Smoke</v>
      </c>
      <c r="D302" s="40">
        <v>1</v>
      </c>
      <c r="E302" s="6">
        <v>804</v>
      </c>
      <c r="F302" s="12">
        <f>VLOOKUP(Compras[[#This Row],[Codigo]],Stock[#Data],3,FALSE)</f>
        <v>1000</v>
      </c>
      <c r="G302" s="43">
        <f>Compras[[#This Row],[Unidad]]*Compras[[#This Row],[Cantidad]]</f>
        <v>1000</v>
      </c>
      <c r="H302" s="16"/>
      <c r="I302" s="16"/>
      <c r="J302" s="16"/>
      <c r="K302" s="16"/>
    </row>
    <row r="303" spans="1:11" ht="20.25" customHeight="1">
      <c r="A303" s="16"/>
      <c r="B303" s="41" t="s">
        <v>1101</v>
      </c>
      <c r="C303" s="6" t="str">
        <f>VLOOKUP(Compras[[#This Row],[Codigo]],Stock[#Data],2,FALSE)</f>
        <v>Tabaquera Azul</v>
      </c>
      <c r="D303" s="40">
        <v>1</v>
      </c>
      <c r="E303" s="6">
        <v>832</v>
      </c>
      <c r="F303" s="12">
        <f>VLOOKUP(Compras[[#This Row],[Codigo]],Stock[#Data],3,FALSE)</f>
        <v>400</v>
      </c>
      <c r="G303" s="43">
        <f>Compras[[#This Row],[Unidad]]*Compras[[#This Row],[Cantidad]]</f>
        <v>400</v>
      </c>
      <c r="H303" s="16"/>
      <c r="I303" s="16"/>
      <c r="J303" s="16"/>
      <c r="K303" s="16"/>
    </row>
    <row r="304" spans="1:11" ht="20.25" customHeight="1">
      <c r="A304" s="16"/>
      <c r="B304" s="41" t="s">
        <v>1101</v>
      </c>
      <c r="C304" s="6" t="str">
        <f>VLOOKUP(Compras[[#This Row],[Codigo]],Stock[#Data],2,FALSE)</f>
        <v>Frasco con Filtros 420</v>
      </c>
      <c r="D304" s="40">
        <v>1</v>
      </c>
      <c r="E304" s="6">
        <v>833</v>
      </c>
      <c r="F304" s="12">
        <f>VLOOKUP(Compras[[#This Row],[Codigo]],Stock[#Data],3,FALSE)</f>
        <v>760</v>
      </c>
      <c r="G304" s="43">
        <f>Compras[[#This Row],[Unidad]]*Compras[[#This Row],[Cantidad]]</f>
        <v>760</v>
      </c>
      <c r="H304" s="16"/>
      <c r="I304" s="16"/>
      <c r="J304" s="16"/>
      <c r="K304" s="16"/>
    </row>
    <row r="305" spans="1:11" ht="20.25" customHeight="1">
      <c r="A305" s="16"/>
      <c r="B305" s="41" t="s">
        <v>1101</v>
      </c>
      <c r="C305" s="6" t="str">
        <f>VLOOKUP(Compras[[#This Row],[Codigo]],Stock[#Data],2,FALSE)</f>
        <v>ZipLoc con Filtros 420</v>
      </c>
      <c r="D305" s="40">
        <v>1</v>
      </c>
      <c r="E305" s="6">
        <v>834</v>
      </c>
      <c r="F305" s="12">
        <f>VLOOKUP(Compras[[#This Row],[Codigo]],Stock[#Data],3,FALSE)</f>
        <v>150</v>
      </c>
      <c r="G305" s="43">
        <f>Compras[[#This Row],[Unidad]]*Compras[[#This Row],[Cantidad]]</f>
        <v>150</v>
      </c>
      <c r="H305" s="16"/>
      <c r="I305" s="16"/>
      <c r="J305" s="16"/>
      <c r="K305" s="16"/>
    </row>
    <row r="306" spans="1:11" ht="20.25" customHeight="1">
      <c r="A306" s="16"/>
      <c r="B306" s="41" t="s">
        <v>1101</v>
      </c>
      <c r="C306" s="6" t="str">
        <f>VLOOKUP(Compras[[#This Row],[Codigo]],Stock[#Data],2,FALSE)</f>
        <v>Tuqueros</v>
      </c>
      <c r="D306" s="40">
        <v>58</v>
      </c>
      <c r="E306" s="6">
        <v>307</v>
      </c>
      <c r="F306" s="12">
        <f>VLOOKUP(Compras[[#This Row],[Codigo]],Stock[#Data],3,FALSE)</f>
        <v>12</v>
      </c>
      <c r="G306" s="43">
        <f>Compras[[#This Row],[Unidad]]*Compras[[#This Row],[Cantidad]]</f>
        <v>696</v>
      </c>
      <c r="H306" s="16"/>
      <c r="I306" s="16"/>
      <c r="J306" s="16"/>
      <c r="K306" s="16"/>
    </row>
    <row r="307" spans="1:11" ht="20.25" customHeight="1">
      <c r="A307" s="16"/>
      <c r="B307" s="41" t="s">
        <v>1101</v>
      </c>
      <c r="C307" s="6" t="str">
        <f>VLOOKUP(Compras[[#This Row],[Codigo]],Stock[#Data],2,FALSE)</f>
        <v>Anillo 3D</v>
      </c>
      <c r="D307" s="40">
        <v>9</v>
      </c>
      <c r="E307" s="6">
        <v>550</v>
      </c>
      <c r="F307" s="12">
        <f>VLOOKUP(Compras[[#This Row],[Codigo]],Stock[#Data],3,FALSE)</f>
        <v>100</v>
      </c>
      <c r="G307" s="43">
        <f>Compras[[#This Row],[Unidad]]*Compras[[#This Row],[Cantidad]]</f>
        <v>900</v>
      </c>
      <c r="H307" s="16"/>
      <c r="I307" s="16"/>
      <c r="J307" s="16"/>
      <c r="K307" s="16"/>
    </row>
    <row r="308" spans="1:11" ht="20.25" customHeight="1">
      <c r="A308" s="16"/>
      <c r="B308" s="41" t="s">
        <v>1101</v>
      </c>
      <c r="C308" s="6" t="str">
        <f>VLOOKUP(Compras[[#This Row],[Codigo]],Stock[#Data],2,FALSE)</f>
        <v>Anillos de Silicona</v>
      </c>
      <c r="D308" s="40">
        <v>6</v>
      </c>
      <c r="E308" s="6">
        <v>548</v>
      </c>
      <c r="F308" s="12">
        <f>VLOOKUP(Compras[[#This Row],[Codigo]],Stock[#Data],3,FALSE)</f>
        <v>345</v>
      </c>
      <c r="G308" s="43">
        <f>Compras[[#This Row],[Unidad]]*Compras[[#This Row],[Cantidad]]</f>
        <v>2070</v>
      </c>
      <c r="H308" s="16"/>
      <c r="I308" s="16"/>
      <c r="J308" s="16"/>
      <c r="K308" s="16"/>
    </row>
    <row r="309" spans="1:11" ht="20.25" customHeight="1">
      <c r="A309" s="16"/>
      <c r="B309" s="41" t="s">
        <v>1101</v>
      </c>
      <c r="C309" s="6" t="str">
        <f>VLOOKUP(Compras[[#This Row],[Codigo]],Stock[#Data],2,FALSE)</f>
        <v>Papel Rosin RAW 10 cm</v>
      </c>
      <c r="D309" s="40">
        <v>4</v>
      </c>
      <c r="E309" s="6">
        <v>282</v>
      </c>
      <c r="F309" s="12">
        <f>VLOOKUP(Compras[[#This Row],[Codigo]],Stock[#Data],3,FALSE)</f>
        <v>940</v>
      </c>
      <c r="G309" s="43">
        <f>Compras[[#This Row],[Unidad]]*Compras[[#This Row],[Cantidad]]</f>
        <v>3760</v>
      </c>
      <c r="H309" s="16"/>
      <c r="I309" s="16"/>
      <c r="J309" s="16"/>
      <c r="K309" s="16"/>
    </row>
    <row r="310" spans="1:11" ht="20.25" customHeight="1">
      <c r="A310" s="16"/>
      <c r="B310" s="41" t="s">
        <v>1101</v>
      </c>
      <c r="C310" s="6" t="str">
        <f>VLOOKUP(Compras[[#This Row],[Codigo]],Stock[#Data],2,FALSE)</f>
        <v>Papel Rosin RAW XL</v>
      </c>
      <c r="D310" s="40">
        <v>1</v>
      </c>
      <c r="E310" s="6">
        <v>111</v>
      </c>
      <c r="F310" s="12">
        <f>VLOOKUP(Compras[[#This Row],[Codigo]],Stock[#Data],3,FALSE)</f>
        <v>3273</v>
      </c>
      <c r="G310" s="43">
        <f>Compras[[#This Row],[Unidad]]*Compras[[#This Row],[Cantidad]]</f>
        <v>3273</v>
      </c>
      <c r="H310" s="16"/>
      <c r="I310" s="16"/>
      <c r="J310" s="16"/>
      <c r="K310" s="16"/>
    </row>
    <row r="311" spans="1:11" ht="20.25" customHeight="1">
      <c r="A311" s="16"/>
      <c r="B311" s="41" t="s">
        <v>1101</v>
      </c>
      <c r="C311" s="6" t="str">
        <f>VLOOKUP(Compras[[#This Row],[Codigo]],Stock[#Data],2,FALSE)</f>
        <v>Canamama Aceite para Masajes</v>
      </c>
      <c r="D311" s="40">
        <v>3</v>
      </c>
      <c r="E311" s="6">
        <v>911</v>
      </c>
      <c r="F311" s="12">
        <f>VLOOKUP(Compras[[#This Row],[Codigo]],Stock[#Data],3,FALSE)</f>
        <v>700</v>
      </c>
      <c r="G311" s="43">
        <f>Compras[[#This Row],[Unidad]]*Compras[[#This Row],[Cantidad]]</f>
        <v>2100</v>
      </c>
      <c r="H311" s="16"/>
      <c r="I311" s="16"/>
      <c r="J311" s="16"/>
      <c r="K311" s="16"/>
    </row>
    <row r="312" spans="1:11" ht="20.25" customHeight="1">
      <c r="A312" s="16"/>
      <c r="B312" s="41" t="s">
        <v>1101</v>
      </c>
      <c r="C312" s="6" t="str">
        <f>VLOOKUP(Compras[[#This Row],[Codigo]],Stock[#Data],2,FALSE)</f>
        <v>Canamama Crema Corporal</v>
      </c>
      <c r="D312" s="40">
        <v>3</v>
      </c>
      <c r="E312" s="6">
        <v>784</v>
      </c>
      <c r="F312" s="12">
        <f>VLOOKUP(Compras[[#This Row],[Codigo]],Stock[#Data],3,FALSE)</f>
        <v>650</v>
      </c>
      <c r="G312" s="43">
        <f>Compras[[#This Row],[Unidad]]*Compras[[#This Row],[Cantidad]]</f>
        <v>1950</v>
      </c>
      <c r="H312" s="16"/>
      <c r="I312" s="16"/>
      <c r="J312" s="16"/>
      <c r="K312" s="16"/>
    </row>
    <row r="313" spans="1:11" ht="20.25" customHeight="1">
      <c r="A313" s="16"/>
      <c r="B313" s="41" t="s">
        <v>1101</v>
      </c>
      <c r="C313" s="6" t="str">
        <f>VLOOKUP(Compras[[#This Row],[Codigo]],Stock[#Data],2,FALSE)</f>
        <v>Canamama Gel Intimo 50ml</v>
      </c>
      <c r="D313" s="40">
        <v>1</v>
      </c>
      <c r="E313" s="6">
        <v>783</v>
      </c>
      <c r="F313" s="12">
        <f>VLOOKUP(Compras[[#This Row],[Codigo]],Stock[#Data],3,FALSE)</f>
        <v>500</v>
      </c>
      <c r="G313" s="43">
        <f>Compras[[#This Row],[Unidad]]*Compras[[#This Row],[Cantidad]]</f>
        <v>500</v>
      </c>
      <c r="H313" s="16"/>
      <c r="I313" s="16"/>
      <c r="J313" s="16"/>
      <c r="K313" s="16"/>
    </row>
    <row r="314" spans="1:11" ht="20.25" customHeight="1">
      <c r="A314" s="16"/>
      <c r="B314" s="41" t="s">
        <v>1101</v>
      </c>
      <c r="C314" s="6" t="str">
        <f>VLOOKUP(Compras[[#This Row],[Codigo]],Stock[#Data],2,FALSE)</f>
        <v>Canamama Aceite para Pies Cansados</v>
      </c>
      <c r="D314" s="40">
        <v>1</v>
      </c>
      <c r="E314" s="6">
        <v>788</v>
      </c>
      <c r="F314" s="12">
        <f>VLOOKUP(Compras[[#This Row],[Codigo]],Stock[#Data],3,FALSE)</f>
        <v>700</v>
      </c>
      <c r="G314" s="43">
        <f>Compras[[#This Row],[Unidad]]*Compras[[#This Row],[Cantidad]]</f>
        <v>700</v>
      </c>
      <c r="H314" s="16"/>
      <c r="I314" s="16"/>
      <c r="J314" s="16"/>
      <c r="K314" s="16"/>
    </row>
    <row r="315" spans="1:11" ht="20.25" customHeight="1">
      <c r="A315" s="16"/>
      <c r="B315" s="41" t="s">
        <v>1101</v>
      </c>
      <c r="C315" s="6" t="str">
        <f>VLOOKUP(Compras[[#This Row],[Codigo]],Stock[#Data],2,FALSE)</f>
        <v>Canamama Aceite para Barba 30ml</v>
      </c>
      <c r="D315" s="40">
        <v>1</v>
      </c>
      <c r="E315" s="6">
        <v>787</v>
      </c>
      <c r="F315" s="12">
        <f>VLOOKUP(Compras[[#This Row],[Codigo]],Stock[#Data],3,FALSE)</f>
        <v>550</v>
      </c>
      <c r="G315" s="43">
        <f>Compras[[#This Row],[Unidad]]*Compras[[#This Row],[Cantidad]]</f>
        <v>550</v>
      </c>
      <c r="H315" s="16"/>
      <c r="I315" s="16"/>
      <c r="J315" s="16"/>
      <c r="K315" s="16"/>
    </row>
    <row r="316" spans="1:11" ht="20.25" customHeight="1">
      <c r="A316" s="16"/>
      <c r="B316" s="41" t="s">
        <v>1101</v>
      </c>
      <c r="C316" s="6" t="str">
        <f>VLOOKUP(Compras[[#This Row],[Codigo]],Stock[#Data],2,FALSE)</f>
        <v>Canamama Aceite para Pelo</v>
      </c>
      <c r="D316" s="40">
        <v>1</v>
      </c>
      <c r="E316" s="6">
        <v>790</v>
      </c>
      <c r="F316" s="12">
        <f>VLOOKUP(Compras[[#This Row],[Codigo]],Stock[#Data],3,FALSE)</f>
        <v>700</v>
      </c>
      <c r="G316" s="43">
        <f>Compras[[#This Row],[Unidad]]*Compras[[#This Row],[Cantidad]]</f>
        <v>700</v>
      </c>
      <c r="H316" s="16"/>
      <c r="I316" s="16"/>
      <c r="J316" s="16"/>
      <c r="K316" s="16"/>
    </row>
    <row r="317" spans="1:11" ht="20.25" customHeight="1">
      <c r="A317" s="16"/>
      <c r="B317" s="41" t="s">
        <v>1101</v>
      </c>
      <c r="C317" s="6" t="str">
        <f>VLOOKUP(Compras[[#This Row],[Codigo]],Stock[#Data],2,FALSE)</f>
        <v>Canamama Acondicionador</v>
      </c>
      <c r="D317" s="40">
        <v>1</v>
      </c>
      <c r="E317" s="6">
        <v>792</v>
      </c>
      <c r="F317" s="12">
        <f>VLOOKUP(Compras[[#This Row],[Codigo]],Stock[#Data],3,FALSE)</f>
        <v>800</v>
      </c>
      <c r="G317" s="43">
        <f>Compras[[#This Row],[Unidad]]*Compras[[#This Row],[Cantidad]]</f>
        <v>800</v>
      </c>
      <c r="H317" s="16"/>
      <c r="I317" s="16"/>
      <c r="J317" s="16"/>
      <c r="K317" s="16"/>
    </row>
    <row r="318" spans="1:11" ht="20.25" customHeight="1">
      <c r="A318" s="16"/>
      <c r="B318" s="41" t="s">
        <v>1101</v>
      </c>
      <c r="C318" s="6" t="str">
        <f>VLOOKUP(Compras[[#This Row],[Codigo]],Stock[#Data],2,FALSE)</f>
        <v>Portaseda Lion Rolling Circus</v>
      </c>
      <c r="D318" s="40">
        <v>4</v>
      </c>
      <c r="E318" s="6">
        <v>152</v>
      </c>
      <c r="F318" s="12">
        <f>VLOOKUP(Compras[[#This Row],[Codigo]],Stock[#Data],3,FALSE)</f>
        <v>633</v>
      </c>
      <c r="G318" s="43">
        <f>Compras[[#This Row],[Unidad]]*Compras[[#This Row],[Cantidad]]</f>
        <v>2532</v>
      </c>
      <c r="H318" s="16"/>
      <c r="I318" s="16"/>
      <c r="J318" s="16"/>
      <c r="K318" s="16"/>
    </row>
    <row r="319" spans="1:11" ht="20.25" customHeight="1">
      <c r="A319" s="16"/>
      <c r="B319" s="41" t="s">
        <v>1101</v>
      </c>
      <c r="C319" s="6" t="str">
        <f>VLOOKUP(Compras[[#This Row],[Codigo]],Stock[#Data],2,FALSE)</f>
        <v>Portaseda Lion Rolling Circus Kz</v>
      </c>
      <c r="D319" s="40">
        <v>1</v>
      </c>
      <c r="E319" s="6">
        <v>835</v>
      </c>
      <c r="F319" s="12">
        <f>VLOOKUP(Compras[[#This Row],[Codigo]],Stock[#Data],3,FALSE)</f>
        <v>734</v>
      </c>
      <c r="G319" s="43">
        <f>Compras[[#This Row],[Unidad]]*Compras[[#This Row],[Cantidad]]</f>
        <v>734</v>
      </c>
      <c r="H319" s="16"/>
      <c r="I319" s="16"/>
      <c r="J319" s="16"/>
      <c r="K319" s="16"/>
    </row>
    <row r="320" spans="1:11" ht="20.25" customHeight="1">
      <c r="A320" s="16"/>
      <c r="B320" s="41" t="s">
        <v>1101</v>
      </c>
      <c r="C320" s="6" t="str">
        <f>VLOOKUP(Compras[[#This Row],[Codigo]],Stock[#Data],2,FALSE)</f>
        <v xml:space="preserve">Portaseda RAW Kz </v>
      </c>
      <c r="D320" s="40">
        <v>9</v>
      </c>
      <c r="E320" s="6">
        <v>151</v>
      </c>
      <c r="F320" s="12">
        <f>VLOOKUP(Compras[[#This Row],[Codigo]],Stock[#Data],3,FALSE)</f>
        <v>1160</v>
      </c>
      <c r="G320" s="43">
        <f>Compras[[#This Row],[Unidad]]*Compras[[#This Row],[Cantidad]]</f>
        <v>10440</v>
      </c>
      <c r="H320" s="16"/>
      <c r="I320" s="16"/>
      <c r="J320" s="16"/>
      <c r="K320" s="16"/>
    </row>
    <row r="321" spans="1:11" ht="20.25" customHeight="1">
      <c r="A321" s="16"/>
      <c r="B321" s="41" t="s">
        <v>1101</v>
      </c>
      <c r="C321" s="6" t="str">
        <f>VLOOKUP(Compras[[#This Row],[Codigo]],Stock[#Data],2,FALSE)</f>
        <v>Portaseda RAW 1/4</v>
      </c>
      <c r="D321" s="40">
        <v>2</v>
      </c>
      <c r="E321" s="6">
        <v>150</v>
      </c>
      <c r="F321" s="12">
        <f>VLOOKUP(Compras[[#This Row],[Codigo]],Stock[#Data],3,FALSE)</f>
        <v>580</v>
      </c>
      <c r="G321" s="43">
        <f>Compras[[#This Row],[Unidad]]*Compras[[#This Row],[Cantidad]]</f>
        <v>1160</v>
      </c>
      <c r="H321" s="16"/>
      <c r="I321" s="16"/>
      <c r="J321" s="16"/>
      <c r="K321" s="16"/>
    </row>
    <row r="322" spans="1:11" ht="20.25" customHeight="1">
      <c r="A322" s="16"/>
      <c r="B322" s="41" t="s">
        <v>1101</v>
      </c>
      <c r="C322" s="6" t="str">
        <f>VLOOKUP(Compras[[#This Row],[Codigo]],Stock[#Data],2,FALSE)</f>
        <v>Lata Casino</v>
      </c>
      <c r="D322" s="40">
        <v>2</v>
      </c>
      <c r="E322" s="6">
        <v>836</v>
      </c>
      <c r="F322" s="12">
        <f>VLOOKUP(Compras[[#This Row],[Codigo]],Stock[#Data],3,FALSE)</f>
        <v>200</v>
      </c>
      <c r="G322" s="43">
        <f>Compras[[#This Row],[Unidad]]*Compras[[#This Row],[Cantidad]]</f>
        <v>400</v>
      </c>
      <c r="H322" s="16"/>
      <c r="I322" s="16"/>
      <c r="J322" s="16"/>
      <c r="K322" s="16"/>
    </row>
    <row r="323" spans="1:11" ht="20.25" customHeight="1">
      <c r="A323" s="16"/>
      <c r="B323" s="41" t="s">
        <v>1101</v>
      </c>
      <c r="C323" s="6" t="str">
        <f>VLOOKUP(Compras[[#This Row],[Codigo]],Stock[#Data],2,FALSE)</f>
        <v>Lata Monedero</v>
      </c>
      <c r="D323" s="40">
        <v>2</v>
      </c>
      <c r="E323" s="6">
        <v>837</v>
      </c>
      <c r="F323" s="12">
        <f>VLOOKUP(Compras[[#This Row],[Codigo]],Stock[#Data],3,FALSE)</f>
        <v>350</v>
      </c>
      <c r="G323" s="43">
        <f>Compras[[#This Row],[Unidad]]*Compras[[#This Row],[Cantidad]]</f>
        <v>700</v>
      </c>
      <c r="H323" s="16"/>
      <c r="I323" s="16"/>
      <c r="J323" s="16"/>
      <c r="K323" s="16"/>
    </row>
    <row r="324" spans="1:11" ht="20.25" customHeight="1">
      <c r="A324" s="16"/>
      <c r="B324" s="41" t="s">
        <v>1101</v>
      </c>
      <c r="C324" s="6" t="str">
        <f>VLOOKUP(Compras[[#This Row],[Codigo]],Stock[#Data],2,FALSE)</f>
        <v>Lata 3D</v>
      </c>
      <c r="D324" s="40">
        <v>1</v>
      </c>
      <c r="E324" s="6">
        <v>838</v>
      </c>
      <c r="F324" s="12">
        <f>VLOOKUP(Compras[[#This Row],[Codigo]],Stock[#Data],3,FALSE)</f>
        <v>200</v>
      </c>
      <c r="G324" s="43">
        <f>Compras[[#This Row],[Unidad]]*Compras[[#This Row],[Cantidad]]</f>
        <v>200</v>
      </c>
      <c r="H324" s="16"/>
      <c r="I324" s="16"/>
      <c r="J324" s="16"/>
      <c r="K324" s="16"/>
    </row>
    <row r="325" spans="1:11" ht="20.25" customHeight="1">
      <c r="A325" s="16"/>
      <c r="B325" s="41" t="s">
        <v>1101</v>
      </c>
      <c r="C325" s="6" t="str">
        <f>VLOOKUP(Compras[[#This Row],[Codigo]],Stock[#Data],2,FALSE)</f>
        <v>Lata Cigarrera RAW</v>
      </c>
      <c r="D325" s="40">
        <v>1</v>
      </c>
      <c r="E325" s="6">
        <v>552</v>
      </c>
      <c r="F325" s="12">
        <f>VLOOKUP(Compras[[#This Row],[Codigo]],Stock[#Data],3,FALSE)</f>
        <v>1252</v>
      </c>
      <c r="G325" s="43">
        <f>Compras[[#This Row],[Unidad]]*Compras[[#This Row],[Cantidad]]</f>
        <v>1252</v>
      </c>
      <c r="H325" s="16"/>
      <c r="I325" s="16"/>
      <c r="J325" s="16"/>
      <c r="K325" s="16"/>
    </row>
    <row r="326" spans="1:11" ht="20.25" customHeight="1">
      <c r="A326" s="16"/>
      <c r="B326" s="41" t="s">
        <v>1101</v>
      </c>
      <c r="C326" s="6" t="str">
        <f>VLOOKUP(Compras[[#This Row],[Codigo]],Stock[#Data],2,FALSE)</f>
        <v>Pipa Fibron</v>
      </c>
      <c r="D326" s="40">
        <v>1</v>
      </c>
      <c r="E326" s="6">
        <v>839</v>
      </c>
      <c r="F326" s="12">
        <f>VLOOKUP(Compras[[#This Row],[Codigo]],Stock[#Data],3,FALSE)</f>
        <v>500</v>
      </c>
      <c r="G326" s="43">
        <f>Compras[[#This Row],[Unidad]]*Compras[[#This Row],[Cantidad]]</f>
        <v>500</v>
      </c>
      <c r="H326" s="16"/>
      <c r="I326" s="16"/>
      <c r="J326" s="16"/>
      <c r="K326" s="16"/>
    </row>
    <row r="327" spans="1:11" ht="20.25" customHeight="1">
      <c r="A327" s="16"/>
      <c r="B327" s="41" t="s">
        <v>1101</v>
      </c>
      <c r="C327" s="6" t="str">
        <f>VLOOKUP(Compras[[#This Row],[Codigo]],Stock[#Data],2,FALSE)</f>
        <v>Cenicero Montecristo Habanos</v>
      </c>
      <c r="D327" s="40">
        <v>2</v>
      </c>
      <c r="E327" s="6">
        <v>840</v>
      </c>
      <c r="F327" s="12">
        <f>VLOOKUP(Compras[[#This Row],[Codigo]],Stock[#Data],3,FALSE)</f>
        <v>500</v>
      </c>
      <c r="G327" s="43">
        <f>Compras[[#This Row],[Unidad]]*Compras[[#This Row],[Cantidad]]</f>
        <v>1000</v>
      </c>
      <c r="H327" s="16"/>
      <c r="I327" s="16"/>
      <c r="J327" s="16"/>
      <c r="K327" s="16"/>
    </row>
    <row r="328" spans="1:11" ht="20.25" customHeight="1">
      <c r="A328" s="16"/>
      <c r="B328" s="41" t="s">
        <v>1101</v>
      </c>
      <c r="C328" s="6" t="str">
        <f>VLOOKUP(Compras[[#This Row],[Codigo]],Stock[#Data],2,FALSE)</f>
        <v>Cenicero Montecristo para Auto</v>
      </c>
      <c r="D328" s="40">
        <v>2</v>
      </c>
      <c r="E328" s="6">
        <v>841</v>
      </c>
      <c r="F328" s="12">
        <f>VLOOKUP(Compras[[#This Row],[Codigo]],Stock[#Data],3,FALSE)</f>
        <v>500</v>
      </c>
      <c r="G328" s="43">
        <f>Compras[[#This Row],[Unidad]]*Compras[[#This Row],[Cantidad]]</f>
        <v>1000</v>
      </c>
      <c r="H328" s="16"/>
      <c r="I328" s="16"/>
      <c r="J328" s="16"/>
      <c r="K328" s="16"/>
    </row>
    <row r="329" spans="1:11" ht="20.25" customHeight="1">
      <c r="A329" s="16"/>
      <c r="B329" s="41" t="s">
        <v>1101</v>
      </c>
      <c r="C329" s="6" t="str">
        <f>VLOOKUP(Compras[[#This Row],[Codigo]],Stock[#Data],2,FALSE)</f>
        <v>Cenicero Montecristo para Auto con Luz</v>
      </c>
      <c r="D329" s="40">
        <v>2</v>
      </c>
      <c r="E329" s="6">
        <v>842</v>
      </c>
      <c r="F329" s="12">
        <f>VLOOKUP(Compras[[#This Row],[Codigo]],Stock[#Data],3,FALSE)</f>
        <v>520</v>
      </c>
      <c r="G329" s="43">
        <f>Compras[[#This Row],[Unidad]]*Compras[[#This Row],[Cantidad]]</f>
        <v>1040</v>
      </c>
      <c r="H329" s="16"/>
      <c r="I329" s="16"/>
      <c r="J329" s="16"/>
      <c r="K329" s="16"/>
    </row>
    <row r="330" spans="1:11" ht="20.25" customHeight="1">
      <c r="A330" s="16"/>
      <c r="B330" s="41" t="s">
        <v>1101</v>
      </c>
      <c r="C330" s="6" t="str">
        <f>VLOOKUP(Compras[[#This Row],[Codigo]],Stock[#Data],2,FALSE)</f>
        <v>Cenicero Montecristo Rueda de Auto</v>
      </c>
      <c r="D330" s="40">
        <v>1</v>
      </c>
      <c r="E330" s="6">
        <v>909</v>
      </c>
      <c r="F330" s="12">
        <f>VLOOKUP(Compras[[#This Row],[Codigo]],Stock[#Data],3,FALSE)</f>
        <v>500</v>
      </c>
      <c r="G330" s="43">
        <f>Compras[[#This Row],[Unidad]]*Compras[[#This Row],[Cantidad]]</f>
        <v>500</v>
      </c>
      <c r="H330" s="16"/>
      <c r="I330" s="16"/>
      <c r="J330" s="16"/>
      <c r="K330" s="16"/>
    </row>
    <row r="331" spans="1:11" ht="20.25" customHeight="1">
      <c r="A331" s="16"/>
      <c r="B331" s="41" t="s">
        <v>1101</v>
      </c>
      <c r="C331" s="6" t="str">
        <f>VLOOKUP(Compras[[#This Row],[Codigo]],Stock[#Data],2,FALSE)</f>
        <v>Cenicero Montecristo Poker</v>
      </c>
      <c r="D331" s="40">
        <v>1</v>
      </c>
      <c r="E331" s="6">
        <v>910</v>
      </c>
      <c r="F331" s="12">
        <f>VLOOKUP(Compras[[#This Row],[Codigo]],Stock[#Data],3,FALSE)</f>
        <v>800</v>
      </c>
      <c r="G331" s="43">
        <f>Compras[[#This Row],[Unidad]]*Compras[[#This Row],[Cantidad]]</f>
        <v>800</v>
      </c>
      <c r="H331" s="16"/>
      <c r="I331" s="16"/>
      <c r="J331" s="16"/>
      <c r="K331" s="16"/>
    </row>
    <row r="332" spans="1:11" ht="20.25" customHeight="1">
      <c r="A332" s="16"/>
      <c r="B332" s="41" t="s">
        <v>1101</v>
      </c>
      <c r="C332" s="6" t="str">
        <f>VLOOKUP(Compras[[#This Row],[Codigo]],Stock[#Data],2,FALSE)</f>
        <v xml:space="preserve">Cenicero Montecristo Silicona </v>
      </c>
      <c r="D332" s="40">
        <v>1</v>
      </c>
      <c r="E332" s="6">
        <v>843</v>
      </c>
      <c r="F332" s="12">
        <f>VLOOKUP(Compras[[#This Row],[Codigo]],Stock[#Data],3,FALSE)</f>
        <v>300</v>
      </c>
      <c r="G332" s="43">
        <f>Compras[[#This Row],[Unidad]]*Compras[[#This Row],[Cantidad]]</f>
        <v>300</v>
      </c>
      <c r="H332" s="16"/>
      <c r="I332" s="16"/>
      <c r="J332" s="16"/>
      <c r="K332" s="16"/>
    </row>
    <row r="333" spans="1:11" ht="20.25" customHeight="1">
      <c r="A333" s="16"/>
      <c r="B333" s="41" t="s">
        <v>1101</v>
      </c>
      <c r="C333" s="6" t="str">
        <f>VLOOKUP(Compras[[#This Row],[Codigo]],Stock[#Data],2,FALSE)</f>
        <v>Cenicero Montecristo Silicona Chico</v>
      </c>
      <c r="D333" s="40">
        <v>4</v>
      </c>
      <c r="E333" s="6">
        <v>844</v>
      </c>
      <c r="F333" s="12">
        <f>VLOOKUP(Compras[[#This Row],[Codigo]],Stock[#Data],3,FALSE)</f>
        <v>200</v>
      </c>
      <c r="G333" s="43">
        <f>Compras[[#This Row],[Unidad]]*Compras[[#This Row],[Cantidad]]</f>
        <v>800</v>
      </c>
      <c r="H333" s="16"/>
      <c r="I333" s="16"/>
      <c r="J333" s="16"/>
      <c r="K333" s="16"/>
    </row>
    <row r="334" spans="1:11" ht="20.25" customHeight="1">
      <c r="A334" s="16"/>
      <c r="B334" s="41" t="s">
        <v>1101</v>
      </c>
      <c r="C334" s="6" t="str">
        <f>VLOOKUP(Compras[[#This Row],[Codigo]],Stock[#Data],2,FALSE)</f>
        <v>Cenicero Montecristo Vidrio Jamaica</v>
      </c>
      <c r="D334" s="40">
        <v>2</v>
      </c>
      <c r="E334" s="6">
        <v>845</v>
      </c>
      <c r="F334" s="12">
        <f>VLOOKUP(Compras[[#This Row],[Codigo]],Stock[#Data],3,FALSE)</f>
        <v>250</v>
      </c>
      <c r="G334" s="43">
        <f>Compras[[#This Row],[Unidad]]*Compras[[#This Row],[Cantidad]]</f>
        <v>500</v>
      </c>
      <c r="H334" s="16"/>
      <c r="I334" s="16"/>
      <c r="J334" s="16"/>
      <c r="K334" s="16"/>
    </row>
    <row r="335" spans="1:11" ht="20.25" customHeight="1">
      <c r="A335" s="16"/>
      <c r="B335" s="41" t="s">
        <v>1101</v>
      </c>
      <c r="C335" s="6" t="str">
        <f>VLOOKUP(Compras[[#This Row],[Codigo]],Stock[#Data],2,FALSE)</f>
        <v>Cenicero Squadafum Silicona</v>
      </c>
      <c r="D335" s="40">
        <v>2</v>
      </c>
      <c r="E335" s="6">
        <v>846</v>
      </c>
      <c r="F335" s="12">
        <f>VLOOKUP(Compras[[#This Row],[Codigo]],Stock[#Data],3,FALSE)</f>
        <v>500</v>
      </c>
      <c r="G335" s="43">
        <f>Compras[[#This Row],[Unidad]]*Compras[[#This Row],[Cantidad]]</f>
        <v>1000</v>
      </c>
      <c r="H335" s="16"/>
      <c r="I335" s="16"/>
      <c r="J335" s="16"/>
      <c r="K335" s="16"/>
    </row>
    <row r="336" spans="1:11" ht="20.25" customHeight="1">
      <c r="A336" s="16"/>
      <c r="B336" s="41" t="s">
        <v>1101</v>
      </c>
      <c r="C336" s="6" t="str">
        <f>VLOOKUP(Compras[[#This Row],[Codigo]],Stock[#Data],2,FALSE)</f>
        <v>Cenicero Lion Rolling Circus</v>
      </c>
      <c r="D336" s="40">
        <v>1</v>
      </c>
      <c r="E336" s="6">
        <v>139</v>
      </c>
      <c r="F336" s="12">
        <f>VLOOKUP(Compras[[#This Row],[Codigo]],Stock[#Data],3,FALSE)</f>
        <v>494</v>
      </c>
      <c r="G336" s="43">
        <f>Compras[[#This Row],[Unidad]]*Compras[[#This Row],[Cantidad]]</f>
        <v>494</v>
      </c>
      <c r="H336" s="16"/>
      <c r="I336" s="16"/>
      <c r="J336" s="16"/>
      <c r="K336" s="16"/>
    </row>
    <row r="337" spans="1:11" ht="20.25" customHeight="1">
      <c r="A337" s="16"/>
      <c r="B337" s="41" t="s">
        <v>1101</v>
      </c>
      <c r="C337" s="6" t="str">
        <f>VLOOKUP(Compras[[#This Row],[Codigo]],Stock[#Data],2,FALSE)</f>
        <v>Armador RAW Kz</v>
      </c>
      <c r="D337" s="40">
        <v>6</v>
      </c>
      <c r="E337" s="6">
        <v>847</v>
      </c>
      <c r="F337" s="12">
        <f>VLOOKUP(Compras[[#This Row],[Codigo]],Stock[#Data],3,FALSE)</f>
        <v>1176</v>
      </c>
      <c r="G337" s="43">
        <f>Compras[[#This Row],[Unidad]]*Compras[[#This Row],[Cantidad]]</f>
        <v>7056</v>
      </c>
      <c r="H337" s="16"/>
      <c r="I337" s="16"/>
      <c r="J337" s="16"/>
      <c r="K337" s="16"/>
    </row>
    <row r="338" spans="1:11" ht="20.25" customHeight="1">
      <c r="A338" s="16"/>
      <c r="B338" s="41" t="s">
        <v>1101</v>
      </c>
      <c r="C338" s="6" t="str">
        <f>VLOOKUP(Compras[[#This Row],[Codigo]],Stock[#Data],2,FALSE)</f>
        <v>Armador RAW Six Shooter</v>
      </c>
      <c r="D338" s="40">
        <v>1</v>
      </c>
      <c r="E338" s="6">
        <v>848</v>
      </c>
      <c r="F338" s="12">
        <f>VLOOKUP(Compras[[#This Row],[Codigo]],Stock[#Data],3,FALSE)</f>
        <v>3500</v>
      </c>
      <c r="G338" s="43">
        <f>Compras[[#This Row],[Unidad]]*Compras[[#This Row],[Cantidad]]</f>
        <v>3500</v>
      </c>
      <c r="H338" s="16"/>
      <c r="I338" s="16"/>
      <c r="J338" s="16"/>
      <c r="K338" s="16"/>
    </row>
    <row r="339" spans="1:11" ht="20.25" customHeight="1">
      <c r="A339" s="16"/>
      <c r="B339" s="41" t="s">
        <v>1101</v>
      </c>
      <c r="C339" s="6" t="str">
        <f>VLOOKUP(Compras[[#This Row],[Codigo]],Stock[#Data],2,FALSE)</f>
        <v>Armador Lion Rolling Circus Ks</v>
      </c>
      <c r="D339" s="40">
        <v>6</v>
      </c>
      <c r="E339" s="6">
        <v>849</v>
      </c>
      <c r="F339" s="12">
        <f>VLOOKUP(Compras[[#This Row],[Codigo]],Stock[#Data],3,FALSE)</f>
        <v>1032</v>
      </c>
      <c r="G339" s="43">
        <f>Compras[[#This Row],[Unidad]]*Compras[[#This Row],[Cantidad]]</f>
        <v>6192</v>
      </c>
      <c r="H339" s="16"/>
      <c r="I339" s="16"/>
      <c r="J339" s="16"/>
      <c r="K339" s="16"/>
    </row>
    <row r="340" spans="1:11" ht="20.25" customHeight="1">
      <c r="A340" s="16"/>
      <c r="B340" s="41" t="s">
        <v>1101</v>
      </c>
      <c r="C340" s="6" t="str">
        <f>VLOOKUP(Compras[[#This Row],[Codigo]],Stock[#Data],2,FALSE)</f>
        <v>Bandeja Zeus Cañamo</v>
      </c>
      <c r="D340" s="40">
        <v>1</v>
      </c>
      <c r="E340" s="6">
        <v>850</v>
      </c>
      <c r="F340" s="12">
        <f>VLOOKUP(Compras[[#This Row],[Codigo]],Stock[#Data],3,FALSE)</f>
        <v>719</v>
      </c>
      <c r="G340" s="43">
        <f>Compras[[#This Row],[Unidad]]*Compras[[#This Row],[Cantidad]]</f>
        <v>719</v>
      </c>
      <c r="H340" s="16"/>
      <c r="I340" s="16"/>
      <c r="J340" s="16"/>
      <c r="K340" s="16"/>
    </row>
    <row r="341" spans="1:11" ht="20.25" customHeight="1">
      <c r="A341" s="16"/>
      <c r="B341" s="41" t="s">
        <v>1101</v>
      </c>
      <c r="C341" s="6" t="str">
        <f>VLOOKUP(Compras[[#This Row],[Codigo]],Stock[#Data],2,FALSE)</f>
        <v>Bandeja RAW chica</v>
      </c>
      <c r="D341" s="40">
        <v>3</v>
      </c>
      <c r="E341" s="6">
        <v>129</v>
      </c>
      <c r="F341" s="12">
        <f>VLOOKUP(Compras[[#This Row],[Codigo]],Stock[#Data],3,FALSE)</f>
        <v>1847</v>
      </c>
      <c r="G341" s="43">
        <f>Compras[[#This Row],[Unidad]]*Compras[[#This Row],[Cantidad]]</f>
        <v>5541</v>
      </c>
      <c r="H341" s="16"/>
      <c r="I341" s="16"/>
      <c r="J341" s="16"/>
      <c r="K341" s="16"/>
    </row>
    <row r="342" spans="1:11" ht="20.25" customHeight="1">
      <c r="A342" s="16"/>
      <c r="B342" s="41" t="s">
        <v>1101</v>
      </c>
      <c r="C342" s="6" t="str">
        <f>VLOOKUP(Compras[[#This Row],[Codigo]],Stock[#Data],2,FALSE)</f>
        <v>Bandeja RAW grande</v>
      </c>
      <c r="D342" s="40">
        <v>1</v>
      </c>
      <c r="E342" s="6">
        <v>130</v>
      </c>
      <c r="F342" s="12">
        <f>VLOOKUP(Compras[[#This Row],[Codigo]],Stock[#Data],3,FALSE)</f>
        <v>2915</v>
      </c>
      <c r="G342" s="43">
        <f>Compras[[#This Row],[Unidad]]*Compras[[#This Row],[Cantidad]]</f>
        <v>2915</v>
      </c>
      <c r="H342" s="16"/>
      <c r="I342" s="16"/>
      <c r="J342" s="16"/>
      <c r="K342" s="16"/>
    </row>
    <row r="343" spans="1:11" ht="20.25" customHeight="1">
      <c r="A343" s="16"/>
      <c r="B343" s="41" t="s">
        <v>1101</v>
      </c>
      <c r="C343" s="6" t="str">
        <f>VLOOKUP(Compras[[#This Row],[Codigo]],Stock[#Data],2,FALSE)</f>
        <v>Bandeja RAW Bamboo</v>
      </c>
      <c r="D343" s="40">
        <v>1</v>
      </c>
      <c r="E343" s="6">
        <v>851</v>
      </c>
      <c r="F343" s="12">
        <f>VLOOKUP(Compras[[#This Row],[Codigo]],Stock[#Data],3,FALSE)</f>
        <v>9000</v>
      </c>
      <c r="G343" s="43">
        <f>Compras[[#This Row],[Unidad]]*Compras[[#This Row],[Cantidad]]</f>
        <v>9000</v>
      </c>
      <c r="H343" s="16"/>
      <c r="I343" s="16"/>
      <c r="J343" s="16"/>
      <c r="K343" s="16"/>
    </row>
    <row r="344" spans="1:11" ht="20.25" customHeight="1">
      <c r="A344" s="16"/>
      <c r="B344" s="41" t="s">
        <v>1101</v>
      </c>
      <c r="C344" s="6" t="str">
        <f>VLOOKUP(Compras[[#This Row],[Codigo]],Stock[#Data],2,FALSE)</f>
        <v>Bandeja Bull Dog Chica</v>
      </c>
      <c r="D344" s="40">
        <v>1</v>
      </c>
      <c r="E344" s="6">
        <v>852</v>
      </c>
      <c r="F344" s="12">
        <f>VLOOKUP(Compras[[#This Row],[Codigo]],Stock[#Data],3,FALSE)</f>
        <v>500</v>
      </c>
      <c r="G344" s="43">
        <f>Compras[[#This Row],[Unidad]]*Compras[[#This Row],[Cantidad]]</f>
        <v>500</v>
      </c>
      <c r="H344" s="16"/>
      <c r="I344" s="16"/>
      <c r="J344" s="16"/>
      <c r="K344" s="16"/>
    </row>
    <row r="345" spans="1:11" ht="20.25" customHeight="1">
      <c r="A345" s="16"/>
      <c r="B345" s="41" t="s">
        <v>1101</v>
      </c>
      <c r="C345" s="6" t="str">
        <f>VLOOKUP(Compras[[#This Row],[Codigo]],Stock[#Data],2,FALSE)</f>
        <v>Bandeja Bull Dog Mediana</v>
      </c>
      <c r="D345" s="40">
        <v>2</v>
      </c>
      <c r="E345" s="6">
        <v>853</v>
      </c>
      <c r="F345" s="12">
        <f>VLOOKUP(Compras[[#This Row],[Codigo]],Stock[#Data],3,FALSE)</f>
        <v>700</v>
      </c>
      <c r="G345" s="43">
        <f>Compras[[#This Row],[Unidad]]*Compras[[#This Row],[Cantidad]]</f>
        <v>1400</v>
      </c>
      <c r="H345" s="16"/>
      <c r="I345" s="16"/>
      <c r="J345" s="16"/>
      <c r="K345" s="16"/>
    </row>
    <row r="346" spans="1:11" ht="20.25" customHeight="1">
      <c r="A346" s="16"/>
      <c r="B346" s="41" t="s">
        <v>1101</v>
      </c>
      <c r="C346" s="6" t="str">
        <f>VLOOKUP(Compras[[#This Row],[Codigo]],Stock[#Data],2,FALSE)</f>
        <v>Bandeja Lion Rolling Circus Chica</v>
      </c>
      <c r="D346" s="40">
        <v>4</v>
      </c>
      <c r="E346" s="6">
        <v>854</v>
      </c>
      <c r="F346" s="12">
        <f>VLOOKUP(Compras[[#This Row],[Codigo]],Stock[#Data],3,FALSE)</f>
        <v>1612</v>
      </c>
      <c r="G346" s="43">
        <f>Compras[[#This Row],[Unidad]]*Compras[[#This Row],[Cantidad]]</f>
        <v>6448</v>
      </c>
      <c r="H346" s="16"/>
      <c r="I346" s="16"/>
      <c r="J346" s="16"/>
      <c r="K346" s="16"/>
    </row>
    <row r="347" spans="1:11" ht="20.25" customHeight="1">
      <c r="A347" s="16"/>
      <c r="B347" s="41" t="s">
        <v>1101</v>
      </c>
      <c r="C347" s="6" t="str">
        <f>VLOOKUP(Compras[[#This Row],[Codigo]],Stock[#Data],2,FALSE)</f>
        <v>Bandeja Lion Rollin Mediana</v>
      </c>
      <c r="D347" s="40">
        <v>1</v>
      </c>
      <c r="E347" s="6">
        <v>389</v>
      </c>
      <c r="F347" s="12">
        <f>VLOOKUP(Compras[[#This Row],[Codigo]],Stock[#Data],3,FALSE)</f>
        <v>1898</v>
      </c>
      <c r="G347" s="43">
        <f>Compras[[#This Row],[Unidad]]*Compras[[#This Row],[Cantidad]]</f>
        <v>1898</v>
      </c>
      <c r="H347" s="16"/>
      <c r="I347" s="16"/>
      <c r="J347" s="16"/>
      <c r="K347" s="16"/>
    </row>
    <row r="348" spans="1:11" ht="20.25" customHeight="1">
      <c r="A348" s="16"/>
      <c r="B348" s="41" t="s">
        <v>1101</v>
      </c>
      <c r="C348" s="6" t="str">
        <f>VLOOKUP(Compras[[#This Row],[Codigo]],Stock[#Data],2,FALSE)</f>
        <v>Bandeja Gizeh Chica</v>
      </c>
      <c r="D348" s="40">
        <v>2</v>
      </c>
      <c r="E348" s="6">
        <v>855</v>
      </c>
      <c r="F348" s="12">
        <f>VLOOKUP(Compras[[#This Row],[Codigo]],Stock[#Data],3,FALSE)</f>
        <v>700</v>
      </c>
      <c r="G348" s="43">
        <f>Compras[[#This Row],[Unidad]]*Compras[[#This Row],[Cantidad]]</f>
        <v>1400</v>
      </c>
      <c r="H348" s="16"/>
      <c r="I348" s="16"/>
      <c r="J348" s="16"/>
      <c r="K348" s="16"/>
    </row>
    <row r="349" spans="1:11" ht="20.25" customHeight="1">
      <c r="A349" s="16"/>
      <c r="B349" s="41" t="s">
        <v>1101</v>
      </c>
      <c r="C349" s="6" t="str">
        <f>VLOOKUP(Compras[[#This Row],[Codigo]],Stock[#Data],2,FALSE)</f>
        <v>Bandeja Gizeh Mediana</v>
      </c>
      <c r="D349" s="40">
        <v>2</v>
      </c>
      <c r="E349" s="6">
        <v>856</v>
      </c>
      <c r="F349" s="12">
        <f>VLOOKUP(Compras[[#This Row],[Codigo]],Stock[#Data],3,FALSE)</f>
        <v>900</v>
      </c>
      <c r="G349" s="43">
        <f>Compras[[#This Row],[Unidad]]*Compras[[#This Row],[Cantidad]]</f>
        <v>1800</v>
      </c>
      <c r="H349" s="16"/>
      <c r="I349" s="16"/>
      <c r="J349" s="16"/>
      <c r="K349" s="16"/>
    </row>
    <row r="350" spans="1:11" ht="20.25" customHeight="1">
      <c r="A350" s="16"/>
      <c r="B350" s="41" t="s">
        <v>1101</v>
      </c>
      <c r="C350" s="6" t="str">
        <f>VLOOKUP(Compras[[#This Row],[Codigo]],Stock[#Data],2,FALSE)</f>
        <v>Bandeja Motivos Varios</v>
      </c>
      <c r="D350" s="40">
        <v>1</v>
      </c>
      <c r="E350" s="6">
        <v>135</v>
      </c>
      <c r="F350" s="12">
        <f>VLOOKUP(Compras[[#This Row],[Codigo]],Stock[#Data],3,FALSE)</f>
        <v>1047</v>
      </c>
      <c r="G350" s="43">
        <f>Compras[[#This Row],[Unidad]]*Compras[[#This Row],[Cantidad]]</f>
        <v>1047</v>
      </c>
      <c r="H350" s="16"/>
      <c r="I350" s="16"/>
      <c r="J350" s="16"/>
      <c r="K350" s="16"/>
    </row>
    <row r="351" spans="1:11" ht="20.25" customHeight="1">
      <c r="A351" s="16"/>
      <c r="B351" s="41" t="s">
        <v>1101</v>
      </c>
      <c r="C351" s="6" t="str">
        <f>VLOOKUP(Compras[[#This Row],[Codigo]],Stock[#Data],2,FALSE)</f>
        <v>Bandeja Elements XL</v>
      </c>
      <c r="D351" s="40">
        <v>1</v>
      </c>
      <c r="E351" s="6">
        <v>857</v>
      </c>
      <c r="F351" s="12">
        <f>VLOOKUP(Compras[[#This Row],[Codigo]],Stock[#Data],3,FALSE)</f>
        <v>2200</v>
      </c>
      <c r="G351" s="43">
        <f>Compras[[#This Row],[Unidad]]*Compras[[#This Row],[Cantidad]]</f>
        <v>2200</v>
      </c>
      <c r="H351" s="16"/>
      <c r="I351" s="16"/>
      <c r="J351" s="16"/>
      <c r="K351" s="16"/>
    </row>
    <row r="352" spans="1:11" ht="20.25" customHeight="1">
      <c r="A352" s="16"/>
      <c r="B352" s="41" t="s">
        <v>1101</v>
      </c>
      <c r="C352" s="6" t="str">
        <f>VLOOKUP(Compras[[#This Row],[Codigo]],Stock[#Data],2,FALSE)</f>
        <v>Portasahumerios Artesanal</v>
      </c>
      <c r="D352" s="40">
        <v>2</v>
      </c>
      <c r="E352" s="6">
        <v>858</v>
      </c>
      <c r="F352" s="12">
        <f>VLOOKUP(Compras[[#This Row],[Codigo]],Stock[#Data],3,FALSE)</f>
        <v>200</v>
      </c>
      <c r="G352" s="43">
        <f>Compras[[#This Row],[Unidad]]*Compras[[#This Row],[Cantidad]]</f>
        <v>400</v>
      </c>
      <c r="H352" s="16"/>
      <c r="I352" s="16"/>
      <c r="J352" s="16"/>
      <c r="K352" s="16"/>
    </row>
    <row r="353" spans="1:11" ht="20.25" customHeight="1">
      <c r="A353" s="16"/>
      <c r="B353" s="41" t="s">
        <v>1101</v>
      </c>
      <c r="C353" s="6" t="str">
        <f>VLOOKUP(Compras[[#This Row],[Codigo]],Stock[#Data],2,FALSE)</f>
        <v>Destapador Schon</v>
      </c>
      <c r="D353" s="40">
        <v>2</v>
      </c>
      <c r="E353" s="6">
        <v>859</v>
      </c>
      <c r="F353" s="12">
        <f>VLOOKUP(Compras[[#This Row],[Codigo]],Stock[#Data],3,FALSE)</f>
        <v>1700</v>
      </c>
      <c r="G353" s="43">
        <f>Compras[[#This Row],[Unidad]]*Compras[[#This Row],[Cantidad]]</f>
        <v>3400</v>
      </c>
      <c r="H353" s="16"/>
      <c r="I353" s="16"/>
      <c r="J353" s="16"/>
      <c r="K353" s="16"/>
    </row>
    <row r="354" spans="1:11" ht="20.25" customHeight="1">
      <c r="A354" s="16"/>
      <c r="B354" s="41" t="s">
        <v>1101</v>
      </c>
      <c r="C354" s="6" t="str">
        <f>VLOOKUP(Compras[[#This Row],[Codigo]],Stock[#Data],2,FALSE)</f>
        <v>Mazo de Cartas Argentas</v>
      </c>
      <c r="D354" s="40">
        <v>3</v>
      </c>
      <c r="E354" s="6">
        <v>860</v>
      </c>
      <c r="F354" s="12">
        <f>VLOOKUP(Compras[[#This Row],[Codigo]],Stock[#Data],3,FALSE)</f>
        <v>1511</v>
      </c>
      <c r="G354" s="43">
        <f>Compras[[#This Row],[Unidad]]*Compras[[#This Row],[Cantidad]]</f>
        <v>4533</v>
      </c>
      <c r="H354" s="16"/>
      <c r="I354" s="16"/>
      <c r="J354" s="16"/>
      <c r="K354" s="16"/>
    </row>
    <row r="355" spans="1:11" ht="20.25" customHeight="1">
      <c r="A355" s="16"/>
      <c r="B355" s="41" t="s">
        <v>1101</v>
      </c>
      <c r="C355" s="6" t="str">
        <f>VLOOKUP(Compras[[#This Row],[Codigo]],Stock[#Data],2,FALSE)</f>
        <v>Mazo de Cartas Poker Fournier</v>
      </c>
      <c r="D355" s="40">
        <v>3</v>
      </c>
      <c r="E355" s="6">
        <v>861</v>
      </c>
      <c r="F355" s="12">
        <f>VLOOKUP(Compras[[#This Row],[Codigo]],Stock[#Data],3,FALSE)</f>
        <v>700</v>
      </c>
      <c r="G355" s="43">
        <f>Compras[[#This Row],[Unidad]]*Compras[[#This Row],[Cantidad]]</f>
        <v>2100</v>
      </c>
      <c r="H355" s="16"/>
      <c r="I355" s="16"/>
      <c r="J355" s="16"/>
      <c r="K355" s="16"/>
    </row>
    <row r="356" spans="1:11" ht="20.25" customHeight="1">
      <c r="A356" s="16"/>
      <c r="B356" s="41" t="s">
        <v>1101</v>
      </c>
      <c r="C356" s="6" t="str">
        <f>VLOOKUP(Compras[[#This Row],[Codigo]],Stock[#Data],2,FALSE)</f>
        <v>Mazo de Cartas con eso no se jode</v>
      </c>
      <c r="D356" s="40">
        <v>2</v>
      </c>
      <c r="E356" s="6">
        <v>862</v>
      </c>
      <c r="F356" s="12">
        <f>VLOOKUP(Compras[[#This Row],[Codigo]],Stock[#Data],3,FALSE)</f>
        <v>2520</v>
      </c>
      <c r="G356" s="43">
        <f>Compras[[#This Row],[Unidad]]*Compras[[#This Row],[Cantidad]]</f>
        <v>5040</v>
      </c>
      <c r="H356" s="16"/>
      <c r="I356" s="16"/>
      <c r="J356" s="16"/>
      <c r="K356" s="16"/>
    </row>
    <row r="357" spans="1:11" ht="20.25" customHeight="1">
      <c r="A357" s="16"/>
      <c r="B357" s="41" t="s">
        <v>1101</v>
      </c>
      <c r="C357" s="6" t="str">
        <f>VLOOKUP(Compras[[#This Row],[Codigo]],Stock[#Data],2,FALSE)</f>
        <v>Vaso Termico Chala</v>
      </c>
      <c r="D357" s="40">
        <v>1</v>
      </c>
      <c r="E357" s="6">
        <v>863</v>
      </c>
      <c r="F357" s="12">
        <f>VLOOKUP(Compras[[#This Row],[Codigo]],Stock[#Data],3,FALSE)</f>
        <v>800</v>
      </c>
      <c r="G357" s="43">
        <f>Compras[[#This Row],[Unidad]]*Compras[[#This Row],[Cantidad]]</f>
        <v>800</v>
      </c>
      <c r="H357" s="16"/>
      <c r="I357" s="16"/>
      <c r="J357" s="16"/>
      <c r="K357" s="16"/>
    </row>
    <row r="358" spans="1:11" ht="20.25" customHeight="1">
      <c r="A358" s="16"/>
      <c r="B358" s="41" t="s">
        <v>1101</v>
      </c>
      <c r="C358" s="6" t="str">
        <f>VLOOKUP(Compras[[#This Row],[Codigo]],Stock[#Data],2,FALSE)</f>
        <v>Porta Boveda Chico</v>
      </c>
      <c r="D358" s="40">
        <v>1</v>
      </c>
      <c r="E358" s="6">
        <v>801</v>
      </c>
      <c r="F358" s="12">
        <f>VLOOKUP(Compras[[#This Row],[Codigo]],Stock[#Data],3,FALSE)</f>
        <v>200</v>
      </c>
      <c r="G358" s="43">
        <f>Compras[[#This Row],[Unidad]]*Compras[[#This Row],[Cantidad]]</f>
        <v>200</v>
      </c>
      <c r="H358" s="16"/>
      <c r="I358" s="16"/>
      <c r="J358" s="16"/>
      <c r="K358" s="16"/>
    </row>
    <row r="359" spans="1:11" ht="20.25" customHeight="1">
      <c r="A359" s="16"/>
      <c r="B359" s="41" t="s">
        <v>1101</v>
      </c>
      <c r="C359" s="6" t="str">
        <f>VLOOKUP(Compras[[#This Row],[Codigo]],Stock[#Data],2,FALSE)</f>
        <v>Porta Etiquetas</v>
      </c>
      <c r="D359" s="40">
        <v>1</v>
      </c>
      <c r="E359" s="6">
        <v>864</v>
      </c>
      <c r="F359" s="12">
        <f>VLOOKUP(Compras[[#This Row],[Codigo]],Stock[#Data],3,FALSE)</f>
        <v>200</v>
      </c>
      <c r="G359" s="43">
        <f>Compras[[#This Row],[Unidad]]*Compras[[#This Row],[Cantidad]]</f>
        <v>200</v>
      </c>
      <c r="H359" s="16"/>
      <c r="I359" s="16"/>
      <c r="J359" s="16"/>
      <c r="K359" s="16"/>
    </row>
    <row r="360" spans="1:11" ht="20.25" customHeight="1">
      <c r="A360" s="16"/>
      <c r="B360" s="41" t="s">
        <v>1101</v>
      </c>
      <c r="C360" s="6" t="str">
        <f>VLOOKUP(Compras[[#This Row],[Codigo]],Stock[#Data],2,FALSE)</f>
        <v>Juego de Poker</v>
      </c>
      <c r="D360" s="40">
        <v>1</v>
      </c>
      <c r="E360" s="6">
        <v>865</v>
      </c>
      <c r="F360" s="12">
        <f>VLOOKUP(Compras[[#This Row],[Codigo]],Stock[#Data],3,FALSE)</f>
        <v>8000</v>
      </c>
      <c r="G360" s="43">
        <f>Compras[[#This Row],[Unidad]]*Compras[[#This Row],[Cantidad]]</f>
        <v>8000</v>
      </c>
      <c r="H360" s="16"/>
      <c r="I360" s="16"/>
      <c r="J360" s="16"/>
      <c r="K360" s="16"/>
    </row>
    <row r="361" spans="1:11" ht="20.25" customHeight="1">
      <c r="A361" s="16"/>
      <c r="B361" s="41" t="s">
        <v>1101</v>
      </c>
      <c r="C361" s="6" t="str">
        <f>VLOOKUP(Compras[[#This Row],[Codigo]],Stock[#Data],2,FALSE)</f>
        <v>Exhibidor de Cartas</v>
      </c>
      <c r="D361" s="40">
        <v>1</v>
      </c>
      <c r="E361" s="6">
        <v>866</v>
      </c>
      <c r="F361" s="12">
        <f>VLOOKUP(Compras[[#This Row],[Codigo]],Stock[#Data],3,FALSE)</f>
        <v>800</v>
      </c>
      <c r="G361" s="43">
        <f>Compras[[#This Row],[Unidad]]*Compras[[#This Row],[Cantidad]]</f>
        <v>800</v>
      </c>
      <c r="H361" s="16"/>
      <c r="I361" s="16"/>
      <c r="J361" s="16"/>
      <c r="K361" s="16"/>
    </row>
    <row r="362" spans="1:11" ht="20.25" customHeight="1">
      <c r="A362" s="16"/>
      <c r="B362" s="41" t="s">
        <v>1101</v>
      </c>
      <c r="C362" s="6" t="str">
        <f>VLOOKUP(Compras[[#This Row],[Codigo]],Stock[#Data],2,FALSE)</f>
        <v>Porta porros 420</v>
      </c>
      <c r="D362" s="40">
        <v>12</v>
      </c>
      <c r="E362" s="6">
        <v>421</v>
      </c>
      <c r="F362" s="12">
        <f>VLOOKUP(Compras[[#This Row],[Codigo]],Stock[#Data],3,FALSE)</f>
        <v>73</v>
      </c>
      <c r="G362" s="43">
        <f>Compras[[#This Row],[Unidad]]*Compras[[#This Row],[Cantidad]]</f>
        <v>876</v>
      </c>
      <c r="H362" s="16"/>
      <c r="I362" s="16"/>
      <c r="J362" s="16"/>
      <c r="K362" s="16"/>
    </row>
    <row r="363" spans="1:11" ht="20.25" customHeight="1">
      <c r="A363" s="16"/>
      <c r="B363" s="41" t="s">
        <v>1101</v>
      </c>
      <c r="C363" s="6" t="str">
        <f>VLOOKUP(Compras[[#This Row],[Codigo]],Stock[#Data],2,FALSE)</f>
        <v>Distribuidor de Riengo 15x15</v>
      </c>
      <c r="D363" s="40">
        <v>3</v>
      </c>
      <c r="E363" s="6">
        <v>183</v>
      </c>
      <c r="F363" s="12">
        <f>VLOOKUP(Compras[[#This Row],[Codigo]],Stock[#Data],3,FALSE)</f>
        <v>390</v>
      </c>
      <c r="G363" s="43">
        <f>Compras[[#This Row],[Unidad]]*Compras[[#This Row],[Cantidad]]</f>
        <v>1170</v>
      </c>
      <c r="H363" s="16"/>
      <c r="I363" s="16"/>
      <c r="J363" s="16"/>
      <c r="K363" s="16"/>
    </row>
    <row r="364" spans="1:11" ht="20.25" customHeight="1">
      <c r="A364" s="16"/>
      <c r="B364" s="41" t="s">
        <v>1101</v>
      </c>
      <c r="C364" s="6" t="str">
        <f>VLOOKUP(Compras[[#This Row],[Codigo]],Stock[#Data],2,FALSE)</f>
        <v>Red de Scrog Terra 40x40</v>
      </c>
      <c r="D364" s="40">
        <v>3</v>
      </c>
      <c r="E364" s="6">
        <v>868</v>
      </c>
      <c r="F364" s="12">
        <f>VLOOKUP(Compras[[#This Row],[Codigo]],Stock[#Data],3,FALSE)</f>
        <v>500</v>
      </c>
      <c r="G364" s="43">
        <f>Compras[[#This Row],[Unidad]]*Compras[[#This Row],[Cantidad]]</f>
        <v>1500</v>
      </c>
      <c r="H364" s="16"/>
      <c r="I364" s="16"/>
      <c r="J364" s="16"/>
      <c r="K364" s="16"/>
    </row>
    <row r="365" spans="1:11" ht="20.25" customHeight="1">
      <c r="A365" s="16"/>
      <c r="B365" s="41" t="s">
        <v>1101</v>
      </c>
      <c r="C365" s="6" t="str">
        <f>VLOOKUP(Compras[[#This Row],[Codigo]],Stock[#Data],2,FALSE)</f>
        <v>Red de Scrog Terra 60x60</v>
      </c>
      <c r="D365" s="40">
        <v>3</v>
      </c>
      <c r="E365" s="6">
        <v>869</v>
      </c>
      <c r="F365" s="12">
        <f>VLOOKUP(Compras[[#This Row],[Codigo]],Stock[#Data],3,FALSE)</f>
        <v>700</v>
      </c>
      <c r="G365" s="43">
        <f>Compras[[#This Row],[Unidad]]*Compras[[#This Row],[Cantidad]]</f>
        <v>2100</v>
      </c>
      <c r="H365" s="16"/>
      <c r="I365" s="16"/>
      <c r="J365" s="16"/>
      <c r="K365" s="16"/>
    </row>
    <row r="366" spans="1:11" ht="20.25" customHeight="1">
      <c r="A366" s="16"/>
      <c r="B366" s="41" t="s">
        <v>1101</v>
      </c>
      <c r="C366" s="6" t="str">
        <f>VLOOKUP(Compras[[#This Row],[Codigo]],Stock[#Data],2,FALSE)</f>
        <v>Red de Scrog Terra 80x80</v>
      </c>
      <c r="D366" s="40">
        <v>1</v>
      </c>
      <c r="E366" s="6">
        <v>870</v>
      </c>
      <c r="F366" s="12">
        <f>VLOOKUP(Compras[[#This Row],[Codigo]],Stock[#Data],3,FALSE)</f>
        <v>900</v>
      </c>
      <c r="G366" s="43">
        <f>Compras[[#This Row],[Unidad]]*Compras[[#This Row],[Cantidad]]</f>
        <v>900</v>
      </c>
      <c r="H366" s="16"/>
      <c r="I366" s="16"/>
      <c r="J366" s="16"/>
      <c r="K366" s="16"/>
    </row>
    <row r="367" spans="1:11" ht="20.25" customHeight="1">
      <c r="A367" s="16"/>
      <c r="B367" s="41" t="s">
        <v>1101</v>
      </c>
      <c r="C367" s="6" t="str">
        <f>VLOOKUP(Compras[[#This Row],[Codigo]],Stock[#Data],2,FALSE)</f>
        <v>Red de Scrog Terra 100x100</v>
      </c>
      <c r="D367" s="40">
        <v>2</v>
      </c>
      <c r="E367" s="6">
        <v>871</v>
      </c>
      <c r="F367" s="12">
        <f>VLOOKUP(Compras[[#This Row],[Codigo]],Stock[#Data],3,FALSE)</f>
        <v>1100</v>
      </c>
      <c r="G367" s="43">
        <f>Compras[[#This Row],[Unidad]]*Compras[[#This Row],[Cantidad]]</f>
        <v>2200</v>
      </c>
      <c r="H367" s="16"/>
      <c r="I367" s="16"/>
      <c r="J367" s="16"/>
      <c r="K367" s="16"/>
    </row>
    <row r="368" spans="1:11" ht="20.25" customHeight="1">
      <c r="A368" s="16"/>
      <c r="B368" s="41" t="s">
        <v>1101</v>
      </c>
      <c r="C368" s="6" t="str">
        <f>VLOOKUP(Compras[[#This Row],[Codigo]],Stock[#Data],2,FALSE)</f>
        <v>Red de Scrog Terra 120x120</v>
      </c>
      <c r="D368" s="40">
        <v>3</v>
      </c>
      <c r="E368" s="6">
        <v>872</v>
      </c>
      <c r="F368" s="12">
        <f>VLOOKUP(Compras[[#This Row],[Codigo]],Stock[#Data],3,FALSE)</f>
        <v>1400</v>
      </c>
      <c r="G368" s="43">
        <f>Compras[[#This Row],[Unidad]]*Compras[[#This Row],[Cantidad]]</f>
        <v>4200</v>
      </c>
      <c r="H368" s="16"/>
      <c r="I368" s="16"/>
      <c r="J368" s="16"/>
      <c r="K368" s="16"/>
    </row>
    <row r="369" spans="1:11" ht="20.25" customHeight="1">
      <c r="A369" s="16"/>
      <c r="B369" s="41" t="s">
        <v>1101</v>
      </c>
      <c r="C369" s="6" t="str">
        <f>VLOOKUP(Compras[[#This Row],[Codigo]],Stock[#Data],2,FALSE)</f>
        <v>Red de Scrog Multired 60x60</v>
      </c>
      <c r="D369" s="40">
        <v>2</v>
      </c>
      <c r="E369" s="6">
        <v>873</v>
      </c>
      <c r="F369" s="12">
        <f>VLOOKUP(Compras[[#This Row],[Codigo]],Stock[#Data],3,FALSE)</f>
        <v>200</v>
      </c>
      <c r="G369" s="43">
        <f>Compras[[#This Row],[Unidad]]*Compras[[#This Row],[Cantidad]]</f>
        <v>400</v>
      </c>
      <c r="H369" s="16"/>
      <c r="I369" s="16"/>
      <c r="J369" s="16"/>
      <c r="K369" s="16"/>
    </row>
    <row r="370" spans="1:11" ht="20.25" customHeight="1">
      <c r="A370" s="16"/>
      <c r="B370" s="41" t="s">
        <v>1101</v>
      </c>
      <c r="C370" s="6" t="str">
        <f>VLOOKUP(Compras[[#This Row],[Codigo]],Stock[#Data],2,FALSE)</f>
        <v>Red de Scrog Multired 120x120</v>
      </c>
      <c r="D370" s="40">
        <v>1</v>
      </c>
      <c r="E370" s="6">
        <v>874</v>
      </c>
      <c r="F370" s="12">
        <f>VLOOKUP(Compras[[#This Row],[Codigo]],Stock[#Data],3,FALSE)</f>
        <v>300</v>
      </c>
      <c r="G370" s="43">
        <f>Compras[[#This Row],[Unidad]]*Compras[[#This Row],[Cantidad]]</f>
        <v>300</v>
      </c>
      <c r="H370" s="16"/>
      <c r="I370" s="16"/>
      <c r="J370" s="16"/>
      <c r="K370" s="16"/>
    </row>
    <row r="371" spans="1:11" ht="20.25" customHeight="1">
      <c r="A371" s="16"/>
      <c r="B371" s="41" t="s">
        <v>1101</v>
      </c>
      <c r="C371" s="6" t="str">
        <f>VLOOKUP(Compras[[#This Row],[Codigo]],Stock[#Data],2,FALSE)</f>
        <v>Lana de Roca BioProyect 10x5</v>
      </c>
      <c r="D371" s="40">
        <v>4</v>
      </c>
      <c r="E371" s="6">
        <v>875</v>
      </c>
      <c r="F371" s="12">
        <f>VLOOKUP(Compras[[#This Row],[Codigo]],Stock[#Data],3,FALSE)</f>
        <v>434</v>
      </c>
      <c r="G371" s="43">
        <f>Compras[[#This Row],[Unidad]]*Compras[[#This Row],[Cantidad]]</f>
        <v>1736</v>
      </c>
      <c r="H371" s="16"/>
      <c r="I371" s="16"/>
      <c r="J371" s="16"/>
      <c r="K371" s="16"/>
    </row>
    <row r="372" spans="1:11" ht="20.25" customHeight="1">
      <c r="A372" s="16"/>
      <c r="B372" s="41" t="s">
        <v>1101</v>
      </c>
      <c r="C372" s="6" t="str">
        <f>VLOOKUP(Compras[[#This Row],[Codigo]],Stock[#Data],2,FALSE)</f>
        <v>Ugrococo Small</v>
      </c>
      <c r="D372" s="40">
        <v>1</v>
      </c>
      <c r="E372" s="6">
        <v>876</v>
      </c>
      <c r="F372" s="12">
        <f>VLOOKUP(Compras[[#This Row],[Codigo]],Stock[#Data],3,FALSE)</f>
        <v>1000</v>
      </c>
      <c r="G372" s="43">
        <f>Compras[[#This Row],[Unidad]]*Compras[[#This Row],[Cantidad]]</f>
        <v>1000</v>
      </c>
      <c r="H372" s="16"/>
      <c r="I372" s="16"/>
      <c r="J372" s="16"/>
      <c r="K372" s="16"/>
    </row>
    <row r="373" spans="1:11" ht="20.25" customHeight="1">
      <c r="A373" s="16"/>
      <c r="B373" s="41" t="s">
        <v>1101</v>
      </c>
      <c r="C373" s="6" t="str">
        <f>VLOOKUP(Compras[[#This Row],[Codigo]],Stock[#Data],2,FALSE)</f>
        <v>Boca de Cooler 4"</v>
      </c>
      <c r="D373" s="40">
        <v>2</v>
      </c>
      <c r="E373" s="6">
        <v>877</v>
      </c>
      <c r="F373" s="12">
        <f>VLOOKUP(Compras[[#This Row],[Codigo]],Stock[#Data],3,FALSE)</f>
        <v>200</v>
      </c>
      <c r="G373" s="43">
        <f>Compras[[#This Row],[Unidad]]*Compras[[#This Row],[Cantidad]]</f>
        <v>400</v>
      </c>
      <c r="H373" s="16"/>
      <c r="I373" s="16"/>
      <c r="J373" s="16"/>
      <c r="K373" s="16"/>
    </row>
    <row r="374" spans="1:11" ht="20.25" customHeight="1">
      <c r="A374" s="16"/>
      <c r="B374" s="41" t="s">
        <v>1101</v>
      </c>
      <c r="C374" s="6" t="str">
        <f>VLOOKUP(Compras[[#This Row],[Codigo]],Stock[#Data],2,FALSE)</f>
        <v>Boca de Cooler 6"</v>
      </c>
      <c r="D374" s="40">
        <v>1</v>
      </c>
      <c r="E374" s="6">
        <v>878</v>
      </c>
      <c r="F374" s="12">
        <f>VLOOKUP(Compras[[#This Row],[Codigo]],Stock[#Data],3,FALSE)</f>
        <v>250</v>
      </c>
      <c r="G374" s="43">
        <f>Compras[[#This Row],[Unidad]]*Compras[[#This Row],[Cantidad]]</f>
        <v>250</v>
      </c>
      <c r="H374" s="16"/>
      <c r="I374" s="16"/>
      <c r="J374" s="16"/>
      <c r="K374" s="16"/>
    </row>
    <row r="375" spans="1:11" ht="20.25" customHeight="1">
      <c r="A375" s="16"/>
      <c r="B375" s="41" t="s">
        <v>1101</v>
      </c>
      <c r="C375" s="6" t="str">
        <f>VLOOKUP(Compras[[#This Row],[Codigo]],Stock[#Data],2,FALSE)</f>
        <v>JIFFY moneda turba</v>
      </c>
      <c r="D375" s="40">
        <v>1300</v>
      </c>
      <c r="E375" s="6">
        <v>50</v>
      </c>
      <c r="F375" s="12">
        <f>VLOOKUP(Compras[[#This Row],[Codigo]],Stock[#Data],3,FALSE)</f>
        <v>70</v>
      </c>
      <c r="G375" s="43">
        <f>Compras[[#This Row],[Unidad]]*Compras[[#This Row],[Cantidad]]</f>
        <v>91000</v>
      </c>
      <c r="H375" s="16"/>
      <c r="I375" s="16"/>
      <c r="J375" s="16"/>
      <c r="K375" s="16"/>
    </row>
    <row r="376" spans="1:11" ht="20.25" customHeight="1">
      <c r="A376" s="16"/>
      <c r="B376" s="41" t="s">
        <v>1101</v>
      </c>
      <c r="C376" s="6" t="str">
        <f>VLOOKUP(Compras[[#This Row],[Codigo]],Stock[#Data],2,FALSE)</f>
        <v>Contenedor Grower Grande</v>
      </c>
      <c r="D376" s="40">
        <v>2</v>
      </c>
      <c r="E376" s="6">
        <v>880</v>
      </c>
      <c r="F376" s="12">
        <f>VLOOKUP(Compras[[#This Row],[Codigo]],Stock[#Data],3,FALSE)</f>
        <v>1000</v>
      </c>
      <c r="G376" s="43">
        <f>Compras[[#This Row],[Unidad]]*Compras[[#This Row],[Cantidad]]</f>
        <v>2000</v>
      </c>
      <c r="H376" s="16"/>
      <c r="I376" s="16"/>
      <c r="J376" s="16"/>
      <c r="K376" s="16"/>
    </row>
    <row r="377" spans="1:11" ht="20.25" customHeight="1">
      <c r="A377" s="16"/>
      <c r="B377" s="41" t="s">
        <v>1101</v>
      </c>
      <c r="C377" s="6" t="str">
        <f>VLOOKUP(Compras[[#This Row],[Codigo]],Stock[#Data],2,FALSE)</f>
        <v>Contenedor Grower Mediano</v>
      </c>
      <c r="D377" s="40">
        <v>1</v>
      </c>
      <c r="E377" s="6">
        <v>879</v>
      </c>
      <c r="F377" s="12">
        <f>VLOOKUP(Compras[[#This Row],[Codigo]],Stock[#Data],3,FALSE)</f>
        <v>800</v>
      </c>
      <c r="G377" s="43">
        <f>Compras[[#This Row],[Unidad]]*Compras[[#This Row],[Cantidad]]</f>
        <v>800</v>
      </c>
      <c r="H377" s="16"/>
      <c r="I377" s="16"/>
      <c r="J377" s="16"/>
      <c r="K377" s="16"/>
    </row>
    <row r="378" spans="1:11" ht="20.25" customHeight="1">
      <c r="A378" s="16"/>
      <c r="B378" s="41" t="s">
        <v>1101</v>
      </c>
      <c r="C378" s="6" t="str">
        <f>VLOOKUP(Compras[[#This Row],[Codigo]],Stock[#Data],2,FALSE)</f>
        <v>Contenedor Tight XL</v>
      </c>
      <c r="D378" s="40">
        <v>1</v>
      </c>
      <c r="E378" s="6">
        <v>881</v>
      </c>
      <c r="F378" s="12">
        <f>VLOOKUP(Compras[[#This Row],[Codigo]],Stock[#Data],3,FALSE)</f>
        <v>2200</v>
      </c>
      <c r="G378" s="43">
        <f>Compras[[#This Row],[Unidad]]*Compras[[#This Row],[Cantidad]]</f>
        <v>2200</v>
      </c>
      <c r="H378" s="16"/>
      <c r="I378" s="16"/>
      <c r="J378" s="16"/>
      <c r="K378" s="16"/>
    </row>
    <row r="379" spans="1:11" ht="20.25" customHeight="1">
      <c r="A379" s="16"/>
      <c r="B379" s="41" t="s">
        <v>1101</v>
      </c>
      <c r="C379" s="6" t="str">
        <f>VLOOKUP(Compras[[#This Row],[Codigo]],Stock[#Data],2,FALSE)</f>
        <v>Contenedor Tight Mediano</v>
      </c>
      <c r="D379" s="40">
        <v>1</v>
      </c>
      <c r="E379" s="6">
        <v>882</v>
      </c>
      <c r="F379" s="12">
        <f>VLOOKUP(Compras[[#This Row],[Codigo]],Stock[#Data],3,FALSE)</f>
        <v>1500</v>
      </c>
      <c r="G379" s="43">
        <f>Compras[[#This Row],[Unidad]]*Compras[[#This Row],[Cantidad]]</f>
        <v>1500</v>
      </c>
      <c r="H379" s="16"/>
      <c r="I379" s="16"/>
      <c r="J379" s="16"/>
      <c r="K379" s="16"/>
    </row>
    <row r="380" spans="1:11" ht="20.25" customHeight="1">
      <c r="A380" s="16"/>
      <c r="B380" s="41" t="s">
        <v>1101</v>
      </c>
      <c r="C380" s="6" t="str">
        <f>VLOOKUP(Compras[[#This Row],[Codigo]],Stock[#Data],2,FALSE)</f>
        <v>Lata+Picador 420</v>
      </c>
      <c r="D380" s="40">
        <v>1</v>
      </c>
      <c r="E380" s="6">
        <v>559</v>
      </c>
      <c r="F380" s="12">
        <f>VLOOKUP(Compras[[#This Row],[Codigo]],Stock[#Data],3,FALSE)</f>
        <v>600</v>
      </c>
      <c r="G380" s="43">
        <f>Compras[[#This Row],[Unidad]]*Compras[[#This Row],[Cantidad]]</f>
        <v>600</v>
      </c>
      <c r="H380" s="16"/>
      <c r="I380" s="16"/>
      <c r="J380" s="16"/>
      <c r="K380" s="16"/>
    </row>
    <row r="381" spans="1:11" ht="20.25" customHeight="1">
      <c r="A381" s="16"/>
      <c r="B381" s="41" t="s">
        <v>1101</v>
      </c>
      <c r="C381" s="6" t="str">
        <f>VLOOKUP(Compras[[#This Row],[Codigo]],Stock[#Data],2,FALSE)</f>
        <v>Sedas Lion Rolling Circus 1/4 celulosa</v>
      </c>
      <c r="D381" s="40">
        <v>36</v>
      </c>
      <c r="E381" s="6">
        <v>65</v>
      </c>
      <c r="F381" s="12">
        <f>VLOOKUP(Compras[[#This Row],[Codigo]],Stock[#Data],3,FALSE)</f>
        <v>348</v>
      </c>
      <c r="G381" s="43">
        <f>Compras[[#This Row],[Unidad]]*Compras[[#This Row],[Cantidad]]</f>
        <v>12528</v>
      </c>
      <c r="H381" s="16"/>
      <c r="I381" s="16"/>
      <c r="J381" s="16"/>
      <c r="K381" s="16"/>
    </row>
    <row r="382" spans="1:11" ht="20.25" customHeight="1">
      <c r="A382" s="16"/>
      <c r="B382" s="41" t="s">
        <v>1101</v>
      </c>
      <c r="C382" s="6" t="str">
        <f>VLOOKUP(Compras[[#This Row],[Codigo]],Stock[#Data],2,FALSE)</f>
        <v>Sedas Lion Rolling Circus 420</v>
      </c>
      <c r="D382" s="40">
        <v>12</v>
      </c>
      <c r="E382" s="6">
        <v>883</v>
      </c>
      <c r="F382" s="12">
        <f>VLOOKUP(Compras[[#This Row],[Codigo]],Stock[#Data],3,FALSE)</f>
        <v>910</v>
      </c>
      <c r="G382" s="43">
        <f>Compras[[#This Row],[Unidad]]*Compras[[#This Row],[Cantidad]]</f>
        <v>10920</v>
      </c>
      <c r="H382" s="16"/>
      <c r="I382" s="16"/>
      <c r="J382" s="16"/>
      <c r="K382" s="16"/>
    </row>
    <row r="383" spans="1:11" ht="20.25" customHeight="1">
      <c r="A383" s="16"/>
      <c r="B383" s="41" t="s">
        <v>1101</v>
      </c>
      <c r="C383" s="6" t="str">
        <f>VLOOKUP(Compras[[#This Row],[Codigo]],Stock[#Data],2,FALSE)</f>
        <v>Celulosa Lion Rolling Circus Kz</v>
      </c>
      <c r="D383" s="40">
        <v>50</v>
      </c>
      <c r="E383" s="6">
        <v>359</v>
      </c>
      <c r="F383" s="12">
        <f>VLOOKUP(Compras[[#This Row],[Codigo]],Stock[#Data],3,FALSE)</f>
        <v>422</v>
      </c>
      <c r="G383" s="43">
        <f>Compras[[#This Row],[Unidad]]*Compras[[#This Row],[Cantidad]]</f>
        <v>21100</v>
      </c>
      <c r="H383" s="16"/>
      <c r="I383" s="16"/>
      <c r="J383" s="16"/>
      <c r="K383" s="16"/>
    </row>
    <row r="384" spans="1:11" ht="20.25" customHeight="1">
      <c r="A384" s="16"/>
      <c r="B384" s="41" t="s">
        <v>1101</v>
      </c>
      <c r="C384" s="6" t="str">
        <f>VLOOKUP(Compras[[#This Row],[Codigo]],Stock[#Data],2,FALSE)</f>
        <v>Sedas RAW Natural 1/4</v>
      </c>
      <c r="D384" s="40">
        <v>48</v>
      </c>
      <c r="E384" s="6">
        <v>884</v>
      </c>
      <c r="F384" s="12">
        <f>VLOOKUP(Compras[[#This Row],[Codigo]],Stock[#Data],3,FALSE)</f>
        <v>165</v>
      </c>
      <c r="G384" s="43">
        <f>Compras[[#This Row],[Unidad]]*Compras[[#This Row],[Cantidad]]</f>
        <v>7920</v>
      </c>
      <c r="H384" s="16"/>
      <c r="I384" s="16"/>
      <c r="J384" s="16"/>
      <c r="K384" s="16"/>
    </row>
    <row r="385" spans="1:11" ht="20.25" customHeight="1">
      <c r="A385" s="16"/>
      <c r="B385" s="41" t="s">
        <v>1101</v>
      </c>
      <c r="C385" s="6" t="str">
        <f>VLOOKUP(Compras[[#This Row],[Codigo]],Stock[#Data],2,FALSE)</f>
        <v>Sedas RAW Black Doble 1/4</v>
      </c>
      <c r="D385" s="40">
        <v>25</v>
      </c>
      <c r="E385" s="6">
        <v>885</v>
      </c>
      <c r="F385" s="12">
        <f>VLOOKUP(Compras[[#This Row],[Codigo]],Stock[#Data],3,FALSE)</f>
        <v>423</v>
      </c>
      <c r="G385" s="43">
        <f>Compras[[#This Row],[Unidad]]*Compras[[#This Row],[Cantidad]]</f>
        <v>10575</v>
      </c>
      <c r="H385" s="16"/>
      <c r="I385" s="16"/>
      <c r="J385" s="16"/>
      <c r="K385" s="16"/>
    </row>
    <row r="386" spans="1:11" ht="20.25" customHeight="1">
      <c r="A386" s="16"/>
      <c r="B386" s="41" t="s">
        <v>1101</v>
      </c>
      <c r="C386" s="6" t="str">
        <f>VLOOKUP(Compras[[#This Row],[Codigo]],Stock[#Data],2,FALSE)</f>
        <v>Sedas RAW Natural Ks</v>
      </c>
      <c r="D386" s="40">
        <v>44</v>
      </c>
      <c r="E386" s="6">
        <v>886</v>
      </c>
      <c r="F386" s="12">
        <f>VLOOKUP(Compras[[#This Row],[Codigo]],Stock[#Data],3,FALSE)</f>
        <v>413</v>
      </c>
      <c r="G386" s="43">
        <f>Compras[[#This Row],[Unidad]]*Compras[[#This Row],[Cantidad]]</f>
        <v>18172</v>
      </c>
      <c r="H386" s="16"/>
      <c r="I386" s="16"/>
      <c r="J386" s="16"/>
      <c r="K386" s="16"/>
    </row>
    <row r="387" spans="1:11" ht="20.25" customHeight="1">
      <c r="A387" s="16"/>
      <c r="B387" s="41" t="s">
        <v>1101</v>
      </c>
      <c r="C387" s="6" t="str">
        <f>VLOOKUP(Compras[[#This Row],[Codigo]],Stock[#Data],2,FALSE)</f>
        <v>Sedas Gizeh 1/4 Pink</v>
      </c>
      <c r="D387" s="40">
        <v>34</v>
      </c>
      <c r="E387" s="6">
        <v>887</v>
      </c>
      <c r="F387" s="12">
        <f>VLOOKUP(Compras[[#This Row],[Codigo]],Stock[#Data],3,FALSE)</f>
        <v>99</v>
      </c>
      <c r="G387" s="43">
        <f>Compras[[#This Row],[Unidad]]*Compras[[#This Row],[Cantidad]]</f>
        <v>3366</v>
      </c>
      <c r="H387" s="16"/>
      <c r="I387" s="16"/>
      <c r="J387" s="16"/>
      <c r="K387" s="16"/>
    </row>
    <row r="388" spans="1:11" ht="20.25" customHeight="1">
      <c r="A388" s="16"/>
      <c r="B388" s="41" t="s">
        <v>1101</v>
      </c>
      <c r="C388" s="6" t="str">
        <f>VLOOKUP(Compras[[#This Row],[Codigo]],Stock[#Data],2,FALSE)</f>
        <v>Sedas Gizeh 1/4 Pure</v>
      </c>
      <c r="D388" s="40">
        <v>39</v>
      </c>
      <c r="E388" s="6">
        <v>888</v>
      </c>
      <c r="F388" s="12">
        <f>VLOOKUP(Compras[[#This Row],[Codigo]],Stock[#Data],3,FALSE)</f>
        <v>99</v>
      </c>
      <c r="G388" s="43">
        <f>Compras[[#This Row],[Unidad]]*Compras[[#This Row],[Cantidad]]</f>
        <v>3861</v>
      </c>
      <c r="H388" s="16"/>
      <c r="I388" s="16"/>
      <c r="J388" s="16"/>
      <c r="K388" s="16"/>
    </row>
    <row r="389" spans="1:11" ht="20.25" customHeight="1">
      <c r="A389" s="16"/>
      <c r="B389" s="41" t="s">
        <v>1101</v>
      </c>
      <c r="C389" s="6" t="str">
        <f>VLOOKUP(Compras[[#This Row],[Codigo]],Stock[#Data],2,FALSE)</f>
        <v>Sedas ROK 1/4 celulosa</v>
      </c>
      <c r="D389" s="40">
        <v>26</v>
      </c>
      <c r="E389" s="6">
        <v>93</v>
      </c>
      <c r="F389" s="12">
        <f>VLOOKUP(Compras[[#This Row],[Codigo]],Stock[#Data],3,FALSE)</f>
        <v>111</v>
      </c>
      <c r="G389" s="43">
        <f>Compras[[#This Row],[Unidad]]*Compras[[#This Row],[Cantidad]]</f>
        <v>2886</v>
      </c>
      <c r="H389" s="16"/>
      <c r="I389" s="16"/>
      <c r="J389" s="16"/>
      <c r="K389" s="16"/>
    </row>
    <row r="390" spans="1:11" ht="20.25" customHeight="1">
      <c r="A390" s="16"/>
      <c r="B390" s="41" t="s">
        <v>1101</v>
      </c>
      <c r="C390" s="6" t="str">
        <f>VLOOKUP(Compras[[#This Row],[Codigo]],Stock[#Data],2,FALSE)</f>
        <v>Sedas Celulosa Sativa Club 1/4</v>
      </c>
      <c r="D390" s="40">
        <v>109</v>
      </c>
      <c r="E390" s="6">
        <v>889</v>
      </c>
      <c r="F390" s="12">
        <f>VLOOKUP(Compras[[#This Row],[Codigo]],Stock[#Data],3,FALSE)</f>
        <v>193</v>
      </c>
      <c r="G390" s="43">
        <f>Compras[[#This Row],[Unidad]]*Compras[[#This Row],[Cantidad]]</f>
        <v>21037</v>
      </c>
      <c r="H390" s="16"/>
      <c r="I390" s="16"/>
      <c r="J390" s="16"/>
      <c r="K390" s="16"/>
    </row>
    <row r="391" spans="1:11" ht="20.25" customHeight="1">
      <c r="A391" s="16"/>
      <c r="B391" s="41" t="s">
        <v>1101</v>
      </c>
      <c r="C391" s="6" t="str">
        <f>VLOOKUP(Compras[[#This Row],[Codigo]],Stock[#Data],2,FALSE)</f>
        <v>Sedas PRISMA 1/4 Blue</v>
      </c>
      <c r="D391" s="40">
        <v>19</v>
      </c>
      <c r="E391" s="6">
        <v>91</v>
      </c>
      <c r="F391" s="12">
        <f>VLOOKUP(Compras[[#This Row],[Codigo]],Stock[#Data],3,FALSE)</f>
        <v>100</v>
      </c>
      <c r="G391" s="43">
        <f>Compras[[#This Row],[Unidad]]*Compras[[#This Row],[Cantidad]]</f>
        <v>1900</v>
      </c>
      <c r="H391" s="16"/>
      <c r="I391" s="16"/>
      <c r="J391" s="16"/>
      <c r="K391" s="16"/>
    </row>
    <row r="392" spans="1:11" ht="20.25" customHeight="1">
      <c r="A392" s="16"/>
      <c r="B392" s="41" t="s">
        <v>1101</v>
      </c>
      <c r="C392" s="6" t="str">
        <f>VLOOKUP(Compras[[#This Row],[Codigo]],Stock[#Data],2,FALSE)</f>
        <v>Sedas PRISMA 1/4 Pink</v>
      </c>
      <c r="D392" s="40">
        <v>6</v>
      </c>
      <c r="E392" s="6">
        <v>92</v>
      </c>
      <c r="F392" s="12">
        <f>VLOOKUP(Compras[[#This Row],[Codigo]],Stock[#Data],3,FALSE)</f>
        <v>100</v>
      </c>
      <c r="G392" s="43">
        <f>Compras[[#This Row],[Unidad]]*Compras[[#This Row],[Cantidad]]</f>
        <v>600</v>
      </c>
      <c r="H392" s="16"/>
      <c r="I392" s="16"/>
      <c r="J392" s="16"/>
      <c r="K392" s="16"/>
    </row>
    <row r="393" spans="1:11" ht="20.25" customHeight="1">
      <c r="A393" s="16"/>
      <c r="B393" s="41" t="s">
        <v>1101</v>
      </c>
      <c r="C393" s="6" t="str">
        <f>VLOOKUP(Compras[[#This Row],[Codigo]],Stock[#Data],2,FALSE)</f>
        <v>Sedas Prisma Mango 1/4</v>
      </c>
      <c r="D393" s="40">
        <v>4</v>
      </c>
      <c r="E393" s="6">
        <v>890</v>
      </c>
      <c r="F393" s="12">
        <f>VLOOKUP(Compras[[#This Row],[Codigo]],Stock[#Data],3,FALSE)</f>
        <v>100</v>
      </c>
      <c r="G393" s="43">
        <f>Compras[[#This Row],[Unidad]]*Compras[[#This Row],[Cantidad]]</f>
        <v>400</v>
      </c>
      <c r="H393" s="16"/>
      <c r="I393" s="16"/>
      <c r="J393" s="16"/>
      <c r="K393" s="16"/>
    </row>
    <row r="394" spans="1:11" ht="20.25" customHeight="1">
      <c r="A394" s="16"/>
      <c r="B394" s="41" t="s">
        <v>1101</v>
      </c>
      <c r="C394" s="6" t="str">
        <f>VLOOKUP(Compras[[#This Row],[Codigo]],Stock[#Data],2,FALSE)</f>
        <v>Sedas Cartel Bamboo Ks</v>
      </c>
      <c r="D394" s="40">
        <v>11</v>
      </c>
      <c r="E394" s="6">
        <v>892</v>
      </c>
      <c r="F394" s="12">
        <f>VLOOKUP(Compras[[#This Row],[Codigo]],Stock[#Data],3,FALSE)</f>
        <v>220</v>
      </c>
      <c r="G394" s="43">
        <f>Compras[[#This Row],[Unidad]]*Compras[[#This Row],[Cantidad]]</f>
        <v>2420</v>
      </c>
      <c r="H394" s="16"/>
      <c r="I394" s="16"/>
      <c r="J394" s="16"/>
      <c r="K394" s="16"/>
    </row>
    <row r="395" spans="1:11" ht="20.25" customHeight="1">
      <c r="A395" s="16"/>
      <c r="B395" s="41" t="s">
        <v>1101</v>
      </c>
      <c r="C395" s="6" t="str">
        <f>VLOOKUP(Compras[[#This Row],[Codigo]],Stock[#Data],2,FALSE)</f>
        <v>Sedas Cartel Slim Ks</v>
      </c>
      <c r="D395" s="40">
        <v>48</v>
      </c>
      <c r="E395" s="6">
        <v>891</v>
      </c>
      <c r="F395" s="12">
        <f>VLOOKUP(Compras[[#This Row],[Codigo]],Stock[#Data],3,FALSE)</f>
        <v>100</v>
      </c>
      <c r="G395" s="43">
        <f>Compras[[#This Row],[Unidad]]*Compras[[#This Row],[Cantidad]]</f>
        <v>4800</v>
      </c>
      <c r="H395" s="16"/>
      <c r="I395" s="16"/>
      <c r="J395" s="16"/>
      <c r="K395" s="16"/>
    </row>
    <row r="396" spans="1:11" ht="20.25" customHeight="1">
      <c r="A396" s="16"/>
      <c r="B396" s="41" t="s">
        <v>1101</v>
      </c>
      <c r="C396" s="6" t="str">
        <f>VLOOKUP(Compras[[#This Row],[Codigo]],Stock[#Data],2,FALSE)</f>
        <v>Sedas Cartel Unbleached 1/4</v>
      </c>
      <c r="D396" s="40">
        <v>50</v>
      </c>
      <c r="E396" s="6">
        <v>893</v>
      </c>
      <c r="F396" s="12">
        <f>VLOOKUP(Compras[[#This Row],[Codigo]],Stock[#Data],3,FALSE)</f>
        <v>100</v>
      </c>
      <c r="G396" s="43">
        <f>Compras[[#This Row],[Unidad]]*Compras[[#This Row],[Cantidad]]</f>
        <v>5000</v>
      </c>
      <c r="H396" s="16"/>
      <c r="I396" s="16"/>
      <c r="J396" s="16"/>
      <c r="K396" s="16"/>
    </row>
    <row r="397" spans="1:11" ht="20.25" customHeight="1">
      <c r="A397" s="16"/>
      <c r="B397" s="41" t="s">
        <v>1101</v>
      </c>
      <c r="C397" s="6" t="str">
        <f>VLOOKUP(Compras[[#This Row],[Codigo]],Stock[#Data],2,FALSE)</f>
        <v>Sedas Elements Artesano Ks</v>
      </c>
      <c r="D397" s="40">
        <v>12</v>
      </c>
      <c r="E397" s="6">
        <v>894</v>
      </c>
      <c r="F397" s="12">
        <f>VLOOKUP(Compras[[#This Row],[Codigo]],Stock[#Data],3,FALSE)</f>
        <v>1028</v>
      </c>
      <c r="G397" s="43">
        <f>Compras[[#This Row],[Unidad]]*Compras[[#This Row],[Cantidad]]</f>
        <v>12336</v>
      </c>
      <c r="H397" s="16"/>
      <c r="I397" s="16"/>
      <c r="J397" s="16"/>
      <c r="K397" s="16"/>
    </row>
    <row r="398" spans="1:11" ht="20.25" customHeight="1">
      <c r="A398" s="16"/>
      <c r="B398" s="41" t="s">
        <v>1101</v>
      </c>
      <c r="C398" s="6" t="str">
        <f>VLOOKUP(Compras[[#This Row],[Codigo]],Stock[#Data],2,FALSE)</f>
        <v xml:space="preserve">Sedas Stamps Celulosa </v>
      </c>
      <c r="D398" s="40">
        <v>25</v>
      </c>
      <c r="E398" s="6">
        <v>622</v>
      </c>
      <c r="F398" s="12">
        <f>VLOOKUP(Compras[[#This Row],[Codigo]],Stock[#Data],3,FALSE)</f>
        <v>260</v>
      </c>
      <c r="G398" s="43">
        <f>Compras[[#This Row],[Unidad]]*Compras[[#This Row],[Cantidad]]</f>
        <v>6500</v>
      </c>
      <c r="H398" s="16"/>
      <c r="I398" s="16"/>
      <c r="J398" s="16"/>
      <c r="K398" s="16"/>
    </row>
    <row r="399" spans="1:11" ht="20.25" customHeight="1">
      <c r="A399" s="16"/>
      <c r="B399" s="41" t="s">
        <v>1101</v>
      </c>
      <c r="C399" s="6" t="str">
        <f>VLOOKUP(Compras[[#This Row],[Codigo]],Stock[#Data],2,FALSE)</f>
        <v>Sedas OCB Cañamo Ks</v>
      </c>
      <c r="D399" s="40">
        <v>42</v>
      </c>
      <c r="E399" s="6">
        <v>896</v>
      </c>
      <c r="F399" s="12">
        <f>VLOOKUP(Compras[[#This Row],[Codigo]],Stock[#Data],3,FALSE)</f>
        <v>100</v>
      </c>
      <c r="G399" s="43">
        <f>Compras[[#This Row],[Unidad]]*Compras[[#This Row],[Cantidad]]</f>
        <v>4200</v>
      </c>
      <c r="H399" s="16"/>
      <c r="I399" s="16"/>
      <c r="J399" s="16"/>
      <c r="K399" s="16"/>
    </row>
    <row r="400" spans="1:11" ht="20.25" customHeight="1">
      <c r="A400" s="16"/>
      <c r="B400" s="41" t="s">
        <v>1101</v>
      </c>
      <c r="C400" s="6" t="str">
        <f>VLOOKUP(Compras[[#This Row],[Codigo]],Stock[#Data],2,FALSE)</f>
        <v>Sedas OCB Slim Ks</v>
      </c>
      <c r="D400" s="40">
        <v>42</v>
      </c>
      <c r="E400" s="6">
        <v>897</v>
      </c>
      <c r="F400" s="12">
        <f>VLOOKUP(Compras[[#This Row],[Codigo]],Stock[#Data],3,FALSE)</f>
        <v>100</v>
      </c>
      <c r="G400" s="43">
        <f>Compras[[#This Row],[Unidad]]*Compras[[#This Row],[Cantidad]]</f>
        <v>4200</v>
      </c>
      <c r="H400" s="16"/>
      <c r="I400" s="16"/>
      <c r="J400" s="16"/>
      <c r="K400" s="16"/>
    </row>
    <row r="401" spans="1:11" ht="20.25" customHeight="1">
      <c r="A401" s="16"/>
      <c r="B401" s="41" t="s">
        <v>1101</v>
      </c>
      <c r="C401" s="6" t="str">
        <f>VLOOKUP(Compras[[#This Row],[Codigo]],Stock[#Data],2,FALSE)</f>
        <v>Sedas OCB Ultimate Ks</v>
      </c>
      <c r="D401" s="40">
        <v>37</v>
      </c>
      <c r="E401" s="6">
        <v>895</v>
      </c>
      <c r="F401" s="12">
        <f>VLOOKUP(Compras[[#This Row],[Codigo]],Stock[#Data],3,FALSE)</f>
        <v>100</v>
      </c>
      <c r="G401" s="43">
        <f>Compras[[#This Row],[Unidad]]*Compras[[#This Row],[Cantidad]]</f>
        <v>3700</v>
      </c>
      <c r="H401" s="16"/>
      <c r="I401" s="16"/>
      <c r="J401" s="16"/>
      <c r="K401" s="16"/>
    </row>
    <row r="402" spans="1:11" ht="20.25" customHeight="1">
      <c r="A402" s="16"/>
      <c r="B402" s="41" t="s">
        <v>1101</v>
      </c>
      <c r="C402" s="6" t="str">
        <f>VLOOKUP(Compras[[#This Row],[Codigo]],Stock[#Data],2,FALSE)</f>
        <v>Sedas Mantra Frutilla 1/4</v>
      </c>
      <c r="D402" s="40">
        <v>45</v>
      </c>
      <c r="E402" s="6">
        <v>899</v>
      </c>
      <c r="F402" s="12">
        <f>VLOOKUP(Compras[[#This Row],[Codigo]],Stock[#Data],3,FALSE)</f>
        <v>50</v>
      </c>
      <c r="G402" s="43">
        <f>Compras[[#This Row],[Unidad]]*Compras[[#This Row],[Cantidad]]</f>
        <v>2250</v>
      </c>
      <c r="H402" s="16"/>
      <c r="I402" s="16"/>
      <c r="J402" s="16"/>
      <c r="K402" s="16"/>
    </row>
    <row r="403" spans="1:11" ht="20.25" customHeight="1">
      <c r="A403" s="16"/>
      <c r="B403" s="41" t="s">
        <v>1101</v>
      </c>
      <c r="C403" s="6" t="str">
        <f>VLOOKUP(Compras[[#This Row],[Codigo]],Stock[#Data],2,FALSE)</f>
        <v xml:space="preserve">Sedas Mantra Chocolate 1/4 </v>
      </c>
      <c r="D403" s="40">
        <v>43</v>
      </c>
      <c r="E403" s="6">
        <v>898</v>
      </c>
      <c r="F403" s="12">
        <f>VLOOKUP(Compras[[#This Row],[Codigo]],Stock[#Data],3,FALSE)</f>
        <v>50</v>
      </c>
      <c r="G403" s="43">
        <f>Compras[[#This Row],[Unidad]]*Compras[[#This Row],[Cantidad]]</f>
        <v>2150</v>
      </c>
      <c r="H403" s="16"/>
      <c r="I403" s="16"/>
      <c r="J403" s="16"/>
      <c r="K403" s="16"/>
    </row>
    <row r="404" spans="1:11" ht="20.25" customHeight="1">
      <c r="A404" s="16"/>
      <c r="B404" s="41" t="s">
        <v>1101</v>
      </c>
      <c r="C404" s="6" t="str">
        <f>VLOOKUP(Compras[[#This Row],[Codigo]],Stock[#Data],2,FALSE)</f>
        <v>Sedas Rizla Natura Ks</v>
      </c>
      <c r="D404" s="40">
        <v>49</v>
      </c>
      <c r="E404" s="6">
        <v>900</v>
      </c>
      <c r="F404" s="12">
        <f>VLOOKUP(Compras[[#This Row],[Codigo]],Stock[#Data],3,FALSE)</f>
        <v>100</v>
      </c>
      <c r="G404" s="43">
        <f>Compras[[#This Row],[Unidad]]*Compras[[#This Row],[Cantidad]]</f>
        <v>4900</v>
      </c>
      <c r="H404" s="16"/>
      <c r="I404" s="16"/>
      <c r="J404" s="16"/>
      <c r="K404" s="16"/>
    </row>
    <row r="405" spans="1:11" ht="20.25" customHeight="1">
      <c r="A405" s="16"/>
      <c r="B405" s="41" t="s">
        <v>1101</v>
      </c>
      <c r="C405" s="6" t="str">
        <f>VLOOKUP(Compras[[#This Row],[Codigo]],Stock[#Data],2,FALSE)</f>
        <v>Tips Zeus Large</v>
      </c>
      <c r="D405" s="40">
        <v>144</v>
      </c>
      <c r="E405" s="6">
        <v>901</v>
      </c>
      <c r="F405" s="12">
        <f>VLOOKUP(Compras[[#This Row],[Codigo]],Stock[#Data],3,FALSE)</f>
        <v>81</v>
      </c>
      <c r="G405" s="43">
        <f>Compras[[#This Row],[Unidad]]*Compras[[#This Row],[Cantidad]]</f>
        <v>11664</v>
      </c>
      <c r="H405" s="16"/>
      <c r="I405" s="16"/>
      <c r="J405" s="16"/>
      <c r="K405" s="16"/>
    </row>
    <row r="406" spans="1:11" ht="20.25" customHeight="1">
      <c r="A406" s="16"/>
      <c r="B406" s="41" t="s">
        <v>1101</v>
      </c>
      <c r="C406" s="6" t="str">
        <f>VLOOKUP(Compras[[#This Row],[Codigo]],Stock[#Data],2,FALSE)</f>
        <v>Tips Zeus Mini</v>
      </c>
      <c r="D406" s="40">
        <v>113</v>
      </c>
      <c r="E406" s="6">
        <v>902</v>
      </c>
      <c r="F406" s="12">
        <f>VLOOKUP(Compras[[#This Row],[Codigo]],Stock[#Data],3,FALSE)</f>
        <v>100</v>
      </c>
      <c r="G406" s="43">
        <f>Compras[[#This Row],[Unidad]]*Compras[[#This Row],[Cantidad]]</f>
        <v>11300</v>
      </c>
      <c r="H406" s="16"/>
      <c r="I406" s="16"/>
      <c r="J406" s="16"/>
      <c r="K406" s="16"/>
    </row>
    <row r="407" spans="1:11" ht="20.25" customHeight="1">
      <c r="A407" s="16"/>
      <c r="B407" s="41" t="s">
        <v>1101</v>
      </c>
      <c r="C407" s="6" t="str">
        <f>VLOOKUP(Compras[[#This Row],[Codigo]],Stock[#Data],2,FALSE)</f>
        <v>Tips STAMPS ECO</v>
      </c>
      <c r="D407" s="40">
        <v>50</v>
      </c>
      <c r="E407" s="6">
        <v>308</v>
      </c>
      <c r="F407" s="12">
        <f>VLOOKUP(Compras[[#This Row],[Codigo]],Stock[#Data],3,FALSE)</f>
        <v>73</v>
      </c>
      <c r="G407" s="43">
        <f>Compras[[#This Row],[Unidad]]*Compras[[#This Row],[Cantidad]]</f>
        <v>3650</v>
      </c>
      <c r="H407" s="16"/>
      <c r="I407" s="16"/>
      <c r="J407" s="16"/>
      <c r="K407" s="16"/>
    </row>
    <row r="408" spans="1:11" ht="20.25" customHeight="1">
      <c r="A408" s="16"/>
      <c r="B408" s="41" t="s">
        <v>1101</v>
      </c>
      <c r="C408" s="6" t="str">
        <f>VLOOKUP(Compras[[#This Row],[Codigo]],Stock[#Data],2,FALSE)</f>
        <v>Rape Samuel Gawith</v>
      </c>
      <c r="D408" s="40">
        <v>12</v>
      </c>
      <c r="E408" s="6">
        <v>908</v>
      </c>
      <c r="F408" s="12">
        <f>VLOOKUP(Compras[[#This Row],[Codigo]],Stock[#Data],3,FALSE)</f>
        <v>300</v>
      </c>
      <c r="G408" s="43">
        <f>Compras[[#This Row],[Unidad]]*Compras[[#This Row],[Cantidad]]</f>
        <v>3600</v>
      </c>
      <c r="H408" s="16"/>
      <c r="I408" s="16"/>
      <c r="J408" s="16"/>
      <c r="K408" s="16"/>
    </row>
    <row r="409" spans="1:11" ht="20.25" customHeight="1">
      <c r="A409" s="16"/>
      <c r="B409" s="41" t="s">
        <v>1101</v>
      </c>
      <c r="C409" s="6" t="str">
        <f>VLOOKUP(Compras[[#This Row],[Codigo]],Stock[#Data],2,FALSE)</f>
        <v>Conos Cyclones 1/4</v>
      </c>
      <c r="D409" s="40">
        <v>38</v>
      </c>
      <c r="E409" s="6">
        <v>907</v>
      </c>
      <c r="F409" s="12">
        <f>VLOOKUP(Compras[[#This Row],[Codigo]],Stock[#Data],3,FALSE)</f>
        <v>220</v>
      </c>
      <c r="G409" s="43">
        <f>Compras[[#This Row],[Unidad]]*Compras[[#This Row],[Cantidad]]</f>
        <v>8360</v>
      </c>
      <c r="H409" s="16"/>
      <c r="I409" s="16"/>
      <c r="J409" s="16"/>
      <c r="K409" s="16"/>
    </row>
    <row r="410" spans="1:11" ht="20.25" customHeight="1">
      <c r="A410" s="16"/>
      <c r="B410" s="41" t="s">
        <v>1101</v>
      </c>
      <c r="C410" s="6" t="str">
        <f>VLOOKUP(Compras[[#This Row],[Codigo]],Stock[#Data],2,FALSE)</f>
        <v>Tips Lion Unbleached</v>
      </c>
      <c r="D410" s="40">
        <v>14</v>
      </c>
      <c r="E410" s="6">
        <v>458</v>
      </c>
      <c r="F410" s="12">
        <f>VLOOKUP(Compras[[#This Row],[Codigo]],Stock[#Data],3,FALSE)</f>
        <v>137</v>
      </c>
      <c r="G410" s="43">
        <f>Compras[[#This Row],[Unidad]]*Compras[[#This Row],[Cantidad]]</f>
        <v>1918</v>
      </c>
      <c r="H410" s="16"/>
      <c r="I410" s="16"/>
      <c r="J410" s="16"/>
      <c r="K410" s="16"/>
    </row>
    <row r="411" spans="1:11" ht="20.25" customHeight="1">
      <c r="A411" s="16"/>
      <c r="B411" s="41" t="s">
        <v>1101</v>
      </c>
      <c r="C411" s="6" t="str">
        <f>VLOOKUP(Compras[[#This Row],[Codigo]],Stock[#Data],2,FALSE)</f>
        <v>Tips Blunt Rey Unbleached</v>
      </c>
      <c r="D411" s="40">
        <v>50</v>
      </c>
      <c r="E411" s="6">
        <v>903</v>
      </c>
      <c r="F411" s="12">
        <f>VLOOKUP(Compras[[#This Row],[Codigo]],Stock[#Data],3,FALSE)</f>
        <v>100</v>
      </c>
      <c r="G411" s="43">
        <f>Compras[[#This Row],[Unidad]]*Compras[[#This Row],[Cantidad]]</f>
        <v>5000</v>
      </c>
      <c r="H411" s="16"/>
      <c r="I411" s="16"/>
      <c r="J411" s="16"/>
      <c r="K411" s="16"/>
    </row>
    <row r="412" spans="1:11" ht="20.25" customHeight="1">
      <c r="A412" s="16"/>
      <c r="B412" s="41" t="s">
        <v>1101</v>
      </c>
      <c r="C412" s="6" t="str">
        <f>VLOOKUP(Compras[[#This Row],[Codigo]],Stock[#Data],2,FALSE)</f>
        <v>Tips Lion Rolling Circus Unbleached Large</v>
      </c>
      <c r="D412" s="40">
        <v>72</v>
      </c>
      <c r="E412" s="6">
        <v>904</v>
      </c>
      <c r="F412" s="12">
        <f>VLOOKUP(Compras[[#This Row],[Codigo]],Stock[#Data],3,FALSE)</f>
        <v>150</v>
      </c>
      <c r="G412" s="43">
        <f>Compras[[#This Row],[Unidad]]*Compras[[#This Row],[Cantidad]]</f>
        <v>10800</v>
      </c>
      <c r="H412" s="16"/>
      <c r="I412" s="16"/>
      <c r="J412" s="16"/>
      <c r="K412" s="16"/>
    </row>
    <row r="413" spans="1:11" ht="20.25" customHeight="1">
      <c r="A413" s="16"/>
      <c r="B413" s="41" t="s">
        <v>1101</v>
      </c>
      <c r="C413" s="6" t="str">
        <f>VLOOKUP(Compras[[#This Row],[Codigo]],Stock[#Data],2,FALSE)</f>
        <v xml:space="preserve">Conos RAW 1/4 </v>
      </c>
      <c r="D413" s="40">
        <v>25</v>
      </c>
      <c r="E413" s="6">
        <v>905</v>
      </c>
      <c r="F413" s="12">
        <f>VLOOKUP(Compras[[#This Row],[Codigo]],Stock[#Data],3,FALSE)</f>
        <v>667</v>
      </c>
      <c r="G413" s="43">
        <f>Compras[[#This Row],[Unidad]]*Compras[[#This Row],[Cantidad]]</f>
        <v>16675</v>
      </c>
      <c r="H413" s="16"/>
      <c r="I413" s="16"/>
      <c r="J413" s="16"/>
      <c r="K413" s="16"/>
    </row>
    <row r="414" spans="1:11" ht="20.25" customHeight="1">
      <c r="A414" s="16"/>
      <c r="B414" s="41" t="s">
        <v>1101</v>
      </c>
      <c r="C414" s="6" t="str">
        <f>VLOOKUP(Compras[[#This Row],[Codigo]],Stock[#Data],2,FALSE)</f>
        <v>Conos Bull Dog Reefer 1/4</v>
      </c>
      <c r="D414" s="40">
        <v>12</v>
      </c>
      <c r="E414" s="6">
        <v>906</v>
      </c>
      <c r="F414" s="12">
        <f>VLOOKUP(Compras[[#This Row],[Codigo]],Stock[#Data],3,FALSE)</f>
        <v>300</v>
      </c>
      <c r="G414" s="43">
        <f>Compras[[#This Row],[Unidad]]*Compras[[#This Row],[Cantidad]]</f>
        <v>3600</v>
      </c>
      <c r="H414" s="16"/>
      <c r="I414" s="16"/>
      <c r="J414" s="16"/>
      <c r="K414" s="16"/>
    </row>
    <row r="415" spans="1:11" ht="20.25" customHeight="1">
      <c r="A415" s="16"/>
      <c r="B415" s="41" t="s">
        <v>807</v>
      </c>
      <c r="C415" s="6" t="str">
        <f>VLOOKUP(Compras[[#This Row],[Codigo]],Stock[#Data],2,FALSE)</f>
        <v>Sustrato Perlita</v>
      </c>
      <c r="D415" s="40">
        <v>30</v>
      </c>
      <c r="E415" s="6">
        <v>52</v>
      </c>
      <c r="F415" s="12">
        <f>VLOOKUP(Compras[[#This Row],[Codigo]],Stock[#Data],3,FALSE)</f>
        <v>400</v>
      </c>
      <c r="G415" s="43">
        <f>Compras[[#This Row],[Unidad]]*Compras[[#This Row],[Cantidad]]</f>
        <v>12000</v>
      </c>
      <c r="H415" s="16"/>
      <c r="I415" s="16"/>
      <c r="J415" s="16"/>
      <c r="K415" s="16"/>
    </row>
    <row r="416" spans="1:11" ht="20.25" customHeight="1">
      <c r="A416" s="16"/>
      <c r="B416" s="41" t="s">
        <v>799</v>
      </c>
      <c r="C416" s="6" t="str">
        <f>VLOOKUP(Compras[[#This Row],[Codigo]],Stock[#Data],2,FALSE)</f>
        <v xml:space="preserve">Aceite de Cannabis 30 ml </v>
      </c>
      <c r="D416" s="40">
        <v>2</v>
      </c>
      <c r="E416" s="6">
        <v>525</v>
      </c>
      <c r="F416" s="12">
        <f>VLOOKUP(Compras[[#This Row],[Codigo]],Stock[#Data],3,FALSE)</f>
        <v>5500</v>
      </c>
      <c r="G416" s="43">
        <f>Compras[[#This Row],[Unidad]]*Compras[[#This Row],[Cantidad]]</f>
        <v>11000</v>
      </c>
      <c r="H416" s="16"/>
      <c r="I416" s="16"/>
      <c r="J416" s="16"/>
      <c r="K416" s="16"/>
    </row>
    <row r="417" spans="1:11" ht="20.25" customHeight="1">
      <c r="A417" s="16"/>
      <c r="B417" s="41" t="s">
        <v>793</v>
      </c>
      <c r="C417" s="6" t="str">
        <f>VLOOKUP(Compras[[#This Row],[Codigo]],Stock[#Data],2,FALSE)</f>
        <v>Sustrato Perlita</v>
      </c>
      <c r="D417" s="40">
        <v>20</v>
      </c>
      <c r="E417" s="6">
        <v>52</v>
      </c>
      <c r="F417" s="12">
        <f>VLOOKUP(Compras[[#This Row],[Codigo]],Stock[#Data],3,FALSE)</f>
        <v>400</v>
      </c>
      <c r="G417" s="43">
        <f>Compras[[#This Row],[Unidad]]*Compras[[#This Row],[Cantidad]]</f>
        <v>8000</v>
      </c>
      <c r="H417" s="16"/>
      <c r="I417" s="16"/>
      <c r="J417" s="16"/>
      <c r="K417" s="16"/>
    </row>
    <row r="418" spans="1:11" ht="20.25" customHeight="1">
      <c r="A418" s="16"/>
      <c r="B418" s="41" t="s">
        <v>785</v>
      </c>
      <c r="C418" s="6" t="str">
        <f>VLOOKUP(Compras[[#This Row],[Codigo]],Stock[#Data],2,FALSE)</f>
        <v xml:space="preserve">Malla para Rosin Keep is Fresh 120 micras x10 </v>
      </c>
      <c r="D418" s="40">
        <v>2</v>
      </c>
      <c r="E418" s="6">
        <v>321</v>
      </c>
      <c r="F418" s="12">
        <f>VLOOKUP(Compras[[#This Row],[Codigo]],Stock[#Data],3,FALSE)</f>
        <v>2556</v>
      </c>
      <c r="G418" s="43">
        <f>Compras[[#This Row],[Unidad]]*Compras[[#This Row],[Cantidad]]</f>
        <v>5112</v>
      </c>
      <c r="H418" s="16"/>
      <c r="I418" s="16"/>
      <c r="J418" s="16"/>
      <c r="K418" s="16"/>
    </row>
    <row r="419" spans="1:11" ht="20.25" customHeight="1">
      <c r="A419" s="16"/>
      <c r="B419" s="41" t="s">
        <v>785</v>
      </c>
      <c r="C419" s="6" t="str">
        <f>VLOOKUP(Compras[[#This Row],[Codigo]],Stock[#Data],2,FALSE)</f>
        <v>Pipa D&amp;K Flexible</v>
      </c>
      <c r="D419" s="40">
        <v>1</v>
      </c>
      <c r="E419" s="6">
        <v>163</v>
      </c>
      <c r="F419" s="12">
        <f>VLOOKUP(Compras[[#This Row],[Codigo]],Stock[#Data],3,FALSE)</f>
        <v>1438</v>
      </c>
      <c r="G419" s="43">
        <f>Compras[[#This Row],[Unidad]]*Compras[[#This Row],[Cantidad]]</f>
        <v>1438</v>
      </c>
      <c r="H419" s="16"/>
      <c r="I419" s="16"/>
      <c r="J419" s="16"/>
      <c r="K419" s="16"/>
    </row>
    <row r="420" spans="1:11" ht="20.25" customHeight="1">
      <c r="A420" s="16"/>
      <c r="B420" s="41" t="s">
        <v>785</v>
      </c>
      <c r="C420" s="6" t="str">
        <f>VLOOKUP(Compras[[#This Row],[Codigo]],Stock[#Data],2,FALSE)</f>
        <v>Picador 3p Calavera Rosa</v>
      </c>
      <c r="D420" s="40">
        <v>1</v>
      </c>
      <c r="E420" s="6">
        <v>617</v>
      </c>
      <c r="F420" s="12">
        <f>VLOOKUP(Compras[[#This Row],[Codigo]],Stock[#Data],3,FALSE)</f>
        <v>2496</v>
      </c>
      <c r="G420" s="43">
        <f>Compras[[#This Row],[Unidad]]*Compras[[#This Row],[Cantidad]]</f>
        <v>2496</v>
      </c>
      <c r="H420" s="16"/>
      <c r="I420" s="16"/>
      <c r="J420" s="16"/>
      <c r="K420" s="16"/>
    </row>
    <row r="421" spans="1:11" ht="20.25" customHeight="1">
      <c r="A421" s="16"/>
      <c r="B421" s="41" t="s">
        <v>785</v>
      </c>
      <c r="C421" s="6" t="str">
        <f>VLOOKUP(Compras[[#This Row],[Codigo]],Stock[#Data],2,FALSE)</f>
        <v>Picador 4p Amsterdam Holland</v>
      </c>
      <c r="D421" s="40">
        <v>2</v>
      </c>
      <c r="E421" s="6">
        <v>618</v>
      </c>
      <c r="F421" s="12">
        <f>VLOOKUP(Compras[[#This Row],[Codigo]],Stock[#Data],3,FALSE)</f>
        <v>1452</v>
      </c>
      <c r="G421" s="43">
        <f>Compras[[#This Row],[Unidad]]*Compras[[#This Row],[Cantidad]]</f>
        <v>2904</v>
      </c>
      <c r="H421" s="16"/>
      <c r="I421" s="16"/>
      <c r="J421" s="16"/>
      <c r="K421" s="16"/>
    </row>
    <row r="422" spans="1:11" ht="20.25" customHeight="1">
      <c r="A422" s="16"/>
      <c r="B422" s="41" t="s">
        <v>785</v>
      </c>
      <c r="C422" s="6" t="str">
        <f>VLOOKUP(Compras[[#This Row],[Codigo]],Stock[#Data],2,FALSE)</f>
        <v xml:space="preserve">Picador 3p Acrilico </v>
      </c>
      <c r="D422" s="40">
        <v>2</v>
      </c>
      <c r="E422" s="6">
        <v>619</v>
      </c>
      <c r="F422" s="12">
        <f>VLOOKUP(Compras[[#This Row],[Codigo]],Stock[#Data],3,FALSE)</f>
        <v>420</v>
      </c>
      <c r="G422" s="43">
        <f>Compras[[#This Row],[Unidad]]*Compras[[#This Row],[Cantidad]]</f>
        <v>840</v>
      </c>
      <c r="H422" s="16"/>
      <c r="I422" s="16"/>
      <c r="J422" s="16"/>
      <c r="K422" s="16"/>
    </row>
    <row r="423" spans="1:11" ht="20.25" customHeight="1">
      <c r="A423" s="16"/>
      <c r="B423" s="41" t="s">
        <v>785</v>
      </c>
      <c r="C423" s="6" t="str">
        <f>VLOOKUP(Compras[[#This Row],[Codigo]],Stock[#Data],2,FALSE)</f>
        <v>Tabaco Van Haasen Nativo</v>
      </c>
      <c r="D423" s="40">
        <v>5</v>
      </c>
      <c r="E423" s="6">
        <v>620</v>
      </c>
      <c r="F423" s="12">
        <f>VLOOKUP(Compras[[#This Row],[Codigo]],Stock[#Data],3,FALSE)</f>
        <v>630</v>
      </c>
      <c r="G423" s="43">
        <f>Compras[[#This Row],[Unidad]]*Compras[[#This Row],[Cantidad]]</f>
        <v>3150</v>
      </c>
      <c r="H423" s="16"/>
      <c r="I423" s="16"/>
      <c r="J423" s="16"/>
      <c r="K423" s="16"/>
    </row>
    <row r="424" spans="1:11" ht="20.25" customHeight="1">
      <c r="A424" s="16"/>
      <c r="B424" s="41" t="s">
        <v>785</v>
      </c>
      <c r="C424" s="6" t="str">
        <f>VLOOKUP(Compras[[#This Row],[Codigo]],Stock[#Data],2,FALSE)</f>
        <v>Bong Mini Verde</v>
      </c>
      <c r="D424" s="40">
        <v>1</v>
      </c>
      <c r="E424" s="6">
        <v>621</v>
      </c>
      <c r="F424" s="12">
        <f>VLOOKUP(Compras[[#This Row],[Codigo]],Stock[#Data],3,FALSE)</f>
        <v>5400</v>
      </c>
      <c r="G424" s="43">
        <f>Compras[[#This Row],[Unidad]]*Compras[[#This Row],[Cantidad]]</f>
        <v>5400</v>
      </c>
      <c r="H424" s="16"/>
      <c r="I424" s="16"/>
      <c r="J424" s="16"/>
      <c r="K424" s="16"/>
    </row>
    <row r="425" spans="1:11" ht="20.25" customHeight="1">
      <c r="A425" s="16"/>
      <c r="B425" s="41" t="s">
        <v>785</v>
      </c>
      <c r="C425" s="6" t="str">
        <f>VLOOKUP(Compras[[#This Row],[Codigo]],Stock[#Data],2,FALSE)</f>
        <v xml:space="preserve">Sedas Stamps Celulosa </v>
      </c>
      <c r="D425" s="40">
        <v>25</v>
      </c>
      <c r="E425" s="6">
        <v>622</v>
      </c>
      <c r="F425" s="12">
        <f>VLOOKUP(Compras[[#This Row],[Codigo]],Stock[#Data],3,FALSE)</f>
        <v>260</v>
      </c>
      <c r="G425" s="43">
        <f>Compras[[#This Row],[Unidad]]*Compras[[#This Row],[Cantidad]]</f>
        <v>6500</v>
      </c>
      <c r="H425" s="16"/>
      <c r="I425" s="16"/>
      <c r="J425" s="16"/>
      <c r="K425" s="16"/>
    </row>
    <row r="426" spans="1:11" ht="20.25" customHeight="1">
      <c r="A426" s="16"/>
      <c r="B426" s="41" t="s">
        <v>785</v>
      </c>
      <c r="C426" s="6" t="str">
        <f>VLOOKUP(Compras[[#This Row],[Codigo]],Stock[#Data],2,FALSE)</f>
        <v>Filtros GIZEH biodegradable</v>
      </c>
      <c r="D426" s="40">
        <v>10</v>
      </c>
      <c r="E426" s="6">
        <v>107</v>
      </c>
      <c r="F426" s="12">
        <f>VLOOKUP(Compras[[#This Row],[Codigo]],Stock[#Data],3,FALSE)</f>
        <v>280</v>
      </c>
      <c r="G426" s="43">
        <f>Compras[[#This Row],[Unidad]]*Compras[[#This Row],[Cantidad]]</f>
        <v>2800</v>
      </c>
      <c r="H426" s="16"/>
      <c r="I426" s="16"/>
      <c r="J426" s="16"/>
      <c r="K426" s="16"/>
    </row>
    <row r="427" spans="1:11" ht="20.25" customHeight="1">
      <c r="A427" s="16"/>
      <c r="B427" s="41" t="s">
        <v>785</v>
      </c>
      <c r="C427" s="6" t="str">
        <f>VLOOKUP(Compras[[#This Row],[Codigo]],Stock[#Data],2,FALSE)</f>
        <v>Tabaco Van Kiff Vainilla</v>
      </c>
      <c r="D427" s="40">
        <v>10</v>
      </c>
      <c r="E427" s="6">
        <v>120</v>
      </c>
      <c r="F427" s="12">
        <f>VLOOKUP(Compras[[#This Row],[Codigo]],Stock[#Data],3,FALSE)</f>
        <v>580</v>
      </c>
      <c r="G427" s="43">
        <f>Compras[[#This Row],[Unidad]]*Compras[[#This Row],[Cantidad]]</f>
        <v>5800</v>
      </c>
      <c r="H427" s="16"/>
      <c r="I427" s="16"/>
      <c r="J427" s="16"/>
      <c r="K427" s="16"/>
    </row>
    <row r="428" spans="1:11" ht="20.25" customHeight="1">
      <c r="A428" s="16"/>
      <c r="B428" s="41" t="s">
        <v>768</v>
      </c>
      <c r="C428" s="6" t="str">
        <f>VLOOKUP(Compras[[#This Row],[Codigo]],Stock[#Data],2,FALSE)</f>
        <v>Sedas Blunt Rey 1/4 saborizadas Durazno</v>
      </c>
      <c r="D428" s="40">
        <v>2</v>
      </c>
      <c r="E428" s="6">
        <v>73</v>
      </c>
      <c r="F428" s="12">
        <f>VLOOKUP(Compras[[#This Row],[Codigo]],Stock[#Data],3,FALSE)</f>
        <v>126</v>
      </c>
      <c r="G428" s="43">
        <f>Compras[[#This Row],[Unidad]]*Compras[[#This Row],[Cantidad]]</f>
        <v>252</v>
      </c>
      <c r="H428" s="16"/>
      <c r="I428" s="16"/>
      <c r="J428" s="16"/>
      <c r="K428" s="16"/>
    </row>
    <row r="429" spans="1:11" ht="20.25" customHeight="1">
      <c r="A429" s="16"/>
      <c r="B429" s="41" t="s">
        <v>768</v>
      </c>
      <c r="C429" s="6" t="str">
        <f>VLOOKUP(Compras[[#This Row],[Codigo]],Stock[#Data],2,FALSE)</f>
        <v>Sedas Blunt Rey 1/4 saborizadas Uva</v>
      </c>
      <c r="D429" s="40">
        <v>2</v>
      </c>
      <c r="E429" s="6">
        <v>74</v>
      </c>
      <c r="F429" s="12">
        <f>VLOOKUP(Compras[[#This Row],[Codigo]],Stock[#Data],3,FALSE)</f>
        <v>126</v>
      </c>
      <c r="G429" s="43">
        <f>Compras[[#This Row],[Unidad]]*Compras[[#This Row],[Cantidad]]</f>
        <v>252</v>
      </c>
      <c r="H429" s="16"/>
      <c r="I429" s="16"/>
      <c r="J429" s="16"/>
      <c r="K429" s="16"/>
    </row>
    <row r="430" spans="1:11" ht="20.25" customHeight="1">
      <c r="A430" s="16"/>
      <c r="B430" s="41" t="s">
        <v>768</v>
      </c>
      <c r="C430" s="6" t="str">
        <f>VLOOKUP(Compras[[#This Row],[Codigo]],Stock[#Data],2,FALSE)</f>
        <v>sedas Blunt Rey Frutilla</v>
      </c>
      <c r="D430" s="40">
        <v>2</v>
      </c>
      <c r="E430" s="6">
        <v>609</v>
      </c>
      <c r="F430" s="12">
        <f>VLOOKUP(Compras[[#This Row],[Codigo]],Stock[#Data],3,FALSE)</f>
        <v>126</v>
      </c>
      <c r="G430" s="43">
        <f>Compras[[#This Row],[Unidad]]*Compras[[#This Row],[Cantidad]]</f>
        <v>252</v>
      </c>
      <c r="H430" s="16"/>
      <c r="I430" s="16"/>
      <c r="J430" s="16"/>
      <c r="K430" s="16"/>
    </row>
    <row r="431" spans="1:11" ht="20.25" customHeight="1">
      <c r="A431" s="16"/>
      <c r="B431" s="41" t="s">
        <v>768</v>
      </c>
      <c r="C431" s="6" t="str">
        <f>VLOOKUP(Compras[[#This Row],[Codigo]],Stock[#Data],2,FALSE)</f>
        <v>Sedas Blunt Rey Mango</v>
      </c>
      <c r="D431" s="40">
        <v>2</v>
      </c>
      <c r="E431" s="6">
        <v>610</v>
      </c>
      <c r="F431" s="12">
        <f>VLOOKUP(Compras[[#This Row],[Codigo]],Stock[#Data],3,FALSE)</f>
        <v>126</v>
      </c>
      <c r="G431" s="43">
        <f>Compras[[#This Row],[Unidad]]*Compras[[#This Row],[Cantidad]]</f>
        <v>252</v>
      </c>
      <c r="H431" s="16"/>
      <c r="I431" s="16"/>
      <c r="J431" s="16"/>
      <c r="K431" s="16"/>
    </row>
    <row r="432" spans="1:11" ht="20.25" customHeight="1">
      <c r="A432" s="16"/>
      <c r="B432" s="41" t="s">
        <v>768</v>
      </c>
      <c r="C432" s="6" t="str">
        <f>VLOOKUP(Compras[[#This Row],[Codigo]],Stock[#Data],2,FALSE)</f>
        <v>Sedas Blunt Rey Blueberry</v>
      </c>
      <c r="D432" s="40">
        <v>2</v>
      </c>
      <c r="E432" s="6">
        <v>611</v>
      </c>
      <c r="F432" s="12">
        <f>VLOOKUP(Compras[[#This Row],[Codigo]],Stock[#Data],3,FALSE)</f>
        <v>126</v>
      </c>
      <c r="G432" s="43">
        <f>Compras[[#This Row],[Unidad]]*Compras[[#This Row],[Cantidad]]</f>
        <v>252</v>
      </c>
      <c r="H432" s="16"/>
      <c r="I432" s="16"/>
      <c r="J432" s="16"/>
      <c r="K432" s="16"/>
    </row>
    <row r="433" spans="1:11" ht="20.25" customHeight="1">
      <c r="A433" s="16"/>
      <c r="B433" s="41" t="s">
        <v>768</v>
      </c>
      <c r="C433" s="6" t="str">
        <f>VLOOKUP(Compras[[#This Row],[Codigo]],Stock[#Data],2,FALSE)</f>
        <v>Sedas Blunt Rey Vainilla</v>
      </c>
      <c r="D433" s="40">
        <v>2</v>
      </c>
      <c r="E433" s="6">
        <v>612</v>
      </c>
      <c r="F433" s="12">
        <f>VLOOKUP(Compras[[#This Row],[Codigo]],Stock[#Data],3,FALSE)</f>
        <v>126</v>
      </c>
      <c r="G433" s="43">
        <f>Compras[[#This Row],[Unidad]]*Compras[[#This Row],[Cantidad]]</f>
        <v>252</v>
      </c>
      <c r="H433" s="16"/>
      <c r="I433" s="16"/>
      <c r="J433" s="16"/>
      <c r="K433" s="16"/>
    </row>
    <row r="434" spans="1:11" ht="20.25" customHeight="1">
      <c r="A434" s="16"/>
      <c r="B434" s="41" t="s">
        <v>768</v>
      </c>
      <c r="C434" s="6" t="str">
        <f>VLOOKUP(Compras[[#This Row],[Codigo]],Stock[#Data],2,FALSE)</f>
        <v>Sedas Blunt Rey Cherry</v>
      </c>
      <c r="D434" s="40">
        <v>2</v>
      </c>
      <c r="E434" s="6">
        <v>613</v>
      </c>
      <c r="F434" s="12">
        <f>VLOOKUP(Compras[[#This Row],[Codigo]],Stock[#Data],3,FALSE)</f>
        <v>126</v>
      </c>
      <c r="G434" s="43">
        <f>Compras[[#This Row],[Unidad]]*Compras[[#This Row],[Cantidad]]</f>
        <v>252</v>
      </c>
      <c r="H434" s="16"/>
      <c r="I434" s="16"/>
      <c r="J434" s="16"/>
      <c r="K434" s="16"/>
    </row>
    <row r="435" spans="1:11" ht="20.25" customHeight="1">
      <c r="A435" s="16"/>
      <c r="B435" s="41" t="s">
        <v>768</v>
      </c>
      <c r="C435" s="6" t="str">
        <f>VLOOKUP(Compras[[#This Row],[Codigo]],Stock[#Data],2,FALSE)</f>
        <v>Seda Blunt Rey Banana</v>
      </c>
      <c r="D435" s="40">
        <v>2</v>
      </c>
      <c r="E435" s="6">
        <v>614</v>
      </c>
      <c r="F435" s="12">
        <f>VLOOKUP(Compras[[#This Row],[Codigo]],Stock[#Data],3,FALSE)</f>
        <v>126</v>
      </c>
      <c r="G435" s="43">
        <f>Compras[[#This Row],[Unidad]]*Compras[[#This Row],[Cantidad]]</f>
        <v>252</v>
      </c>
      <c r="H435" s="16"/>
      <c r="I435" s="16"/>
      <c r="J435" s="16"/>
      <c r="K435" s="16"/>
    </row>
    <row r="436" spans="1:11" ht="20.25" customHeight="1">
      <c r="A436" s="16"/>
      <c r="B436" s="41" t="s">
        <v>768</v>
      </c>
      <c r="C436" s="6" t="str">
        <f>VLOOKUP(Compras[[#This Row],[Codigo]],Stock[#Data],2,FALSE)</f>
        <v>Sedas Blunt Rey Menta</v>
      </c>
      <c r="D436" s="40">
        <v>2</v>
      </c>
      <c r="E436" s="6">
        <v>615</v>
      </c>
      <c r="F436" s="12">
        <f>VLOOKUP(Compras[[#This Row],[Codigo]],Stock[#Data],3,FALSE)</f>
        <v>126</v>
      </c>
      <c r="G436" s="43">
        <f>Compras[[#This Row],[Unidad]]*Compras[[#This Row],[Cantidad]]</f>
        <v>252</v>
      </c>
      <c r="H436" s="16"/>
      <c r="I436" s="16"/>
      <c r="J436" s="16"/>
      <c r="K436" s="16"/>
    </row>
    <row r="437" spans="1:11" ht="20.25" customHeight="1">
      <c r="A437" s="16"/>
      <c r="B437" s="41" t="s">
        <v>768</v>
      </c>
      <c r="C437" s="6" t="str">
        <f>VLOOKUP(Compras[[#This Row],[Codigo]],Stock[#Data],2,FALSE)</f>
        <v>Sedas Blunt Rey Chocolate</v>
      </c>
      <c r="D437" s="40">
        <v>2</v>
      </c>
      <c r="E437" s="6">
        <v>616</v>
      </c>
      <c r="F437" s="12">
        <f>VLOOKUP(Compras[[#This Row],[Codigo]],Stock[#Data],3,FALSE)</f>
        <v>126</v>
      </c>
      <c r="G437" s="43">
        <f>Compras[[#This Row],[Unidad]]*Compras[[#This Row],[Cantidad]]</f>
        <v>252</v>
      </c>
      <c r="H437" s="16"/>
      <c r="I437" s="16"/>
      <c r="J437" s="16"/>
      <c r="K437" s="16"/>
    </row>
    <row r="438" spans="1:11" ht="20.25" customHeight="1">
      <c r="A438" s="16"/>
      <c r="B438" s="41" t="s">
        <v>721</v>
      </c>
      <c r="C438" s="6" t="str">
        <f>VLOOKUP(Compras[[#This Row],[Codigo]],Stock[#Data],2,FALSE)</f>
        <v>Kit de Fertilizantes POT</v>
      </c>
      <c r="D438" s="40">
        <v>3</v>
      </c>
      <c r="E438" s="6">
        <v>604</v>
      </c>
      <c r="F438" s="12">
        <f>VLOOKUP(Compras[[#This Row],[Codigo]],Stock[#Data],3,FALSE)</f>
        <v>1665</v>
      </c>
      <c r="G438" s="43">
        <f>Compras[[#This Row],[Unidad]]*Compras[[#This Row],[Cantidad]]</f>
        <v>4995</v>
      </c>
      <c r="H438" s="16"/>
      <c r="I438" s="16"/>
      <c r="J438" s="16"/>
      <c r="K438" s="16"/>
    </row>
    <row r="439" spans="1:11" ht="20.25" customHeight="1">
      <c r="A439" s="16"/>
      <c r="B439" s="41" t="s">
        <v>751</v>
      </c>
      <c r="C439" s="6" t="str">
        <f>VLOOKUP(Compras[[#This Row],[Codigo]],Stock[#Data],2,FALSE)</f>
        <v>Sustrato Perlita</v>
      </c>
      <c r="D439" s="40">
        <v>30</v>
      </c>
      <c r="E439" s="6">
        <v>52</v>
      </c>
      <c r="F439" s="12">
        <f>VLOOKUP(Compras[[#This Row],[Codigo]],Stock[#Data],3,FALSE)</f>
        <v>400</v>
      </c>
      <c r="G439" s="43">
        <f>Compras[[#This Row],[Unidad]]*Compras[[#This Row],[Cantidad]]</f>
        <v>12000</v>
      </c>
      <c r="H439" s="16"/>
      <c r="I439" s="16"/>
      <c r="J439" s="16"/>
      <c r="K439" s="16"/>
    </row>
    <row r="440" spans="1:11" ht="20.25" customHeight="1">
      <c r="A440" s="16"/>
      <c r="B440" s="41" t="s">
        <v>751</v>
      </c>
      <c r="C440" s="6" t="str">
        <f>VLOOKUP(Compras[[#This Row],[Codigo]],Stock[#Data],2,FALSE)</f>
        <v>Lata GIZEH+Sedas</v>
      </c>
      <c r="D440" s="40">
        <v>1</v>
      </c>
      <c r="E440" s="6">
        <v>555</v>
      </c>
      <c r="F440" s="12">
        <f>VLOOKUP(Compras[[#This Row],[Codigo]],Stock[#Data],3,FALSE)</f>
        <v>376</v>
      </c>
      <c r="G440" s="43">
        <f>Compras[[#This Row],[Unidad]]*Compras[[#This Row],[Cantidad]]</f>
        <v>376</v>
      </c>
      <c r="H440" s="16"/>
      <c r="I440" s="16"/>
      <c r="J440" s="16"/>
      <c r="K440" s="16"/>
    </row>
    <row r="441" spans="1:11" ht="20.25" customHeight="1">
      <c r="A441" s="16"/>
      <c r="B441" s="41" t="s">
        <v>743</v>
      </c>
      <c r="C441" s="6" t="str">
        <f>VLOOKUP(Compras[[#This Row],[Codigo]],Stock[#Data],2,FALSE)</f>
        <v>Perlita 5L</v>
      </c>
      <c r="D441" s="40">
        <v>5</v>
      </c>
      <c r="E441" s="6">
        <v>607</v>
      </c>
      <c r="F441" s="12">
        <f>VLOOKUP(Compras[[#This Row],[Codigo]],Stock[#Data],3,FALSE)</f>
        <v>230</v>
      </c>
      <c r="G441" s="43">
        <f>Compras[[#This Row],[Unidad]]*Compras[[#This Row],[Cantidad]]</f>
        <v>1150</v>
      </c>
      <c r="H441" s="16"/>
      <c r="I441" s="16"/>
      <c r="J441" s="16"/>
      <c r="K441" s="16"/>
    </row>
    <row r="442" spans="1:11" ht="20.25" customHeight="1">
      <c r="A442" s="16"/>
      <c r="B442" s="41" t="s">
        <v>743</v>
      </c>
      <c r="C442" s="6" t="str">
        <f>VLOOKUP(Compras[[#This Row],[Codigo]],Stock[#Data],2,FALSE)</f>
        <v>Perlita 10L</v>
      </c>
      <c r="D442" s="40">
        <v>4</v>
      </c>
      <c r="E442" s="6">
        <v>608</v>
      </c>
      <c r="F442" s="12">
        <f>VLOOKUP(Compras[[#This Row],[Codigo]],Stock[#Data],3,FALSE)</f>
        <v>430</v>
      </c>
      <c r="G442" s="43">
        <f>Compras[[#This Row],[Unidad]]*Compras[[#This Row],[Cantidad]]</f>
        <v>1720</v>
      </c>
      <c r="H442" s="16"/>
      <c r="I442" s="16"/>
      <c r="J442" s="16"/>
      <c r="K442" s="16"/>
    </row>
    <row r="443" spans="1:11" ht="20.25" customHeight="1">
      <c r="A443" s="16"/>
      <c r="B443" s="41" t="s">
        <v>743</v>
      </c>
      <c r="C443" s="6" t="str">
        <f>VLOOKUP(Compras[[#This Row],[Codigo]],Stock[#Data],2,FALSE)</f>
        <v>Alga Delta 100ml</v>
      </c>
      <c r="D443" s="40">
        <v>10</v>
      </c>
      <c r="E443" s="6">
        <v>471</v>
      </c>
      <c r="F443" s="12">
        <f>VLOOKUP(Compras[[#This Row],[Codigo]],Stock[#Data],3,FALSE)</f>
        <v>808</v>
      </c>
      <c r="G443" s="43">
        <f>Compras[[#This Row],[Unidad]]*Compras[[#This Row],[Cantidad]]</f>
        <v>8080</v>
      </c>
      <c r="H443" s="16"/>
      <c r="I443" s="16"/>
      <c r="J443" s="16"/>
      <c r="K443" s="16"/>
    </row>
    <row r="444" spans="1:11" ht="20.25" customHeight="1">
      <c r="A444" s="16"/>
      <c r="B444" s="41" t="s">
        <v>743</v>
      </c>
      <c r="C444" s="6" t="str">
        <f>VLOOKUP(Compras[[#This Row],[Codigo]],Stock[#Data],2,FALSE)</f>
        <v>Sedas Lion Rolling Circus 1/4 alfalfa</v>
      </c>
      <c r="D444" s="40">
        <v>25</v>
      </c>
      <c r="E444" s="6">
        <v>63</v>
      </c>
      <c r="F444" s="12">
        <f>VLOOKUP(Compras[[#This Row],[Codigo]],Stock[#Data],3,FALSE)</f>
        <v>150</v>
      </c>
      <c r="G444" s="43">
        <f>Compras[[#This Row],[Unidad]]*Compras[[#This Row],[Cantidad]]</f>
        <v>3750</v>
      </c>
      <c r="H444" s="16"/>
      <c r="I444" s="16"/>
      <c r="J444" s="16"/>
      <c r="K444" s="16"/>
    </row>
    <row r="445" spans="1:11" ht="20.25" customHeight="1">
      <c r="A445" s="16"/>
      <c r="B445" s="41" t="s">
        <v>743</v>
      </c>
      <c r="C445" s="6" t="str">
        <f>VLOOKUP(Compras[[#This Row],[Codigo]],Stock[#Data],2,FALSE)</f>
        <v>Power PH-</v>
      </c>
      <c r="D445" s="40">
        <v>8</v>
      </c>
      <c r="E445" s="6">
        <v>55</v>
      </c>
      <c r="F445" s="12">
        <f>VLOOKUP(Compras[[#This Row],[Codigo]],Stock[#Data],3,FALSE)</f>
        <v>400</v>
      </c>
      <c r="G445" s="43">
        <f>Compras[[#This Row],[Unidad]]*Compras[[#This Row],[Cantidad]]</f>
        <v>3200</v>
      </c>
      <c r="H445" s="16"/>
      <c r="I445" s="16"/>
      <c r="J445" s="16"/>
      <c r="K445" s="16"/>
    </row>
    <row r="446" spans="1:11" ht="20.25" customHeight="1">
      <c r="A446" s="16"/>
      <c r="B446" s="41" t="s">
        <v>743</v>
      </c>
      <c r="C446" s="6" t="str">
        <f>VLOOKUP(Compras[[#This Row],[Codigo]],Stock[#Data],2,FALSE)</f>
        <v>Red de Scrog 100x100</v>
      </c>
      <c r="D446" s="40">
        <v>10</v>
      </c>
      <c r="E446" s="6">
        <v>195</v>
      </c>
      <c r="F446" s="12">
        <f>VLOOKUP(Compras[[#This Row],[Codigo]],Stock[#Data],3,FALSE)</f>
        <v>576</v>
      </c>
      <c r="G446" s="43">
        <f>Compras[[#This Row],[Unidad]]*Compras[[#This Row],[Cantidad]]</f>
        <v>5760</v>
      </c>
      <c r="H446" s="16"/>
      <c r="I446" s="16"/>
      <c r="J446" s="16"/>
      <c r="K446" s="16"/>
    </row>
    <row r="447" spans="1:11" ht="20.25" customHeight="1">
      <c r="A447" s="16"/>
      <c r="B447" s="41" t="s">
        <v>743</v>
      </c>
      <c r="C447" s="6" t="str">
        <f>VLOOKUP(Compras[[#This Row],[Codigo]],Stock[#Data],2,FALSE)</f>
        <v>Red de Scrog 80x80</v>
      </c>
      <c r="D447" s="40">
        <v>10</v>
      </c>
      <c r="E447" s="6">
        <v>194</v>
      </c>
      <c r="F447" s="12">
        <f>VLOOKUP(Compras[[#This Row],[Codigo]],Stock[#Data],3,FALSE)</f>
        <v>540</v>
      </c>
      <c r="G447" s="43">
        <f>Compras[[#This Row],[Unidad]]*Compras[[#This Row],[Cantidad]]</f>
        <v>5400</v>
      </c>
      <c r="H447" s="16"/>
      <c r="I447" s="16"/>
      <c r="J447" s="16"/>
      <c r="K447" s="16"/>
    </row>
    <row r="448" spans="1:11" ht="20.25" customHeight="1">
      <c r="A448" s="16"/>
      <c r="B448" s="41" t="s">
        <v>743</v>
      </c>
      <c r="C448" s="6" t="str">
        <f>VLOOKUP(Compras[[#This Row],[Codigo]],Stock[#Data],2,FALSE)</f>
        <v>VAMP Guano de murcielago Vegetativo</v>
      </c>
      <c r="D448" s="40">
        <v>10</v>
      </c>
      <c r="E448" s="6">
        <v>37</v>
      </c>
      <c r="F448" s="12">
        <f>VLOOKUP(Compras[[#This Row],[Codigo]],Stock[#Data],3,FALSE)</f>
        <v>510</v>
      </c>
      <c r="G448" s="43">
        <f>Compras[[#This Row],[Unidad]]*Compras[[#This Row],[Cantidad]]</f>
        <v>5100</v>
      </c>
      <c r="H448" s="16"/>
      <c r="I448" s="16"/>
      <c r="J448" s="16"/>
      <c r="K448" s="16"/>
    </row>
    <row r="449" spans="1:11" ht="20.25" customHeight="1">
      <c r="A449" s="16"/>
      <c r="B449" s="41" t="s">
        <v>743</v>
      </c>
      <c r="C449" s="6" t="str">
        <f>VLOOKUP(Compras[[#This Row],[Codigo]],Stock[#Data],2,FALSE)</f>
        <v>VAMP Guano de murcielago Flora</v>
      </c>
      <c r="D449" s="40">
        <v>10</v>
      </c>
      <c r="E449" s="6">
        <v>38</v>
      </c>
      <c r="F449" s="12">
        <f>VLOOKUP(Compras[[#This Row],[Codigo]],Stock[#Data],3,FALSE)</f>
        <v>510</v>
      </c>
      <c r="G449" s="43">
        <f>Compras[[#This Row],[Unidad]]*Compras[[#This Row],[Cantidad]]</f>
        <v>5100</v>
      </c>
      <c r="H449" s="16"/>
      <c r="I449" s="16"/>
      <c r="J449" s="16"/>
      <c r="K449" s="16"/>
    </row>
    <row r="450" spans="1:11" ht="20.25" customHeight="1">
      <c r="A450" s="16"/>
      <c r="B450" s="41" t="s">
        <v>743</v>
      </c>
      <c r="C450" s="6" t="str">
        <f>VLOOKUP(Compras[[#This Row],[Codigo]],Stock[#Data],2,FALSE)</f>
        <v xml:space="preserve">Aceite de Cannabis 30 ml </v>
      </c>
      <c r="D450" s="40">
        <v>2</v>
      </c>
      <c r="E450" s="6">
        <v>525</v>
      </c>
      <c r="F450" s="12">
        <f>VLOOKUP(Compras[[#This Row],[Codigo]],Stock[#Data],3,FALSE)</f>
        <v>5500</v>
      </c>
      <c r="G450" s="43">
        <f>Compras[[#This Row],[Unidad]]*Compras[[#This Row],[Cantidad]]</f>
        <v>11000</v>
      </c>
      <c r="H450" s="16"/>
      <c r="I450" s="16"/>
      <c r="J450" s="16"/>
      <c r="K450" s="16"/>
    </row>
    <row r="451" spans="1:11" ht="20.25" customHeight="1">
      <c r="A451" s="16"/>
      <c r="B451" s="41" t="s">
        <v>739</v>
      </c>
      <c r="C451" s="6" t="str">
        <f>VLOOKUP(Compras[[#This Row],[Codigo]],Stock[#Data],2,FALSE)</f>
        <v>VAMP Supermelaza</v>
      </c>
      <c r="D451" s="40">
        <v>15</v>
      </c>
      <c r="E451" s="6">
        <v>36</v>
      </c>
      <c r="F451" s="12">
        <f>VLOOKUP(Compras[[#This Row],[Codigo]],Stock[#Data],3,FALSE)</f>
        <v>908</v>
      </c>
      <c r="G451" s="43">
        <f>Compras[[#This Row],[Unidad]]*Compras[[#This Row],[Cantidad]]</f>
        <v>13620</v>
      </c>
      <c r="H451" s="16"/>
      <c r="I451" s="16"/>
      <c r="J451" s="16"/>
      <c r="K451" s="16"/>
    </row>
    <row r="452" spans="1:11" ht="20.25" customHeight="1">
      <c r="A452" s="16"/>
      <c r="B452" s="41" t="s">
        <v>739</v>
      </c>
      <c r="C452" s="6" t="str">
        <f>VLOOKUP(Compras[[#This Row],[Codigo]],Stock[#Data],2,FALSE)</f>
        <v>Piedra para encendedor</v>
      </c>
      <c r="D452" s="40">
        <v>30</v>
      </c>
      <c r="E452" s="6">
        <v>201</v>
      </c>
      <c r="F452" s="12">
        <f>VLOOKUP(Compras[[#This Row],[Codigo]],Stock[#Data],3,FALSE)</f>
        <v>223</v>
      </c>
      <c r="G452" s="43">
        <f>Compras[[#This Row],[Unidad]]*Compras[[#This Row],[Cantidad]]</f>
        <v>6690</v>
      </c>
      <c r="H452" s="16"/>
      <c r="I452" s="16"/>
      <c r="J452" s="16"/>
      <c r="K452" s="16"/>
    </row>
    <row r="453" spans="1:11" ht="20.25" customHeight="1">
      <c r="A453" s="16"/>
      <c r="B453" s="41" t="s">
        <v>739</v>
      </c>
      <c r="C453" s="6" t="str">
        <f>VLOOKUP(Compras[[#This Row],[Codigo]],Stock[#Data],2,FALSE)</f>
        <v>Sedas OCB 1/4 Organic  Bamboo</v>
      </c>
      <c r="D453" s="40">
        <v>25</v>
      </c>
      <c r="E453" s="6">
        <v>77</v>
      </c>
      <c r="F453" s="12">
        <f>VLOOKUP(Compras[[#This Row],[Codigo]],Stock[#Data],3,FALSE)</f>
        <v>165</v>
      </c>
      <c r="G453" s="43">
        <f>Compras[[#This Row],[Unidad]]*Compras[[#This Row],[Cantidad]]</f>
        <v>4125</v>
      </c>
      <c r="H453" s="16"/>
      <c r="I453" s="16"/>
      <c r="J453" s="16"/>
      <c r="K453" s="16"/>
    </row>
    <row r="454" spans="1:11" ht="20.25" customHeight="1">
      <c r="A454" s="16"/>
      <c r="B454" s="41" t="s">
        <v>739</v>
      </c>
      <c r="C454" s="6" t="str">
        <f>VLOOKUP(Compras[[#This Row],[Codigo]],Stock[#Data],2,FALSE)</f>
        <v>Namaste Trico+ 250gr</v>
      </c>
      <c r="D454" s="40">
        <v>5</v>
      </c>
      <c r="E454" s="6">
        <v>500</v>
      </c>
      <c r="F454" s="12">
        <f>VLOOKUP(Compras[[#This Row],[Codigo]],Stock[#Data],3,FALSE)</f>
        <v>1033</v>
      </c>
      <c r="G454" s="43">
        <f>Compras[[#This Row],[Unidad]]*Compras[[#This Row],[Cantidad]]</f>
        <v>5165</v>
      </c>
      <c r="H454" s="16"/>
      <c r="I454" s="16"/>
      <c r="J454" s="16"/>
      <c r="K454" s="16"/>
    </row>
    <row r="455" spans="1:11" ht="20.25" customHeight="1">
      <c r="A455" s="16"/>
      <c r="B455" s="41" t="s">
        <v>739</v>
      </c>
      <c r="C455" s="6" t="str">
        <f>VLOOKUP(Compras[[#This Row],[Codigo]],Stock[#Data],2,FALSE)</f>
        <v>Namaste Shanti 100ml</v>
      </c>
      <c r="D455" s="40">
        <v>6</v>
      </c>
      <c r="E455" s="6">
        <v>569</v>
      </c>
      <c r="F455" s="12">
        <f>VLOOKUP(Compras[[#This Row],[Codigo]],Stock[#Data],3,FALSE)</f>
        <v>932</v>
      </c>
      <c r="G455" s="43">
        <f>Compras[[#This Row],[Unidad]]*Compras[[#This Row],[Cantidad]]</f>
        <v>5592</v>
      </c>
      <c r="H455" s="16"/>
      <c r="I455" s="16"/>
      <c r="J455" s="16"/>
      <c r="K455" s="16"/>
    </row>
    <row r="456" spans="1:11" ht="20.25" customHeight="1">
      <c r="A456" s="16"/>
      <c r="B456" s="41" t="s">
        <v>739</v>
      </c>
      <c r="C456" s="6" t="str">
        <f>VLOOKUP(Compras[[#This Row],[Codigo]],Stock[#Data],2,FALSE)</f>
        <v>Namaste Oro Negro 500ml</v>
      </c>
      <c r="D456" s="40">
        <v>3</v>
      </c>
      <c r="E456" s="6">
        <v>497</v>
      </c>
      <c r="F456" s="12">
        <f>VLOOKUP(Compras[[#This Row],[Codigo]],Stock[#Data],3,FALSE)</f>
        <v>1390</v>
      </c>
      <c r="G456" s="43">
        <f>Compras[[#This Row],[Unidad]]*Compras[[#This Row],[Cantidad]]</f>
        <v>4170</v>
      </c>
      <c r="H456" s="16"/>
      <c r="I456" s="16"/>
      <c r="J456" s="16"/>
      <c r="K456" s="16"/>
    </row>
    <row r="457" spans="1:11" ht="20.25" customHeight="1">
      <c r="A457" s="16"/>
      <c r="B457" s="41" t="s">
        <v>739</v>
      </c>
      <c r="C457" s="6" t="str">
        <f>VLOOKUP(Compras[[#This Row],[Codigo]],Stock[#Data],2,FALSE)</f>
        <v>Namaste Oro Negro 100ml</v>
      </c>
      <c r="D457" s="40">
        <v>6</v>
      </c>
      <c r="E457" s="6">
        <v>478</v>
      </c>
      <c r="F457" s="12">
        <f>VLOOKUP(Compras[[#This Row],[Codigo]],Stock[#Data],3,FALSE)</f>
        <v>515</v>
      </c>
      <c r="G457" s="43">
        <f>Compras[[#This Row],[Unidad]]*Compras[[#This Row],[Cantidad]]</f>
        <v>3090</v>
      </c>
      <c r="H457" s="16"/>
      <c r="I457" s="16"/>
      <c r="J457" s="16"/>
      <c r="K457" s="16"/>
    </row>
    <row r="458" spans="1:11" ht="20.25" customHeight="1">
      <c r="A458" s="16"/>
      <c r="B458" s="41" t="s">
        <v>739</v>
      </c>
      <c r="C458" s="6" t="str">
        <f>VLOOKUP(Compras[[#This Row],[Codigo]],Stock[#Data],2,FALSE)</f>
        <v>Namaste Nutripack</v>
      </c>
      <c r="D458" s="40">
        <v>4</v>
      </c>
      <c r="E458" s="6">
        <v>346</v>
      </c>
      <c r="F458" s="12">
        <f>VLOOKUP(Compras[[#This Row],[Codigo]],Stock[#Data],3,FALSE)</f>
        <v>3376</v>
      </c>
      <c r="G458" s="43">
        <f>Compras[[#This Row],[Unidad]]*Compras[[#This Row],[Cantidad]]</f>
        <v>13504</v>
      </c>
      <c r="H458" s="16"/>
      <c r="I458" s="16"/>
      <c r="J458" s="16"/>
      <c r="K458" s="16"/>
    </row>
    <row r="459" spans="1:11" ht="20.25" customHeight="1">
      <c r="A459" s="16"/>
      <c r="B459" s="41" t="s">
        <v>739</v>
      </c>
      <c r="C459" s="6" t="str">
        <f>VLOOKUP(Compras[[#This Row],[Codigo]],Stock[#Data],2,FALSE)</f>
        <v>Namaste Flora Booster 500ml</v>
      </c>
      <c r="D459" s="40">
        <v>5</v>
      </c>
      <c r="E459" s="6">
        <v>496</v>
      </c>
      <c r="F459" s="12">
        <f>VLOOKUP(Compras[[#This Row],[Codigo]],Stock[#Data],3,FALSE)</f>
        <v>1377</v>
      </c>
      <c r="G459" s="43">
        <f>Compras[[#This Row],[Unidad]]*Compras[[#This Row],[Cantidad]]</f>
        <v>6885</v>
      </c>
      <c r="H459" s="16"/>
      <c r="I459" s="16"/>
      <c r="J459" s="16"/>
      <c r="K459" s="16"/>
    </row>
    <row r="460" spans="1:11" ht="20.25" customHeight="1">
      <c r="A460" s="16"/>
      <c r="B460" s="41" t="s">
        <v>739</v>
      </c>
      <c r="C460" s="6" t="str">
        <f>VLOOKUP(Compras[[#This Row],[Codigo]],Stock[#Data],2,FALSE)</f>
        <v>Namaste Flora Booster 100ml</v>
      </c>
      <c r="D460" s="40">
        <v>13</v>
      </c>
      <c r="E460" s="6">
        <v>480</v>
      </c>
      <c r="F460" s="12">
        <f>VLOOKUP(Compras[[#This Row],[Codigo]],Stock[#Data],3,FALSE)</f>
        <v>517</v>
      </c>
      <c r="G460" s="43">
        <f>Compras[[#This Row],[Unidad]]*Compras[[#This Row],[Cantidad]]</f>
        <v>6721</v>
      </c>
      <c r="H460" s="16"/>
      <c r="I460" s="16"/>
      <c r="J460" s="16"/>
      <c r="K460" s="16"/>
    </row>
    <row r="461" spans="1:11" ht="20.25" customHeight="1">
      <c r="A461" s="16"/>
      <c r="B461" s="41" t="s">
        <v>739</v>
      </c>
      <c r="C461" s="6" t="str">
        <f>VLOOKUP(Compras[[#This Row],[Codigo]],Stock[#Data],2,FALSE)</f>
        <v>gas butano clear 250cc</v>
      </c>
      <c r="D461" s="40">
        <v>4</v>
      </c>
      <c r="E461" s="6">
        <v>358</v>
      </c>
      <c r="F461" s="12">
        <f>VLOOKUP(Compras[[#This Row],[Codigo]],Stock[#Data],3,FALSE)</f>
        <v>425</v>
      </c>
      <c r="G461" s="43">
        <f>Compras[[#This Row],[Unidad]]*Compras[[#This Row],[Cantidad]]</f>
        <v>1700</v>
      </c>
      <c r="H461" s="16"/>
      <c r="I461" s="16"/>
      <c r="J461" s="16"/>
      <c r="K461" s="16"/>
    </row>
    <row r="462" spans="1:11" ht="20.25" customHeight="1">
      <c r="A462" s="16"/>
      <c r="B462" s="41" t="s">
        <v>739</v>
      </c>
      <c r="C462" s="6" t="str">
        <f>VLOOKUP(Compras[[#This Row],[Codigo]],Stock[#Data],2,FALSE)</f>
        <v>Encendedor Candela soplete</v>
      </c>
      <c r="D462" s="40">
        <v>4</v>
      </c>
      <c r="E462" s="6">
        <v>62</v>
      </c>
      <c r="F462" s="12">
        <f>VLOOKUP(Compras[[#This Row],[Codigo]],Stock[#Data],3,FALSE)</f>
        <v>1060</v>
      </c>
      <c r="G462" s="43">
        <f>Compras[[#This Row],[Unidad]]*Compras[[#This Row],[Cantidad]]</f>
        <v>4240</v>
      </c>
      <c r="H462" s="16"/>
      <c r="I462" s="16"/>
      <c r="J462" s="16"/>
      <c r="K462" s="16"/>
    </row>
    <row r="463" spans="1:11" ht="20.25" customHeight="1">
      <c r="A463" s="16"/>
      <c r="B463" s="41" t="s">
        <v>739</v>
      </c>
      <c r="C463" s="6" t="str">
        <f>VLOOKUP(Compras[[#This Row],[Codigo]],Stock[#Data],2,FALSE)</f>
        <v xml:space="preserve">Bio Proyect Ph + 125ml </v>
      </c>
      <c r="D463" s="40">
        <v>5</v>
      </c>
      <c r="E463" s="6">
        <v>441</v>
      </c>
      <c r="F463" s="12">
        <f>VLOOKUP(Compras[[#This Row],[Codigo]],Stock[#Data],3,FALSE)</f>
        <v>631</v>
      </c>
      <c r="G463" s="43">
        <f>Compras[[#This Row],[Unidad]]*Compras[[#This Row],[Cantidad]]</f>
        <v>3155</v>
      </c>
      <c r="H463" s="16"/>
      <c r="I463" s="16"/>
      <c r="J463" s="16"/>
      <c r="K463" s="16"/>
    </row>
    <row r="464" spans="1:11" ht="20.25" customHeight="1">
      <c r="A464" s="16"/>
      <c r="B464" s="41" t="s">
        <v>739</v>
      </c>
      <c r="C464" s="6" t="str">
        <f>VLOOKUP(Compras[[#This Row],[Codigo]],Stock[#Data],2,FALSE)</f>
        <v>Namaste Ph- 100ml</v>
      </c>
      <c r="D464" s="40">
        <v>5</v>
      </c>
      <c r="E464" s="6">
        <v>605</v>
      </c>
      <c r="F464" s="12">
        <f>VLOOKUP(Compras[[#This Row],[Codigo]],Stock[#Data],3,FALSE)</f>
        <v>412</v>
      </c>
      <c r="G464" s="43">
        <f>Compras[[#This Row],[Unidad]]*Compras[[#This Row],[Cantidad]]</f>
        <v>2060</v>
      </c>
      <c r="H464" s="16"/>
      <c r="I464" s="16"/>
      <c r="J464" s="16"/>
      <c r="K464" s="16"/>
    </row>
    <row r="465" spans="1:11" ht="20.25" customHeight="1">
      <c r="A465" s="16"/>
      <c r="B465" s="41" t="s">
        <v>721</v>
      </c>
      <c r="C465" s="6" t="str">
        <f>VLOOKUP(Compras[[#This Row],[Codigo]],Stock[#Data],2,FALSE)</f>
        <v>Power PH-</v>
      </c>
      <c r="D465" s="40">
        <v>1</v>
      </c>
      <c r="E465" s="6">
        <v>55</v>
      </c>
      <c r="F465" s="12">
        <f>VLOOKUP(Compras[[#This Row],[Codigo]],Stock[#Data],3,FALSE)</f>
        <v>400</v>
      </c>
      <c r="G465" s="43">
        <f>Compras[[#This Row],[Unidad]]*Compras[[#This Row],[Cantidad]]</f>
        <v>400</v>
      </c>
      <c r="H465" s="16"/>
      <c r="I465" s="16"/>
      <c r="J465" s="16"/>
      <c r="K465" s="16"/>
    </row>
    <row r="466" spans="1:11" ht="20.25" customHeight="1">
      <c r="A466" s="16"/>
      <c r="B466" s="41" t="s">
        <v>721</v>
      </c>
      <c r="C466" s="6" t="str">
        <f>VLOOKUP(Compras[[#This Row],[Codigo]],Stock[#Data],2,FALSE)</f>
        <v>Masetas Sopladas 3 litros</v>
      </c>
      <c r="D466" s="40">
        <v>73</v>
      </c>
      <c r="E466" s="6">
        <v>246</v>
      </c>
      <c r="F466" s="12">
        <f>VLOOKUP(Compras[[#This Row],[Codigo]],Stock[#Data],3,FALSE)</f>
        <v>38</v>
      </c>
      <c r="G466" s="43">
        <f>Compras[[#This Row],[Unidad]]*Compras[[#This Row],[Cantidad]]</f>
        <v>2774</v>
      </c>
      <c r="H466" s="16"/>
      <c r="I466" s="16"/>
      <c r="J466" s="16"/>
      <c r="K466" s="16"/>
    </row>
    <row r="467" spans="1:11" ht="20.25" customHeight="1">
      <c r="A467" s="16"/>
      <c r="B467" s="41" t="s">
        <v>721</v>
      </c>
      <c r="C467" s="6" t="str">
        <f>VLOOKUP(Compras[[#This Row],[Codigo]],Stock[#Data],2,FALSE)</f>
        <v xml:space="preserve">Filtros Stamp Bio </v>
      </c>
      <c r="D467" s="40">
        <v>1</v>
      </c>
      <c r="E467" s="6">
        <v>410</v>
      </c>
      <c r="F467" s="12">
        <f>VLOOKUP(Compras[[#This Row],[Codigo]],Stock[#Data],3,FALSE)</f>
        <v>180</v>
      </c>
      <c r="G467" s="43">
        <f>Compras[[#This Row],[Unidad]]*Compras[[#This Row],[Cantidad]]</f>
        <v>180</v>
      </c>
      <c r="H467" s="16"/>
      <c r="I467" s="16"/>
      <c r="J467" s="16"/>
      <c r="K467" s="16"/>
    </row>
    <row r="468" spans="1:11" ht="20.25" customHeight="1">
      <c r="A468" s="16"/>
      <c r="B468" s="41" t="s">
        <v>721</v>
      </c>
      <c r="C468" s="6" t="str">
        <f>VLOOKUP(Compras[[#This Row],[Codigo]],Stock[#Data],2,FALSE)</f>
        <v>TreeMIX A 45ml</v>
      </c>
      <c r="D468" s="40">
        <v>10</v>
      </c>
      <c r="E468" s="6">
        <v>21</v>
      </c>
      <c r="F468" s="12">
        <f>VLOOKUP(Compras[[#This Row],[Codigo]],Stock[#Data],3,FALSE)</f>
        <v>260</v>
      </c>
      <c r="G468" s="43">
        <f>Compras[[#This Row],[Unidad]]*Compras[[#This Row],[Cantidad]]</f>
        <v>2600</v>
      </c>
      <c r="H468" s="16"/>
      <c r="I468" s="16"/>
      <c r="J468" s="16"/>
      <c r="K468" s="16"/>
    </row>
    <row r="469" spans="1:11" ht="20.25" customHeight="1">
      <c r="A469" s="16"/>
      <c r="B469" s="41" t="s">
        <v>721</v>
      </c>
      <c r="C469" s="6" t="str">
        <f>VLOOKUP(Compras[[#This Row],[Codigo]],Stock[#Data],2,FALSE)</f>
        <v>TreeMIX KILL MIX 45ml</v>
      </c>
      <c r="D469" s="40">
        <v>10</v>
      </c>
      <c r="E469" s="6">
        <v>27</v>
      </c>
      <c r="F469" s="12">
        <f>VLOOKUP(Compras[[#This Row],[Codigo]],Stock[#Data],3,FALSE)</f>
        <v>320</v>
      </c>
      <c r="G469" s="43">
        <f>Compras[[#This Row],[Unidad]]*Compras[[#This Row],[Cantidad]]</f>
        <v>3200</v>
      </c>
      <c r="H469" s="16"/>
      <c r="I469" s="16"/>
      <c r="J469" s="16"/>
      <c r="K469" s="16"/>
    </row>
    <row r="470" spans="1:11" ht="20.25" customHeight="1">
      <c r="A470" s="16"/>
      <c r="B470" s="41" t="s">
        <v>721</v>
      </c>
      <c r="C470" s="6" t="str">
        <f>VLOOKUP(Compras[[#This Row],[Codigo]],Stock[#Data],2,FALSE)</f>
        <v>TreeMIX CANDY 45 ml</v>
      </c>
      <c r="D470" s="40">
        <v>10</v>
      </c>
      <c r="E470" s="6">
        <v>26</v>
      </c>
      <c r="F470" s="12">
        <f>VLOOKUP(Compras[[#This Row],[Codigo]],Stock[#Data],3,FALSE)</f>
        <v>220</v>
      </c>
      <c r="G470" s="43">
        <f>Compras[[#This Row],[Unidad]]*Compras[[#This Row],[Cantidad]]</f>
        <v>2200</v>
      </c>
      <c r="H470" s="16"/>
      <c r="I470" s="16"/>
      <c r="J470" s="16"/>
      <c r="K470" s="16"/>
    </row>
    <row r="471" spans="1:11" ht="20.25" customHeight="1">
      <c r="A471" s="16"/>
      <c r="B471" s="41" t="s">
        <v>721</v>
      </c>
      <c r="C471" s="6" t="str">
        <f>VLOOKUP(Compras[[#This Row],[Codigo]],Stock[#Data],2,FALSE)</f>
        <v>TreeMIX N 200ml</v>
      </c>
      <c r="D471" s="40">
        <v>3</v>
      </c>
      <c r="E471" s="6">
        <v>33</v>
      </c>
      <c r="F471" s="12">
        <f>VLOOKUP(Compras[[#This Row],[Codigo]],Stock[#Data],3,FALSE)</f>
        <v>650</v>
      </c>
      <c r="G471" s="43">
        <f>Compras[[#This Row],[Unidad]]*Compras[[#This Row],[Cantidad]]</f>
        <v>1950</v>
      </c>
      <c r="H471" s="16"/>
      <c r="I471" s="16"/>
      <c r="J471" s="16"/>
      <c r="K471" s="16"/>
    </row>
    <row r="472" spans="1:11" ht="20.25" customHeight="1">
      <c r="A472" s="16"/>
      <c r="B472" s="41" t="s">
        <v>721</v>
      </c>
      <c r="C472" s="6" t="str">
        <f>VLOOKUP(Compras[[#This Row],[Codigo]],Stock[#Data],2,FALSE)</f>
        <v>TreeMIX PRO 200ml</v>
      </c>
      <c r="D472" s="40">
        <v>3</v>
      </c>
      <c r="E472" s="6">
        <v>30</v>
      </c>
      <c r="F472" s="12">
        <f>VLOOKUP(Compras[[#This Row],[Codigo]],Stock[#Data],3,FALSE)</f>
        <v>700</v>
      </c>
      <c r="G472" s="43">
        <f>Compras[[#This Row],[Unidad]]*Compras[[#This Row],[Cantidad]]</f>
        <v>2100</v>
      </c>
      <c r="H472" s="16"/>
      <c r="I472" s="16"/>
      <c r="J472" s="16"/>
      <c r="K472" s="16"/>
    </row>
    <row r="473" spans="1:11" ht="20.25" customHeight="1">
      <c r="A473" s="16"/>
      <c r="B473" s="41" t="s">
        <v>721</v>
      </c>
      <c r="C473" s="6" t="str">
        <f>VLOOKUP(Compras[[#This Row],[Codigo]],Stock[#Data],2,FALSE)</f>
        <v>Tree Mix F 500ml</v>
      </c>
      <c r="D473" s="40">
        <v>2</v>
      </c>
      <c r="E473" s="6">
        <v>448</v>
      </c>
      <c r="F473" s="12">
        <f>VLOOKUP(Compras[[#This Row],[Codigo]],Stock[#Data],3,FALSE)</f>
        <v>1320</v>
      </c>
      <c r="G473" s="43">
        <f>Compras[[#This Row],[Unidad]]*Compras[[#This Row],[Cantidad]]</f>
        <v>2640</v>
      </c>
      <c r="H473" s="16"/>
      <c r="I473" s="16"/>
      <c r="J473" s="16"/>
      <c r="K473" s="16"/>
    </row>
    <row r="474" spans="1:11" ht="20.25" customHeight="1">
      <c r="A474" s="16"/>
      <c r="B474" s="41" t="s">
        <v>721</v>
      </c>
      <c r="C474" s="6" t="str">
        <f>VLOOKUP(Compras[[#This Row],[Codigo]],Stock[#Data],2,FALSE)</f>
        <v>Tree Mix N 500ml</v>
      </c>
      <c r="D474" s="40">
        <v>3</v>
      </c>
      <c r="E474" s="6">
        <v>446</v>
      </c>
      <c r="F474" s="12">
        <f>VLOOKUP(Compras[[#This Row],[Codigo]],Stock[#Data],3,FALSE)</f>
        <v>1260</v>
      </c>
      <c r="G474" s="43">
        <f>Compras[[#This Row],[Unidad]]*Compras[[#This Row],[Cantidad]]</f>
        <v>3780</v>
      </c>
      <c r="H474" s="16"/>
      <c r="I474" s="16"/>
      <c r="J474" s="16"/>
      <c r="K474" s="16"/>
    </row>
    <row r="475" spans="1:11" ht="20.25" customHeight="1">
      <c r="A475" s="16"/>
      <c r="B475" s="41" t="s">
        <v>721</v>
      </c>
      <c r="C475" s="6" t="str">
        <f>VLOOKUP(Compras[[#This Row],[Codigo]],Stock[#Data],2,FALSE)</f>
        <v xml:space="preserve">Tree mix F 1L  </v>
      </c>
      <c r="D475" s="40">
        <v>1</v>
      </c>
      <c r="E475" s="6">
        <v>444</v>
      </c>
      <c r="F475" s="12">
        <f>VLOOKUP(Compras[[#This Row],[Codigo]],Stock[#Data],3,FALSE)</f>
        <v>2670</v>
      </c>
      <c r="G475" s="43">
        <f>Compras[[#This Row],[Unidad]]*Compras[[#This Row],[Cantidad]]</f>
        <v>2670</v>
      </c>
      <c r="H475" s="16"/>
      <c r="I475" s="16"/>
      <c r="J475" s="16"/>
      <c r="K475" s="16"/>
    </row>
    <row r="476" spans="1:11" ht="20.25" customHeight="1">
      <c r="A476" s="16"/>
      <c r="B476" s="41" t="s">
        <v>721</v>
      </c>
      <c r="C476" s="6" t="str">
        <f>VLOOKUP(Compras[[#This Row],[Codigo]],Stock[#Data],2,FALSE)</f>
        <v xml:space="preserve">Tree mix N 1L  </v>
      </c>
      <c r="D476" s="40">
        <v>1</v>
      </c>
      <c r="E476" s="6">
        <v>443</v>
      </c>
      <c r="F476" s="12">
        <f>VLOOKUP(Compras[[#This Row],[Codigo]],Stock[#Data],3,FALSE)</f>
        <v>2300</v>
      </c>
      <c r="G476" s="43">
        <f>Compras[[#This Row],[Unidad]]*Compras[[#This Row],[Cantidad]]</f>
        <v>2300</v>
      </c>
      <c r="H476" s="16"/>
      <c r="I476" s="16"/>
      <c r="J476" s="16"/>
      <c r="K476" s="16"/>
    </row>
    <row r="477" spans="1:11" ht="20.25" customHeight="1">
      <c r="A477" s="16"/>
      <c r="B477" s="41" t="s">
        <v>721</v>
      </c>
      <c r="C477" s="6" t="str">
        <f>VLOOKUP(Compras[[#This Row],[Codigo]],Stock[#Data],2,FALSE)</f>
        <v>Tree mix Pro 1L</v>
      </c>
      <c r="D477" s="40">
        <v>1</v>
      </c>
      <c r="E477" s="6">
        <v>442</v>
      </c>
      <c r="F477" s="12">
        <f>VLOOKUP(Compras[[#This Row],[Codigo]],Stock[#Data],3,FALSE)</f>
        <v>2310</v>
      </c>
      <c r="G477" s="43">
        <f>Compras[[#This Row],[Unidad]]*Compras[[#This Row],[Cantidad]]</f>
        <v>2310</v>
      </c>
      <c r="H477" s="16"/>
      <c r="I477" s="16"/>
      <c r="J477" s="16"/>
      <c r="K477" s="16"/>
    </row>
    <row r="478" spans="1:11" ht="20.25" customHeight="1">
      <c r="A478" s="16"/>
      <c r="B478" s="41" t="s">
        <v>721</v>
      </c>
      <c r="C478" s="6" t="str">
        <f>VLOOKUP(Compras[[#This Row],[Codigo]],Stock[#Data],2,FALSE)</f>
        <v>Led Growtech 200w</v>
      </c>
      <c r="D478" s="40">
        <v>1</v>
      </c>
      <c r="E478" s="6">
        <v>603</v>
      </c>
      <c r="F478" s="12">
        <f>VLOOKUP(Compras[[#This Row],[Codigo]],Stock[#Data],3,FALSE)</f>
        <v>27360</v>
      </c>
      <c r="G478" s="43">
        <f>Compras[[#This Row],[Unidad]]*Compras[[#This Row],[Cantidad]]</f>
        <v>27360</v>
      </c>
      <c r="H478" s="16"/>
      <c r="I478" s="16"/>
      <c r="J478" s="16"/>
      <c r="K478" s="16"/>
    </row>
    <row r="479" spans="1:11" ht="20.25" customHeight="1">
      <c r="A479" s="16"/>
      <c r="B479" s="41" t="s">
        <v>721</v>
      </c>
      <c r="C479" s="6" t="str">
        <f>VLOOKUP(Compras[[#This Row],[Codigo]],Stock[#Data],2,FALSE)</f>
        <v>VAMP hechizo BOOM</v>
      </c>
      <c r="D479" s="40">
        <v>2</v>
      </c>
      <c r="E479" s="6">
        <v>39</v>
      </c>
      <c r="F479" s="12">
        <f>VLOOKUP(Compras[[#This Row],[Codigo]],Stock[#Data],3,FALSE)</f>
        <v>600</v>
      </c>
      <c r="G479" s="43">
        <f>Compras[[#This Row],[Unidad]]*Compras[[#This Row],[Cantidad]]</f>
        <v>1200</v>
      </c>
      <c r="H479" s="16"/>
      <c r="I479" s="16"/>
      <c r="J479" s="16"/>
      <c r="K479" s="16"/>
    </row>
    <row r="480" spans="1:11" ht="20.25" customHeight="1">
      <c r="A480" s="16"/>
      <c r="B480" s="41" t="s">
        <v>721</v>
      </c>
      <c r="C480" s="6" t="str">
        <f>VLOOKUP(Compras[[#This Row],[Codigo]],Stock[#Data],2,FALSE)</f>
        <v>Organic Life Silicio</v>
      </c>
      <c r="D480" s="40">
        <v>1</v>
      </c>
      <c r="E480" s="6">
        <v>19</v>
      </c>
      <c r="F480" s="12">
        <f>VLOOKUP(Compras[[#This Row],[Codigo]],Stock[#Data],3,FALSE)</f>
        <v>435</v>
      </c>
      <c r="G480" s="43">
        <f>Compras[[#This Row],[Unidad]]*Compras[[#This Row],[Cantidad]]</f>
        <v>435</v>
      </c>
      <c r="H480" s="16"/>
      <c r="I480" s="16"/>
      <c r="J480" s="16"/>
      <c r="K480" s="16"/>
    </row>
    <row r="481" spans="1:11" ht="20.25" customHeight="1">
      <c r="A481" s="16"/>
      <c r="B481" s="41" t="s">
        <v>721</v>
      </c>
      <c r="C481" s="6" t="str">
        <f>VLOOKUP(Compras[[#This Row],[Codigo]],Stock[#Data],2,FALSE)</f>
        <v>CropSecret 250ml Full Roots</v>
      </c>
      <c r="D481" s="40">
        <v>1</v>
      </c>
      <c r="E481" s="6">
        <v>1</v>
      </c>
      <c r="F481" s="12">
        <f>VLOOKUP(Compras[[#This Row],[Codigo]],Stock[#Data],3,FALSE)</f>
        <v>836</v>
      </c>
      <c r="G481" s="43">
        <f>Compras[[#This Row],[Unidad]]*Compras[[#This Row],[Cantidad]]</f>
        <v>836</v>
      </c>
      <c r="H481" s="16"/>
      <c r="I481" s="16"/>
      <c r="J481" s="16"/>
      <c r="K481" s="16"/>
    </row>
    <row r="482" spans="1:11" ht="20.25" customHeight="1">
      <c r="A482" s="16"/>
      <c r="B482" s="41" t="s">
        <v>721</v>
      </c>
      <c r="C482" s="6" t="str">
        <f>VLOOKUP(Compras[[#This Row],[Codigo]],Stock[#Data],2,FALSE)</f>
        <v>SKOG Zeta</v>
      </c>
      <c r="D482" s="40">
        <v>2</v>
      </c>
      <c r="E482" s="6">
        <v>13</v>
      </c>
      <c r="F482" s="12">
        <f>VLOOKUP(Compras[[#This Row],[Codigo]],Stock[#Data],3,FALSE)</f>
        <v>405</v>
      </c>
      <c r="G482" s="43">
        <f>Compras[[#This Row],[Unidad]]*Compras[[#This Row],[Cantidad]]</f>
        <v>810</v>
      </c>
      <c r="H482" s="16"/>
      <c r="I482" s="16"/>
      <c r="J482" s="16"/>
      <c r="K482" s="16"/>
    </row>
    <row r="483" spans="1:11" ht="20.25" customHeight="1">
      <c r="A483" s="16"/>
      <c r="B483" s="41" t="s">
        <v>721</v>
      </c>
      <c r="C483" s="6" t="str">
        <f>VLOOKUP(Compras[[#This Row],[Codigo]],Stock[#Data],2,FALSE)</f>
        <v>SKOG Ema</v>
      </c>
      <c r="D483" s="40">
        <v>1</v>
      </c>
      <c r="E483" s="6">
        <v>14</v>
      </c>
      <c r="F483" s="12">
        <f>VLOOKUP(Compras[[#This Row],[Codigo]],Stock[#Data],3,FALSE)</f>
        <v>405</v>
      </c>
      <c r="G483" s="43">
        <f>Compras[[#This Row],[Unidad]]*Compras[[#This Row],[Cantidad]]</f>
        <v>405</v>
      </c>
      <c r="H483" s="16"/>
      <c r="I483" s="16"/>
      <c r="J483" s="16"/>
      <c r="K483" s="16"/>
    </row>
    <row r="484" spans="1:11" ht="20.25" customHeight="1">
      <c r="A484" s="16"/>
      <c r="B484" s="41" t="s">
        <v>721</v>
      </c>
      <c r="C484" s="6" t="str">
        <f>VLOOKUP(Compras[[#This Row],[Codigo]],Stock[#Data],2,FALSE)</f>
        <v>Porta porros 420</v>
      </c>
      <c r="D484" s="40">
        <v>4</v>
      </c>
      <c r="E484" s="6">
        <v>421</v>
      </c>
      <c r="F484" s="12">
        <f>VLOOKUP(Compras[[#This Row],[Codigo]],Stock[#Data],3,FALSE)</f>
        <v>73</v>
      </c>
      <c r="G484" s="43">
        <f>Compras[[#This Row],[Unidad]]*Compras[[#This Row],[Cantidad]]</f>
        <v>292</v>
      </c>
      <c r="H484" s="16"/>
      <c r="I484" s="16"/>
      <c r="J484" s="16"/>
      <c r="K484" s="16"/>
    </row>
    <row r="485" spans="1:11" ht="20.25" customHeight="1">
      <c r="A485" s="16"/>
      <c r="B485" s="41" t="s">
        <v>721</v>
      </c>
      <c r="C485" s="6" t="str">
        <f>VLOOKUP(Compras[[#This Row],[Codigo]],Stock[#Data],2,FALSE)</f>
        <v>Blunt Wrap Champagne</v>
      </c>
      <c r="D485" s="40">
        <v>1</v>
      </c>
      <c r="E485" s="6">
        <v>504</v>
      </c>
      <c r="F485" s="12">
        <f>VLOOKUP(Compras[[#This Row],[Codigo]],Stock[#Data],3,FALSE)</f>
        <v>225</v>
      </c>
      <c r="G485" s="43">
        <f>Compras[[#This Row],[Unidad]]*Compras[[#This Row],[Cantidad]]</f>
        <v>225</v>
      </c>
      <c r="H485" s="16"/>
      <c r="I485" s="16"/>
      <c r="J485" s="16"/>
      <c r="K485" s="16"/>
    </row>
    <row r="486" spans="1:11" ht="20.25" customHeight="1">
      <c r="A486" s="16"/>
      <c r="B486" s="41" t="s">
        <v>721</v>
      </c>
      <c r="C486" s="6" t="str">
        <f>VLOOKUP(Compras[[#This Row],[Codigo]],Stock[#Data],2,FALSE)</f>
        <v xml:space="preserve"> Blunt Wrap Blueberry</v>
      </c>
      <c r="D486" s="40">
        <v>1</v>
      </c>
      <c r="E486" s="6">
        <v>106</v>
      </c>
      <c r="F486" s="12">
        <f>VLOOKUP(Compras[[#This Row],[Codigo]],Stock[#Data],3,FALSE)</f>
        <v>225</v>
      </c>
      <c r="G486" s="43">
        <f>Compras[[#This Row],[Unidad]]*Compras[[#This Row],[Cantidad]]</f>
        <v>225</v>
      </c>
      <c r="H486" s="16"/>
      <c r="I486" s="16"/>
      <c r="J486" s="16"/>
      <c r="K486" s="16"/>
    </row>
    <row r="487" spans="1:11" ht="20.25" customHeight="1">
      <c r="A487" s="16"/>
      <c r="B487" s="41" t="s">
        <v>721</v>
      </c>
      <c r="C487" s="6" t="str">
        <f>VLOOKUP(Compras[[#This Row],[Codigo]],Stock[#Data],2,FALSE)</f>
        <v>Sedas STAMPS Kz Organic</v>
      </c>
      <c r="D487" s="40">
        <v>1</v>
      </c>
      <c r="E487" s="6">
        <v>75</v>
      </c>
      <c r="F487" s="12">
        <f>VLOOKUP(Compras[[#This Row],[Codigo]],Stock[#Data],3,FALSE)</f>
        <v>93</v>
      </c>
      <c r="G487" s="43">
        <f>Compras[[#This Row],[Unidad]]*Compras[[#This Row],[Cantidad]]</f>
        <v>93</v>
      </c>
      <c r="H487" s="16"/>
      <c r="I487" s="16"/>
      <c r="J487" s="16"/>
      <c r="K487" s="16"/>
    </row>
    <row r="488" spans="1:11" ht="20.25" customHeight="1">
      <c r="A488" s="16"/>
      <c r="B488" s="41" t="s">
        <v>721</v>
      </c>
      <c r="C488" s="6" t="str">
        <f>VLOOKUP(Compras[[#This Row],[Codigo]],Stock[#Data],2,FALSE)</f>
        <v>Sedas Blunt Rey 1/4 organic</v>
      </c>
      <c r="D488" s="40">
        <v>3</v>
      </c>
      <c r="E488" s="6">
        <v>67</v>
      </c>
      <c r="F488" s="12">
        <f>VLOOKUP(Compras[[#This Row],[Codigo]],Stock[#Data],3,FALSE)</f>
        <v>109</v>
      </c>
      <c r="G488" s="43">
        <f>Compras[[#This Row],[Unidad]]*Compras[[#This Row],[Cantidad]]</f>
        <v>327</v>
      </c>
      <c r="H488" s="16"/>
      <c r="I488" s="16"/>
      <c r="J488" s="16"/>
      <c r="K488" s="16"/>
    </row>
    <row r="489" spans="1:11" ht="20.25" customHeight="1">
      <c r="A489" s="16"/>
      <c r="B489" s="41" t="s">
        <v>721</v>
      </c>
      <c r="C489" s="6" t="str">
        <f>VLOOKUP(Compras[[#This Row],[Codigo]],Stock[#Data],2,FALSE)</f>
        <v>Sedas Blunt Rey Kz celulosa Orange</v>
      </c>
      <c r="D489" s="40">
        <v>3</v>
      </c>
      <c r="E489" s="6">
        <v>68</v>
      </c>
      <c r="F489" s="12">
        <f>VLOOKUP(Compras[[#This Row],[Codigo]],Stock[#Data],3,FALSE)</f>
        <v>167</v>
      </c>
      <c r="G489" s="43">
        <f>Compras[[#This Row],[Unidad]]*Compras[[#This Row],[Cantidad]]</f>
        <v>501</v>
      </c>
      <c r="H489" s="16"/>
      <c r="I489" s="16"/>
      <c r="J489" s="16"/>
      <c r="K489" s="16"/>
    </row>
    <row r="490" spans="1:11" ht="20.25" customHeight="1">
      <c r="A490" s="16"/>
      <c r="B490" s="41" t="s">
        <v>715</v>
      </c>
      <c r="C490" s="6" t="str">
        <f>VLOOKUP(Compras[[#This Row],[Codigo]],Stock[#Data],2,FALSE)</f>
        <v xml:space="preserve">Tabaco Van Kiff American Blend </v>
      </c>
      <c r="D490" s="40">
        <v>3</v>
      </c>
      <c r="E490" s="6">
        <v>348</v>
      </c>
      <c r="F490" s="12">
        <f>VLOOKUP(Compras[[#This Row],[Codigo]],Stock[#Data],3,FALSE)</f>
        <v>580</v>
      </c>
      <c r="G490" s="43">
        <f>Compras[[#This Row],[Unidad]]*Compras[[#This Row],[Cantidad]]</f>
        <v>1740</v>
      </c>
      <c r="H490" s="16"/>
      <c r="I490" s="16"/>
      <c r="J490" s="16"/>
      <c r="K490" s="16"/>
    </row>
    <row r="491" spans="1:11" ht="20.25" customHeight="1">
      <c r="A491" s="16"/>
      <c r="B491" s="41" t="s">
        <v>715</v>
      </c>
      <c r="C491" s="6" t="str">
        <f>VLOOKUP(Compras[[#This Row],[Codigo]],Stock[#Data],2,FALSE)</f>
        <v>Tabaco Van Kiff Chocolate</v>
      </c>
      <c r="D491" s="40">
        <v>7</v>
      </c>
      <c r="E491" s="6">
        <v>119</v>
      </c>
      <c r="F491" s="12">
        <f>VLOOKUP(Compras[[#This Row],[Codigo]],Stock[#Data],3,FALSE)</f>
        <v>580</v>
      </c>
      <c r="G491" s="43">
        <f>Compras[[#This Row],[Unidad]]*Compras[[#This Row],[Cantidad]]</f>
        <v>4060</v>
      </c>
      <c r="H491" s="16"/>
      <c r="I491" s="16"/>
      <c r="J491" s="16"/>
      <c r="K491" s="16"/>
    </row>
    <row r="492" spans="1:11" ht="20.25" customHeight="1">
      <c r="A492" s="16"/>
      <c r="B492" s="41" t="s">
        <v>715</v>
      </c>
      <c r="C492" s="6" t="str">
        <f>VLOOKUP(Compras[[#This Row],[Codigo]],Stock[#Data],2,FALSE)</f>
        <v>Tabaco Van Kiff Vainilla</v>
      </c>
      <c r="D492" s="40">
        <v>10</v>
      </c>
      <c r="E492" s="6">
        <v>120</v>
      </c>
      <c r="F492" s="12">
        <f>VLOOKUP(Compras[[#This Row],[Codigo]],Stock[#Data],3,FALSE)</f>
        <v>580</v>
      </c>
      <c r="G492" s="43">
        <f>Compras[[#This Row],[Unidad]]*Compras[[#This Row],[Cantidad]]</f>
        <v>5800</v>
      </c>
      <c r="H492" s="16"/>
      <c r="I492" s="16"/>
      <c r="J492" s="16"/>
      <c r="K492" s="16"/>
    </row>
    <row r="493" spans="1:11" ht="20.25" customHeight="1">
      <c r="A493" s="16"/>
      <c r="B493" s="41" t="s">
        <v>715</v>
      </c>
      <c r="C493" s="6" t="str">
        <f>VLOOKUP(Compras[[#This Row],[Codigo]],Stock[#Data],2,FALSE)</f>
        <v>Tabaco Van Kiff Natural</v>
      </c>
      <c r="D493" s="40">
        <v>10</v>
      </c>
      <c r="E493" s="6">
        <v>117</v>
      </c>
      <c r="F493" s="12">
        <f>VLOOKUP(Compras[[#This Row],[Codigo]],Stock[#Data],3,FALSE)</f>
        <v>580</v>
      </c>
      <c r="G493" s="43">
        <f>Compras[[#This Row],[Unidad]]*Compras[[#This Row],[Cantidad]]</f>
        <v>5800</v>
      </c>
      <c r="H493" s="16"/>
      <c r="I493" s="16"/>
      <c r="J493" s="16"/>
      <c r="K493" s="16"/>
    </row>
    <row r="494" spans="1:11" ht="20.25" customHeight="1">
      <c r="A494" s="16"/>
      <c r="B494" s="41" t="s">
        <v>715</v>
      </c>
      <c r="C494" s="6" t="str">
        <f>VLOOKUP(Compras[[#This Row],[Codigo]],Stock[#Data],2,FALSE)</f>
        <v xml:space="preserve">Aceite de Cannabis 30 ml </v>
      </c>
      <c r="D494" s="40">
        <v>2</v>
      </c>
      <c r="E494" s="6">
        <v>525</v>
      </c>
      <c r="F494" s="12">
        <f>VLOOKUP(Compras[[#This Row],[Codigo]],Stock[#Data],3,FALSE)</f>
        <v>5500</v>
      </c>
      <c r="G494" s="43">
        <f>Compras[[#This Row],[Unidad]]*Compras[[#This Row],[Cantidad]]</f>
        <v>11000</v>
      </c>
      <c r="H494" s="16"/>
      <c r="I494" s="16"/>
      <c r="J494" s="16"/>
      <c r="K494" s="16"/>
    </row>
    <row r="495" spans="1:11" ht="20.25" customHeight="1">
      <c r="A495" s="16"/>
      <c r="B495" s="41" t="s">
        <v>711</v>
      </c>
      <c r="C495" s="6" t="str">
        <f>VLOOKUP(Compras[[#This Row],[Codigo]],Stock[#Data],2,FALSE)</f>
        <v>Carpa 120x120x200</v>
      </c>
      <c r="D495" s="40">
        <v>1</v>
      </c>
      <c r="E495" s="6">
        <v>602</v>
      </c>
      <c r="F495" s="12">
        <f>VLOOKUP(Compras[[#This Row],[Codigo]],Stock[#Data],3,FALSE)</f>
        <v>47532</v>
      </c>
      <c r="G495" s="43">
        <f>Compras[[#This Row],[Unidad]]*Compras[[#This Row],[Cantidad]]</f>
        <v>47532</v>
      </c>
      <c r="H495" s="16"/>
      <c r="I495" s="16"/>
      <c r="J495" s="16"/>
      <c r="K495" s="16"/>
    </row>
    <row r="496" spans="1:11" ht="20.25" customHeight="1">
      <c r="A496" s="16"/>
      <c r="B496" s="42" t="s">
        <v>693</v>
      </c>
      <c r="C496" s="6" t="str">
        <f>VLOOKUP(Compras[[#This Row],[Codigo]],Stock[#Data],2,FALSE)</f>
        <v>VAMP Supermelaza</v>
      </c>
      <c r="D496" s="40">
        <v>15</v>
      </c>
      <c r="E496" s="6">
        <v>36</v>
      </c>
      <c r="F496" s="12">
        <f>VLOOKUP(Compras[[#This Row],[Codigo]],Stock[#Data],3,FALSE)</f>
        <v>908</v>
      </c>
      <c r="G496" s="43">
        <f>Compras[[#This Row],[Unidad]]*Compras[[#This Row],[Cantidad]]</f>
        <v>13620</v>
      </c>
      <c r="H496" s="16"/>
      <c r="I496" s="16"/>
      <c r="J496" s="16"/>
      <c r="K496" s="16"/>
    </row>
    <row r="497" spans="1:11" ht="20.25" customHeight="1">
      <c r="A497" s="16"/>
      <c r="B497" s="42" t="s">
        <v>693</v>
      </c>
      <c r="C497" s="6" t="str">
        <f>VLOOKUP(Compras[[#This Row],[Codigo]],Stock[#Data],2,FALSE)</f>
        <v>Namaste Trico+ 100gr</v>
      </c>
      <c r="D497" s="40">
        <v>10</v>
      </c>
      <c r="E497" s="6">
        <v>479</v>
      </c>
      <c r="F497" s="12">
        <f>VLOOKUP(Compras[[#This Row],[Codigo]],Stock[#Data],3,FALSE)</f>
        <v>541</v>
      </c>
      <c r="G497" s="43">
        <f>Compras[[#This Row],[Unidad]]*Compras[[#This Row],[Cantidad]]</f>
        <v>5410</v>
      </c>
      <c r="H497" s="16"/>
      <c r="I497" s="16"/>
      <c r="J497" s="16"/>
      <c r="K497" s="16"/>
    </row>
    <row r="498" spans="1:11" ht="20.25" customHeight="1">
      <c r="A498" s="16"/>
      <c r="B498" s="42" t="s">
        <v>693</v>
      </c>
      <c r="C498" s="6" t="str">
        <f>VLOOKUP(Compras[[#This Row],[Codigo]],Stock[#Data],2,FALSE)</f>
        <v>Namaste Shanti 100ml</v>
      </c>
      <c r="D498" s="40">
        <v>5</v>
      </c>
      <c r="E498" s="6">
        <v>569</v>
      </c>
      <c r="F498" s="12">
        <f>VLOOKUP(Compras[[#This Row],[Codigo]],Stock[#Data],3,FALSE)</f>
        <v>932</v>
      </c>
      <c r="G498" s="43">
        <f>Compras[[#This Row],[Unidad]]*Compras[[#This Row],[Cantidad]]</f>
        <v>4660</v>
      </c>
      <c r="H498" s="16"/>
      <c r="I498" s="16"/>
      <c r="J498" s="16"/>
      <c r="K498" s="16"/>
    </row>
    <row r="499" spans="1:11" ht="20.25" customHeight="1">
      <c r="A499" s="16"/>
      <c r="B499" s="42" t="s">
        <v>693</v>
      </c>
      <c r="C499" s="6" t="str">
        <f>VLOOKUP(Compras[[#This Row],[Codigo]],Stock[#Data],2,FALSE)</f>
        <v>CropSecret 250ml Floral Session</v>
      </c>
      <c r="D499" s="40">
        <v>7</v>
      </c>
      <c r="E499" s="6">
        <v>6</v>
      </c>
      <c r="F499" s="12">
        <f>VLOOKUP(Compras[[#This Row],[Codigo]],Stock[#Data],3,FALSE)</f>
        <v>836</v>
      </c>
      <c r="G499" s="43">
        <f>Compras[[#This Row],[Unidad]]*Compras[[#This Row],[Cantidad]]</f>
        <v>5852</v>
      </c>
      <c r="H499" s="16"/>
      <c r="I499" s="16"/>
      <c r="J499" s="16"/>
      <c r="K499" s="16"/>
    </row>
    <row r="500" spans="1:11" ht="20.25" customHeight="1">
      <c r="A500" s="16"/>
      <c r="B500" s="42" t="s">
        <v>693</v>
      </c>
      <c r="C500" s="6" t="str">
        <f>VLOOKUP(Compras[[#This Row],[Codigo]],Stock[#Data],2,FALSE)</f>
        <v>Namaste Flora Booster 100ml</v>
      </c>
      <c r="D500" s="40">
        <v>10</v>
      </c>
      <c r="E500" s="6">
        <v>480</v>
      </c>
      <c r="F500" s="12">
        <f>VLOOKUP(Compras[[#This Row],[Codigo]],Stock[#Data],3,FALSE)</f>
        <v>517</v>
      </c>
      <c r="G500" s="43">
        <f>Compras[[#This Row],[Unidad]]*Compras[[#This Row],[Cantidad]]</f>
        <v>5170</v>
      </c>
      <c r="H500" s="16"/>
      <c r="I500" s="16"/>
      <c r="J500" s="16"/>
      <c r="K500" s="16"/>
    </row>
    <row r="501" spans="1:11" ht="20.25" customHeight="1">
      <c r="A501" s="16"/>
      <c r="B501" s="42" t="s">
        <v>694</v>
      </c>
      <c r="C501" s="6" t="str">
        <f>VLOOKUP(Compras[[#This Row],[Codigo]],Stock[#Data],2,FALSE)</f>
        <v>CropSecret 250ml Candy Maker</v>
      </c>
      <c r="D501" s="40">
        <v>4</v>
      </c>
      <c r="E501" s="6">
        <v>5</v>
      </c>
      <c r="F501" s="12">
        <f>VLOOKUP(Compras[[#This Row],[Codigo]],Stock[#Data],3,FALSE)</f>
        <v>707</v>
      </c>
      <c r="G501" s="43">
        <f>Compras[[#This Row],[Unidad]]*Compras[[#This Row],[Cantidad]]</f>
        <v>2828</v>
      </c>
      <c r="H501" s="16"/>
      <c r="I501" s="16"/>
      <c r="J501" s="16"/>
      <c r="K501" s="16"/>
    </row>
    <row r="502" spans="1:11" ht="20.25" customHeight="1">
      <c r="A502" s="16"/>
      <c r="B502" s="42" t="s">
        <v>695</v>
      </c>
      <c r="C502" s="6" t="str">
        <f>VLOOKUP(Compras[[#This Row],[Codigo]],Stock[#Data],2,FALSE)</f>
        <v>Sustrato Perlita</v>
      </c>
      <c r="D502" s="40">
        <v>40</v>
      </c>
      <c r="E502" s="6">
        <v>52</v>
      </c>
      <c r="F502" s="12">
        <f>VLOOKUP(Compras[[#This Row],[Codigo]],Stock[#Data],3,FALSE)</f>
        <v>400</v>
      </c>
      <c r="G502" s="43">
        <f>Compras[[#This Row],[Unidad]]*Compras[[#This Row],[Cantidad]]</f>
        <v>16000</v>
      </c>
      <c r="H502" s="16"/>
      <c r="I502" s="16"/>
      <c r="J502" s="16"/>
      <c r="K502" s="16"/>
    </row>
    <row r="503" spans="1:11" ht="20.25" customHeight="1">
      <c r="A503" s="16"/>
      <c r="B503" s="42" t="s">
        <v>556</v>
      </c>
      <c r="C503" s="6" t="str">
        <f>VLOOKUP(Compras[[#This Row],[Codigo]],Stock[#Data],2,FALSE)</f>
        <v>Melaza 100% natural</v>
      </c>
      <c r="D503" s="40">
        <v>1</v>
      </c>
      <c r="E503" s="6">
        <v>455</v>
      </c>
      <c r="F503" s="12">
        <f>VLOOKUP(Compras[[#This Row],[Codigo]],Stock[#Data],3,FALSE)</f>
        <v>340</v>
      </c>
      <c r="G503" s="43">
        <f>Compras[[#This Row],[Unidad]]*Compras[[#This Row],[Cantidad]]</f>
        <v>340</v>
      </c>
      <c r="H503" s="16"/>
      <c r="I503" s="16"/>
      <c r="J503" s="16"/>
      <c r="K503" s="16"/>
    </row>
    <row r="504" spans="1:11" ht="20.25" customHeight="1">
      <c r="A504" s="16"/>
      <c r="B504" s="42" t="s">
        <v>565</v>
      </c>
      <c r="C504" s="6" t="str">
        <f>VLOOKUP(Compras[[#This Row],[Codigo]],Stock[#Data],2,FALSE)</f>
        <v xml:space="preserve">papel Mylar </v>
      </c>
      <c r="D504" s="40">
        <v>4</v>
      </c>
      <c r="E504" s="6">
        <v>572</v>
      </c>
      <c r="F504" s="12">
        <f>VLOOKUP(Compras[[#This Row],[Codigo]],Stock[#Data],3,FALSE)</f>
        <v>130</v>
      </c>
      <c r="G504" s="43">
        <f>Compras[[#This Row],[Unidad]]*Compras[[#This Row],[Cantidad]]</f>
        <v>520</v>
      </c>
      <c r="H504" s="16"/>
      <c r="I504" s="16"/>
      <c r="J504" s="16"/>
      <c r="K504" s="16"/>
    </row>
    <row r="505" spans="1:11" ht="20.25" customHeight="1">
      <c r="A505" s="16"/>
      <c r="B505" s="42" t="s">
        <v>696</v>
      </c>
      <c r="C505" s="6" t="str">
        <f>VLOOKUP(Compras[[#This Row],[Codigo]],Stock[#Data],2,FALSE)</f>
        <v xml:space="preserve">venta de 200 sustratos </v>
      </c>
      <c r="D505" s="40">
        <v>1</v>
      </c>
      <c r="E505" s="6">
        <v>601</v>
      </c>
      <c r="F505" s="12">
        <f>VLOOKUP(Compras[[#This Row],[Codigo]],Stock[#Data],3,FALSE)</f>
        <v>60000</v>
      </c>
      <c r="G505" s="43">
        <f>Compras[[#This Row],[Unidad]]*Compras[[#This Row],[Cantidad]]</f>
        <v>60000</v>
      </c>
      <c r="H505" s="16"/>
      <c r="I505" s="16"/>
      <c r="J505" s="16"/>
      <c r="K505" s="16"/>
    </row>
    <row r="506" spans="1:11" ht="20.25" customHeight="1">
      <c r="A506" s="16"/>
      <c r="B506" s="42" t="s">
        <v>696</v>
      </c>
      <c r="C506" s="6" t="str">
        <f>VLOOKUP(Compras[[#This Row],[Codigo]],Stock[#Data],2,FALSE)</f>
        <v>Top Bloom 1L</v>
      </c>
      <c r="D506" s="40">
        <v>1</v>
      </c>
      <c r="E506" s="6">
        <v>596</v>
      </c>
      <c r="F506" s="12">
        <f>VLOOKUP(Compras[[#This Row],[Codigo]],Stock[#Data],3,FALSE)</f>
        <v>2703</v>
      </c>
      <c r="G506" s="43">
        <f>Compras[[#This Row],[Unidad]]*Compras[[#This Row],[Cantidad]]</f>
        <v>2703</v>
      </c>
      <c r="H506" s="16"/>
      <c r="I506" s="16"/>
      <c r="J506" s="16"/>
      <c r="K506" s="16"/>
    </row>
    <row r="507" spans="1:11" ht="20.25" customHeight="1">
      <c r="A507" s="16"/>
      <c r="B507" s="42" t="s">
        <v>696</v>
      </c>
      <c r="C507" s="6" t="str">
        <f>VLOOKUP(Compras[[#This Row],[Codigo]],Stock[#Data],2,FALSE)</f>
        <v>Namaste Shanti 500ml</v>
      </c>
      <c r="D507" s="40">
        <v>2</v>
      </c>
      <c r="E507" s="6">
        <v>539</v>
      </c>
      <c r="F507" s="12">
        <f>VLOOKUP(Compras[[#This Row],[Codigo]],Stock[#Data],3,FALSE)</f>
        <v>3216</v>
      </c>
      <c r="G507" s="43">
        <f>Compras[[#This Row],[Unidad]]*Compras[[#This Row],[Cantidad]]</f>
        <v>6432</v>
      </c>
      <c r="H507" s="16"/>
      <c r="I507" s="16"/>
      <c r="J507" s="16"/>
      <c r="K507" s="16"/>
    </row>
    <row r="508" spans="1:11" ht="20.25" customHeight="1">
      <c r="A508" s="16"/>
      <c r="B508" s="42" t="s">
        <v>696</v>
      </c>
      <c r="C508" s="6" t="str">
        <f>VLOOKUP(Compras[[#This Row],[Codigo]],Stock[#Data],2,FALSE)</f>
        <v>Namaste Shanti 100ml</v>
      </c>
      <c r="D508" s="40">
        <v>10</v>
      </c>
      <c r="E508" s="6">
        <v>569</v>
      </c>
      <c r="F508" s="12">
        <f>VLOOKUP(Compras[[#This Row],[Codigo]],Stock[#Data],3,FALSE)</f>
        <v>932</v>
      </c>
      <c r="G508" s="43">
        <f>Compras[[#This Row],[Unidad]]*Compras[[#This Row],[Cantidad]]</f>
        <v>9320</v>
      </c>
      <c r="H508" s="16"/>
      <c r="I508" s="16"/>
      <c r="J508" s="16"/>
      <c r="K508" s="16"/>
    </row>
    <row r="509" spans="1:11" ht="20.25" customHeight="1">
      <c r="A509" s="16"/>
      <c r="B509" s="42" t="s">
        <v>696</v>
      </c>
      <c r="C509" s="6" t="str">
        <f>VLOOKUP(Compras[[#This Row],[Codigo]],Stock[#Data],2,FALSE)</f>
        <v>Namaste Flora Booster 500ml</v>
      </c>
      <c r="D509" s="40">
        <v>5</v>
      </c>
      <c r="E509" s="6">
        <v>496</v>
      </c>
      <c r="F509" s="12">
        <f>VLOOKUP(Compras[[#This Row],[Codigo]],Stock[#Data],3,FALSE)</f>
        <v>1377</v>
      </c>
      <c r="G509" s="43">
        <f>Compras[[#This Row],[Unidad]]*Compras[[#This Row],[Cantidad]]</f>
        <v>6885</v>
      </c>
      <c r="H509" s="16"/>
      <c r="I509" s="16"/>
      <c r="J509" s="16"/>
      <c r="K509" s="16"/>
    </row>
    <row r="510" spans="1:11" ht="20.25" customHeight="1">
      <c r="A510" s="16"/>
      <c r="B510" s="42" t="s">
        <v>696</v>
      </c>
      <c r="C510" s="6" t="str">
        <f>VLOOKUP(Compras[[#This Row],[Codigo]],Stock[#Data],2,FALSE)</f>
        <v>Clonaste Namaste 30gr</v>
      </c>
      <c r="D510" s="40">
        <v>4</v>
      </c>
      <c r="E510" s="6">
        <v>486</v>
      </c>
      <c r="F510" s="12">
        <f>VLOOKUP(Compras[[#This Row],[Codigo]],Stock[#Data],3,FALSE)</f>
        <v>1054</v>
      </c>
      <c r="G510" s="43">
        <f>Compras[[#This Row],[Unidad]]*Compras[[#This Row],[Cantidad]]</f>
        <v>4216</v>
      </c>
      <c r="H510" s="16"/>
      <c r="I510" s="16"/>
      <c r="J510" s="16"/>
      <c r="K510" s="16"/>
    </row>
    <row r="511" spans="1:11" ht="20.25" customHeight="1">
      <c r="A511" s="16"/>
      <c r="B511" s="42" t="s">
        <v>696</v>
      </c>
      <c r="C511" s="6" t="str">
        <f>VLOOKUP(Compras[[#This Row],[Codigo]],Stock[#Data],2,FALSE)</f>
        <v>CropSecret 250ml Automatic Crop</v>
      </c>
      <c r="D511" s="40">
        <v>3</v>
      </c>
      <c r="E511" s="6">
        <v>3</v>
      </c>
      <c r="F511" s="12">
        <f>VLOOKUP(Compras[[#This Row],[Codigo]],Stock[#Data],3,FALSE)</f>
        <v>1094</v>
      </c>
      <c r="G511" s="43">
        <f>Compras[[#This Row],[Unidad]]*Compras[[#This Row],[Cantidad]]</f>
        <v>3282</v>
      </c>
      <c r="H511" s="16"/>
      <c r="I511" s="16"/>
      <c r="J511" s="16"/>
      <c r="K511" s="16"/>
    </row>
    <row r="512" spans="1:11" ht="20.25" customHeight="1">
      <c r="A512" s="16"/>
      <c r="B512" s="42" t="s">
        <v>697</v>
      </c>
      <c r="C512" s="6" t="str">
        <f>VLOOKUP(Compras[[#This Row],[Codigo]],Stock[#Data],2,FALSE)</f>
        <v>CropSecret 250ml Booster Potion</v>
      </c>
      <c r="D512" s="40">
        <v>6</v>
      </c>
      <c r="E512" s="6">
        <v>4</v>
      </c>
      <c r="F512" s="12">
        <f>VLOOKUP(Compras[[#This Row],[Codigo]],Stock[#Data],3,FALSE)</f>
        <v>836</v>
      </c>
      <c r="G512" s="43">
        <f>Compras[[#This Row],[Unidad]]*Compras[[#This Row],[Cantidad]]</f>
        <v>5016</v>
      </c>
      <c r="H512" s="16"/>
      <c r="I512" s="16"/>
      <c r="J512" s="16"/>
      <c r="K512" s="16"/>
    </row>
    <row r="513" spans="1:11" ht="20.25" customHeight="1">
      <c r="A513" s="16"/>
      <c r="B513" s="42" t="s">
        <v>687</v>
      </c>
      <c r="C513" s="6" t="str">
        <f>VLOOKUP(Compras[[#This Row],[Codigo]],Stock[#Data],2,FALSE)</f>
        <v>DKHaze 2.0 EVO</v>
      </c>
      <c r="D513" s="40">
        <v>1</v>
      </c>
      <c r="E513" s="6">
        <v>600</v>
      </c>
      <c r="F513" s="12">
        <f>VLOOKUP(Compras[[#This Row],[Codigo]],Stock[#Data],3,FALSE)</f>
        <v>54665</v>
      </c>
      <c r="G513" s="43">
        <f>Compras[[#This Row],[Unidad]]*Compras[[#This Row],[Cantidad]]</f>
        <v>54665</v>
      </c>
      <c r="H513" s="16"/>
      <c r="I513" s="16"/>
      <c r="J513" s="16"/>
      <c r="K513" s="16"/>
    </row>
    <row r="514" spans="1:11" ht="20.25" customHeight="1">
      <c r="A514" s="16"/>
      <c r="B514" s="42" t="s">
        <v>687</v>
      </c>
      <c r="C514" s="6" t="str">
        <f>VLOOKUP(Compras[[#This Row],[Codigo]],Stock[#Data],2,FALSE)</f>
        <v>TreeMIX A 200ml</v>
      </c>
      <c r="D514" s="40">
        <v>6</v>
      </c>
      <c r="E514" s="6">
        <v>31</v>
      </c>
      <c r="F514" s="12">
        <f>VLOOKUP(Compras[[#This Row],[Codigo]],Stock[#Data],3,FALSE)</f>
        <v>700</v>
      </c>
      <c r="G514" s="43">
        <f>Compras[[#This Row],[Unidad]]*Compras[[#This Row],[Cantidad]]</f>
        <v>4200</v>
      </c>
      <c r="H514" s="16"/>
      <c r="I514" s="16"/>
      <c r="J514" s="16"/>
      <c r="K514" s="16"/>
    </row>
    <row r="515" spans="1:11" ht="20.25" customHeight="1">
      <c r="A515" s="16"/>
      <c r="B515" s="42" t="s">
        <v>687</v>
      </c>
      <c r="C515" s="6" t="str">
        <f>VLOOKUP(Compras[[#This Row],[Codigo]],Stock[#Data],2,FALSE)</f>
        <v>TreeMIX PRO 200ml</v>
      </c>
      <c r="D515" s="40">
        <v>3</v>
      </c>
      <c r="E515" s="6">
        <v>30</v>
      </c>
      <c r="F515" s="12">
        <f>VLOOKUP(Compras[[#This Row],[Codigo]],Stock[#Data],3,FALSE)</f>
        <v>700</v>
      </c>
      <c r="G515" s="43">
        <f>Compras[[#This Row],[Unidad]]*Compras[[#This Row],[Cantidad]]</f>
        <v>2100</v>
      </c>
      <c r="H515" s="16"/>
      <c r="I515" s="16"/>
      <c r="J515" s="16"/>
      <c r="K515" s="16"/>
    </row>
    <row r="516" spans="1:11" ht="20.25" customHeight="1">
      <c r="A516" s="16"/>
      <c r="B516" s="42" t="s">
        <v>687</v>
      </c>
      <c r="C516" s="6" t="str">
        <f>VLOOKUP(Compras[[#This Row],[Codigo]],Stock[#Data],2,FALSE)</f>
        <v>TreeMIX F 45ml</v>
      </c>
      <c r="D516" s="40">
        <v>13</v>
      </c>
      <c r="E516" s="6">
        <v>22</v>
      </c>
      <c r="F516" s="12">
        <f>VLOOKUP(Compras[[#This Row],[Codigo]],Stock[#Data],3,FALSE)</f>
        <v>275</v>
      </c>
      <c r="G516" s="43">
        <f>Compras[[#This Row],[Unidad]]*Compras[[#This Row],[Cantidad]]</f>
        <v>3575</v>
      </c>
      <c r="H516" s="16"/>
      <c r="I516" s="16"/>
      <c r="J516" s="16"/>
      <c r="K516" s="16"/>
    </row>
    <row r="517" spans="1:11" ht="20.25" customHeight="1">
      <c r="A517" s="16"/>
      <c r="B517" s="42" t="s">
        <v>687</v>
      </c>
      <c r="C517" s="6" t="str">
        <f>VLOOKUP(Compras[[#This Row],[Codigo]],Stock[#Data],2,FALSE)</f>
        <v>TreeMIX A 45ml</v>
      </c>
      <c r="D517" s="40">
        <v>10</v>
      </c>
      <c r="E517" s="6">
        <v>21</v>
      </c>
      <c r="F517" s="12">
        <f>VLOOKUP(Compras[[#This Row],[Codigo]],Stock[#Data],3,FALSE)</f>
        <v>260</v>
      </c>
      <c r="G517" s="43">
        <f>Compras[[#This Row],[Unidad]]*Compras[[#This Row],[Cantidad]]</f>
        <v>2600</v>
      </c>
      <c r="H517" s="16"/>
      <c r="I517" s="16"/>
      <c r="J517" s="16"/>
      <c r="K517" s="16"/>
    </row>
    <row r="518" spans="1:11" ht="20.25" customHeight="1">
      <c r="A518" s="16"/>
      <c r="B518" s="42" t="s">
        <v>687</v>
      </c>
      <c r="C518" s="6" t="str">
        <f>VLOOKUP(Compras[[#This Row],[Codigo]],Stock[#Data],2,FALSE)</f>
        <v>TreeMIX KILL MIX 45ml</v>
      </c>
      <c r="D518" s="40">
        <v>6</v>
      </c>
      <c r="E518" s="6">
        <v>27</v>
      </c>
      <c r="F518" s="12">
        <f>VLOOKUP(Compras[[#This Row],[Codigo]],Stock[#Data],3,FALSE)</f>
        <v>320</v>
      </c>
      <c r="G518" s="43">
        <f>Compras[[#This Row],[Unidad]]*Compras[[#This Row],[Cantidad]]</f>
        <v>1920</v>
      </c>
      <c r="H518" s="16"/>
      <c r="I518" s="16"/>
      <c r="J518" s="16"/>
      <c r="K518" s="16"/>
    </row>
    <row r="519" spans="1:11" ht="20.25" customHeight="1">
      <c r="A519" s="16"/>
      <c r="B519" s="41">
        <v>44927</v>
      </c>
      <c r="C519" s="6" t="str">
        <f>VLOOKUP(Compras[[#This Row],[Codigo]],Stock[#Data],2,FALSE)</f>
        <v>Estabilizador 8G keep it fresh</v>
      </c>
      <c r="D519" s="40">
        <v>2</v>
      </c>
      <c r="E519" s="6">
        <v>599</v>
      </c>
      <c r="F519" s="12">
        <f>VLOOKUP(Compras[[#This Row],[Codigo]],Stock[#Data],3,FALSE)</f>
        <v>562</v>
      </c>
      <c r="G519" s="43">
        <f>Compras[[#This Row],[Unidad]]*Compras[[#This Row],[Cantidad]]</f>
        <v>1124</v>
      </c>
      <c r="H519" s="16"/>
      <c r="I519" s="16"/>
      <c r="J519" s="16"/>
      <c r="K519" s="16"/>
    </row>
    <row r="520" spans="1:11" ht="20.25" customHeight="1">
      <c r="A520" s="16"/>
      <c r="B520" s="42" t="s">
        <v>579</v>
      </c>
      <c r="C520" s="6" t="str">
        <f>VLOOKUP(Compras[[#This Row],[Codigo]],Stock[#Data],2,FALSE)</f>
        <v>Picador Calavera Corona</v>
      </c>
      <c r="D520" s="40">
        <v>1</v>
      </c>
      <c r="E520" s="6">
        <v>211</v>
      </c>
      <c r="F520" s="12">
        <f>VLOOKUP(Compras[[#This Row],[Codigo]],Stock[#Data],3,FALSE)</f>
        <v>1574</v>
      </c>
      <c r="G520" s="43">
        <f>Compras[[#This Row],[Unidad]]*Compras[[#This Row],[Cantidad]]</f>
        <v>1574</v>
      </c>
      <c r="H520" s="16"/>
      <c r="I520" s="16"/>
      <c r="J520" s="16"/>
      <c r="K520" s="16"/>
    </row>
    <row r="521" spans="1:11" ht="20.25" customHeight="1">
      <c r="A521" s="16"/>
      <c r="B521" s="42" t="s">
        <v>684</v>
      </c>
      <c r="C521" s="6" t="str">
        <f>VLOOKUP(Compras[[#This Row],[Codigo]],Stock[#Data],2,FALSE)</f>
        <v xml:space="preserve">Beauveria Bassiana Organic Life </v>
      </c>
      <c r="D521" s="40">
        <v>10</v>
      </c>
      <c r="E521" s="6">
        <v>598</v>
      </c>
      <c r="F521" s="12">
        <f>VLOOKUP(Compras[[#This Row],[Codigo]],Stock[#Data],3,FALSE)</f>
        <v>490</v>
      </c>
      <c r="G521" s="43">
        <f>Compras[[#This Row],[Unidad]]*Compras[[#This Row],[Cantidad]]</f>
        <v>4900</v>
      </c>
      <c r="H521" s="16"/>
      <c r="I521" s="16"/>
      <c r="J521" s="16"/>
      <c r="K521" s="16"/>
    </row>
    <row r="522" spans="1:11" ht="20.25" customHeight="1">
      <c r="A522" s="16"/>
      <c r="B522" s="42" t="s">
        <v>684</v>
      </c>
      <c r="C522" s="6" t="str">
        <f>VLOOKUP(Compras[[#This Row],[Codigo]],Stock[#Data],2,FALSE)</f>
        <v>Geotextiles 40L cultivate</v>
      </c>
      <c r="D522" s="40">
        <v>5</v>
      </c>
      <c r="E522" s="6">
        <v>597</v>
      </c>
      <c r="F522" s="12">
        <f>VLOOKUP(Compras[[#This Row],[Codigo]],Stock[#Data],3,FALSE)</f>
        <v>638</v>
      </c>
      <c r="G522" s="43">
        <f>Compras[[#This Row],[Unidad]]*Compras[[#This Row],[Cantidad]]</f>
        <v>3190</v>
      </c>
      <c r="H522" s="16"/>
      <c r="I522" s="16"/>
      <c r="J522" s="16"/>
      <c r="K522" s="16"/>
    </row>
    <row r="523" spans="1:11" ht="20.25" customHeight="1">
      <c r="A523" s="16"/>
      <c r="B523" s="42" t="s">
        <v>684</v>
      </c>
      <c r="C523" s="6" t="str">
        <f>VLOOKUP(Compras[[#This Row],[Codigo]],Stock[#Data],2,FALSE)</f>
        <v>Alga Delta 100ml</v>
      </c>
      <c r="D523" s="40">
        <v>5</v>
      </c>
      <c r="E523" s="6">
        <v>471</v>
      </c>
      <c r="F523" s="12">
        <f>VLOOKUP(Compras[[#This Row],[Codigo]],Stock[#Data],3,FALSE)</f>
        <v>808</v>
      </c>
      <c r="G523" s="43">
        <f>Compras[[#This Row],[Unidad]]*Compras[[#This Row],[Cantidad]]</f>
        <v>4040</v>
      </c>
      <c r="H523" s="16"/>
      <c r="I523" s="16"/>
      <c r="J523" s="16"/>
      <c r="K523" s="16"/>
    </row>
    <row r="524" spans="1:11" ht="20.25" customHeight="1">
      <c r="A524" s="16"/>
      <c r="B524" s="42" t="s">
        <v>684</v>
      </c>
      <c r="C524" s="6" t="str">
        <f>VLOOKUP(Compras[[#This Row],[Codigo]],Stock[#Data],2,FALSE)</f>
        <v>VAMP sustrato Mágico 10l</v>
      </c>
      <c r="D524" s="40">
        <v>5</v>
      </c>
      <c r="E524" s="6">
        <v>44</v>
      </c>
      <c r="F524" s="12">
        <f>VLOOKUP(Compras[[#This Row],[Codigo]],Stock[#Data],3,FALSE)</f>
        <v>250</v>
      </c>
      <c r="G524" s="43">
        <f>Compras[[#This Row],[Unidad]]*Compras[[#This Row],[Cantidad]]</f>
        <v>1250</v>
      </c>
      <c r="H524" s="16"/>
      <c r="I524" s="16"/>
      <c r="J524" s="16"/>
      <c r="K524" s="16"/>
    </row>
    <row r="525" spans="1:11" ht="20.25" customHeight="1">
      <c r="A525" s="16"/>
      <c r="B525" s="42" t="s">
        <v>684</v>
      </c>
      <c r="C525" s="6" t="str">
        <f>VLOOKUP(Compras[[#This Row],[Codigo]],Stock[#Data],2,FALSE)</f>
        <v>Macetas Soplada 15L</v>
      </c>
      <c r="D525" s="40">
        <v>25</v>
      </c>
      <c r="E525" s="6">
        <v>380</v>
      </c>
      <c r="F525" s="12">
        <f>VLOOKUP(Compras[[#This Row],[Codigo]],Stock[#Data],3,FALSE)</f>
        <v>222</v>
      </c>
      <c r="G525" s="43">
        <f>Compras[[#This Row],[Unidad]]*Compras[[#This Row],[Cantidad]]</f>
        <v>5550</v>
      </c>
      <c r="H525" s="16"/>
      <c r="I525" s="16"/>
      <c r="J525" s="16"/>
      <c r="K525" s="16"/>
    </row>
    <row r="526" spans="1:11" ht="20.25" customHeight="1">
      <c r="A526" s="16"/>
      <c r="B526" s="42" t="s">
        <v>684</v>
      </c>
      <c r="C526" s="6" t="str">
        <f>VLOOKUP(Compras[[#This Row],[Codigo]],Stock[#Data],2,FALSE)</f>
        <v>Macetas Sopladas N12</v>
      </c>
      <c r="D526" s="40">
        <v>100</v>
      </c>
      <c r="E526" s="6">
        <v>281</v>
      </c>
      <c r="F526" s="12">
        <f>VLOOKUP(Compras[[#This Row],[Codigo]],Stock[#Data],3,FALSE)</f>
        <v>21</v>
      </c>
      <c r="G526" s="43">
        <f>Compras[[#This Row],[Unidad]]*Compras[[#This Row],[Cantidad]]</f>
        <v>2100</v>
      </c>
      <c r="H526" s="16"/>
      <c r="I526" s="16"/>
      <c r="J526" s="16"/>
      <c r="K526" s="16"/>
    </row>
    <row r="527" spans="1:11" ht="20.25" customHeight="1">
      <c r="A527" s="16"/>
      <c r="B527" s="42" t="s">
        <v>684</v>
      </c>
      <c r="C527" s="6" t="str">
        <f>VLOOKUP(Compras[[#This Row],[Codigo]],Stock[#Data],2,FALSE)</f>
        <v>VAMP Guano de murcielago Flora</v>
      </c>
      <c r="D527" s="40">
        <v>15</v>
      </c>
      <c r="E527" s="6">
        <v>38</v>
      </c>
      <c r="F527" s="12">
        <f>VLOOKUP(Compras[[#This Row],[Codigo]],Stock[#Data],3,FALSE)</f>
        <v>510</v>
      </c>
      <c r="G527" s="43">
        <f>Compras[[#This Row],[Unidad]]*Compras[[#This Row],[Cantidad]]</f>
        <v>7650</v>
      </c>
      <c r="H527" s="16"/>
      <c r="I527" s="16"/>
      <c r="J527" s="16"/>
      <c r="K527" s="16"/>
    </row>
    <row r="528" spans="1:11" ht="20.25" customHeight="1">
      <c r="A528" s="16"/>
      <c r="B528" s="42" t="s">
        <v>684</v>
      </c>
      <c r="C528" s="6" t="str">
        <f>VLOOKUP(Compras[[#This Row],[Codigo]],Stock[#Data],2,FALSE)</f>
        <v>VAMP Guano de murcielago Vegetativo</v>
      </c>
      <c r="D528" s="40">
        <v>10</v>
      </c>
      <c r="E528" s="6">
        <v>37</v>
      </c>
      <c r="F528" s="12">
        <f>VLOOKUP(Compras[[#This Row],[Codigo]],Stock[#Data],3,FALSE)</f>
        <v>510</v>
      </c>
      <c r="G528" s="43">
        <f>Compras[[#This Row],[Unidad]]*Compras[[#This Row],[Cantidad]]</f>
        <v>5100</v>
      </c>
      <c r="H528" s="16"/>
      <c r="I528" s="16"/>
      <c r="J528" s="16"/>
      <c r="K528" s="16"/>
    </row>
    <row r="529" spans="1:11" ht="20.25" customHeight="1">
      <c r="A529" s="16"/>
      <c r="B529" s="42" t="s">
        <v>684</v>
      </c>
      <c r="C529" s="6" t="str">
        <f>VLOOKUP(Compras[[#This Row],[Codigo]],Stock[#Data],2,FALSE)</f>
        <v>Maca Brew 500cc</v>
      </c>
      <c r="D529" s="40">
        <v>10</v>
      </c>
      <c r="E529" s="6">
        <v>12</v>
      </c>
      <c r="F529" s="12">
        <f>VLOOKUP(Compras[[#This Row],[Codigo]],Stock[#Data],3,FALSE)</f>
        <v>470</v>
      </c>
      <c r="G529" s="43">
        <f>Compras[[#This Row],[Unidad]]*Compras[[#This Row],[Cantidad]]</f>
        <v>4700</v>
      </c>
      <c r="H529" s="16"/>
      <c r="I529" s="16"/>
      <c r="J529" s="16"/>
      <c r="K529" s="16"/>
    </row>
    <row r="530" spans="1:11" ht="20.25" customHeight="1">
      <c r="A530" s="16"/>
      <c r="B530" s="42" t="s">
        <v>684</v>
      </c>
      <c r="C530" s="6" t="str">
        <f>VLOOKUP(Compras[[#This Row],[Codigo]],Stock[#Data],2,FALSE)</f>
        <v>Araña Roja Green Leaf 100ml</v>
      </c>
      <c r="D530" s="40">
        <v>10</v>
      </c>
      <c r="E530" s="6">
        <v>470</v>
      </c>
      <c r="F530" s="12">
        <f>VLOOKUP(Compras[[#This Row],[Codigo]],Stock[#Data],3,FALSE)</f>
        <v>904</v>
      </c>
      <c r="G530" s="43">
        <f>Compras[[#This Row],[Unidad]]*Compras[[#This Row],[Cantidad]]</f>
        <v>9040</v>
      </c>
      <c r="H530" s="16"/>
      <c r="I530" s="16"/>
      <c r="J530" s="16"/>
      <c r="K530" s="16"/>
    </row>
    <row r="531" spans="1:11" ht="20.25" customHeight="1">
      <c r="A531" s="16"/>
      <c r="B531" s="42" t="s">
        <v>684</v>
      </c>
      <c r="C531" s="6" t="str">
        <f>VLOOKUP(Compras[[#This Row],[Codigo]],Stock[#Data],2,FALSE)</f>
        <v>4 en 1 250ml Green Leaf Insumos</v>
      </c>
      <c r="D531" s="40">
        <v>10</v>
      </c>
      <c r="E531" s="6">
        <v>576</v>
      </c>
      <c r="F531" s="12">
        <f>VLOOKUP(Compras[[#This Row],[Codigo]],Stock[#Data],3,FALSE)</f>
        <v>1179</v>
      </c>
      <c r="G531" s="43">
        <f>Compras[[#This Row],[Unidad]]*Compras[[#This Row],[Cantidad]]</f>
        <v>11790</v>
      </c>
      <c r="H531" s="16"/>
      <c r="I531" s="16"/>
      <c r="J531" s="16"/>
      <c r="K531" s="16"/>
    </row>
    <row r="532" spans="1:11" ht="20.25" customHeight="1">
      <c r="A532" s="16"/>
      <c r="B532" s="42" t="s">
        <v>684</v>
      </c>
      <c r="C532" s="6" t="str">
        <f>VLOOKUP(Compras[[#This Row],[Codigo]],Stock[#Data],2,FALSE)</f>
        <v>4 en 1 100ml Green Leaf Insumos</v>
      </c>
      <c r="D532" s="40">
        <v>15</v>
      </c>
      <c r="E532" s="6">
        <v>575</v>
      </c>
      <c r="F532" s="12">
        <f>VLOOKUP(Compras[[#This Row],[Codigo]],Stock[#Data],3,FALSE)</f>
        <v>498</v>
      </c>
      <c r="G532" s="43">
        <f>Compras[[#This Row],[Unidad]]*Compras[[#This Row],[Cantidad]]</f>
        <v>7470</v>
      </c>
      <c r="H532" s="16"/>
      <c r="I532" s="16"/>
      <c r="J532" s="16"/>
      <c r="K532" s="16"/>
    </row>
    <row r="533" spans="1:11" ht="20.25" customHeight="1">
      <c r="A533" s="16"/>
      <c r="B533" s="42" t="s">
        <v>684</v>
      </c>
      <c r="C533" s="6" t="str">
        <f>VLOOKUP(Compras[[#This Row],[Codigo]],Stock[#Data],2,FALSE)</f>
        <v>Organic Life jabón potásico</v>
      </c>
      <c r="D533" s="40">
        <v>10</v>
      </c>
      <c r="E533" s="6">
        <v>18</v>
      </c>
      <c r="F533" s="12">
        <f>VLOOKUP(Compras[[#This Row],[Codigo]],Stock[#Data],3,FALSE)</f>
        <v>240</v>
      </c>
      <c r="G533" s="43">
        <f>Compras[[#This Row],[Unidad]]*Compras[[#This Row],[Cantidad]]</f>
        <v>2400</v>
      </c>
      <c r="H533" s="16"/>
      <c r="I533" s="16"/>
      <c r="J533" s="16"/>
      <c r="K533" s="16"/>
    </row>
    <row r="534" spans="1:11" ht="20.25" customHeight="1">
      <c r="A534" s="16"/>
      <c r="B534" s="42" t="s">
        <v>697</v>
      </c>
      <c r="C534" s="6" t="str">
        <f>VLOOKUP(Compras[[#This Row],[Codigo]],Stock[#Data],2,FALSE)</f>
        <v>Top Bloom 1L</v>
      </c>
      <c r="D534" s="40">
        <v>1</v>
      </c>
      <c r="E534" s="6">
        <v>596</v>
      </c>
      <c r="F534" s="12">
        <f>VLOOKUP(Compras[[#This Row],[Codigo]],Stock[#Data],3,FALSE)</f>
        <v>2703</v>
      </c>
      <c r="G534" s="43">
        <f>Compras[[#This Row],[Unidad]]*Compras[[#This Row],[Cantidad]]</f>
        <v>2703</v>
      </c>
      <c r="H534" s="16"/>
      <c r="I534" s="16"/>
      <c r="J534" s="16"/>
      <c r="K534" s="16"/>
    </row>
    <row r="535" spans="1:11" ht="20.25" customHeight="1">
      <c r="A535" s="16"/>
      <c r="B535" s="42" t="s">
        <v>697</v>
      </c>
      <c r="C535" s="6" t="str">
        <f>VLOOKUP(Compras[[#This Row],[Codigo]],Stock[#Data],2,FALSE)</f>
        <v>Sedas STAMPS Celulosa x300</v>
      </c>
      <c r="D535" s="40">
        <v>10</v>
      </c>
      <c r="E535" s="6">
        <v>595</v>
      </c>
      <c r="F535" s="12">
        <f>VLOOKUP(Compras[[#This Row],[Codigo]],Stock[#Data],3,FALSE)</f>
        <v>444</v>
      </c>
      <c r="G535" s="43">
        <f>Compras[[#This Row],[Unidad]]*Compras[[#This Row],[Cantidad]]</f>
        <v>4440</v>
      </c>
      <c r="H535" s="16"/>
      <c r="I535" s="16"/>
      <c r="J535" s="16"/>
      <c r="K535" s="16"/>
    </row>
    <row r="536" spans="1:11" ht="20.25" customHeight="1">
      <c r="A536" s="16"/>
      <c r="B536" s="42" t="s">
        <v>697</v>
      </c>
      <c r="C536" s="6" t="str">
        <f>VLOOKUP(Compras[[#This Row],[Codigo]],Stock[#Data],2,FALSE)</f>
        <v>Filtros GIZEH biodegradable</v>
      </c>
      <c r="D536" s="40">
        <v>10</v>
      </c>
      <c r="E536" s="6">
        <v>107</v>
      </c>
      <c r="F536" s="12">
        <f>VLOOKUP(Compras[[#This Row],[Codigo]],Stock[#Data],3,FALSE)</f>
        <v>280</v>
      </c>
      <c r="G536" s="43">
        <f>Compras[[#This Row],[Unidad]]*Compras[[#This Row],[Cantidad]]</f>
        <v>2800</v>
      </c>
      <c r="H536" s="16"/>
      <c r="I536" s="16"/>
      <c r="J536" s="16"/>
      <c r="K536" s="16"/>
    </row>
    <row r="537" spans="1:11" ht="20.25" customHeight="1">
      <c r="A537" s="16"/>
      <c r="B537" s="42" t="s">
        <v>697</v>
      </c>
      <c r="C537" s="6" t="str">
        <f>VLOOKUP(Compras[[#This Row],[Codigo]],Stock[#Data],2,FALSE)</f>
        <v>Pipa India</v>
      </c>
      <c r="D537" s="40">
        <v>4</v>
      </c>
      <c r="E537" s="6">
        <v>158</v>
      </c>
      <c r="F537" s="12">
        <f>VLOOKUP(Compras[[#This Row],[Codigo]],Stock[#Data],3,FALSE)</f>
        <v>910</v>
      </c>
      <c r="G537" s="43">
        <f>Compras[[#This Row],[Unidad]]*Compras[[#This Row],[Cantidad]]</f>
        <v>3640</v>
      </c>
      <c r="H537" s="16"/>
      <c r="I537" s="16"/>
      <c r="J537" s="16"/>
      <c r="K537" s="16"/>
    </row>
    <row r="538" spans="1:11" ht="20.25" customHeight="1">
      <c r="A538" s="16"/>
      <c r="B538" s="42" t="s">
        <v>697</v>
      </c>
      <c r="C538" s="6" t="str">
        <f>VLOOKUP(Compras[[#This Row],[Codigo]],Stock[#Data],2,FALSE)</f>
        <v xml:space="preserve">Turbina Bujia </v>
      </c>
      <c r="D538" s="40">
        <v>2</v>
      </c>
      <c r="E538" s="6">
        <v>432</v>
      </c>
      <c r="F538" s="12">
        <f>VLOOKUP(Compras[[#This Row],[Codigo]],Stock[#Data],3,FALSE)</f>
        <v>525</v>
      </c>
      <c r="G538" s="43">
        <f>Compras[[#This Row],[Unidad]]*Compras[[#This Row],[Cantidad]]</f>
        <v>1050</v>
      </c>
      <c r="H538" s="16"/>
      <c r="I538" s="16"/>
      <c r="J538" s="16"/>
      <c r="K538" s="16"/>
    </row>
    <row r="539" spans="1:11" ht="20.25" customHeight="1">
      <c r="A539" s="16"/>
      <c r="B539" s="42" t="s">
        <v>697</v>
      </c>
      <c r="C539" s="6" t="str">
        <f>VLOOKUP(Compras[[#This Row],[Codigo]],Stock[#Data],2,FALSE)</f>
        <v xml:space="preserve">Tabaco Van Kiff American Blend </v>
      </c>
      <c r="D539" s="40">
        <v>5</v>
      </c>
      <c r="E539" s="6">
        <v>348</v>
      </c>
      <c r="F539" s="12">
        <f>VLOOKUP(Compras[[#This Row],[Codigo]],Stock[#Data],3,FALSE)</f>
        <v>580</v>
      </c>
      <c r="G539" s="43">
        <f>Compras[[#This Row],[Unidad]]*Compras[[#This Row],[Cantidad]]</f>
        <v>2900</v>
      </c>
      <c r="H539" s="16"/>
      <c r="I539" s="16"/>
      <c r="J539" s="16"/>
      <c r="K539" s="16"/>
    </row>
    <row r="540" spans="1:11" ht="20.25" customHeight="1">
      <c r="A540" s="16"/>
      <c r="B540" s="42" t="s">
        <v>697</v>
      </c>
      <c r="C540" s="6" t="str">
        <f>VLOOKUP(Compras[[#This Row],[Codigo]],Stock[#Data],2,FALSE)</f>
        <v>Tips STAMPS ECO</v>
      </c>
      <c r="D540" s="40">
        <v>50</v>
      </c>
      <c r="E540" s="6">
        <v>308</v>
      </c>
      <c r="F540" s="12">
        <f>VLOOKUP(Compras[[#This Row],[Codigo]],Stock[#Data],3,FALSE)</f>
        <v>73</v>
      </c>
      <c r="G540" s="43">
        <f>Compras[[#This Row],[Unidad]]*Compras[[#This Row],[Cantidad]]</f>
        <v>3650</v>
      </c>
      <c r="H540" s="16"/>
      <c r="I540" s="16"/>
      <c r="J540" s="16"/>
      <c r="K540" s="16"/>
    </row>
    <row r="541" spans="1:11" ht="20.25" customHeight="1">
      <c r="A541" s="16"/>
      <c r="B541" s="42" t="s">
        <v>697</v>
      </c>
      <c r="C541" s="6" t="str">
        <f>VLOOKUP(Compras[[#This Row],[Codigo]],Stock[#Data],2,FALSE)</f>
        <v>Lata Lion Rolling Circus</v>
      </c>
      <c r="D541" s="40">
        <v>6</v>
      </c>
      <c r="E541" s="6">
        <v>145</v>
      </c>
      <c r="F541" s="12">
        <f>VLOOKUP(Compras[[#This Row],[Codigo]],Stock[#Data],3,FALSE)</f>
        <v>580</v>
      </c>
      <c r="G541" s="43">
        <f>Compras[[#This Row],[Unidad]]*Compras[[#This Row],[Cantidad]]</f>
        <v>3480</v>
      </c>
      <c r="H541" s="16"/>
      <c r="I541" s="16"/>
      <c r="J541" s="16"/>
      <c r="K541" s="16"/>
    </row>
    <row r="542" spans="1:11" ht="20.25" customHeight="1">
      <c r="A542" s="16"/>
      <c r="B542" s="42" t="s">
        <v>697</v>
      </c>
      <c r="C542" s="6" t="str">
        <f>VLOOKUP(Compras[[#This Row],[Codigo]],Stock[#Data],2,FALSE)</f>
        <v>VAMP Supermelaza</v>
      </c>
      <c r="D542" s="40">
        <v>5</v>
      </c>
      <c r="E542" s="6">
        <v>36</v>
      </c>
      <c r="F542" s="12">
        <f>VLOOKUP(Compras[[#This Row],[Codigo]],Stock[#Data],3,FALSE)</f>
        <v>908</v>
      </c>
      <c r="G542" s="43">
        <f>Compras[[#This Row],[Unidad]]*Compras[[#This Row],[Cantidad]]</f>
        <v>4540</v>
      </c>
      <c r="H542" s="16"/>
      <c r="I542" s="16"/>
      <c r="J542" s="16"/>
      <c r="K542" s="16"/>
    </row>
    <row r="543" spans="1:11" ht="20.25" customHeight="1">
      <c r="A543" s="16"/>
      <c r="B543" s="42" t="s">
        <v>697</v>
      </c>
      <c r="C543" s="6" t="str">
        <f>VLOOKUP(Compras[[#This Row],[Codigo]],Stock[#Data],2,FALSE)</f>
        <v>CropSecret 250ml Floral Session</v>
      </c>
      <c r="D543" s="40">
        <v>6</v>
      </c>
      <c r="E543" s="6">
        <v>6</v>
      </c>
      <c r="F543" s="12">
        <f>VLOOKUP(Compras[[#This Row],[Codigo]],Stock[#Data],3,FALSE)</f>
        <v>836</v>
      </c>
      <c r="G543" s="43">
        <f>Compras[[#This Row],[Unidad]]*Compras[[#This Row],[Cantidad]]</f>
        <v>5016</v>
      </c>
      <c r="H543" s="16"/>
      <c r="I543" s="16"/>
      <c r="J543" s="16"/>
      <c r="K543" s="16"/>
    </row>
    <row r="544" spans="1:11" ht="20.25" customHeight="1">
      <c r="A544" s="16"/>
      <c r="B544" s="42" t="s">
        <v>697</v>
      </c>
      <c r="C544" s="6" t="str">
        <f>VLOOKUP(Compras[[#This Row],[Codigo]],Stock[#Data],2,FALSE)</f>
        <v>Namaste Flora Booster 100ml</v>
      </c>
      <c r="D544" s="40">
        <v>15</v>
      </c>
      <c r="E544" s="6">
        <v>480</v>
      </c>
      <c r="F544" s="12">
        <f>VLOOKUP(Compras[[#This Row],[Codigo]],Stock[#Data],3,FALSE)</f>
        <v>517</v>
      </c>
      <c r="G544" s="43">
        <f>Compras[[#This Row],[Unidad]]*Compras[[#This Row],[Cantidad]]</f>
        <v>7755</v>
      </c>
      <c r="H544" s="16"/>
      <c r="I544" s="16"/>
      <c r="J544" s="16"/>
      <c r="K544" s="16"/>
    </row>
    <row r="545" spans="1:11" ht="20.25" customHeight="1">
      <c r="A545" s="16"/>
      <c r="B545" s="42" t="s">
        <v>697</v>
      </c>
      <c r="C545" s="6" t="str">
        <f>VLOOKUP(Compras[[#This Row],[Codigo]],Stock[#Data],2,FALSE)</f>
        <v>Namaste Nutripack</v>
      </c>
      <c r="D545" s="40">
        <v>3</v>
      </c>
      <c r="E545" s="6">
        <v>346</v>
      </c>
      <c r="F545" s="12">
        <f>VLOOKUP(Compras[[#This Row],[Codigo]],Stock[#Data],3,FALSE)</f>
        <v>3376</v>
      </c>
      <c r="G545" s="43">
        <f>Compras[[#This Row],[Unidad]]*Compras[[#This Row],[Cantidad]]</f>
        <v>10128</v>
      </c>
      <c r="H545" s="16"/>
      <c r="I545" s="16"/>
      <c r="J545" s="16"/>
      <c r="K545" s="16"/>
    </row>
    <row r="546" spans="1:11" ht="20.25" customHeight="1">
      <c r="A546" s="16"/>
      <c r="B546" s="42" t="s">
        <v>697</v>
      </c>
      <c r="C546" s="6" t="str">
        <f>VLOOKUP(Compras[[#This Row],[Codigo]],Stock[#Data],2,FALSE)</f>
        <v>Filtros Gizeh x100 6mm</v>
      </c>
      <c r="D546" s="40">
        <v>15</v>
      </c>
      <c r="E546" s="6">
        <v>586</v>
      </c>
      <c r="F546" s="12">
        <f>VLOOKUP(Compras[[#This Row],[Codigo]],Stock[#Data],3,FALSE)</f>
        <v>190</v>
      </c>
      <c r="G546" s="43">
        <f>Compras[[#This Row],[Unidad]]*Compras[[#This Row],[Cantidad]]</f>
        <v>2850</v>
      </c>
      <c r="H546" s="16"/>
      <c r="I546" s="16"/>
      <c r="J546" s="16"/>
      <c r="K546" s="16"/>
    </row>
    <row r="547" spans="1:11" ht="20.25" customHeight="1">
      <c r="A547" s="16"/>
      <c r="B547" s="42" t="s">
        <v>697</v>
      </c>
      <c r="C547" s="6" t="str">
        <f>VLOOKUP(Compras[[#This Row],[Codigo]],Stock[#Data],2,FALSE)</f>
        <v>Filtros Gizeh Mentol 6mm</v>
      </c>
      <c r="D547" s="40">
        <v>10</v>
      </c>
      <c r="E547" s="6">
        <v>587</v>
      </c>
      <c r="F547" s="12">
        <f>VLOOKUP(Compras[[#This Row],[Codigo]],Stock[#Data],3,FALSE)</f>
        <v>275</v>
      </c>
      <c r="G547" s="43">
        <f>Compras[[#This Row],[Unidad]]*Compras[[#This Row],[Cantidad]]</f>
        <v>2750</v>
      </c>
      <c r="H547" s="16"/>
      <c r="I547" s="16"/>
      <c r="J547" s="16"/>
      <c r="K547" s="16"/>
    </row>
    <row r="548" spans="1:11" ht="20.25" customHeight="1">
      <c r="A548" s="16"/>
      <c r="B548" s="42" t="s">
        <v>697</v>
      </c>
      <c r="C548" s="6" t="str">
        <f>VLOOKUP(Compras[[#This Row],[Codigo]],Stock[#Data],2,FALSE)</f>
        <v>Picador Mini D&amp;K</v>
      </c>
      <c r="D548" s="40">
        <v>2</v>
      </c>
      <c r="E548" s="6">
        <v>588</v>
      </c>
      <c r="F548" s="12">
        <f>VLOOKUP(Compras[[#This Row],[Codigo]],Stock[#Data],3,FALSE)</f>
        <v>1046</v>
      </c>
      <c r="G548" s="43">
        <f>Compras[[#This Row],[Unidad]]*Compras[[#This Row],[Cantidad]]</f>
        <v>2092</v>
      </c>
      <c r="H548" s="16"/>
      <c r="I548" s="16"/>
      <c r="J548" s="16"/>
      <c r="K548" s="16"/>
    </row>
    <row r="549" spans="1:11" ht="20.25" customHeight="1">
      <c r="A549" s="16"/>
      <c r="B549" s="42" t="s">
        <v>697</v>
      </c>
      <c r="C549" s="6" t="str">
        <f>VLOOKUP(Compras[[#This Row],[Codigo]],Stock[#Data],2,FALSE)</f>
        <v>Sedas Zeus Celulosa</v>
      </c>
      <c r="D549" s="40">
        <v>24</v>
      </c>
      <c r="E549" s="6">
        <v>589</v>
      </c>
      <c r="F549" s="12">
        <f>VLOOKUP(Compras[[#This Row],[Codigo]],Stock[#Data],3,FALSE)</f>
        <v>175</v>
      </c>
      <c r="G549" s="43">
        <f>Compras[[#This Row],[Unidad]]*Compras[[#This Row],[Cantidad]]</f>
        <v>4200</v>
      </c>
      <c r="H549" s="16"/>
      <c r="I549" s="16"/>
      <c r="J549" s="16"/>
      <c r="K549" s="16"/>
    </row>
    <row r="550" spans="1:11" ht="20.25" customHeight="1">
      <c r="A550" s="16"/>
      <c r="B550" s="42" t="s">
        <v>697</v>
      </c>
      <c r="C550" s="6" t="str">
        <f>VLOOKUP(Compras[[#This Row],[Codigo]],Stock[#Data],2,FALSE)</f>
        <v>Lata Elements</v>
      </c>
      <c r="D550" s="40">
        <v>2</v>
      </c>
      <c r="E550" s="6">
        <v>590</v>
      </c>
      <c r="F550" s="12">
        <f>VLOOKUP(Compras[[#This Row],[Codigo]],Stock[#Data],3,FALSE)</f>
        <v>1028</v>
      </c>
      <c r="G550" s="43">
        <f>Compras[[#This Row],[Unidad]]*Compras[[#This Row],[Cantidad]]</f>
        <v>2056</v>
      </c>
      <c r="H550" s="16"/>
      <c r="I550" s="16"/>
      <c r="J550" s="16"/>
      <c r="K550" s="16"/>
    </row>
    <row r="551" spans="1:11" ht="20.25" customHeight="1">
      <c r="A551" s="16"/>
      <c r="B551" s="42" t="s">
        <v>697</v>
      </c>
      <c r="C551" s="6" t="str">
        <f>VLOOKUP(Compras[[#This Row],[Codigo]],Stock[#Data],2,FALSE)</f>
        <v>Picador D&amp;K Plastico Calavera</v>
      </c>
      <c r="D551" s="40">
        <v>1</v>
      </c>
      <c r="E551" s="6">
        <v>591</v>
      </c>
      <c r="F551" s="12">
        <f>VLOOKUP(Compras[[#This Row],[Codigo]],Stock[#Data],3,FALSE)</f>
        <v>854</v>
      </c>
      <c r="G551" s="43">
        <f>Compras[[#This Row],[Unidad]]*Compras[[#This Row],[Cantidad]]</f>
        <v>854</v>
      </c>
      <c r="H551" s="16"/>
      <c r="I551" s="16"/>
      <c r="J551" s="16"/>
      <c r="K551" s="16"/>
    </row>
    <row r="552" spans="1:11" ht="20.25" customHeight="1">
      <c r="A552" s="16"/>
      <c r="B552" s="42" t="s">
        <v>697</v>
      </c>
      <c r="C552" s="6" t="str">
        <f>VLOOKUP(Compras[[#This Row],[Codigo]],Stock[#Data],2,FALSE)</f>
        <v>Picador Zeus Plastico Flor</v>
      </c>
      <c r="D552" s="40">
        <v>3</v>
      </c>
      <c r="E552" s="6">
        <v>592</v>
      </c>
      <c r="F552" s="12">
        <f>VLOOKUP(Compras[[#This Row],[Codigo]],Stock[#Data],3,FALSE)</f>
        <v>948</v>
      </c>
      <c r="G552" s="43">
        <f>Compras[[#This Row],[Unidad]]*Compras[[#This Row],[Cantidad]]</f>
        <v>2844</v>
      </c>
      <c r="H552" s="16"/>
      <c r="I552" s="16"/>
      <c r="J552" s="16"/>
      <c r="K552" s="16"/>
    </row>
    <row r="553" spans="1:11" ht="20.25" customHeight="1">
      <c r="A553" s="16"/>
      <c r="B553" s="42" t="s">
        <v>697</v>
      </c>
      <c r="C553" s="6" t="str">
        <f>VLOOKUP(Compras[[#This Row],[Codigo]],Stock[#Data],2,FALSE)</f>
        <v>OCB Cañamo Organico</v>
      </c>
      <c r="D553" s="40">
        <v>25</v>
      </c>
      <c r="E553" s="6">
        <v>593</v>
      </c>
      <c r="F553" s="12">
        <f>VLOOKUP(Compras[[#This Row],[Codigo]],Stock[#Data],3,FALSE)</f>
        <v>165</v>
      </c>
      <c r="G553" s="43">
        <f>Compras[[#This Row],[Unidad]]*Compras[[#This Row],[Cantidad]]</f>
        <v>4125</v>
      </c>
      <c r="H553" s="16"/>
      <c r="I553" s="16"/>
      <c r="J553" s="16"/>
      <c r="K553" s="16"/>
    </row>
    <row r="554" spans="1:11" ht="20.25" customHeight="1">
      <c r="A554" s="16"/>
      <c r="B554" s="42" t="s">
        <v>697</v>
      </c>
      <c r="C554" s="6" t="str">
        <f>VLOOKUP(Compras[[#This Row],[Codigo]],Stock[#Data],2,FALSE)</f>
        <v>OCB premium</v>
      </c>
      <c r="D554" s="40">
        <v>25</v>
      </c>
      <c r="E554" s="6">
        <v>594</v>
      </c>
      <c r="F554" s="12">
        <f>VLOOKUP(Compras[[#This Row],[Codigo]],Stock[#Data],3,FALSE)</f>
        <v>165</v>
      </c>
      <c r="G554" s="43">
        <f>Compras[[#This Row],[Unidad]]*Compras[[#This Row],[Cantidad]]</f>
        <v>4125</v>
      </c>
      <c r="H554" s="16"/>
      <c r="I554" s="16"/>
      <c r="J554" s="16"/>
      <c r="K554" s="16"/>
    </row>
    <row r="555" spans="1:11" ht="20.25" customHeight="1">
      <c r="A555" s="16"/>
      <c r="B555" s="42" t="s">
        <v>698</v>
      </c>
      <c r="C555" s="6" t="str">
        <f>VLOOKUP(Compras[[#This Row],[Codigo]],Stock[#Data],2,FALSE)</f>
        <v>Sustrato Perlita</v>
      </c>
      <c r="D555" s="40">
        <v>40</v>
      </c>
      <c r="E555" s="6">
        <v>52</v>
      </c>
      <c r="F555" s="12">
        <f>VLOOKUP(Compras[[#This Row],[Codigo]],Stock[#Data],3,FALSE)</f>
        <v>400</v>
      </c>
      <c r="G555" s="43">
        <f>Compras[[#This Row],[Unidad]]*Compras[[#This Row],[Cantidad]]</f>
        <v>16000</v>
      </c>
      <c r="H555" s="16"/>
      <c r="I555" s="16"/>
      <c r="J555" s="16"/>
      <c r="K555" s="16"/>
    </row>
    <row r="556" spans="1:11" ht="20.25" customHeight="1">
      <c r="A556" s="16"/>
      <c r="B556" s="42" t="s">
        <v>633</v>
      </c>
      <c r="C556" s="6" t="str">
        <f>VLOOKUP(Compras[[#This Row],[Codigo]],Stock[#Data],2,FALSE)</f>
        <v xml:space="preserve">Pipa de Ceramica chica </v>
      </c>
      <c r="D556" s="40">
        <v>7</v>
      </c>
      <c r="E556" s="6">
        <v>583</v>
      </c>
      <c r="F556" s="12">
        <f>VLOOKUP(Compras[[#This Row],[Codigo]],Stock[#Data],3,FALSE)</f>
        <v>1000</v>
      </c>
      <c r="G556" s="43">
        <f>Compras[[#This Row],[Unidad]]*Compras[[#This Row],[Cantidad]]</f>
        <v>7000</v>
      </c>
      <c r="H556" s="16"/>
      <c r="I556" s="16"/>
      <c r="J556" s="16"/>
      <c r="K556" s="16"/>
    </row>
    <row r="557" spans="1:11" ht="20.25" customHeight="1">
      <c r="A557" s="16"/>
      <c r="B557" s="42" t="s">
        <v>633</v>
      </c>
      <c r="C557" s="6" t="str">
        <f>VLOOKUP(Compras[[#This Row],[Codigo]],Stock[#Data],2,FALSE)</f>
        <v>Pipa de Ceramica Grande</v>
      </c>
      <c r="D557" s="40">
        <v>3</v>
      </c>
      <c r="E557" s="6">
        <v>584</v>
      </c>
      <c r="F557" s="12">
        <f>VLOOKUP(Compras[[#This Row],[Codigo]],Stock[#Data],3,FALSE)</f>
        <v>1500</v>
      </c>
      <c r="G557" s="43">
        <f>Compras[[#This Row],[Unidad]]*Compras[[#This Row],[Cantidad]]</f>
        <v>4500</v>
      </c>
      <c r="H557" s="16"/>
      <c r="I557" s="16"/>
      <c r="J557" s="16"/>
      <c r="K557" s="16"/>
    </row>
    <row r="558" spans="1:11" ht="20.25" customHeight="1">
      <c r="A558" s="16"/>
      <c r="B558" s="42" t="s">
        <v>633</v>
      </c>
      <c r="C558" s="6" t="str">
        <f>VLOOKUP(Compras[[#This Row],[Codigo]],Stock[#Data],2,FALSE)</f>
        <v xml:space="preserve">Tuqueros de Ceramica </v>
      </c>
      <c r="D558" s="40">
        <v>5</v>
      </c>
      <c r="E558" s="6">
        <v>585</v>
      </c>
      <c r="F558" s="12">
        <f>VLOOKUP(Compras[[#This Row],[Codigo]],Stock[#Data],3,FALSE)</f>
        <v>500</v>
      </c>
      <c r="G558" s="43">
        <f>Compras[[#This Row],[Unidad]]*Compras[[#This Row],[Cantidad]]</f>
        <v>2500</v>
      </c>
      <c r="H558" s="16"/>
      <c r="I558" s="16"/>
      <c r="J558" s="16"/>
      <c r="K558" s="16"/>
    </row>
    <row r="559" spans="1:11" ht="20.25" customHeight="1">
      <c r="A559" s="16"/>
      <c r="B559" s="42" t="s">
        <v>635</v>
      </c>
      <c r="C559" s="6" t="str">
        <f>VLOOKUP(Compras[[#This Row],[Codigo]],Stock[#Data],2,FALSE)</f>
        <v>gas butano clear 250cc</v>
      </c>
      <c r="D559" s="40">
        <v>3</v>
      </c>
      <c r="E559" s="6">
        <v>358</v>
      </c>
      <c r="F559" s="12">
        <f>VLOOKUP(Compras[[#This Row],[Codigo]],Stock[#Data],3,FALSE)</f>
        <v>425</v>
      </c>
      <c r="G559" s="43">
        <f>Compras[[#This Row],[Unidad]]*Compras[[#This Row],[Cantidad]]</f>
        <v>1275</v>
      </c>
      <c r="H559" s="16"/>
      <c r="I559" s="16"/>
      <c r="J559" s="16"/>
      <c r="K559" s="16"/>
    </row>
    <row r="560" spans="1:11" ht="20.25" customHeight="1">
      <c r="A560" s="16"/>
      <c r="B560" s="42" t="s">
        <v>627</v>
      </c>
      <c r="C560" s="6" t="str">
        <f>VLOOKUP(Compras[[#This Row],[Codigo]],Stock[#Data],2,FALSE)</f>
        <v xml:space="preserve">Aceite de Cannabis 30 ml </v>
      </c>
      <c r="D560" s="40">
        <v>1</v>
      </c>
      <c r="E560" s="6">
        <v>525</v>
      </c>
      <c r="F560" s="12">
        <f>VLOOKUP(Compras[[#This Row],[Codigo]],Stock[#Data],3,FALSE)</f>
        <v>5500</v>
      </c>
      <c r="G560" s="43">
        <f>Compras[[#This Row],[Unidad]]*Compras[[#This Row],[Cantidad]]</f>
        <v>5500</v>
      </c>
      <c r="H560" s="16"/>
      <c r="I560" s="16"/>
      <c r="J560" s="16"/>
      <c r="K560" s="16"/>
    </row>
    <row r="561" spans="1:11" ht="20.25" customHeight="1">
      <c r="A561" s="16"/>
      <c r="B561" s="42" t="s">
        <v>627</v>
      </c>
      <c r="C561" s="6" t="str">
        <f>VLOOKUP(Compras[[#This Row],[Codigo]],Stock[#Data],2,FALSE)</f>
        <v>Medidor de PH</v>
      </c>
      <c r="D561" s="40">
        <v>5</v>
      </c>
      <c r="E561" s="6">
        <v>185</v>
      </c>
      <c r="F561" s="12">
        <f>VLOOKUP(Compras[[#This Row],[Codigo]],Stock[#Data],3,FALSE)</f>
        <v>2000</v>
      </c>
      <c r="G561" s="43">
        <f>Compras[[#This Row],[Unidad]]*Compras[[#This Row],[Cantidad]]</f>
        <v>10000</v>
      </c>
      <c r="H561" s="16"/>
      <c r="I561" s="16"/>
      <c r="J561" s="16"/>
      <c r="K561" s="16"/>
    </row>
    <row r="562" spans="1:11" ht="20.25" customHeight="1">
      <c r="A562" s="16"/>
      <c r="B562" s="42" t="s">
        <v>617</v>
      </c>
      <c r="C562" s="6" t="str">
        <f>VLOOKUP(Compras[[#This Row],[Codigo]],Stock[#Data],2,FALSE)</f>
        <v>Tabaco Van Kiff Natural</v>
      </c>
      <c r="D562" s="40">
        <v>5</v>
      </c>
      <c r="E562" s="6">
        <v>117</v>
      </c>
      <c r="F562" s="12">
        <f>VLOOKUP(Compras[[#This Row],[Codigo]],Stock[#Data],3,FALSE)</f>
        <v>580</v>
      </c>
      <c r="G562" s="43">
        <f>Compras[[#This Row],[Unidad]]*Compras[[#This Row],[Cantidad]]</f>
        <v>2900</v>
      </c>
      <c r="H562" s="16"/>
      <c r="I562" s="16"/>
      <c r="J562" s="16"/>
      <c r="K562" s="16"/>
    </row>
    <row r="563" spans="1:11" ht="20.25" customHeight="1">
      <c r="A563" s="16"/>
      <c r="B563" s="42" t="s">
        <v>617</v>
      </c>
      <c r="C563" s="6" t="str">
        <f>VLOOKUP(Compras[[#This Row],[Codigo]],Stock[#Data],2,FALSE)</f>
        <v>Tabaco Van Kiff Vainilla</v>
      </c>
      <c r="D563" s="40">
        <v>11</v>
      </c>
      <c r="E563" s="6">
        <v>120</v>
      </c>
      <c r="F563" s="12">
        <f>VLOOKUP(Compras[[#This Row],[Codigo]],Stock[#Data],3,FALSE)</f>
        <v>580</v>
      </c>
      <c r="G563" s="43">
        <f>Compras[[#This Row],[Unidad]]*Compras[[#This Row],[Cantidad]]</f>
        <v>6380</v>
      </c>
      <c r="H563" s="16"/>
      <c r="I563" s="16"/>
      <c r="J563" s="16"/>
      <c r="K563" s="16"/>
    </row>
    <row r="564" spans="1:11" ht="20.25" customHeight="1">
      <c r="A564" s="16"/>
      <c r="B564" s="42" t="s">
        <v>617</v>
      </c>
      <c r="C564" s="6" t="str">
        <f>VLOOKUP(Compras[[#This Row],[Codigo]],Stock[#Data],2,FALSE)</f>
        <v>Picador 3 Rayos 4p Madera</v>
      </c>
      <c r="D564" s="40">
        <v>1</v>
      </c>
      <c r="E564" s="6">
        <v>582</v>
      </c>
      <c r="F564" s="12">
        <f>VLOOKUP(Compras[[#This Row],[Codigo]],Stock[#Data],3,FALSE)</f>
        <v>2188</v>
      </c>
      <c r="G564" s="43">
        <f>Compras[[#This Row],[Unidad]]*Compras[[#This Row],[Cantidad]]</f>
        <v>2188</v>
      </c>
      <c r="H564" s="16"/>
      <c r="I564" s="16"/>
      <c r="J564" s="16"/>
      <c r="K564" s="16"/>
    </row>
    <row r="565" spans="1:11" ht="20.25" customHeight="1">
      <c r="A565" s="16"/>
      <c r="B565" s="42" t="s">
        <v>617</v>
      </c>
      <c r="C565" s="6" t="str">
        <f>VLOOKUP(Compras[[#This Row],[Codigo]],Stock[#Data],2,FALSE)</f>
        <v>Banger 14mm</v>
      </c>
      <c r="D565" s="40">
        <v>2</v>
      </c>
      <c r="E565" s="6">
        <v>320</v>
      </c>
      <c r="F565" s="12">
        <f>VLOOKUP(Compras[[#This Row],[Codigo]],Stock[#Data],3,FALSE)</f>
        <v>2484</v>
      </c>
      <c r="G565" s="43">
        <f>Compras[[#This Row],[Unidad]]*Compras[[#This Row],[Cantidad]]</f>
        <v>4968</v>
      </c>
      <c r="H565" s="16"/>
      <c r="I565" s="16"/>
      <c r="J565" s="16"/>
      <c r="K565" s="16"/>
    </row>
    <row r="566" spans="1:11" ht="20.25" customHeight="1">
      <c r="A566" s="16"/>
      <c r="B566" s="42" t="s">
        <v>617</v>
      </c>
      <c r="C566" s="6" t="str">
        <f>VLOOKUP(Compras[[#This Row],[Codigo]],Stock[#Data],2,FALSE)</f>
        <v>Picador Barril Inflamable</v>
      </c>
      <c r="D566" s="40">
        <v>2</v>
      </c>
      <c r="E566" s="6">
        <v>212</v>
      </c>
      <c r="F566" s="12">
        <f>VLOOKUP(Compras[[#This Row],[Codigo]],Stock[#Data],3,FALSE)</f>
        <v>2229</v>
      </c>
      <c r="G566" s="43">
        <f>Compras[[#This Row],[Unidad]]*Compras[[#This Row],[Cantidad]]</f>
        <v>4458</v>
      </c>
      <c r="H566" s="16"/>
      <c r="I566" s="16"/>
      <c r="J566" s="16"/>
      <c r="K566" s="16"/>
    </row>
    <row r="567" spans="1:11" ht="20.25" customHeight="1">
      <c r="A567" s="16"/>
      <c r="B567" s="42" t="s">
        <v>617</v>
      </c>
      <c r="C567" s="6" t="str">
        <f>VLOOKUP(Compras[[#This Row],[Codigo]],Stock[#Data],2,FALSE)</f>
        <v xml:space="preserve">Bong de Silicona Grande </v>
      </c>
      <c r="D567" s="40">
        <v>2</v>
      </c>
      <c r="E567" s="6">
        <v>566</v>
      </c>
      <c r="F567" s="12">
        <f>VLOOKUP(Compras[[#This Row],[Codigo]],Stock[#Data],3,FALSE)</f>
        <v>5750</v>
      </c>
      <c r="G567" s="43">
        <f>Compras[[#This Row],[Unidad]]*Compras[[#This Row],[Cantidad]]</f>
        <v>11500</v>
      </c>
      <c r="H567" s="16"/>
      <c r="I567" s="16"/>
      <c r="J567" s="16"/>
      <c r="K567" s="16"/>
    </row>
    <row r="568" spans="1:11" ht="20.25" customHeight="1">
      <c r="A568" s="16"/>
      <c r="B568" s="42" t="s">
        <v>617</v>
      </c>
      <c r="C568" s="6" t="str">
        <f>VLOOKUP(Compras[[#This Row],[Codigo]],Stock[#Data],2,FALSE)</f>
        <v>VAMP Guano de murcielago Flora</v>
      </c>
      <c r="D568" s="40">
        <v>6</v>
      </c>
      <c r="E568" s="6">
        <v>38</v>
      </c>
      <c r="F568" s="12">
        <f>VLOOKUP(Compras[[#This Row],[Codigo]],Stock[#Data],3,FALSE)</f>
        <v>510</v>
      </c>
      <c r="G568" s="43">
        <f>Compras[[#This Row],[Unidad]]*Compras[[#This Row],[Cantidad]]</f>
        <v>3060</v>
      </c>
      <c r="H568" s="16"/>
      <c r="I568" s="16"/>
      <c r="J568" s="16"/>
      <c r="K568" s="16"/>
    </row>
    <row r="569" spans="1:11" ht="20.25" customHeight="1">
      <c r="A569" s="16"/>
      <c r="B569" s="42" t="s">
        <v>617</v>
      </c>
      <c r="C569" s="6" t="str">
        <f>VLOOKUP(Compras[[#This Row],[Codigo]],Stock[#Data],2,FALSE)</f>
        <v>VAMP Guano de murcielago Vegetativo</v>
      </c>
      <c r="D569" s="40">
        <v>5</v>
      </c>
      <c r="E569" s="6">
        <v>37</v>
      </c>
      <c r="F569" s="12">
        <f>VLOOKUP(Compras[[#This Row],[Codigo]],Stock[#Data],3,FALSE)</f>
        <v>510</v>
      </c>
      <c r="G569" s="43">
        <f>Compras[[#This Row],[Unidad]]*Compras[[#This Row],[Cantidad]]</f>
        <v>2550</v>
      </c>
      <c r="H569" s="16"/>
      <c r="I569" s="16"/>
      <c r="J569" s="16"/>
      <c r="K569" s="16"/>
    </row>
    <row r="570" spans="1:11" ht="20.25" customHeight="1">
      <c r="A570" s="16"/>
      <c r="B570" s="42" t="s">
        <v>617</v>
      </c>
      <c r="C570" s="6" t="str">
        <f>VLOOKUP(Compras[[#This Row],[Codigo]],Stock[#Data],2,FALSE)</f>
        <v>Tijeras Garden High Pro curva</v>
      </c>
      <c r="D570" s="40">
        <v>4</v>
      </c>
      <c r="E570" s="6">
        <v>306</v>
      </c>
      <c r="F570" s="12">
        <f>VLOOKUP(Compras[[#This Row],[Codigo]],Stock[#Data],3,FALSE)</f>
        <v>1926</v>
      </c>
      <c r="G570" s="43">
        <f>Compras[[#This Row],[Unidad]]*Compras[[#This Row],[Cantidad]]</f>
        <v>7704</v>
      </c>
      <c r="H570" s="16"/>
      <c r="I570" s="16"/>
      <c r="J570" s="16"/>
      <c r="K570" s="16"/>
    </row>
    <row r="571" spans="1:11" ht="20.25" customHeight="1">
      <c r="A571" s="16"/>
      <c r="B571" s="42" t="s">
        <v>617</v>
      </c>
      <c r="C571" s="6" t="str">
        <f>VLOOKUP(Compras[[#This Row],[Codigo]],Stock[#Data],2,FALSE)</f>
        <v>Tijeras de Poda rectas GHP</v>
      </c>
      <c r="D571" s="40">
        <v>0</v>
      </c>
      <c r="E571" s="6">
        <v>317</v>
      </c>
      <c r="F571" s="12">
        <f>VLOOKUP(Compras[[#This Row],[Codigo]],Stock[#Data],3,FALSE)</f>
        <v>1926</v>
      </c>
      <c r="G571" s="43">
        <f>Compras[[#This Row],[Unidad]]*Compras[[#This Row],[Cantidad]]</f>
        <v>0</v>
      </c>
      <c r="H571" s="16"/>
      <c r="I571" s="16"/>
      <c r="J571" s="16"/>
      <c r="K571" s="16"/>
    </row>
    <row r="572" spans="1:11" ht="20.25" customHeight="1">
      <c r="A572" s="16"/>
      <c r="B572" s="42" t="s">
        <v>617</v>
      </c>
      <c r="C572" s="6" t="str">
        <f>VLOOKUP(Compras[[#This Row],[Codigo]],Stock[#Data],2,FALSE)</f>
        <v>Namaste Shanti 100ml</v>
      </c>
      <c r="D572" s="40">
        <v>4</v>
      </c>
      <c r="E572" s="6">
        <v>569</v>
      </c>
      <c r="F572" s="12">
        <f>VLOOKUP(Compras[[#This Row],[Codigo]],Stock[#Data],3,FALSE)</f>
        <v>932</v>
      </c>
      <c r="G572" s="43">
        <f>Compras[[#This Row],[Unidad]]*Compras[[#This Row],[Cantidad]]</f>
        <v>3728</v>
      </c>
      <c r="H572" s="16"/>
      <c r="I572" s="16"/>
      <c r="J572" s="16"/>
      <c r="K572" s="16"/>
    </row>
    <row r="573" spans="1:11" ht="20.25" customHeight="1">
      <c r="A573" s="16"/>
      <c r="B573" s="42" t="s">
        <v>617</v>
      </c>
      <c r="C573" s="6" t="str">
        <f>VLOOKUP(Compras[[#This Row],[Codigo]],Stock[#Data],2,FALSE)</f>
        <v>Namaste Amazonia 150gr</v>
      </c>
      <c r="D573" s="40">
        <v>4</v>
      </c>
      <c r="E573" s="6">
        <v>477</v>
      </c>
      <c r="F573" s="12">
        <f>VLOOKUP(Compras[[#This Row],[Codigo]],Stock[#Data],3,FALSE)</f>
        <v>1218</v>
      </c>
      <c r="G573" s="43">
        <f>Compras[[#This Row],[Unidad]]*Compras[[#This Row],[Cantidad]]</f>
        <v>4872</v>
      </c>
      <c r="H573" s="16"/>
      <c r="I573" s="16"/>
      <c r="J573" s="16"/>
      <c r="K573" s="16"/>
    </row>
    <row r="574" spans="1:11" ht="20.25" customHeight="1">
      <c r="A574" s="16"/>
      <c r="B574" s="42" t="s">
        <v>617</v>
      </c>
      <c r="C574" s="6" t="str">
        <f>VLOOKUP(Compras[[#This Row],[Codigo]],Stock[#Data],2,FALSE)</f>
        <v>Namaste Oro Negro 500ml</v>
      </c>
      <c r="D574" s="40">
        <v>2</v>
      </c>
      <c r="E574" s="6">
        <v>497</v>
      </c>
      <c r="F574" s="12">
        <f>VLOOKUP(Compras[[#This Row],[Codigo]],Stock[#Data],3,FALSE)</f>
        <v>1390</v>
      </c>
      <c r="G574" s="43">
        <f>Compras[[#This Row],[Unidad]]*Compras[[#This Row],[Cantidad]]</f>
        <v>2780</v>
      </c>
      <c r="H574" s="16"/>
      <c r="I574" s="16"/>
      <c r="J574" s="16"/>
      <c r="K574" s="16"/>
    </row>
    <row r="575" spans="1:11" ht="20.25" customHeight="1">
      <c r="A575" s="16"/>
      <c r="B575" s="42" t="s">
        <v>617</v>
      </c>
      <c r="C575" s="6" t="str">
        <f>VLOOKUP(Compras[[#This Row],[Codigo]],Stock[#Data],2,FALSE)</f>
        <v>Namaste Oro Negro 100ml</v>
      </c>
      <c r="D575" s="40">
        <v>6</v>
      </c>
      <c r="E575" s="6">
        <v>478</v>
      </c>
      <c r="F575" s="12">
        <f>VLOOKUP(Compras[[#This Row],[Codigo]],Stock[#Data],3,FALSE)</f>
        <v>515</v>
      </c>
      <c r="G575" s="43">
        <f>Compras[[#This Row],[Unidad]]*Compras[[#This Row],[Cantidad]]</f>
        <v>3090</v>
      </c>
      <c r="H575" s="16"/>
      <c r="I575" s="16"/>
      <c r="J575" s="16"/>
      <c r="K575" s="16"/>
    </row>
    <row r="576" spans="1:11" ht="20.25" customHeight="1">
      <c r="A576" s="16"/>
      <c r="B576" s="42" t="s">
        <v>617</v>
      </c>
      <c r="C576" s="6" t="str">
        <f>VLOOKUP(Compras[[#This Row],[Codigo]],Stock[#Data],2,FALSE)</f>
        <v>Namaste Nutripack</v>
      </c>
      <c r="D576" s="40">
        <v>2</v>
      </c>
      <c r="E576" s="6">
        <v>346</v>
      </c>
      <c r="F576" s="12">
        <f>VLOOKUP(Compras[[#This Row],[Codigo]],Stock[#Data],3,FALSE)</f>
        <v>3376</v>
      </c>
      <c r="G576" s="43">
        <f>Compras[[#This Row],[Unidad]]*Compras[[#This Row],[Cantidad]]</f>
        <v>6752</v>
      </c>
      <c r="H576" s="16"/>
      <c r="I576" s="16"/>
      <c r="J576" s="16"/>
      <c r="K576" s="16"/>
    </row>
    <row r="577" spans="1:11" ht="20.25" customHeight="1">
      <c r="A577" s="16"/>
      <c r="B577" s="42" t="s">
        <v>617</v>
      </c>
      <c r="C577" s="6" t="str">
        <f>VLOOKUP(Compras[[#This Row],[Codigo]],Stock[#Data],2,FALSE)</f>
        <v>VAMP Supermelaza</v>
      </c>
      <c r="D577" s="40">
        <v>10</v>
      </c>
      <c r="E577" s="6">
        <v>36</v>
      </c>
      <c r="F577" s="12">
        <f>VLOOKUP(Compras[[#This Row],[Codigo]],Stock[#Data],3,FALSE)</f>
        <v>908</v>
      </c>
      <c r="G577" s="43">
        <f>Compras[[#This Row],[Unidad]]*Compras[[#This Row],[Cantidad]]</f>
        <v>9080</v>
      </c>
      <c r="H577" s="16"/>
      <c r="I577" s="16"/>
      <c r="J577" s="16"/>
      <c r="K577" s="16"/>
    </row>
    <row r="578" spans="1:11" ht="20.25" customHeight="1">
      <c r="A578" s="16"/>
      <c r="B578" s="42" t="s">
        <v>610</v>
      </c>
      <c r="C578" s="6" t="str">
        <f>VLOOKUP(Compras[[#This Row],[Codigo]],Stock[#Data],2,FALSE)</f>
        <v>4 en 1 100ml Green Leaf Insumos</v>
      </c>
      <c r="D578" s="40">
        <v>3</v>
      </c>
      <c r="E578" s="6">
        <v>575</v>
      </c>
      <c r="F578" s="12">
        <f>VLOOKUP(Compras[[#This Row],[Codigo]],Stock[#Data],3,FALSE)</f>
        <v>498</v>
      </c>
      <c r="G578" s="43">
        <f>Compras[[#This Row],[Unidad]]*Compras[[#This Row],[Cantidad]]</f>
        <v>1494</v>
      </c>
      <c r="H578" s="16"/>
      <c r="I578" s="16"/>
      <c r="J578" s="16"/>
      <c r="K578" s="16"/>
    </row>
    <row r="579" spans="1:11" ht="20.25" customHeight="1">
      <c r="A579" s="16"/>
      <c r="B579" s="42" t="s">
        <v>610</v>
      </c>
      <c r="C579" s="6" t="str">
        <f>VLOOKUP(Compras[[#This Row],[Codigo]],Stock[#Data],2,FALSE)</f>
        <v>4 en 1 250ml Green Leaf Insumos</v>
      </c>
      <c r="D579" s="40">
        <v>4</v>
      </c>
      <c r="E579" s="6">
        <v>576</v>
      </c>
      <c r="F579" s="12">
        <f>VLOOKUP(Compras[[#This Row],[Codigo]],Stock[#Data],3,FALSE)</f>
        <v>1179</v>
      </c>
      <c r="G579" s="43">
        <f>Compras[[#This Row],[Unidad]]*Compras[[#This Row],[Cantidad]]</f>
        <v>4716</v>
      </c>
      <c r="H579" s="16"/>
      <c r="I579" s="16"/>
      <c r="J579" s="16"/>
      <c r="K579" s="16"/>
    </row>
    <row r="580" spans="1:11" ht="20.25" customHeight="1">
      <c r="A580" s="16"/>
      <c r="B580" s="42" t="s">
        <v>610</v>
      </c>
      <c r="C580" s="6" t="str">
        <f>VLOOKUP(Compras[[#This Row],[Codigo]],Stock[#Data],2,FALSE)</f>
        <v>Trips Green Leaf Insumos 100ml</v>
      </c>
      <c r="D580" s="40">
        <v>1</v>
      </c>
      <c r="E580" s="6">
        <v>577</v>
      </c>
      <c r="F580" s="12">
        <f>VLOOKUP(Compras[[#This Row],[Codigo]],Stock[#Data],3,FALSE)</f>
        <v>498</v>
      </c>
      <c r="G580" s="43">
        <f>Compras[[#This Row],[Unidad]]*Compras[[#This Row],[Cantidad]]</f>
        <v>498</v>
      </c>
      <c r="H580" s="16"/>
      <c r="I580" s="16"/>
      <c r="J580" s="16"/>
      <c r="K580" s="16"/>
    </row>
    <row r="581" spans="1:11" ht="20.25" customHeight="1">
      <c r="A581" s="16"/>
      <c r="B581" s="42" t="s">
        <v>610</v>
      </c>
      <c r="C581" s="6" t="str">
        <f>VLOOKUP(Compras[[#This Row],[Codigo]],Stock[#Data],2,FALSE)</f>
        <v>Trichodermas Cultivate</v>
      </c>
      <c r="D581" s="40">
        <v>2</v>
      </c>
      <c r="E581" s="6">
        <v>578</v>
      </c>
      <c r="F581" s="12">
        <f>VLOOKUP(Compras[[#This Row],[Codigo]],Stock[#Data],3,FALSE)</f>
        <v>957</v>
      </c>
      <c r="G581" s="43">
        <f>Compras[[#This Row],[Unidad]]*Compras[[#This Row],[Cantidad]]</f>
        <v>1914</v>
      </c>
      <c r="H581" s="16"/>
      <c r="I581" s="16"/>
      <c r="J581" s="16"/>
      <c r="K581" s="16"/>
    </row>
    <row r="582" spans="1:11" ht="20.25" customHeight="1">
      <c r="A582" s="16"/>
      <c r="B582" s="42" t="s">
        <v>610</v>
      </c>
      <c r="C582" s="6" t="str">
        <f>VLOOKUP(Compras[[#This Row],[Codigo]],Stock[#Data],2,FALSE)</f>
        <v>Geotextiles 30l Dgrow</v>
      </c>
      <c r="D582" s="40">
        <v>2</v>
      </c>
      <c r="E582" s="6">
        <v>579</v>
      </c>
      <c r="F582" s="12">
        <f>VLOOKUP(Compras[[#This Row],[Codigo]],Stock[#Data],3,FALSE)</f>
        <v>400</v>
      </c>
      <c r="G582" s="43">
        <f>Compras[[#This Row],[Unidad]]*Compras[[#This Row],[Cantidad]]</f>
        <v>800</v>
      </c>
      <c r="H582" s="16"/>
      <c r="I582" s="16"/>
      <c r="J582" s="16"/>
      <c r="K582" s="16"/>
    </row>
    <row r="583" spans="1:11" ht="20.25" customHeight="1">
      <c r="A583" s="16"/>
      <c r="B583" s="42" t="s">
        <v>610</v>
      </c>
      <c r="C583" s="6" t="str">
        <f>VLOOKUP(Compras[[#This Row],[Codigo]],Stock[#Data],2,FALSE)</f>
        <v>Geotextiles 15l Iration</v>
      </c>
      <c r="D583" s="40">
        <v>1</v>
      </c>
      <c r="E583" s="6">
        <v>580</v>
      </c>
      <c r="F583" s="12">
        <f>VLOOKUP(Compras[[#This Row],[Codigo]],Stock[#Data],3,FALSE)</f>
        <v>250</v>
      </c>
      <c r="G583" s="43">
        <f>Compras[[#This Row],[Unidad]]*Compras[[#This Row],[Cantidad]]</f>
        <v>250</v>
      </c>
      <c r="H583" s="16"/>
      <c r="I583" s="16"/>
      <c r="J583" s="16"/>
      <c r="K583" s="16"/>
    </row>
    <row r="584" spans="1:11" ht="20.25" customHeight="1">
      <c r="A584" s="16"/>
      <c r="B584" s="42" t="s">
        <v>610</v>
      </c>
      <c r="C584" s="6" t="str">
        <f>VLOOKUP(Compras[[#This Row],[Codigo]],Stock[#Data],2,FALSE)</f>
        <v>Geotextiles 20l Iration</v>
      </c>
      <c r="D584" s="40">
        <v>1</v>
      </c>
      <c r="E584" s="6">
        <v>581</v>
      </c>
      <c r="F584" s="12">
        <f>VLOOKUP(Compras[[#This Row],[Codigo]],Stock[#Data],3,FALSE)</f>
        <v>400</v>
      </c>
      <c r="G584" s="43">
        <f>Compras[[#This Row],[Unidad]]*Compras[[#This Row],[Cantidad]]</f>
        <v>400</v>
      </c>
      <c r="H584" s="16"/>
      <c r="I584" s="16"/>
      <c r="J584" s="16"/>
      <c r="K584" s="16"/>
    </row>
    <row r="585" spans="1:11" ht="20.25" customHeight="1">
      <c r="A585" s="16"/>
      <c r="B585" s="42" t="s">
        <v>610</v>
      </c>
      <c r="C585" s="6" t="str">
        <f>VLOOKUP(Compras[[#This Row],[Codigo]],Stock[#Data],2,FALSE)</f>
        <v>TreeMIX N 45ml</v>
      </c>
      <c r="D585" s="40">
        <v>3</v>
      </c>
      <c r="E585" s="6">
        <v>23</v>
      </c>
      <c r="F585" s="12">
        <f>VLOOKUP(Compras[[#This Row],[Codigo]],Stock[#Data],3,FALSE)</f>
        <v>260</v>
      </c>
      <c r="G585" s="43">
        <f>Compras[[#This Row],[Unidad]]*Compras[[#This Row],[Cantidad]]</f>
        <v>780</v>
      </c>
      <c r="H585" s="16"/>
      <c r="I585" s="16"/>
      <c r="J585" s="16"/>
      <c r="K585" s="16"/>
    </row>
    <row r="586" spans="1:11" ht="20.25" customHeight="1">
      <c r="A586" s="16"/>
      <c r="B586" s="42" t="s">
        <v>610</v>
      </c>
      <c r="C586" s="6" t="str">
        <f>VLOOKUP(Compras[[#This Row],[Codigo]],Stock[#Data],2,FALSE)</f>
        <v>TreeMIX CANDY 45 ml</v>
      </c>
      <c r="D586" s="40">
        <v>2</v>
      </c>
      <c r="E586" s="6">
        <v>26</v>
      </c>
      <c r="F586" s="12">
        <f>VLOOKUP(Compras[[#This Row],[Codigo]],Stock[#Data],3,FALSE)</f>
        <v>220</v>
      </c>
      <c r="G586" s="43">
        <f>Compras[[#This Row],[Unidad]]*Compras[[#This Row],[Cantidad]]</f>
        <v>440</v>
      </c>
      <c r="H586" s="16"/>
      <c r="I586" s="16"/>
      <c r="J586" s="16"/>
      <c r="K586" s="16"/>
    </row>
    <row r="587" spans="1:11" ht="20.25" customHeight="1">
      <c r="A587" s="16"/>
      <c r="B587" s="42" t="s">
        <v>610</v>
      </c>
      <c r="C587" s="6" t="str">
        <f>VLOOKUP(Compras[[#This Row],[Codigo]],Stock[#Data],2,FALSE)</f>
        <v>TreeMIX PRO 45ml</v>
      </c>
      <c r="D587" s="40">
        <v>3</v>
      </c>
      <c r="E587" s="6">
        <v>25</v>
      </c>
      <c r="F587" s="12">
        <f>VLOOKUP(Compras[[#This Row],[Codigo]],Stock[#Data],3,FALSE)</f>
        <v>345</v>
      </c>
      <c r="G587" s="43">
        <f>Compras[[#This Row],[Unidad]]*Compras[[#This Row],[Cantidad]]</f>
        <v>1035</v>
      </c>
      <c r="H587" s="16"/>
      <c r="I587" s="16"/>
      <c r="J587" s="16"/>
      <c r="K587" s="16"/>
    </row>
    <row r="588" spans="1:11" ht="20.25" customHeight="1">
      <c r="A588" s="16"/>
      <c r="B588" s="42" t="s">
        <v>610</v>
      </c>
      <c r="C588" s="6" t="str">
        <f>VLOOKUP(Compras[[#This Row],[Codigo]],Stock[#Data],2,FALSE)</f>
        <v>TreeMIX F 45ml</v>
      </c>
      <c r="D588" s="40">
        <v>1</v>
      </c>
      <c r="E588" s="6">
        <v>22</v>
      </c>
      <c r="F588" s="12">
        <f>VLOOKUP(Compras[[#This Row],[Codigo]],Stock[#Data],3,FALSE)</f>
        <v>275</v>
      </c>
      <c r="G588" s="43">
        <f>Compras[[#This Row],[Unidad]]*Compras[[#This Row],[Cantidad]]</f>
        <v>275</v>
      </c>
      <c r="H588" s="16"/>
      <c r="I588" s="16"/>
      <c r="J588" s="16"/>
      <c r="K588" s="16"/>
    </row>
    <row r="589" spans="1:11" ht="20.25" customHeight="1">
      <c r="A589" s="16"/>
      <c r="B589" s="42" t="s">
        <v>610</v>
      </c>
      <c r="C589" s="6" t="str">
        <f>VLOOKUP(Compras[[#This Row],[Codigo]],Stock[#Data],2,FALSE)</f>
        <v>Namaste Trico+ 250gr</v>
      </c>
      <c r="D589" s="40">
        <v>4</v>
      </c>
      <c r="E589" s="6">
        <v>500</v>
      </c>
      <c r="F589" s="12">
        <f>VLOOKUP(Compras[[#This Row],[Codigo]],Stock[#Data],3,FALSE)</f>
        <v>1033</v>
      </c>
      <c r="G589" s="43">
        <f>Compras[[#This Row],[Unidad]]*Compras[[#This Row],[Cantidad]]</f>
        <v>4132</v>
      </c>
      <c r="H589" s="16"/>
      <c r="I589" s="16"/>
      <c r="J589" s="16"/>
      <c r="K589" s="16"/>
    </row>
    <row r="590" spans="1:11" ht="20.25" customHeight="1">
      <c r="A590" s="16"/>
      <c r="B590" s="42" t="s">
        <v>610</v>
      </c>
      <c r="C590" s="6" t="str">
        <f>VLOOKUP(Compras[[#This Row],[Codigo]],Stock[#Data],2,FALSE)</f>
        <v>Namaste Oro Negro 100ml</v>
      </c>
      <c r="D590" s="40">
        <v>1</v>
      </c>
      <c r="E590" s="6">
        <v>478</v>
      </c>
      <c r="F590" s="12">
        <f>VLOOKUP(Compras[[#This Row],[Codigo]],Stock[#Data],3,FALSE)</f>
        <v>515</v>
      </c>
      <c r="G590" s="43">
        <f>Compras[[#This Row],[Unidad]]*Compras[[#This Row],[Cantidad]]</f>
        <v>515</v>
      </c>
      <c r="H590" s="16"/>
      <c r="I590" s="16"/>
      <c r="J590" s="16"/>
      <c r="K590" s="16"/>
    </row>
    <row r="591" spans="1:11" ht="20.25" customHeight="1">
      <c r="A591" s="16"/>
      <c r="B591" s="42" t="s">
        <v>610</v>
      </c>
      <c r="C591" s="6" t="str">
        <f>VLOOKUP(Compras[[#This Row],[Codigo]],Stock[#Data],2,FALSE)</f>
        <v>Namaste Flora Booster 100ml</v>
      </c>
      <c r="D591" s="40">
        <v>4</v>
      </c>
      <c r="E591" s="6">
        <v>480</v>
      </c>
      <c r="F591" s="12">
        <f>VLOOKUP(Compras[[#This Row],[Codigo]],Stock[#Data],3,FALSE)</f>
        <v>517</v>
      </c>
      <c r="G591" s="43">
        <f>Compras[[#This Row],[Unidad]]*Compras[[#This Row],[Cantidad]]</f>
        <v>2068</v>
      </c>
      <c r="H591" s="16"/>
      <c r="I591" s="16"/>
      <c r="J591" s="16"/>
      <c r="K591" s="16"/>
    </row>
    <row r="592" spans="1:11" ht="20.25" customHeight="1">
      <c r="A592" s="16"/>
      <c r="B592" s="42" t="s">
        <v>610</v>
      </c>
      <c r="C592" s="6" t="str">
        <f>VLOOKUP(Compras[[#This Row],[Codigo]],Stock[#Data],2,FALSE)</f>
        <v>Cultivate Melaza 250ml</v>
      </c>
      <c r="D592" s="40">
        <v>1</v>
      </c>
      <c r="E592" s="6">
        <v>543</v>
      </c>
      <c r="F592" s="12">
        <f>VLOOKUP(Compras[[#This Row],[Codigo]],Stock[#Data],3,FALSE)</f>
        <v>650</v>
      </c>
      <c r="G592" s="43">
        <f>Compras[[#This Row],[Unidad]]*Compras[[#This Row],[Cantidad]]</f>
        <v>650</v>
      </c>
      <c r="H592" s="16"/>
      <c r="I592" s="16"/>
      <c r="J592" s="16"/>
      <c r="K592" s="16"/>
    </row>
    <row r="593" spans="1:11" ht="20.25" customHeight="1">
      <c r="A593" s="16"/>
      <c r="B593" s="42" t="s">
        <v>610</v>
      </c>
      <c r="C593" s="6" t="str">
        <f>VLOOKUP(Compras[[#This Row],[Codigo]],Stock[#Data],2,FALSE)</f>
        <v>TreeMIX A 45ml</v>
      </c>
      <c r="D593" s="40">
        <v>2</v>
      </c>
      <c r="E593" s="6">
        <v>21</v>
      </c>
      <c r="F593" s="12">
        <f>VLOOKUP(Compras[[#This Row],[Codigo]],Stock[#Data],3,FALSE)</f>
        <v>260</v>
      </c>
      <c r="G593" s="43">
        <f>Compras[[#This Row],[Unidad]]*Compras[[#This Row],[Cantidad]]</f>
        <v>520</v>
      </c>
      <c r="H593" s="16"/>
      <c r="I593" s="16"/>
      <c r="J593" s="16"/>
      <c r="K593" s="16"/>
    </row>
    <row r="594" spans="1:11" ht="20.25" customHeight="1">
      <c r="A594" s="16"/>
      <c r="B594" s="42" t="s">
        <v>610</v>
      </c>
      <c r="C594" s="6" t="str">
        <f>VLOOKUP(Compras[[#This Row],[Codigo]],Stock[#Data],2,FALSE)</f>
        <v>Namaste Oro Negro 500ml</v>
      </c>
      <c r="D594" s="40">
        <v>2</v>
      </c>
      <c r="E594" s="6">
        <v>497</v>
      </c>
      <c r="F594" s="12">
        <f>VLOOKUP(Compras[[#This Row],[Codigo]],Stock[#Data],3,FALSE)</f>
        <v>1390</v>
      </c>
      <c r="G594" s="43">
        <f>Compras[[#This Row],[Unidad]]*Compras[[#This Row],[Cantidad]]</f>
        <v>2780</v>
      </c>
      <c r="H594" s="16"/>
      <c r="I594" s="16"/>
      <c r="J594" s="16"/>
      <c r="K594" s="16"/>
    </row>
    <row r="595" spans="1:11" ht="20.25" customHeight="1">
      <c r="A595" s="16"/>
      <c r="B595" s="42" t="s">
        <v>610</v>
      </c>
      <c r="C595" s="6" t="str">
        <f>VLOOKUP(Compras[[#This Row],[Codigo]],Stock[#Data],2,FALSE)</f>
        <v>Namaste Flora Booster 500ml</v>
      </c>
      <c r="D595" s="40">
        <v>3</v>
      </c>
      <c r="E595" s="6">
        <v>496</v>
      </c>
      <c r="F595" s="12">
        <f>VLOOKUP(Compras[[#This Row],[Codigo]],Stock[#Data],3,FALSE)</f>
        <v>1377</v>
      </c>
      <c r="G595" s="43">
        <f>Compras[[#This Row],[Unidad]]*Compras[[#This Row],[Cantidad]]</f>
        <v>4131</v>
      </c>
      <c r="H595" s="16"/>
      <c r="I595" s="16"/>
      <c r="J595" s="16"/>
      <c r="K595" s="16"/>
    </row>
    <row r="596" spans="1:11" ht="20.25" customHeight="1">
      <c r="A596" s="16"/>
      <c r="B596" s="42" t="s">
        <v>610</v>
      </c>
      <c r="C596" s="6" t="str">
        <f>VLOOKUP(Compras[[#This Row],[Codigo]],Stock[#Data],2,FALSE)</f>
        <v>TreeMIX A 200ml</v>
      </c>
      <c r="D596" s="40">
        <v>1</v>
      </c>
      <c r="E596" s="6">
        <v>31</v>
      </c>
      <c r="F596" s="12">
        <f>VLOOKUP(Compras[[#This Row],[Codigo]],Stock[#Data],3,FALSE)</f>
        <v>700</v>
      </c>
      <c r="G596" s="43">
        <f>Compras[[#This Row],[Unidad]]*Compras[[#This Row],[Cantidad]]</f>
        <v>700</v>
      </c>
      <c r="H596" s="16"/>
      <c r="I596" s="16"/>
      <c r="J596" s="16"/>
      <c r="K596" s="16"/>
    </row>
    <row r="597" spans="1:11" ht="20.25" customHeight="1">
      <c r="A597" s="16"/>
      <c r="B597" s="42" t="s">
        <v>612</v>
      </c>
      <c r="C597" s="6" t="str">
        <f>VLOOKUP(Compras[[#This Row],[Codigo]],Stock[#Data],2,FALSE)</f>
        <v xml:space="preserve">Aceite de Cannabis 30 ml </v>
      </c>
      <c r="D597" s="40">
        <v>2</v>
      </c>
      <c r="E597" s="6">
        <v>525</v>
      </c>
      <c r="F597" s="12">
        <f>VLOOKUP(Compras[[#This Row],[Codigo]],Stock[#Data],3,FALSE)</f>
        <v>5500</v>
      </c>
      <c r="G597" s="43">
        <f>Compras[[#This Row],[Unidad]]*Compras[[#This Row],[Cantidad]]</f>
        <v>11000</v>
      </c>
      <c r="H597" s="16"/>
      <c r="I597" s="16"/>
      <c r="J597" s="16"/>
      <c r="K597" s="16"/>
    </row>
    <row r="598" spans="1:11" ht="20.25" customHeight="1">
      <c r="A598" s="16"/>
      <c r="B598" s="42" t="s">
        <v>610</v>
      </c>
      <c r="C598" s="6" t="str">
        <f>VLOOKUP(Compras[[#This Row],[Codigo]],Stock[#Data],2,FALSE)</f>
        <v xml:space="preserve">Timer SICA </v>
      </c>
      <c r="D598" s="40">
        <v>5</v>
      </c>
      <c r="E598" s="6">
        <v>574</v>
      </c>
      <c r="F598" s="12">
        <f>VLOOKUP(Compras[[#This Row],[Codigo]],Stock[#Data],3,FALSE)</f>
        <v>1786</v>
      </c>
      <c r="G598" s="43">
        <f>Compras[[#This Row],[Unidad]]*Compras[[#This Row],[Cantidad]]</f>
        <v>8930</v>
      </c>
      <c r="H598" s="16"/>
      <c r="I598" s="16"/>
      <c r="J598" s="16"/>
      <c r="K598" s="16"/>
    </row>
    <row r="599" spans="1:11" ht="20.25" customHeight="1">
      <c r="A599" s="16"/>
      <c r="B599" s="42" t="s">
        <v>609</v>
      </c>
      <c r="C599" s="6" t="str">
        <f>VLOOKUP(Compras[[#This Row],[Codigo]],Stock[#Data],2,FALSE)</f>
        <v>Crema SANARCANN</v>
      </c>
      <c r="D599" s="40">
        <v>5</v>
      </c>
      <c r="E599" s="6">
        <v>573</v>
      </c>
      <c r="F599" s="12">
        <f>VLOOKUP(Compras[[#This Row],[Codigo]],Stock[#Data],3,FALSE)</f>
        <v>1500</v>
      </c>
      <c r="G599" s="43">
        <f>Compras[[#This Row],[Unidad]]*Compras[[#This Row],[Cantidad]]</f>
        <v>7500</v>
      </c>
      <c r="H599" s="16"/>
      <c r="I599" s="16"/>
      <c r="J599" s="16"/>
      <c r="K599" s="16"/>
    </row>
    <row r="600" spans="1:11" ht="20.25" customHeight="1">
      <c r="A600" s="16"/>
      <c r="B600" s="42" t="s">
        <v>595</v>
      </c>
      <c r="C600" s="6" t="str">
        <f>VLOOKUP(Compras[[#This Row],[Codigo]],Stock[#Data],2,FALSE)</f>
        <v>Sustrato Perlita</v>
      </c>
      <c r="D600" s="40">
        <v>30</v>
      </c>
      <c r="E600" s="6">
        <v>52</v>
      </c>
      <c r="F600" s="12">
        <f>VLOOKUP(Compras[[#This Row],[Codigo]],Stock[#Data],3,FALSE)</f>
        <v>400</v>
      </c>
      <c r="G600" s="43">
        <f>Compras[[#This Row],[Unidad]]*Compras[[#This Row],[Cantidad]]</f>
        <v>12000</v>
      </c>
      <c r="H600" s="16"/>
      <c r="I600" s="16"/>
      <c r="J600" s="16"/>
      <c r="K600" s="16"/>
    </row>
    <row r="601" spans="1:11" ht="20.25" customHeight="1">
      <c r="A601" s="16"/>
      <c r="B601" s="42" t="s">
        <v>595</v>
      </c>
      <c r="C601" s="6" t="str">
        <f>VLOOKUP(Compras[[#This Row],[Codigo]],Stock[#Data],2,FALSE)</f>
        <v>Pulverizador 1,5 litros</v>
      </c>
      <c r="D601" s="40">
        <v>5</v>
      </c>
      <c r="E601" s="6">
        <v>571</v>
      </c>
      <c r="F601" s="12">
        <f>VLOOKUP(Compras[[#This Row],[Codigo]],Stock[#Data],3,FALSE)</f>
        <v>1250</v>
      </c>
      <c r="G601" s="43">
        <f>Compras[[#This Row],[Unidad]]*Compras[[#This Row],[Cantidad]]</f>
        <v>6250</v>
      </c>
      <c r="H601" s="16"/>
      <c r="I601" s="16"/>
      <c r="J601" s="16"/>
      <c r="K601" s="16"/>
    </row>
    <row r="602" spans="1:11" ht="20.25" customHeight="1">
      <c r="A602" s="16"/>
      <c r="B602" s="42" t="s">
        <v>595</v>
      </c>
      <c r="C602" s="6" t="str">
        <f>VLOOKUP(Compras[[#This Row],[Codigo]],Stock[#Data],2,FALSE)</f>
        <v>Tips Rok Organic</v>
      </c>
      <c r="D602" s="40">
        <v>2</v>
      </c>
      <c r="E602" s="6">
        <v>96</v>
      </c>
      <c r="F602" s="12">
        <f>VLOOKUP(Compras[[#This Row],[Codigo]],Stock[#Data],3,FALSE)</f>
        <v>50</v>
      </c>
      <c r="G602" s="43">
        <f>Compras[[#This Row],[Unidad]]*Compras[[#This Row],[Cantidad]]</f>
        <v>100</v>
      </c>
      <c r="H602" s="16"/>
      <c r="I602" s="16"/>
      <c r="J602" s="16"/>
      <c r="K602" s="16"/>
    </row>
    <row r="603" spans="1:11" ht="20.25" customHeight="1">
      <c r="A603" s="16"/>
      <c r="B603" s="42" t="s">
        <v>595</v>
      </c>
      <c r="C603" s="6" t="str">
        <f>VLOOKUP(Compras[[#This Row],[Codigo]],Stock[#Data],2,FALSE)</f>
        <v>Sedas Lion Rolling Circus Ultra Thin</v>
      </c>
      <c r="D603" s="40">
        <v>1</v>
      </c>
      <c r="E603" s="6">
        <v>309</v>
      </c>
      <c r="F603" s="12">
        <f>VLOOKUP(Compras[[#This Row],[Codigo]],Stock[#Data],3,FALSE)</f>
        <v>123</v>
      </c>
      <c r="G603" s="43">
        <f>Compras[[#This Row],[Unidad]]*Compras[[#This Row],[Cantidad]]</f>
        <v>123</v>
      </c>
      <c r="H603" s="16"/>
      <c r="I603" s="16"/>
      <c r="J603" s="16"/>
      <c r="K603" s="16"/>
    </row>
    <row r="604" spans="1:11" ht="20.25" customHeight="1">
      <c r="A604" s="16"/>
      <c r="B604" s="42" t="s">
        <v>595</v>
      </c>
      <c r="C604" s="6" t="str">
        <f>VLOOKUP(Compras[[#This Row],[Codigo]],Stock[#Data],2,FALSE)</f>
        <v>Tips OCB Organic</v>
      </c>
      <c r="D604" s="40">
        <v>1</v>
      </c>
      <c r="E604" s="6">
        <v>95</v>
      </c>
      <c r="F604" s="12">
        <f>VLOOKUP(Compras[[#This Row],[Codigo]],Stock[#Data],3,FALSE)</f>
        <v>156</v>
      </c>
      <c r="G604" s="43">
        <f>Compras[[#This Row],[Unidad]]*Compras[[#This Row],[Cantidad]]</f>
        <v>156</v>
      </c>
      <c r="H604" s="16"/>
      <c r="I604" s="16"/>
      <c r="J604" s="16"/>
      <c r="K604" s="16"/>
    </row>
    <row r="605" spans="1:11" ht="20.25" customHeight="1">
      <c r="A605" s="16"/>
      <c r="B605" s="42" t="s">
        <v>595</v>
      </c>
      <c r="C605" s="6" t="str">
        <f>VLOOKUP(Compras[[#This Row],[Codigo]],Stock[#Data],2,FALSE)</f>
        <v>Sedas Lion Rolling Circus 1/4 saborizada Menta</v>
      </c>
      <c r="D605" s="40">
        <v>1</v>
      </c>
      <c r="E605" s="6">
        <v>66</v>
      </c>
      <c r="F605" s="12">
        <f>VLOOKUP(Compras[[#This Row],[Codigo]],Stock[#Data],3,FALSE)</f>
        <v>217</v>
      </c>
      <c r="G605" s="43">
        <f>Compras[[#This Row],[Unidad]]*Compras[[#This Row],[Cantidad]]</f>
        <v>217</v>
      </c>
      <c r="H605" s="16"/>
      <c r="I605" s="16"/>
      <c r="J605" s="16"/>
      <c r="K605" s="16"/>
    </row>
    <row r="606" spans="1:11" ht="20.25" customHeight="1">
      <c r="A606" s="16"/>
      <c r="B606" s="42" t="s">
        <v>595</v>
      </c>
      <c r="C606" s="6" t="str">
        <f>VLOOKUP(Compras[[#This Row],[Codigo]],Stock[#Data],2,FALSE)</f>
        <v>Sauver XL</v>
      </c>
      <c r="D606" s="40">
        <v>3</v>
      </c>
      <c r="E606" s="6">
        <v>529</v>
      </c>
      <c r="F606" s="12">
        <f>VLOOKUP(Compras[[#This Row],[Codigo]],Stock[#Data],3,FALSE)</f>
        <v>65</v>
      </c>
      <c r="G606" s="43">
        <f>Compras[[#This Row],[Unidad]]*Compras[[#This Row],[Cantidad]]</f>
        <v>195</v>
      </c>
      <c r="H606" s="16"/>
      <c r="I606" s="16"/>
      <c r="J606" s="16"/>
      <c r="K606" s="16"/>
    </row>
    <row r="607" spans="1:11" ht="20.25" customHeight="1">
      <c r="A607" s="16"/>
      <c r="B607" s="42" t="s">
        <v>595</v>
      </c>
      <c r="C607" s="6" t="str">
        <f>VLOOKUP(Compras[[#This Row],[Codigo]],Stock[#Data],2,FALSE)</f>
        <v xml:space="preserve">Encendedor Clipper </v>
      </c>
      <c r="D607" s="40">
        <v>0</v>
      </c>
      <c r="E607" s="6">
        <v>58</v>
      </c>
      <c r="F607" s="12">
        <f>VLOOKUP(Compras[[#This Row],[Codigo]],Stock[#Data],3,FALSE)</f>
        <v>378</v>
      </c>
      <c r="G607" s="43">
        <f>Compras[[#This Row],[Unidad]]*Compras[[#This Row],[Cantidad]]</f>
        <v>0</v>
      </c>
      <c r="H607" s="16"/>
      <c r="I607" s="16"/>
      <c r="J607" s="16"/>
      <c r="K607" s="16"/>
    </row>
    <row r="608" spans="1:11" ht="20.25" customHeight="1">
      <c r="A608" s="16"/>
      <c r="B608" s="42" t="s">
        <v>575</v>
      </c>
      <c r="C608" s="6" t="str">
        <f>VLOOKUP(Compras[[#This Row],[Codigo]],Stock[#Data],2,FALSE)</f>
        <v>CropSecret 250ml Booster Potion</v>
      </c>
      <c r="D608" s="40">
        <v>2</v>
      </c>
      <c r="E608" s="6">
        <v>4</v>
      </c>
      <c r="F608" s="12">
        <f>VLOOKUP(Compras[[#This Row],[Codigo]],Stock[#Data],3,FALSE)</f>
        <v>836</v>
      </c>
      <c r="G608" s="43">
        <f>Compras[[#This Row],[Unidad]]*Compras[[#This Row],[Cantidad]]</f>
        <v>1672</v>
      </c>
      <c r="H608" s="16"/>
      <c r="I608" s="16"/>
      <c r="J608" s="16"/>
      <c r="K608" s="16"/>
    </row>
    <row r="609" spans="1:11" ht="20.25" customHeight="1">
      <c r="A609" s="16"/>
      <c r="B609" s="42" t="s">
        <v>575</v>
      </c>
      <c r="C609" s="6" t="str">
        <f>VLOOKUP(Compras[[#This Row],[Codigo]],Stock[#Data],2,FALSE)</f>
        <v>CropSecret 250ml Green Session</v>
      </c>
      <c r="D609" s="40">
        <v>4</v>
      </c>
      <c r="E609" s="6">
        <v>2</v>
      </c>
      <c r="F609" s="12">
        <f>VLOOKUP(Compras[[#This Row],[Codigo]],Stock[#Data],3,FALSE)</f>
        <v>836</v>
      </c>
      <c r="G609" s="43">
        <f>Compras[[#This Row],[Unidad]]*Compras[[#This Row],[Cantidad]]</f>
        <v>3344</v>
      </c>
      <c r="H609" s="16"/>
      <c r="I609" s="16"/>
      <c r="J609" s="16"/>
      <c r="K609" s="16"/>
    </row>
    <row r="610" spans="1:11" ht="20.25" customHeight="1">
      <c r="A610" s="16"/>
      <c r="B610" s="42" t="s">
        <v>575</v>
      </c>
      <c r="C610" s="6" t="str">
        <f>VLOOKUP(Compras[[#This Row],[Codigo]],Stock[#Data],2,FALSE)</f>
        <v>Namaste Amazonia 150gr</v>
      </c>
      <c r="D610" s="40">
        <v>3</v>
      </c>
      <c r="E610" s="6">
        <v>477</v>
      </c>
      <c r="F610" s="12">
        <f>VLOOKUP(Compras[[#This Row],[Codigo]],Stock[#Data],3,FALSE)</f>
        <v>1218</v>
      </c>
      <c r="G610" s="43">
        <f>Compras[[#This Row],[Unidad]]*Compras[[#This Row],[Cantidad]]</f>
        <v>3654</v>
      </c>
      <c r="H610" s="16"/>
      <c r="I610" s="16"/>
      <c r="J610" s="16"/>
      <c r="K610" s="16"/>
    </row>
    <row r="611" spans="1:11" ht="20.25" customHeight="1">
      <c r="A611" s="16"/>
      <c r="B611" s="42" t="s">
        <v>575</v>
      </c>
      <c r="C611" s="6" t="str">
        <f>VLOOKUP(Compras[[#This Row],[Codigo]],Stock[#Data],2,FALSE)</f>
        <v xml:space="preserve">Namaste AMAZONIA  300gr </v>
      </c>
      <c r="D611" s="40">
        <v>2</v>
      </c>
      <c r="E611" s="6">
        <v>318</v>
      </c>
      <c r="F611" s="12">
        <f>VLOOKUP(Compras[[#This Row],[Codigo]],Stock[#Data],3,FALSE)</f>
        <v>2347</v>
      </c>
      <c r="G611" s="43">
        <f>Compras[[#This Row],[Unidad]]*Compras[[#This Row],[Cantidad]]</f>
        <v>4694</v>
      </c>
      <c r="H611" s="16"/>
      <c r="I611" s="16"/>
      <c r="J611" s="16"/>
      <c r="K611" s="16"/>
    </row>
    <row r="612" spans="1:11" ht="20.25" customHeight="1">
      <c r="A612" s="16"/>
      <c r="B612" s="42" t="s">
        <v>575</v>
      </c>
      <c r="C612" s="6" t="str">
        <f>VLOOKUP(Compras[[#This Row],[Codigo]],Stock[#Data],2,FALSE)</f>
        <v>Namaste Shanti 100ml</v>
      </c>
      <c r="D612" s="40">
        <v>4</v>
      </c>
      <c r="E612" s="6">
        <v>569</v>
      </c>
      <c r="F612" s="12">
        <f>VLOOKUP(Compras[[#This Row],[Codigo]],Stock[#Data],3,FALSE)</f>
        <v>932</v>
      </c>
      <c r="G612" s="43">
        <f>Compras[[#This Row],[Unidad]]*Compras[[#This Row],[Cantidad]]</f>
        <v>3728</v>
      </c>
      <c r="H612" s="16"/>
      <c r="I612" s="16"/>
      <c r="J612" s="16"/>
      <c r="K612" s="16"/>
    </row>
    <row r="613" spans="1:11" ht="20.25" customHeight="1">
      <c r="A613" s="16"/>
      <c r="B613" s="42" t="s">
        <v>575</v>
      </c>
      <c r="C613" s="6" t="str">
        <f>VLOOKUP(Compras[[#This Row],[Codigo]],Stock[#Data],2,FALSE)</f>
        <v>El Duende Jabon Potasico con Neem y Canela 250ml</v>
      </c>
      <c r="D613" s="40">
        <v>2</v>
      </c>
      <c r="E613" s="6">
        <v>570</v>
      </c>
      <c r="F613" s="12">
        <f>VLOOKUP(Compras[[#This Row],[Codigo]],Stock[#Data],3,FALSE)</f>
        <v>645</v>
      </c>
      <c r="G613" s="43">
        <f>Compras[[#This Row],[Unidad]]*Compras[[#This Row],[Cantidad]]</f>
        <v>1290</v>
      </c>
      <c r="H613" s="16"/>
      <c r="I613" s="16"/>
      <c r="J613" s="16"/>
      <c r="K613" s="16"/>
    </row>
    <row r="614" spans="1:11" ht="20.25" customHeight="1">
      <c r="A614" s="16"/>
      <c r="B614" s="42" t="s">
        <v>575</v>
      </c>
      <c r="C614" s="6" t="str">
        <f>VLOOKUP(Compras[[#This Row],[Codigo]],Stock[#Data],2,FALSE)</f>
        <v>Bong Acrilico chico diseños</v>
      </c>
      <c r="D614" s="40">
        <v>2</v>
      </c>
      <c r="E614" s="6">
        <v>172</v>
      </c>
      <c r="F614" s="12">
        <f>VLOOKUP(Compras[[#This Row],[Codigo]],Stock[#Data],3,FALSE)</f>
        <v>1030</v>
      </c>
      <c r="G614" s="43">
        <f>Compras[[#This Row],[Unidad]]*Compras[[#This Row],[Cantidad]]</f>
        <v>2060</v>
      </c>
      <c r="H614" s="16"/>
      <c r="I614" s="16"/>
      <c r="J614" s="16"/>
      <c r="K614" s="16"/>
    </row>
    <row r="615" spans="1:11" ht="20.25" customHeight="1">
      <c r="A615" s="16"/>
      <c r="B615" s="42" t="s">
        <v>575</v>
      </c>
      <c r="C615" s="6" t="str">
        <f>VLOOKUP(Compras[[#This Row],[Codigo]],Stock[#Data],2,FALSE)</f>
        <v>Bong Acrílico Mediano Diseños 20cm</v>
      </c>
      <c r="D615" s="40">
        <v>2</v>
      </c>
      <c r="E615" s="6">
        <v>528</v>
      </c>
      <c r="F615" s="12">
        <f>VLOOKUP(Compras[[#This Row],[Codigo]],Stock[#Data],3,FALSE)</f>
        <v>1330</v>
      </c>
      <c r="G615" s="43">
        <f>Compras[[#This Row],[Unidad]]*Compras[[#This Row],[Cantidad]]</f>
        <v>2660</v>
      </c>
      <c r="H615" s="16"/>
      <c r="I615" s="16"/>
      <c r="J615" s="16"/>
      <c r="K615" s="16"/>
    </row>
    <row r="616" spans="1:11" ht="20.25" customHeight="1">
      <c r="A616" s="16"/>
      <c r="B616" s="42" t="s">
        <v>575</v>
      </c>
      <c r="C616" s="6" t="str">
        <f>VLOOKUP(Compras[[#This Row],[Codigo]],Stock[#Data],2,FALSE)</f>
        <v>Picador Zeus 3p Plastico</v>
      </c>
      <c r="D616" s="40">
        <v>4</v>
      </c>
      <c r="E616" s="6">
        <v>564</v>
      </c>
      <c r="F616" s="12">
        <f>VLOOKUP(Compras[[#This Row],[Codigo]],Stock[#Data],3,FALSE)</f>
        <v>460</v>
      </c>
      <c r="G616" s="43">
        <f>Compras[[#This Row],[Unidad]]*Compras[[#This Row],[Cantidad]]</f>
        <v>1840</v>
      </c>
      <c r="H616" s="16"/>
      <c r="I616" s="16"/>
      <c r="J616" s="16"/>
      <c r="K616" s="16"/>
    </row>
    <row r="617" spans="1:11" ht="20.25" customHeight="1">
      <c r="A617" s="16"/>
      <c r="B617" s="42" t="s">
        <v>575</v>
      </c>
      <c r="C617" s="6" t="str">
        <f>VLOOKUP(Compras[[#This Row],[Codigo]],Stock[#Data],2,FALSE)</f>
        <v>Picador Zeus 4p Plastico</v>
      </c>
      <c r="D617" s="40">
        <v>1</v>
      </c>
      <c r="E617" s="6">
        <v>565</v>
      </c>
      <c r="F617" s="12">
        <f>VLOOKUP(Compras[[#This Row],[Codigo]],Stock[#Data],3,FALSE)</f>
        <v>760</v>
      </c>
      <c r="G617" s="43">
        <f>Compras[[#This Row],[Unidad]]*Compras[[#This Row],[Cantidad]]</f>
        <v>760</v>
      </c>
      <c r="H617" s="16"/>
      <c r="I617" s="16"/>
      <c r="J617" s="16"/>
      <c r="K617" s="16"/>
    </row>
    <row r="618" spans="1:11" ht="20.25" customHeight="1">
      <c r="A618" s="16"/>
      <c r="B618" s="42" t="s">
        <v>575</v>
      </c>
      <c r="C618" s="6" t="str">
        <f>VLOOKUP(Compras[[#This Row],[Codigo]],Stock[#Data],2,FALSE)</f>
        <v xml:space="preserve">Bong de Silicona Grande </v>
      </c>
      <c r="D618" s="40">
        <v>1</v>
      </c>
      <c r="E618" s="6">
        <v>566</v>
      </c>
      <c r="F618" s="12">
        <f>VLOOKUP(Compras[[#This Row],[Codigo]],Stock[#Data],3,FALSE)</f>
        <v>5750</v>
      </c>
      <c r="G618" s="43">
        <f>Compras[[#This Row],[Unidad]]*Compras[[#This Row],[Cantidad]]</f>
        <v>5750</v>
      </c>
      <c r="H618" s="16"/>
      <c r="I618" s="16"/>
      <c r="J618" s="16"/>
      <c r="K618" s="16"/>
    </row>
    <row r="619" spans="1:11" ht="20.25" customHeight="1">
      <c r="A619" s="16"/>
      <c r="B619" s="42" t="s">
        <v>575</v>
      </c>
      <c r="C619" s="6" t="str">
        <f>VLOOKUP(Compras[[#This Row],[Codigo]],Stock[#Data],2,FALSE)</f>
        <v>Bandeja Keep it Fresh Chica c/tapa</v>
      </c>
      <c r="D619" s="40">
        <v>2</v>
      </c>
      <c r="E619" s="6">
        <v>567</v>
      </c>
      <c r="F619" s="12">
        <f>VLOOKUP(Compras[[#This Row],[Codigo]],Stock[#Data],3,FALSE)</f>
        <v>1685</v>
      </c>
      <c r="G619" s="43">
        <f>Compras[[#This Row],[Unidad]]*Compras[[#This Row],[Cantidad]]</f>
        <v>3370</v>
      </c>
      <c r="H619" s="16"/>
      <c r="I619" s="16"/>
      <c r="J619" s="16"/>
      <c r="K619" s="16"/>
    </row>
    <row r="620" spans="1:11" ht="20.25" customHeight="1">
      <c r="A620" s="16"/>
      <c r="B620" s="42" t="s">
        <v>575</v>
      </c>
      <c r="C620" s="6" t="str">
        <f>VLOOKUP(Compras[[#This Row],[Codigo]],Stock[#Data],2,FALSE)</f>
        <v>Cigarrera Stamps Metal</v>
      </c>
      <c r="D620" s="40">
        <v>2</v>
      </c>
      <c r="E620" s="6">
        <v>568</v>
      </c>
      <c r="F620" s="12">
        <f>VLOOKUP(Compras[[#This Row],[Codigo]],Stock[#Data],3,FALSE)</f>
        <v>1050</v>
      </c>
      <c r="G620" s="43">
        <f>Compras[[#This Row],[Unidad]]*Compras[[#This Row],[Cantidad]]</f>
        <v>2100</v>
      </c>
      <c r="H620" s="16"/>
      <c r="I620" s="16"/>
      <c r="J620" s="16"/>
      <c r="K620" s="16"/>
    </row>
    <row r="621" spans="1:11" ht="20.25" customHeight="1">
      <c r="A621" s="16"/>
      <c r="B621" s="42" t="s">
        <v>571</v>
      </c>
      <c r="C621" s="6" t="str">
        <f>VLOOKUP(Compras[[#This Row],[Codigo]],Stock[#Data],2,FALSE)</f>
        <v>Tabaco Van Kiff Natural</v>
      </c>
      <c r="D621" s="40">
        <v>10</v>
      </c>
      <c r="E621" s="6">
        <v>117</v>
      </c>
      <c r="F621" s="12">
        <f>VLOOKUP(Compras[[#This Row],[Codigo]],Stock[#Data],3,FALSE)</f>
        <v>580</v>
      </c>
      <c r="G621" s="43">
        <f>Compras[[#This Row],[Unidad]]*Compras[[#This Row],[Cantidad]]</f>
        <v>5800</v>
      </c>
      <c r="H621" s="16"/>
      <c r="I621" s="16"/>
      <c r="J621" s="16"/>
      <c r="K621" s="16"/>
    </row>
    <row r="622" spans="1:11" ht="20.25" customHeight="1">
      <c r="A622" s="16"/>
      <c r="B622" s="42" t="s">
        <v>565</v>
      </c>
      <c r="C622" s="6" t="str">
        <f>VLOOKUP(Compras[[#This Row],[Codigo]],Stock[#Data],2,FALSE)</f>
        <v>Bong D&amp;K Vidrio Recto</v>
      </c>
      <c r="D622" s="40">
        <v>1</v>
      </c>
      <c r="E622" s="6">
        <v>563</v>
      </c>
      <c r="F622" s="12">
        <f>VLOOKUP(Compras[[#This Row],[Codigo]],Stock[#Data],3,FALSE)</f>
        <v>3991</v>
      </c>
      <c r="G622" s="43">
        <f>Compras[[#This Row],[Unidad]]*Compras[[#This Row],[Cantidad]]</f>
        <v>3991</v>
      </c>
      <c r="H622" s="16"/>
      <c r="I622" s="16"/>
      <c r="J622" s="16"/>
      <c r="K622" s="16"/>
    </row>
    <row r="623" spans="1:11" ht="20.25" customHeight="1">
      <c r="A623" s="16"/>
      <c r="B623" s="42" t="s">
        <v>565</v>
      </c>
      <c r="C623" s="6" t="str">
        <f>VLOOKUP(Compras[[#This Row],[Codigo]],Stock[#Data],2,FALSE)</f>
        <v>Bong D&amp;K Vidrio Chico Pico Curvo</v>
      </c>
      <c r="D623" s="40">
        <v>1</v>
      </c>
      <c r="E623" s="6">
        <v>562</v>
      </c>
      <c r="F623" s="12">
        <f>VLOOKUP(Compras[[#This Row],[Codigo]],Stock[#Data],3,FALSE)</f>
        <v>2491</v>
      </c>
      <c r="G623" s="43">
        <f>Compras[[#This Row],[Unidad]]*Compras[[#This Row],[Cantidad]]</f>
        <v>2491</v>
      </c>
      <c r="H623" s="16"/>
      <c r="I623" s="16"/>
      <c r="J623" s="16"/>
      <c r="K623" s="16"/>
    </row>
    <row r="624" spans="1:11" ht="20.25" customHeight="1">
      <c r="A624" s="16"/>
      <c r="B624" s="42" t="s">
        <v>565</v>
      </c>
      <c r="C624" s="6" t="str">
        <f>VLOOKUP(Compras[[#This Row],[Codigo]],Stock[#Data],2,FALSE)</f>
        <v>Turbina Pico de Silicona</v>
      </c>
      <c r="D624" s="40">
        <v>6</v>
      </c>
      <c r="E624" s="6">
        <v>164</v>
      </c>
      <c r="F624" s="12">
        <f>VLOOKUP(Compras[[#This Row],[Codigo]],Stock[#Data],3,FALSE)</f>
        <v>1076</v>
      </c>
      <c r="G624" s="43">
        <f>Compras[[#This Row],[Unidad]]*Compras[[#This Row],[Cantidad]]</f>
        <v>6456</v>
      </c>
      <c r="H624" s="16"/>
      <c r="I624" s="16"/>
      <c r="J624" s="16"/>
      <c r="K624" s="16"/>
    </row>
    <row r="625" spans="1:11" ht="20.25" customHeight="1">
      <c r="A625" s="16"/>
      <c r="B625" s="42" t="s">
        <v>556</v>
      </c>
      <c r="C625" s="6" t="str">
        <f>VLOOKUP(Compras[[#This Row],[Codigo]],Stock[#Data],2,FALSE)</f>
        <v>Regulador de Humedad 67g 55%</v>
      </c>
      <c r="D625" s="40">
        <v>2</v>
      </c>
      <c r="E625" s="6">
        <v>188</v>
      </c>
      <c r="F625" s="12">
        <f>VLOOKUP(Compras[[#This Row],[Codigo]],Stock[#Data],3,FALSE)</f>
        <v>650</v>
      </c>
      <c r="G625" s="43">
        <f>Compras[[#This Row],[Unidad]]*Compras[[#This Row],[Cantidad]]</f>
        <v>1300</v>
      </c>
      <c r="H625" s="16"/>
      <c r="I625" s="16"/>
      <c r="J625" s="16"/>
      <c r="K625" s="16"/>
    </row>
    <row r="626" spans="1:11" ht="20.25" customHeight="1">
      <c r="A626" s="16"/>
      <c r="B626" s="42" t="s">
        <v>518</v>
      </c>
      <c r="C626" s="6" t="str">
        <f>VLOOKUP(Compras[[#This Row],[Codigo]],Stock[#Data],2,FALSE)</f>
        <v>Cigarrera</v>
      </c>
      <c r="D626" s="40">
        <v>2</v>
      </c>
      <c r="E626" s="6">
        <v>428</v>
      </c>
      <c r="F626" s="12">
        <f>VLOOKUP(Compras[[#This Row],[Codigo]],Stock[#Data],3,FALSE)</f>
        <v>1699</v>
      </c>
      <c r="G626" s="43">
        <f>Compras[[#This Row],[Unidad]]*Compras[[#This Row],[Cantidad]]</f>
        <v>3398</v>
      </c>
      <c r="H626" s="16"/>
      <c r="I626" s="16"/>
      <c r="J626" s="16"/>
      <c r="K626" s="16"/>
    </row>
    <row r="627" spans="1:11" ht="20.25" customHeight="1">
      <c r="A627" s="16"/>
      <c r="B627" s="42" t="s">
        <v>556</v>
      </c>
      <c r="C627" s="6" t="str">
        <f>VLOOKUP(Compras[[#This Row],[Codigo]],Stock[#Data],2,FALSE)</f>
        <v>Bandeja Lion Rollin Mediana</v>
      </c>
      <c r="D627" s="40">
        <v>2</v>
      </c>
      <c r="E627" s="6">
        <v>389</v>
      </c>
      <c r="F627" s="12">
        <f>VLOOKUP(Compras[[#This Row],[Codigo]],Stock[#Data],3,FALSE)</f>
        <v>1898</v>
      </c>
      <c r="G627" s="43">
        <f>Compras[[#This Row],[Unidad]]*Compras[[#This Row],[Cantidad]]</f>
        <v>3796</v>
      </c>
      <c r="H627" s="16"/>
      <c r="I627" s="16"/>
      <c r="J627" s="16"/>
      <c r="K627" s="16"/>
    </row>
    <row r="628" spans="1:11" ht="20.25" customHeight="1">
      <c r="A628" s="16"/>
      <c r="B628" s="42" t="s">
        <v>518</v>
      </c>
      <c r="C628" s="6" t="str">
        <f>VLOOKUP(Compras[[#This Row],[Codigo]],Stock[#Data],2,FALSE)</f>
        <v>Portaseda RAW 1/4</v>
      </c>
      <c r="D628" s="40">
        <v>3</v>
      </c>
      <c r="E628" s="6">
        <v>150</v>
      </c>
      <c r="F628" s="12">
        <f>VLOOKUP(Compras[[#This Row],[Codigo]],Stock[#Data],3,FALSE)</f>
        <v>580</v>
      </c>
      <c r="G628" s="43">
        <f>Compras[[#This Row],[Unidad]]*Compras[[#This Row],[Cantidad]]</f>
        <v>1740</v>
      </c>
      <c r="H628" s="16"/>
      <c r="I628" s="16"/>
      <c r="J628" s="16"/>
      <c r="K628" s="16"/>
    </row>
    <row r="629" spans="1:11" ht="20.25" customHeight="1">
      <c r="A629" s="16"/>
      <c r="B629" s="41">
        <v>44927</v>
      </c>
      <c r="C629" s="6" t="str">
        <f>VLOOKUP(Compras[[#This Row],[Codigo]],Stock[#Data],2,FALSE)</f>
        <v>Organic Life gel enraizante</v>
      </c>
      <c r="D629" s="40">
        <v>2</v>
      </c>
      <c r="E629" s="6">
        <v>16</v>
      </c>
      <c r="F629" s="12">
        <f>VLOOKUP(Compras[[#This Row],[Codigo]],Stock[#Data],3,FALSE)</f>
        <v>425</v>
      </c>
      <c r="G629" s="43">
        <f>Compras[[#This Row],[Unidad]]*Compras[[#This Row],[Cantidad]]</f>
        <v>850</v>
      </c>
      <c r="H629" s="16"/>
      <c r="I629" s="16"/>
      <c r="J629" s="16"/>
      <c r="K629" s="16"/>
    </row>
    <row r="630" spans="1:11" ht="20.25" customHeight="1">
      <c r="A630" s="16"/>
      <c r="B630" s="41">
        <v>44927</v>
      </c>
      <c r="C630" s="6" t="str">
        <f>VLOOKUP(Compras[[#This Row],[Codigo]],Stock[#Data],2,FALSE)</f>
        <v>Tabaco Van Kiff Natural</v>
      </c>
      <c r="D630" s="40">
        <v>1</v>
      </c>
      <c r="E630" s="6">
        <v>117</v>
      </c>
      <c r="F630" s="12">
        <f>VLOOKUP(Compras[[#This Row],[Codigo]],Stock[#Data],3,FALSE)</f>
        <v>580</v>
      </c>
      <c r="G630" s="43">
        <f>Compras[[#This Row],[Unidad]]*Compras[[#This Row],[Cantidad]]</f>
        <v>580</v>
      </c>
      <c r="H630" s="16"/>
      <c r="I630" s="16"/>
      <c r="J630" s="16"/>
      <c r="K630" s="16"/>
    </row>
    <row r="631" spans="1:11" ht="20.25" customHeight="1">
      <c r="A631" s="16"/>
      <c r="B631" s="41">
        <v>44927</v>
      </c>
      <c r="C631" s="6" t="str">
        <f>VLOOKUP(Compras[[#This Row],[Codigo]],Stock[#Data],2,FALSE)</f>
        <v>Blunt Lion Hemp Wraps Natural</v>
      </c>
      <c r="D631" s="40">
        <v>1</v>
      </c>
      <c r="E631" s="6">
        <v>561</v>
      </c>
      <c r="F631" s="12">
        <f>VLOOKUP(Compras[[#This Row],[Codigo]],Stock[#Data],3,FALSE)</f>
        <v>316</v>
      </c>
      <c r="G631" s="43">
        <f>Compras[[#This Row],[Unidad]]*Compras[[#This Row],[Cantidad]]</f>
        <v>316</v>
      </c>
      <c r="H631" s="16"/>
      <c r="I631" s="16"/>
      <c r="J631" s="16"/>
      <c r="K631" s="16"/>
    </row>
    <row r="632" spans="1:11" ht="20.25" customHeight="1">
      <c r="A632" s="16"/>
      <c r="B632" s="41">
        <v>44927</v>
      </c>
      <c r="C632" s="6" t="str">
        <f>VLOOKUP(Compras[[#This Row],[Codigo]],Stock[#Data],2,FALSE)</f>
        <v>Cerveza 420</v>
      </c>
      <c r="D632" s="40">
        <v>2</v>
      </c>
      <c r="E632" s="6">
        <v>560</v>
      </c>
      <c r="F632" s="12">
        <f>VLOOKUP(Compras[[#This Row],[Codigo]],Stock[#Data],3,FALSE)</f>
        <v>350</v>
      </c>
      <c r="G632" s="43">
        <f>Compras[[#This Row],[Unidad]]*Compras[[#This Row],[Cantidad]]</f>
        <v>700</v>
      </c>
      <c r="H632" s="16"/>
      <c r="I632" s="16"/>
      <c r="J632" s="16"/>
      <c r="K632" s="16"/>
    </row>
    <row r="633" spans="1:11" ht="20.25" customHeight="1">
      <c r="A633" s="16"/>
      <c r="B633" s="42" t="s">
        <v>518</v>
      </c>
      <c r="C633" s="6" t="str">
        <f>VLOOKUP(Compras[[#This Row],[Codigo]],Stock[#Data],2,FALSE)</f>
        <v>Cenicero Motivos Varios</v>
      </c>
      <c r="D633" s="40">
        <v>1</v>
      </c>
      <c r="E633" s="6">
        <v>142</v>
      </c>
      <c r="F633" s="12">
        <f>VLOOKUP(Compras[[#This Row],[Codigo]],Stock[#Data],3,FALSE)</f>
        <v>215</v>
      </c>
      <c r="G633" s="43">
        <f>Compras[[#This Row],[Unidad]]*Compras[[#This Row],[Cantidad]]</f>
        <v>215</v>
      </c>
      <c r="H633" s="16"/>
      <c r="I633" s="16"/>
      <c r="J633" s="16"/>
      <c r="K633" s="16"/>
    </row>
    <row r="634" spans="1:11" ht="20.25" customHeight="1">
      <c r="A634" s="16"/>
      <c r="B634" s="42" t="s">
        <v>518</v>
      </c>
      <c r="C634" s="6" t="str">
        <f>VLOOKUP(Compras[[#This Row],[Codigo]],Stock[#Data],2,FALSE)</f>
        <v>Cenicero Bull Dog</v>
      </c>
      <c r="D634" s="40">
        <v>2</v>
      </c>
      <c r="E634" s="6">
        <v>140</v>
      </c>
      <c r="F634" s="12">
        <f>VLOOKUP(Compras[[#This Row],[Codigo]],Stock[#Data],3,FALSE)</f>
        <v>354</v>
      </c>
      <c r="G634" s="43">
        <f>Compras[[#This Row],[Unidad]]*Compras[[#This Row],[Cantidad]]</f>
        <v>708</v>
      </c>
      <c r="H634" s="16"/>
      <c r="I634" s="16"/>
      <c r="J634" s="16"/>
      <c r="K634" s="16"/>
    </row>
    <row r="635" spans="1:11" ht="20.25" customHeight="1">
      <c r="A635" s="16"/>
      <c r="B635" s="42" t="s">
        <v>518</v>
      </c>
      <c r="C635" s="6" t="str">
        <f>VLOOKUP(Compras[[#This Row],[Codigo]],Stock[#Data],2,FALSE)</f>
        <v>Bandeja OCB con tapa</v>
      </c>
      <c r="D635" s="40">
        <v>5</v>
      </c>
      <c r="E635" s="6">
        <v>546</v>
      </c>
      <c r="F635" s="12">
        <f>VLOOKUP(Compras[[#This Row],[Codigo]],Stock[#Data],3,FALSE)</f>
        <v>1321</v>
      </c>
      <c r="G635" s="43">
        <f>Compras[[#This Row],[Unidad]]*Compras[[#This Row],[Cantidad]]</f>
        <v>6605</v>
      </c>
      <c r="H635" s="16"/>
      <c r="I635" s="16"/>
      <c r="J635" s="16"/>
      <c r="K635" s="16"/>
    </row>
    <row r="636" spans="1:11" ht="20.25" customHeight="1">
      <c r="A636" s="16"/>
      <c r="B636" s="42" t="s">
        <v>518</v>
      </c>
      <c r="C636" s="6" t="str">
        <f>VLOOKUP(Compras[[#This Row],[Codigo]],Stock[#Data],2,FALSE)</f>
        <v>Recipiente de Silicona</v>
      </c>
      <c r="D636" s="40">
        <v>4</v>
      </c>
      <c r="E636" s="6">
        <v>547</v>
      </c>
      <c r="F636" s="12">
        <f>VLOOKUP(Compras[[#This Row],[Codigo]],Stock[#Data],3,FALSE)</f>
        <v>383</v>
      </c>
      <c r="G636" s="43">
        <f>Compras[[#This Row],[Unidad]]*Compras[[#This Row],[Cantidad]]</f>
        <v>1532</v>
      </c>
      <c r="H636" s="16"/>
      <c r="I636" s="16"/>
      <c r="J636" s="16"/>
      <c r="K636" s="16"/>
    </row>
    <row r="637" spans="1:11" ht="20.25" customHeight="1">
      <c r="A637" s="16"/>
      <c r="B637" s="42" t="s">
        <v>518</v>
      </c>
      <c r="C637" s="6" t="str">
        <f>VLOOKUP(Compras[[#This Row],[Codigo]],Stock[#Data],2,FALSE)</f>
        <v>Anillos de Silicona</v>
      </c>
      <c r="D637" s="40">
        <v>6</v>
      </c>
      <c r="E637" s="6">
        <v>548</v>
      </c>
      <c r="F637" s="12">
        <f>VLOOKUP(Compras[[#This Row],[Codigo]],Stock[#Data],3,FALSE)</f>
        <v>345</v>
      </c>
      <c r="G637" s="43">
        <f>Compras[[#This Row],[Unidad]]*Compras[[#This Row],[Cantidad]]</f>
        <v>2070</v>
      </c>
      <c r="H637" s="16"/>
      <c r="I637" s="16"/>
      <c r="J637" s="16"/>
      <c r="K637" s="16"/>
    </row>
    <row r="638" spans="1:11" ht="20.25" customHeight="1">
      <c r="A638" s="16"/>
      <c r="B638" s="42" t="s">
        <v>518</v>
      </c>
      <c r="C638" s="6" t="str">
        <f>VLOOKUP(Compras[[#This Row],[Codigo]],Stock[#Data],2,FALSE)</f>
        <v>Tabaquera Artesanal</v>
      </c>
      <c r="D638" s="40">
        <v>1</v>
      </c>
      <c r="E638" s="6">
        <v>549</v>
      </c>
      <c r="F638" s="12">
        <f>VLOOKUP(Compras[[#This Row],[Codigo]],Stock[#Data],3,FALSE)</f>
        <v>800</v>
      </c>
      <c r="G638" s="43">
        <f>Compras[[#This Row],[Unidad]]*Compras[[#This Row],[Cantidad]]</f>
        <v>800</v>
      </c>
      <c r="H638" s="16"/>
      <c r="I638" s="16"/>
      <c r="J638" s="16"/>
      <c r="K638" s="16"/>
    </row>
    <row r="639" spans="1:11" ht="20.25" customHeight="1">
      <c r="A639" s="16"/>
      <c r="B639" s="42" t="s">
        <v>518</v>
      </c>
      <c r="C639" s="6" t="str">
        <f>VLOOKUP(Compras[[#This Row],[Codigo]],Stock[#Data],2,FALSE)</f>
        <v>Anillo 3D</v>
      </c>
      <c r="D639" s="40">
        <v>6</v>
      </c>
      <c r="E639" s="6">
        <v>550</v>
      </c>
      <c r="F639" s="12">
        <f>VLOOKUP(Compras[[#This Row],[Codigo]],Stock[#Data],3,FALSE)</f>
        <v>100</v>
      </c>
      <c r="G639" s="43">
        <f>Compras[[#This Row],[Unidad]]*Compras[[#This Row],[Cantidad]]</f>
        <v>600</v>
      </c>
      <c r="H639" s="16"/>
      <c r="I639" s="16"/>
      <c r="J639" s="16"/>
      <c r="K639" s="16"/>
    </row>
    <row r="640" spans="1:11" ht="20.25" customHeight="1">
      <c r="A640" s="16"/>
      <c r="B640" s="42" t="s">
        <v>518</v>
      </c>
      <c r="C640" s="6" t="str">
        <f>VLOOKUP(Compras[[#This Row],[Codigo]],Stock[#Data],2,FALSE)</f>
        <v>Lata Cuadrada Smoke Weed Everiday</v>
      </c>
      <c r="D640" s="40">
        <v>1</v>
      </c>
      <c r="E640" s="6">
        <v>551</v>
      </c>
      <c r="F640" s="12">
        <f>VLOOKUP(Compras[[#This Row],[Codigo]],Stock[#Data],3,FALSE)</f>
        <v>200</v>
      </c>
      <c r="G640" s="43">
        <f>Compras[[#This Row],[Unidad]]*Compras[[#This Row],[Cantidad]]</f>
        <v>200</v>
      </c>
      <c r="H640" s="16"/>
      <c r="I640" s="16"/>
      <c r="J640" s="16"/>
      <c r="K640" s="16"/>
    </row>
    <row r="641" spans="1:11" ht="20.25" customHeight="1">
      <c r="A641" s="16"/>
      <c r="B641" s="42" t="s">
        <v>518</v>
      </c>
      <c r="C641" s="6" t="str">
        <f>VLOOKUP(Compras[[#This Row],[Codigo]],Stock[#Data],2,FALSE)</f>
        <v>Lata Cigarrera RAW</v>
      </c>
      <c r="D641" s="40">
        <v>1</v>
      </c>
      <c r="E641" s="6">
        <v>552</v>
      </c>
      <c r="F641" s="12">
        <f>VLOOKUP(Compras[[#This Row],[Codigo]],Stock[#Data],3,FALSE)</f>
        <v>1252</v>
      </c>
      <c r="G641" s="43">
        <f>Compras[[#This Row],[Unidad]]*Compras[[#This Row],[Cantidad]]</f>
        <v>1252</v>
      </c>
      <c r="H641" s="16"/>
      <c r="I641" s="16"/>
      <c r="J641" s="16"/>
      <c r="K641" s="16"/>
    </row>
    <row r="642" spans="1:11" ht="20.25" customHeight="1">
      <c r="A642" s="16"/>
      <c r="B642" s="42" t="s">
        <v>518</v>
      </c>
      <c r="C642" s="6" t="str">
        <f>VLOOKUP(Compras[[#This Row],[Codigo]],Stock[#Data],2,FALSE)</f>
        <v>Lata Redonda Chica RAW</v>
      </c>
      <c r="D642" s="40">
        <v>1</v>
      </c>
      <c r="E642" s="6">
        <v>553</v>
      </c>
      <c r="F642" s="12">
        <f>VLOOKUP(Compras[[#This Row],[Codigo]],Stock[#Data],3,FALSE)</f>
        <v>450</v>
      </c>
      <c r="G642" s="43">
        <f>Compras[[#This Row],[Unidad]]*Compras[[#This Row],[Cantidad]]</f>
        <v>450</v>
      </c>
      <c r="H642" s="16"/>
      <c r="I642" s="16"/>
      <c r="J642" s="16"/>
      <c r="K642" s="16"/>
    </row>
    <row r="643" spans="1:11" ht="20.25" customHeight="1">
      <c r="A643" s="16"/>
      <c r="B643" s="42" t="s">
        <v>518</v>
      </c>
      <c r="C643" s="6" t="str">
        <f>VLOOKUP(Compras[[#This Row],[Codigo]],Stock[#Data],2,FALSE)</f>
        <v>Lata GIZEH</v>
      </c>
      <c r="D643" s="40">
        <v>5</v>
      </c>
      <c r="E643" s="6">
        <v>554</v>
      </c>
      <c r="F643" s="12">
        <f>VLOOKUP(Compras[[#This Row],[Codigo]],Stock[#Data],3,FALSE)</f>
        <v>300</v>
      </c>
      <c r="G643" s="43">
        <f>Compras[[#This Row],[Unidad]]*Compras[[#This Row],[Cantidad]]</f>
        <v>1500</v>
      </c>
      <c r="H643" s="16"/>
      <c r="I643" s="16"/>
      <c r="J643" s="16"/>
      <c r="K643" s="16"/>
    </row>
    <row r="644" spans="1:11" ht="20.25" customHeight="1">
      <c r="A644" s="16"/>
      <c r="B644" s="42" t="s">
        <v>518</v>
      </c>
      <c r="C644" s="6" t="str">
        <f>VLOOKUP(Compras[[#This Row],[Codigo]],Stock[#Data],2,FALSE)</f>
        <v>Lata GIZEH+Sedas</v>
      </c>
      <c r="D644" s="40">
        <v>2</v>
      </c>
      <c r="E644" s="6">
        <v>555</v>
      </c>
      <c r="F644" s="12">
        <f>VLOOKUP(Compras[[#This Row],[Codigo]],Stock[#Data],3,FALSE)</f>
        <v>376</v>
      </c>
      <c r="G644" s="43">
        <f>Compras[[#This Row],[Unidad]]*Compras[[#This Row],[Cantidad]]</f>
        <v>752</v>
      </c>
      <c r="H644" s="16"/>
      <c r="I644" s="16"/>
      <c r="J644" s="16"/>
      <c r="K644" s="16"/>
    </row>
    <row r="645" spans="1:11" ht="20.25" customHeight="1">
      <c r="A645" s="16"/>
      <c r="B645" s="42" t="s">
        <v>518</v>
      </c>
      <c r="C645" s="6" t="str">
        <f>VLOOKUP(Compras[[#This Row],[Codigo]],Stock[#Data],2,FALSE)</f>
        <v>Frasco Weed Chico</v>
      </c>
      <c r="D645" s="40">
        <v>2</v>
      </c>
      <c r="E645" s="6">
        <v>556</v>
      </c>
      <c r="F645" s="12">
        <f>VLOOKUP(Compras[[#This Row],[Codigo]],Stock[#Data],3,FALSE)</f>
        <v>200</v>
      </c>
      <c r="G645" s="43">
        <f>Compras[[#This Row],[Unidad]]*Compras[[#This Row],[Cantidad]]</f>
        <v>400</v>
      </c>
      <c r="H645" s="16"/>
      <c r="I645" s="16"/>
      <c r="J645" s="16"/>
      <c r="K645" s="16"/>
    </row>
    <row r="646" spans="1:11" ht="20.25" customHeight="1">
      <c r="A646" s="16"/>
      <c r="B646" s="42" t="s">
        <v>518</v>
      </c>
      <c r="C646" s="6" t="str">
        <f>VLOOKUP(Compras[[#This Row],[Codigo]],Stock[#Data],2,FALSE)</f>
        <v>Frasco Weed Mediano</v>
      </c>
      <c r="D646" s="40">
        <v>2</v>
      </c>
      <c r="E646" s="6">
        <v>557</v>
      </c>
      <c r="F646" s="12">
        <f>VLOOKUP(Compras[[#This Row],[Codigo]],Stock[#Data],3,FALSE)</f>
        <v>300</v>
      </c>
      <c r="G646" s="43">
        <f>Compras[[#This Row],[Unidad]]*Compras[[#This Row],[Cantidad]]</f>
        <v>600</v>
      </c>
      <c r="H646" s="16"/>
      <c r="I646" s="16"/>
      <c r="J646" s="16"/>
      <c r="K646" s="16"/>
    </row>
    <row r="647" spans="1:11" ht="20.25" customHeight="1">
      <c r="A647" s="16"/>
      <c r="B647" s="42" t="s">
        <v>518</v>
      </c>
      <c r="C647" s="6" t="str">
        <f>VLOOKUP(Compras[[#This Row],[Codigo]],Stock[#Data],2,FALSE)</f>
        <v>Cenicero Silicona</v>
      </c>
      <c r="D647" s="40">
        <v>2</v>
      </c>
      <c r="E647" s="6">
        <v>558</v>
      </c>
      <c r="F647" s="12">
        <f>VLOOKUP(Compras[[#This Row],[Codigo]],Stock[#Data],3,FALSE)</f>
        <v>1177</v>
      </c>
      <c r="G647" s="43">
        <f>Compras[[#This Row],[Unidad]]*Compras[[#This Row],[Cantidad]]</f>
        <v>2354</v>
      </c>
      <c r="H647" s="16"/>
      <c r="I647" s="16"/>
      <c r="J647" s="16"/>
      <c r="K647" s="16"/>
    </row>
    <row r="648" spans="1:11" ht="20.25" customHeight="1">
      <c r="A648" s="16"/>
      <c r="B648" s="42" t="s">
        <v>518</v>
      </c>
      <c r="C648" s="6" t="str">
        <f>VLOOKUP(Compras[[#This Row],[Codigo]],Stock[#Data],2,FALSE)</f>
        <v>Lata+Picador 420</v>
      </c>
      <c r="D648" s="40">
        <v>2</v>
      </c>
      <c r="E648" s="6">
        <v>559</v>
      </c>
      <c r="F648" s="12">
        <f>VLOOKUP(Compras[[#This Row],[Codigo]],Stock[#Data],3,FALSE)</f>
        <v>600</v>
      </c>
      <c r="G648" s="43">
        <f>Compras[[#This Row],[Unidad]]*Compras[[#This Row],[Cantidad]]</f>
        <v>1200</v>
      </c>
      <c r="H648" s="16"/>
      <c r="I648" s="16"/>
      <c r="J648" s="16"/>
      <c r="K648" s="16"/>
    </row>
    <row r="649" spans="1:11" ht="20.25" customHeight="1">
      <c r="A649" s="16"/>
      <c r="B649" s="42" t="s">
        <v>518</v>
      </c>
      <c r="C649" s="6" t="str">
        <f>VLOOKUP(Compras[[#This Row],[Codigo]],Stock[#Data],2,FALSE)</f>
        <v>Namaste Shanti 500ml</v>
      </c>
      <c r="D649" s="40">
        <v>2</v>
      </c>
      <c r="E649" s="6">
        <v>539</v>
      </c>
      <c r="F649" s="12">
        <f>VLOOKUP(Compras[[#This Row],[Codigo]],Stock[#Data],3,FALSE)</f>
        <v>3216</v>
      </c>
      <c r="G649" s="43">
        <f>Compras[[#This Row],[Unidad]]*Compras[[#This Row],[Cantidad]]</f>
        <v>6432</v>
      </c>
      <c r="H649" s="16"/>
      <c r="I649" s="16"/>
      <c r="J649" s="16"/>
      <c r="K649" s="16"/>
    </row>
    <row r="650" spans="1:11" ht="20.25" customHeight="1">
      <c r="A650" s="16"/>
      <c r="B650" s="42" t="s">
        <v>518</v>
      </c>
      <c r="C650" s="6" t="str">
        <f>VLOOKUP(Compras[[#This Row],[Codigo]],Stock[#Data],2,FALSE)</f>
        <v>Namaste Bioprotect 100ml</v>
      </c>
      <c r="D650" s="40">
        <v>1</v>
      </c>
      <c r="E650" s="6">
        <v>540</v>
      </c>
      <c r="F650" s="12">
        <f>VLOOKUP(Compras[[#This Row],[Codigo]],Stock[#Data],3,FALSE)</f>
        <v>600</v>
      </c>
      <c r="G650" s="43">
        <f>Compras[[#This Row],[Unidad]]*Compras[[#This Row],[Cantidad]]</f>
        <v>600</v>
      </c>
      <c r="H650" s="16"/>
      <c r="I650" s="16"/>
      <c r="J650" s="16"/>
      <c r="K650" s="16"/>
    </row>
    <row r="651" spans="1:11" ht="20.25" customHeight="1">
      <c r="A651" s="16"/>
      <c r="B651" s="42" t="s">
        <v>518</v>
      </c>
      <c r="C651" s="6" t="str">
        <f>VLOOKUP(Compras[[#This Row],[Codigo]],Stock[#Data],2,FALSE)</f>
        <v>Namaste PH- 500ml</v>
      </c>
      <c r="D651" s="40">
        <v>1</v>
      </c>
      <c r="E651" s="6">
        <v>541</v>
      </c>
      <c r="F651" s="12">
        <f>VLOOKUP(Compras[[#This Row],[Codigo]],Stock[#Data],3,FALSE)</f>
        <v>1345</v>
      </c>
      <c r="G651" s="43">
        <f>Compras[[#This Row],[Unidad]]*Compras[[#This Row],[Cantidad]]</f>
        <v>1345</v>
      </c>
      <c r="H651" s="16"/>
      <c r="I651" s="16"/>
      <c r="J651" s="16"/>
      <c r="K651" s="16"/>
    </row>
    <row r="652" spans="1:11" ht="20.25" customHeight="1">
      <c r="A652" s="16"/>
      <c r="B652" s="42" t="s">
        <v>518</v>
      </c>
      <c r="C652" s="6" t="str">
        <f>VLOOKUP(Compras[[#This Row],[Codigo]],Stock[#Data],2,FALSE)</f>
        <v>Cultivate Jabon Potasico 250ml</v>
      </c>
      <c r="D652" s="40">
        <v>2</v>
      </c>
      <c r="E652" s="6">
        <v>542</v>
      </c>
      <c r="F652" s="12">
        <f>VLOOKUP(Compras[[#This Row],[Codigo]],Stock[#Data],3,FALSE)</f>
        <v>810</v>
      </c>
      <c r="G652" s="43">
        <f>Compras[[#This Row],[Unidad]]*Compras[[#This Row],[Cantidad]]</f>
        <v>1620</v>
      </c>
      <c r="H652" s="16"/>
      <c r="I652" s="16"/>
      <c r="J652" s="16"/>
      <c r="K652" s="16"/>
    </row>
    <row r="653" spans="1:11" ht="20.25" customHeight="1">
      <c r="A653" s="16"/>
      <c r="B653" s="42" t="s">
        <v>518</v>
      </c>
      <c r="C653" s="6" t="str">
        <f>VLOOKUP(Compras[[#This Row],[Codigo]],Stock[#Data],2,FALSE)</f>
        <v>Cultivate Melaza 250ml</v>
      </c>
      <c r="D653" s="40">
        <v>4</v>
      </c>
      <c r="E653" s="6">
        <v>543</v>
      </c>
      <c r="F653" s="12">
        <f>VLOOKUP(Compras[[#This Row],[Codigo]],Stock[#Data],3,FALSE)</f>
        <v>650</v>
      </c>
      <c r="G653" s="43">
        <f>Compras[[#This Row],[Unidad]]*Compras[[#This Row],[Cantidad]]</f>
        <v>2600</v>
      </c>
      <c r="H653" s="16"/>
      <c r="I653" s="16"/>
      <c r="J653" s="16"/>
      <c r="K653" s="16"/>
    </row>
    <row r="654" spans="1:11" ht="20.25" customHeight="1">
      <c r="A654" s="16"/>
      <c r="B654" s="42" t="s">
        <v>518</v>
      </c>
      <c r="C654" s="6" t="str">
        <f>VLOOKUP(Compras[[#This Row],[Codigo]],Stock[#Data],2,FALSE)</f>
        <v>Cultivate Insecticida 100ml</v>
      </c>
      <c r="D654" s="40">
        <v>3</v>
      </c>
      <c r="E654" s="6">
        <v>544</v>
      </c>
      <c r="F654" s="12">
        <f>VLOOKUP(Compras[[#This Row],[Codigo]],Stock[#Data],3,FALSE)</f>
        <v>740</v>
      </c>
      <c r="G654" s="43">
        <f>Compras[[#This Row],[Unidad]]*Compras[[#This Row],[Cantidad]]</f>
        <v>2220</v>
      </c>
      <c r="H654" s="16"/>
      <c r="I654" s="16"/>
      <c r="J654" s="16"/>
      <c r="K654" s="16"/>
    </row>
    <row r="655" spans="1:11" ht="20.25" customHeight="1">
      <c r="A655" s="16"/>
      <c r="B655" s="42" t="s">
        <v>518</v>
      </c>
      <c r="C655" s="6" t="str">
        <f>VLOOKUP(Compras[[#This Row],[Codigo]],Stock[#Data],2,FALSE)</f>
        <v>Cultivate Beauvaria Bassiana 100ml</v>
      </c>
      <c r="D655" s="40">
        <v>1</v>
      </c>
      <c r="E655" s="6">
        <v>545</v>
      </c>
      <c r="F655" s="12">
        <f>VLOOKUP(Compras[[#This Row],[Codigo]],Stock[#Data],3,FALSE)</f>
        <v>1250</v>
      </c>
      <c r="G655" s="43">
        <f>Compras[[#This Row],[Unidad]]*Compras[[#This Row],[Cantidad]]</f>
        <v>1250</v>
      </c>
      <c r="H655" s="16"/>
      <c r="I655" s="16"/>
      <c r="J655" s="16"/>
      <c r="K655" s="16"/>
    </row>
    <row r="656" spans="1:11" ht="20.25" customHeight="1">
      <c r="A656" s="16"/>
      <c r="B656" s="42" t="s">
        <v>518</v>
      </c>
      <c r="C656" s="6" t="str">
        <f>VLOOKUP(Compras[[#This Row],[Codigo]],Stock[#Data],2,FALSE)</f>
        <v>Namaste Nutripack</v>
      </c>
      <c r="D656" s="40">
        <v>2</v>
      </c>
      <c r="E656" s="6">
        <v>346</v>
      </c>
      <c r="F656" s="12">
        <f>VLOOKUP(Compras[[#This Row],[Codigo]],Stock[#Data],3,FALSE)</f>
        <v>3376</v>
      </c>
      <c r="G656" s="43">
        <f>Compras[[#This Row],[Unidad]]*Compras[[#This Row],[Cantidad]]</f>
        <v>6752</v>
      </c>
      <c r="H656" s="16"/>
      <c r="I656" s="16"/>
      <c r="J656" s="16"/>
      <c r="K656" s="16"/>
    </row>
    <row r="657" spans="1:11" ht="20.25" customHeight="1">
      <c r="A657" s="16"/>
      <c r="B657" s="42" t="s">
        <v>518</v>
      </c>
      <c r="C657" s="6" t="str">
        <f>VLOOKUP(Compras[[#This Row],[Codigo]],Stock[#Data],2,FALSE)</f>
        <v>TreeMIX CANDY 45 ml</v>
      </c>
      <c r="D657" s="40">
        <v>3</v>
      </c>
      <c r="E657" s="6">
        <v>26</v>
      </c>
      <c r="F657" s="12">
        <f>VLOOKUP(Compras[[#This Row],[Codigo]],Stock[#Data],3,FALSE)</f>
        <v>220</v>
      </c>
      <c r="G657" s="43">
        <f>Compras[[#This Row],[Unidad]]*Compras[[#This Row],[Cantidad]]</f>
        <v>660</v>
      </c>
      <c r="H657" s="16"/>
      <c r="I657" s="16"/>
      <c r="J657" s="16"/>
      <c r="K657" s="16"/>
    </row>
    <row r="658" spans="1:11" ht="20.25" customHeight="1">
      <c r="A658" s="16"/>
      <c r="B658" s="42" t="s">
        <v>518</v>
      </c>
      <c r="C658" s="6" t="str">
        <f>VLOOKUP(Compras[[#This Row],[Codigo]],Stock[#Data],2,FALSE)</f>
        <v>TreeMIX N 45ml</v>
      </c>
      <c r="D658" s="40">
        <v>5</v>
      </c>
      <c r="E658" s="6">
        <v>23</v>
      </c>
      <c r="F658" s="12">
        <f>VLOOKUP(Compras[[#This Row],[Codigo]],Stock[#Data],3,FALSE)</f>
        <v>260</v>
      </c>
      <c r="G658" s="43">
        <f>Compras[[#This Row],[Unidad]]*Compras[[#This Row],[Cantidad]]</f>
        <v>1300</v>
      </c>
      <c r="H658" s="16"/>
      <c r="I658" s="16"/>
      <c r="J658" s="16"/>
      <c r="K658" s="16"/>
    </row>
    <row r="659" spans="1:11" ht="20.25" customHeight="1">
      <c r="A659" s="16"/>
      <c r="B659" s="42" t="s">
        <v>518</v>
      </c>
      <c r="C659" s="6" t="str">
        <f>VLOOKUP(Compras[[#This Row],[Codigo]],Stock[#Data],2,FALSE)</f>
        <v>TreeMIX PRO 45ml</v>
      </c>
      <c r="D659" s="40">
        <v>5</v>
      </c>
      <c r="E659" s="6">
        <v>25</v>
      </c>
      <c r="F659" s="12">
        <f>VLOOKUP(Compras[[#This Row],[Codigo]],Stock[#Data],3,FALSE)</f>
        <v>345</v>
      </c>
      <c r="G659" s="43">
        <f>Compras[[#This Row],[Unidad]]*Compras[[#This Row],[Cantidad]]</f>
        <v>1725</v>
      </c>
      <c r="H659" s="16"/>
      <c r="I659" s="16"/>
      <c r="J659" s="16"/>
      <c r="K659" s="16"/>
    </row>
    <row r="660" spans="1:11" ht="20.25" customHeight="1">
      <c r="A660" s="16"/>
      <c r="B660" s="42" t="s">
        <v>518</v>
      </c>
      <c r="C660" s="6" t="str">
        <f>VLOOKUP(Compras[[#This Row],[Codigo]],Stock[#Data],2,FALSE)</f>
        <v>Namaste Trico+ 100gr</v>
      </c>
      <c r="D660" s="40">
        <v>3</v>
      </c>
      <c r="E660" s="6">
        <v>479</v>
      </c>
      <c r="F660" s="12">
        <f>VLOOKUP(Compras[[#This Row],[Codigo]],Stock[#Data],3,FALSE)</f>
        <v>541</v>
      </c>
      <c r="G660" s="43">
        <f>Compras[[#This Row],[Unidad]]*Compras[[#This Row],[Cantidad]]</f>
        <v>1623</v>
      </c>
      <c r="H660" s="16"/>
      <c r="I660" s="16"/>
      <c r="J660" s="16"/>
      <c r="K660" s="16"/>
    </row>
    <row r="661" spans="1:11" ht="20.25" customHeight="1">
      <c r="A661" s="16"/>
      <c r="B661" s="42" t="s">
        <v>518</v>
      </c>
      <c r="C661" s="6" t="str">
        <f>VLOOKUP(Compras[[#This Row],[Codigo]],Stock[#Data],2,FALSE)</f>
        <v>Namaste Oro Negro 500ml</v>
      </c>
      <c r="D661" s="40">
        <v>2</v>
      </c>
      <c r="E661" s="6">
        <v>497</v>
      </c>
      <c r="F661" s="12">
        <f>VLOOKUP(Compras[[#This Row],[Codigo]],Stock[#Data],3,FALSE)</f>
        <v>1390</v>
      </c>
      <c r="G661" s="43">
        <f>Compras[[#This Row],[Unidad]]*Compras[[#This Row],[Cantidad]]</f>
        <v>2780</v>
      </c>
      <c r="H661" s="16"/>
      <c r="I661" s="16"/>
      <c r="J661" s="16"/>
      <c r="K661" s="16"/>
    </row>
    <row r="662" spans="1:11" ht="20.25" customHeight="1">
      <c r="A662" s="16"/>
      <c r="B662" s="42" t="s">
        <v>518</v>
      </c>
      <c r="C662" s="6" t="str">
        <f>VLOOKUP(Compras[[#This Row],[Codigo]],Stock[#Data],2,FALSE)</f>
        <v>Namaste Oro Negro 100ml</v>
      </c>
      <c r="D662" s="40">
        <v>1</v>
      </c>
      <c r="E662" s="6">
        <v>478</v>
      </c>
      <c r="F662" s="12">
        <f>VLOOKUP(Compras[[#This Row],[Codigo]],Stock[#Data],3,FALSE)</f>
        <v>515</v>
      </c>
      <c r="G662" s="43">
        <f>Compras[[#This Row],[Unidad]]*Compras[[#This Row],[Cantidad]]</f>
        <v>515</v>
      </c>
      <c r="H662" s="16"/>
      <c r="I662" s="16"/>
      <c r="J662" s="16"/>
      <c r="K662" s="16"/>
    </row>
    <row r="663" spans="1:11" ht="20.25" customHeight="1">
      <c r="A663" s="16"/>
      <c r="B663" s="42" t="s">
        <v>518</v>
      </c>
      <c r="C663" s="6" t="str">
        <f>VLOOKUP(Compras[[#This Row],[Codigo]],Stock[#Data],2,FALSE)</f>
        <v>Namaste Flora Booster 500ml</v>
      </c>
      <c r="D663" s="40">
        <v>3</v>
      </c>
      <c r="E663" s="6">
        <v>496</v>
      </c>
      <c r="F663" s="12">
        <f>VLOOKUP(Compras[[#This Row],[Codigo]],Stock[#Data],3,FALSE)</f>
        <v>1377</v>
      </c>
      <c r="G663" s="43">
        <f>Compras[[#This Row],[Unidad]]*Compras[[#This Row],[Cantidad]]</f>
        <v>4131</v>
      </c>
      <c r="H663" s="16"/>
      <c r="I663" s="16"/>
      <c r="J663" s="16"/>
      <c r="K663" s="16"/>
    </row>
    <row r="664" spans="1:11" ht="20.25" customHeight="1">
      <c r="A664" s="16"/>
      <c r="B664" s="42" t="s">
        <v>503</v>
      </c>
      <c r="C664" s="6" t="str">
        <f>VLOOKUP(Compras[[#This Row],[Codigo]],Stock[#Data],2,FALSE)</f>
        <v>Sustrato Perlita</v>
      </c>
      <c r="D664" s="40">
        <v>30</v>
      </c>
      <c r="E664" s="6">
        <v>52</v>
      </c>
      <c r="F664" s="12">
        <f>VLOOKUP(Compras[[#This Row],[Codigo]],Stock[#Data],3,FALSE)</f>
        <v>400</v>
      </c>
      <c r="G664" s="43">
        <f>Compras[[#This Row],[Unidad]]*Compras[[#This Row],[Cantidad]]</f>
        <v>12000</v>
      </c>
      <c r="H664" s="16"/>
      <c r="I664" s="16"/>
      <c r="J664" s="16"/>
      <c r="K664" s="16"/>
    </row>
    <row r="665" spans="1:11" ht="20.25" customHeight="1">
      <c r="A665" s="16"/>
      <c r="B665" s="42" t="s">
        <v>503</v>
      </c>
      <c r="C665" s="6" t="str">
        <f>VLOOKUP(Compras[[#This Row],[Codigo]],Stock[#Data],2,FALSE)</f>
        <v>Picador 4p Calavera Psicodélica</v>
      </c>
      <c r="D665" s="40">
        <v>1</v>
      </c>
      <c r="E665" s="6">
        <v>538</v>
      </c>
      <c r="F665" s="12">
        <f>VLOOKUP(Compras[[#This Row],[Codigo]],Stock[#Data],3,FALSE)</f>
        <v>2000</v>
      </c>
      <c r="G665" s="43">
        <f>Compras[[#This Row],[Unidad]]*Compras[[#This Row],[Cantidad]]</f>
        <v>2000</v>
      </c>
      <c r="H665" s="16"/>
      <c r="I665" s="16"/>
      <c r="J665" s="16"/>
      <c r="K665" s="16"/>
    </row>
    <row r="666" spans="1:11" ht="20.25" customHeight="1">
      <c r="A666" s="16"/>
      <c r="B666" s="42" t="s">
        <v>503</v>
      </c>
      <c r="C666" s="6" t="str">
        <f>VLOOKUP(Compras[[#This Row],[Codigo]],Stock[#Data],2,FALSE)</f>
        <v>Picador 3p Engranaje</v>
      </c>
      <c r="D666" s="40">
        <v>1</v>
      </c>
      <c r="E666" s="6">
        <v>537</v>
      </c>
      <c r="F666" s="12">
        <f>VLOOKUP(Compras[[#This Row],[Codigo]],Stock[#Data],3,FALSE)</f>
        <v>2000</v>
      </c>
      <c r="G666" s="43">
        <f>Compras[[#This Row],[Unidad]]*Compras[[#This Row],[Cantidad]]</f>
        <v>2000</v>
      </c>
      <c r="H666" s="16"/>
      <c r="I666" s="16"/>
      <c r="J666" s="16"/>
      <c r="K666" s="16"/>
    </row>
    <row r="667" spans="1:11" ht="20.25" customHeight="1">
      <c r="A667" s="16"/>
      <c r="B667" s="42" t="s">
        <v>503</v>
      </c>
      <c r="C667" s="6" t="str">
        <f>VLOOKUP(Compras[[#This Row],[Codigo]],Stock[#Data],2,FALSE)</f>
        <v>Picador Metálico 4p Blanco</v>
      </c>
      <c r="D667" s="40">
        <v>1</v>
      </c>
      <c r="E667" s="6">
        <v>536</v>
      </c>
      <c r="F667" s="12">
        <f>VLOOKUP(Compras[[#This Row],[Codigo]],Stock[#Data],3,FALSE)</f>
        <v>2500</v>
      </c>
      <c r="G667" s="43">
        <f>Compras[[#This Row],[Unidad]]*Compras[[#This Row],[Cantidad]]</f>
        <v>2500</v>
      </c>
      <c r="H667" s="16"/>
      <c r="I667" s="16"/>
      <c r="J667" s="16"/>
      <c r="K667" s="16"/>
    </row>
    <row r="668" spans="1:11" ht="20.25" customHeight="1">
      <c r="A668" s="16"/>
      <c r="B668" s="42" t="s">
        <v>503</v>
      </c>
      <c r="C668" s="6" t="str">
        <f>VLOOKUP(Compras[[#This Row],[Codigo]],Stock[#Data],2,FALSE)</f>
        <v>Tips STAMPS ECO</v>
      </c>
      <c r="D668" s="40">
        <v>25</v>
      </c>
      <c r="E668" s="6">
        <v>308</v>
      </c>
      <c r="F668" s="12">
        <f>VLOOKUP(Compras[[#This Row],[Codigo]],Stock[#Data],3,FALSE)</f>
        <v>73</v>
      </c>
      <c r="G668" s="43">
        <f>Compras[[#This Row],[Unidad]]*Compras[[#This Row],[Cantidad]]</f>
        <v>1825</v>
      </c>
      <c r="H668" s="16"/>
      <c r="I668" s="16"/>
      <c r="J668" s="16"/>
      <c r="K668" s="16"/>
    </row>
    <row r="669" spans="1:11" ht="20.25" customHeight="1">
      <c r="A669" s="16"/>
      <c r="B669" s="42" t="s">
        <v>503</v>
      </c>
      <c r="C669" s="6" t="str">
        <f>VLOOKUP(Compras[[#This Row],[Codigo]],Stock[#Data],2,FALSE)</f>
        <v>Pipa Cerámica Rick &amp; Morty</v>
      </c>
      <c r="D669" s="40">
        <v>2</v>
      </c>
      <c r="E669" s="6">
        <v>535</v>
      </c>
      <c r="F669" s="12">
        <f>VLOOKUP(Compras[[#This Row],[Codigo]],Stock[#Data],3,FALSE)</f>
        <v>1299</v>
      </c>
      <c r="G669" s="43">
        <f>Compras[[#This Row],[Unidad]]*Compras[[#This Row],[Cantidad]]</f>
        <v>2598</v>
      </c>
      <c r="H669" s="16"/>
      <c r="I669" s="16"/>
      <c r="J669" s="16"/>
      <c r="K669" s="16"/>
    </row>
    <row r="670" spans="1:11" ht="20.25" customHeight="1">
      <c r="A670" s="16"/>
      <c r="B670" s="42" t="s">
        <v>503</v>
      </c>
      <c r="C670" s="6" t="str">
        <f>VLOOKUP(Compras[[#This Row],[Codigo]],Stock[#Data],2,FALSE)</f>
        <v>Bong Chico Acrílico Redondo</v>
      </c>
      <c r="D670" s="40">
        <v>2</v>
      </c>
      <c r="E670" s="6">
        <v>534</v>
      </c>
      <c r="F670" s="12">
        <f>VLOOKUP(Compras[[#This Row],[Codigo]],Stock[#Data],3,FALSE)</f>
        <v>1150</v>
      </c>
      <c r="G670" s="43">
        <f>Compras[[#This Row],[Unidad]]*Compras[[#This Row],[Cantidad]]</f>
        <v>2300</v>
      </c>
      <c r="H670" s="16"/>
      <c r="I670" s="16"/>
      <c r="J670" s="16"/>
      <c r="K670" s="16"/>
    </row>
    <row r="671" spans="1:11" ht="20.25" customHeight="1">
      <c r="A671" s="16"/>
      <c r="B671" s="42" t="s">
        <v>503</v>
      </c>
      <c r="C671" s="6" t="str">
        <f>VLOOKUP(Compras[[#This Row],[Codigo]],Stock[#Data],2,FALSE)</f>
        <v>Bong Acrílico Chico Manzana Mordida</v>
      </c>
      <c r="D671" s="40">
        <v>2</v>
      </c>
      <c r="E671" s="6">
        <v>533</v>
      </c>
      <c r="F671" s="12">
        <f>VLOOKUP(Compras[[#This Row],[Codigo]],Stock[#Data],3,FALSE)</f>
        <v>926</v>
      </c>
      <c r="G671" s="43">
        <f>Compras[[#This Row],[Unidad]]*Compras[[#This Row],[Cantidad]]</f>
        <v>1852</v>
      </c>
      <c r="H671" s="16"/>
      <c r="I671" s="16"/>
      <c r="J671" s="16"/>
      <c r="K671" s="16"/>
    </row>
    <row r="672" spans="1:11" ht="20.25" customHeight="1">
      <c r="A672" s="16"/>
      <c r="B672" s="42" t="s">
        <v>503</v>
      </c>
      <c r="C672" s="6" t="str">
        <f>VLOOKUP(Compras[[#This Row],[Codigo]],Stock[#Data],2,FALSE)</f>
        <v>Bong D&amp;K Mediano Bicolor DK6470</v>
      </c>
      <c r="D672" s="40">
        <v>1</v>
      </c>
      <c r="E672" s="6">
        <v>532</v>
      </c>
      <c r="F672" s="12">
        <f>VLOOKUP(Compras[[#This Row],[Codigo]],Stock[#Data],3,FALSE)</f>
        <v>6116</v>
      </c>
      <c r="G672" s="43">
        <f>Compras[[#This Row],[Unidad]]*Compras[[#This Row],[Cantidad]]</f>
        <v>6116</v>
      </c>
      <c r="H672" s="16"/>
      <c r="I672" s="16"/>
      <c r="J672" s="16"/>
      <c r="K672" s="16"/>
    </row>
    <row r="673" spans="1:11" ht="20.25" customHeight="1">
      <c r="A673" s="16"/>
      <c r="B673" s="42" t="s">
        <v>503</v>
      </c>
      <c r="C673" s="6" t="str">
        <f>VLOOKUP(Compras[[#This Row],[Codigo]],Stock[#Data],2,FALSE)</f>
        <v>Bong Vidrio Chico Multicolor DK8552A</v>
      </c>
      <c r="D673" s="40">
        <v>2</v>
      </c>
      <c r="E673" s="6">
        <v>531</v>
      </c>
      <c r="F673" s="12">
        <f>VLOOKUP(Compras[[#This Row],[Codigo]],Stock[#Data],3,FALSE)</f>
        <v>1490</v>
      </c>
      <c r="G673" s="43">
        <f>Compras[[#This Row],[Unidad]]*Compras[[#This Row],[Cantidad]]</f>
        <v>2980</v>
      </c>
      <c r="H673" s="16"/>
      <c r="I673" s="16"/>
      <c r="J673" s="16"/>
      <c r="K673" s="16"/>
    </row>
    <row r="674" spans="1:11" ht="20.25" customHeight="1">
      <c r="A674" s="16"/>
      <c r="B674" s="42" t="s">
        <v>503</v>
      </c>
      <c r="C674" s="6" t="str">
        <f>VLOOKUP(Compras[[#This Row],[Codigo]],Stock[#Data],2,FALSE)</f>
        <v>Picador 3p Tornasolado</v>
      </c>
      <c r="D674" s="40">
        <v>2</v>
      </c>
      <c r="E674" s="6">
        <v>530</v>
      </c>
      <c r="F674" s="12">
        <f>VLOOKUP(Compras[[#This Row],[Codigo]],Stock[#Data],3,FALSE)</f>
        <v>3947</v>
      </c>
      <c r="G674" s="43">
        <f>Compras[[#This Row],[Unidad]]*Compras[[#This Row],[Cantidad]]</f>
        <v>7894</v>
      </c>
      <c r="H674" s="16"/>
      <c r="I674" s="16"/>
      <c r="J674" s="16"/>
      <c r="K674" s="16"/>
    </row>
    <row r="675" spans="1:11" ht="20.25" customHeight="1">
      <c r="A675" s="16"/>
      <c r="B675" s="42" t="s">
        <v>503</v>
      </c>
      <c r="C675" s="6" t="str">
        <f>VLOOKUP(Compras[[#This Row],[Codigo]],Stock[#Data],2,FALSE)</f>
        <v>Bong Ceramica</v>
      </c>
      <c r="D675" s="40">
        <v>2</v>
      </c>
      <c r="E675" s="6">
        <v>175</v>
      </c>
      <c r="F675" s="12">
        <f>VLOOKUP(Compras[[#This Row],[Codigo]],Stock[#Data],3,FALSE)</f>
        <v>3791</v>
      </c>
      <c r="G675" s="43">
        <f>Compras[[#This Row],[Unidad]]*Compras[[#This Row],[Cantidad]]</f>
        <v>7582</v>
      </c>
      <c r="H675" s="16"/>
      <c r="I675" s="16"/>
      <c r="J675" s="16"/>
      <c r="K675" s="16"/>
    </row>
    <row r="676" spans="1:11" ht="20.25" customHeight="1">
      <c r="A676" s="16"/>
      <c r="B676" s="42" t="s">
        <v>503</v>
      </c>
      <c r="C676" s="6" t="str">
        <f>VLOOKUP(Compras[[#This Row],[Codigo]],Stock[#Data],2,FALSE)</f>
        <v>VAMP Supermelaza</v>
      </c>
      <c r="D676" s="40">
        <v>1</v>
      </c>
      <c r="E676" s="6">
        <v>36</v>
      </c>
      <c r="F676" s="12">
        <f>VLOOKUP(Compras[[#This Row],[Codigo]],Stock[#Data],3,FALSE)</f>
        <v>908</v>
      </c>
      <c r="G676" s="43">
        <f>Compras[[#This Row],[Unidad]]*Compras[[#This Row],[Cantidad]]</f>
        <v>908</v>
      </c>
      <c r="H676" s="16"/>
      <c r="I676" s="16"/>
      <c r="J676" s="16"/>
      <c r="K676" s="16"/>
    </row>
    <row r="677" spans="1:11" ht="20.25" customHeight="1">
      <c r="A677" s="16"/>
      <c r="B677" s="42" t="s">
        <v>503</v>
      </c>
      <c r="C677" s="6" t="str">
        <f>VLOOKUP(Compras[[#This Row],[Codigo]],Stock[#Data],2,FALSE)</f>
        <v>Aceite de Cannabis Ned Lud 20ml</v>
      </c>
      <c r="D677" s="40">
        <v>1</v>
      </c>
      <c r="E677" s="6">
        <v>466</v>
      </c>
      <c r="F677" s="12">
        <f>VLOOKUP(Compras[[#This Row],[Codigo]],Stock[#Data],3,FALSE)</f>
        <v>4000</v>
      </c>
      <c r="G677" s="43">
        <f>Compras[[#This Row],[Unidad]]*Compras[[#This Row],[Cantidad]]</f>
        <v>4000</v>
      </c>
      <c r="H677" s="16"/>
      <c r="I677" s="16"/>
      <c r="J677" s="16"/>
      <c r="K677" s="16"/>
    </row>
    <row r="678" spans="1:11" ht="20.25" customHeight="1">
      <c r="A678" s="16"/>
      <c r="B678" s="42" t="s">
        <v>503</v>
      </c>
      <c r="C678" s="6" t="str">
        <f>VLOOKUP(Compras[[#This Row],[Codigo]],Stock[#Data],2,FALSE)</f>
        <v>Cenicero Calavera Chala</v>
      </c>
      <c r="D678" s="40">
        <v>1</v>
      </c>
      <c r="E678" s="6">
        <v>141</v>
      </c>
      <c r="F678" s="12">
        <f>VLOOKUP(Compras[[#This Row],[Codigo]],Stock[#Data],3,FALSE)</f>
        <v>225</v>
      </c>
      <c r="G678" s="43">
        <f>Compras[[#This Row],[Unidad]]*Compras[[#This Row],[Cantidad]]</f>
        <v>225</v>
      </c>
      <c r="H678" s="16"/>
      <c r="I678" s="16"/>
      <c r="J678" s="16"/>
      <c r="K678" s="16"/>
    </row>
    <row r="679" spans="1:11" ht="20.25" customHeight="1">
      <c r="A679" s="16"/>
      <c r="B679" s="42" t="s">
        <v>496</v>
      </c>
      <c r="C679" s="6" t="str">
        <f>VLOOKUP(Compras[[#This Row],[Codigo]],Stock[#Data],2,FALSE)</f>
        <v>Sauver 1/4</v>
      </c>
      <c r="D679" s="40">
        <v>20</v>
      </c>
      <c r="E679" s="6">
        <v>149</v>
      </c>
      <c r="F679" s="12">
        <f>VLOOKUP(Compras[[#This Row],[Codigo]],Stock[#Data],3,FALSE)</f>
        <v>75</v>
      </c>
      <c r="G679" s="43">
        <f>Compras[[#This Row],[Unidad]]*Compras[[#This Row],[Cantidad]]</f>
        <v>1500</v>
      </c>
      <c r="H679" s="16"/>
      <c r="I679" s="16"/>
      <c r="J679" s="16"/>
      <c r="K679" s="16"/>
    </row>
    <row r="680" spans="1:11" ht="20.25" customHeight="1">
      <c r="A680" s="16"/>
      <c r="B680" s="42" t="s">
        <v>496</v>
      </c>
      <c r="C680" s="6" t="str">
        <f>VLOOKUP(Compras[[#This Row],[Codigo]],Stock[#Data],2,FALSE)</f>
        <v>Sauver XL</v>
      </c>
      <c r="D680" s="40">
        <v>20</v>
      </c>
      <c r="E680" s="6">
        <v>529</v>
      </c>
      <c r="F680" s="12">
        <f>VLOOKUP(Compras[[#This Row],[Codigo]],Stock[#Data],3,FALSE)</f>
        <v>65</v>
      </c>
      <c r="G680" s="43">
        <f>Compras[[#This Row],[Unidad]]*Compras[[#This Row],[Cantidad]]</f>
        <v>1300</v>
      </c>
      <c r="H680" s="16"/>
      <c r="I680" s="16"/>
      <c r="J680" s="16"/>
      <c r="K680" s="16"/>
    </row>
    <row r="681" spans="1:11" ht="20.25" customHeight="1">
      <c r="A681" s="16"/>
      <c r="B681" s="42" t="s">
        <v>496</v>
      </c>
      <c r="C681" s="6" t="str">
        <f>VLOOKUP(Compras[[#This Row],[Codigo]],Stock[#Data],2,FALSE)</f>
        <v>Pipa India</v>
      </c>
      <c r="D681" s="40">
        <v>2</v>
      </c>
      <c r="E681" s="6">
        <v>158</v>
      </c>
      <c r="F681" s="12">
        <f>VLOOKUP(Compras[[#This Row],[Codigo]],Stock[#Data],3,FALSE)</f>
        <v>910</v>
      </c>
      <c r="G681" s="43">
        <f>Compras[[#This Row],[Unidad]]*Compras[[#This Row],[Cantidad]]</f>
        <v>1820</v>
      </c>
      <c r="H681" s="16"/>
      <c r="I681" s="16"/>
      <c r="J681" s="16"/>
      <c r="K681" s="16"/>
    </row>
    <row r="682" spans="1:11" ht="20.25" customHeight="1">
      <c r="A682" s="16"/>
      <c r="B682" s="42" t="s">
        <v>496</v>
      </c>
      <c r="C682" s="6" t="str">
        <f>VLOOKUP(Compras[[#This Row],[Codigo]],Stock[#Data],2,FALSE)</f>
        <v xml:space="preserve">tips moon </v>
      </c>
      <c r="D682" s="40">
        <v>24</v>
      </c>
      <c r="E682" s="6">
        <v>356</v>
      </c>
      <c r="F682" s="12">
        <f>VLOOKUP(Compras[[#This Row],[Codigo]],Stock[#Data],3,FALSE)</f>
        <v>50</v>
      </c>
      <c r="G682" s="43">
        <f>Compras[[#This Row],[Unidad]]*Compras[[#This Row],[Cantidad]]</f>
        <v>1200</v>
      </c>
      <c r="H682" s="16"/>
      <c r="I682" s="16"/>
      <c r="J682" s="16"/>
      <c r="K682" s="16"/>
    </row>
    <row r="683" spans="1:11" ht="20.25" customHeight="1">
      <c r="A683" s="16"/>
      <c r="B683" s="42" t="s">
        <v>496</v>
      </c>
      <c r="C683" s="6" t="str">
        <f>VLOOKUP(Compras[[#This Row],[Codigo]],Stock[#Data],2,FALSE)</f>
        <v>Bong Acrílico Mediano Diseños 20cm</v>
      </c>
      <c r="D683" s="40">
        <v>1</v>
      </c>
      <c r="E683" s="6">
        <v>528</v>
      </c>
      <c r="F683" s="12">
        <f>VLOOKUP(Compras[[#This Row],[Codigo]],Stock[#Data],3,FALSE)</f>
        <v>1330</v>
      </c>
      <c r="G683" s="43">
        <f>Compras[[#This Row],[Unidad]]*Compras[[#This Row],[Cantidad]]</f>
        <v>1330</v>
      </c>
      <c r="H683" s="16"/>
      <c r="I683" s="16"/>
      <c r="J683" s="16"/>
      <c r="K683" s="16"/>
    </row>
    <row r="684" spans="1:11" ht="20.25" customHeight="1">
      <c r="A684" s="16"/>
      <c r="B684" s="42" t="s">
        <v>496</v>
      </c>
      <c r="C684" s="6" t="str">
        <f>VLOOKUP(Compras[[#This Row],[Codigo]],Stock[#Data],2,FALSE)</f>
        <v>Vapor Nice Strawberry Cake</v>
      </c>
      <c r="D684" s="40">
        <v>1</v>
      </c>
      <c r="E684" s="6">
        <v>527</v>
      </c>
      <c r="F684" s="12">
        <f>VLOOKUP(Compras[[#This Row],[Codigo]],Stock[#Data],3,FALSE)</f>
        <v>924</v>
      </c>
      <c r="G684" s="43">
        <f>Compras[[#This Row],[Unidad]]*Compras[[#This Row],[Cantidad]]</f>
        <v>924</v>
      </c>
      <c r="H684" s="16"/>
      <c r="I684" s="16"/>
      <c r="J684" s="16"/>
      <c r="K684" s="16"/>
    </row>
    <row r="685" spans="1:11" ht="20.25" customHeight="1">
      <c r="A685" s="16"/>
      <c r="B685" s="42" t="s">
        <v>496</v>
      </c>
      <c r="C685" s="6" t="str">
        <f>VLOOKUP(Compras[[#This Row],[Codigo]],Stock[#Data],2,FALSE)</f>
        <v>Vapor Nice Orange Temptation</v>
      </c>
      <c r="D685" s="40">
        <v>1</v>
      </c>
      <c r="E685" s="6">
        <v>526</v>
      </c>
      <c r="F685" s="12">
        <f>VLOOKUP(Compras[[#This Row],[Codigo]],Stock[#Data],3,FALSE)</f>
        <v>924</v>
      </c>
      <c r="G685" s="43">
        <f>Compras[[#This Row],[Unidad]]*Compras[[#This Row],[Cantidad]]</f>
        <v>924</v>
      </c>
      <c r="H685" s="16"/>
      <c r="I685" s="16"/>
      <c r="J685" s="16"/>
      <c r="K685" s="16"/>
    </row>
    <row r="686" spans="1:11" ht="20.25" customHeight="1">
      <c r="A686" s="16"/>
      <c r="B686" s="42" t="s">
        <v>491</v>
      </c>
      <c r="C686" s="6" t="str">
        <f>VLOOKUP(Compras[[#This Row],[Codigo]],Stock[#Data],2,FALSE)</f>
        <v>CropSecret 250ml Green Session</v>
      </c>
      <c r="D686" s="40">
        <v>4</v>
      </c>
      <c r="E686" s="6">
        <v>2</v>
      </c>
      <c r="F686" s="12">
        <f>VLOOKUP(Compras[[#This Row],[Codigo]],Stock[#Data],3,FALSE)</f>
        <v>836</v>
      </c>
      <c r="G686" s="43">
        <f>Compras[[#This Row],[Unidad]]*Compras[[#This Row],[Cantidad]]</f>
        <v>3344</v>
      </c>
      <c r="H686" s="16"/>
      <c r="I686" s="16"/>
      <c r="J686" s="16"/>
      <c r="K686" s="16"/>
    </row>
    <row r="687" spans="1:11" ht="20.25" customHeight="1">
      <c r="A687" s="16"/>
      <c r="B687" s="42" t="s">
        <v>491</v>
      </c>
      <c r="C687" s="6" t="str">
        <f>VLOOKUP(Compras[[#This Row],[Codigo]],Stock[#Data],2,FALSE)</f>
        <v>Sedas OCB 1/4 Organic  Bamboo</v>
      </c>
      <c r="D687" s="40">
        <v>25</v>
      </c>
      <c r="E687" s="6">
        <v>77</v>
      </c>
      <c r="F687" s="12">
        <f>VLOOKUP(Compras[[#This Row],[Codigo]],Stock[#Data],3,FALSE)</f>
        <v>165</v>
      </c>
      <c r="G687" s="43">
        <f>Compras[[#This Row],[Unidad]]*Compras[[#This Row],[Cantidad]]</f>
        <v>4125</v>
      </c>
      <c r="H687" s="16"/>
      <c r="I687" s="16"/>
      <c r="J687" s="16"/>
      <c r="K687" s="16"/>
    </row>
    <row r="688" spans="1:11" ht="20.25" customHeight="1">
      <c r="A688" s="16"/>
      <c r="B688" s="42" t="s">
        <v>491</v>
      </c>
      <c r="C688" s="6" t="str">
        <f>VLOOKUP(Compras[[#This Row],[Codigo]],Stock[#Data],2,FALSE)</f>
        <v>Picador 4 partes Radioactivo tapa de acrilico</v>
      </c>
      <c r="D688" s="40">
        <v>1</v>
      </c>
      <c r="E688" s="6">
        <v>524</v>
      </c>
      <c r="F688" s="12">
        <f>VLOOKUP(Compras[[#This Row],[Codigo]],Stock[#Data],3,FALSE)</f>
        <v>6338</v>
      </c>
      <c r="G688" s="43">
        <f>Compras[[#This Row],[Unidad]]*Compras[[#This Row],[Cantidad]]</f>
        <v>6338</v>
      </c>
      <c r="H688" s="16"/>
      <c r="I688" s="16"/>
      <c r="J688" s="16"/>
      <c r="K688" s="16"/>
    </row>
    <row r="689" spans="1:11" ht="20.25" customHeight="1">
      <c r="A689" s="16"/>
      <c r="B689" s="42" t="s">
        <v>491</v>
      </c>
      <c r="C689" s="6" t="str">
        <f>VLOOKUP(Compras[[#This Row],[Codigo]],Stock[#Data],2,FALSE)</f>
        <v xml:space="preserve">Aceite de Cannabis 30 ml </v>
      </c>
      <c r="D689" s="40">
        <v>1</v>
      </c>
      <c r="E689" s="6">
        <v>525</v>
      </c>
      <c r="F689" s="12">
        <f>VLOOKUP(Compras[[#This Row],[Codigo]],Stock[#Data],3,FALSE)</f>
        <v>5500</v>
      </c>
      <c r="G689" s="43">
        <f>Compras[[#This Row],[Unidad]]*Compras[[#This Row],[Cantidad]]</f>
        <v>5500</v>
      </c>
      <c r="H689" s="16"/>
      <c r="I689" s="16"/>
      <c r="J689" s="16"/>
      <c r="K689" s="16"/>
    </row>
    <row r="690" spans="1:11" ht="20.25" customHeight="1">
      <c r="A690" s="16"/>
      <c r="B690" s="41">
        <v>44927</v>
      </c>
      <c r="C690" s="6" t="str">
        <f>VLOOKUP(Compras[[#This Row],[Codigo]],Stock[#Data],2,FALSE)</f>
        <v>Pipa de Cerámica Hippie</v>
      </c>
      <c r="D690" s="40">
        <v>2</v>
      </c>
      <c r="E690" s="6">
        <v>523</v>
      </c>
      <c r="F690" s="12">
        <f>VLOOKUP(Compras[[#This Row],[Codigo]],Stock[#Data],3,FALSE)</f>
        <v>400</v>
      </c>
      <c r="G690" s="43">
        <f>Compras[[#This Row],[Unidad]]*Compras[[#This Row],[Cantidad]]</f>
        <v>800</v>
      </c>
      <c r="H690" s="16"/>
      <c r="I690" s="16"/>
      <c r="J690" s="16"/>
      <c r="K690" s="16"/>
    </row>
    <row r="691" spans="1:11" ht="20.25" customHeight="1">
      <c r="A691" s="16"/>
      <c r="B691" s="41">
        <v>44927</v>
      </c>
      <c r="C691" s="6" t="str">
        <f>VLOOKUP(Compras[[#This Row],[Codigo]],Stock[#Data],2,FALSE)</f>
        <v xml:space="preserve">Turbina de Semilla </v>
      </c>
      <c r="D691" s="40">
        <v>1</v>
      </c>
      <c r="E691" s="6">
        <v>522</v>
      </c>
      <c r="F691" s="12">
        <f>VLOOKUP(Compras[[#This Row],[Codigo]],Stock[#Data],3,FALSE)</f>
        <v>2000</v>
      </c>
      <c r="G691" s="43">
        <f>Compras[[#This Row],[Unidad]]*Compras[[#This Row],[Cantidad]]</f>
        <v>2000</v>
      </c>
      <c r="H691" s="16"/>
      <c r="I691" s="16"/>
      <c r="J691" s="16"/>
      <c r="K691" s="16"/>
    </row>
    <row r="692" spans="1:11" ht="20.25" customHeight="1">
      <c r="A692" s="16"/>
      <c r="B692" s="41">
        <v>44927</v>
      </c>
      <c r="C692" s="6" t="str">
        <f>VLOOKUP(Compras[[#This Row],[Codigo]],Stock[#Data],2,FALSE)</f>
        <v>Pipa de Semilla Tigre</v>
      </c>
      <c r="D692" s="40">
        <v>4</v>
      </c>
      <c r="E692" s="6">
        <v>521</v>
      </c>
      <c r="F692" s="12">
        <f>VLOOKUP(Compras[[#This Row],[Codigo]],Stock[#Data],3,FALSE)</f>
        <v>1500</v>
      </c>
      <c r="G692" s="43">
        <f>Compras[[#This Row],[Unidad]]*Compras[[#This Row],[Cantidad]]</f>
        <v>6000</v>
      </c>
      <c r="H692" s="16"/>
      <c r="I692" s="16"/>
      <c r="J692" s="16"/>
      <c r="K692" s="16"/>
    </row>
    <row r="693" spans="1:11" ht="20.25" customHeight="1">
      <c r="A693" s="16"/>
      <c r="B693" s="41">
        <v>44927</v>
      </c>
      <c r="C693" s="6" t="str">
        <f>VLOOKUP(Compras[[#This Row],[Codigo]],Stock[#Data],2,FALSE)</f>
        <v>Pipa de Madera Intervenida Chica</v>
      </c>
      <c r="D693" s="40">
        <v>2</v>
      </c>
      <c r="E693" s="6">
        <v>520</v>
      </c>
      <c r="F693" s="12">
        <f>VLOOKUP(Compras[[#This Row],[Codigo]],Stock[#Data],3,FALSE)</f>
        <v>300</v>
      </c>
      <c r="G693" s="43">
        <f>Compras[[#This Row],[Unidad]]*Compras[[#This Row],[Cantidad]]</f>
        <v>600</v>
      </c>
      <c r="H693" s="16"/>
      <c r="I693" s="16"/>
      <c r="J693" s="16"/>
      <c r="K693" s="16"/>
    </row>
    <row r="694" spans="1:11" ht="20.25" customHeight="1">
      <c r="A694" s="16"/>
      <c r="B694" s="41">
        <v>44927</v>
      </c>
      <c r="C694" s="6" t="str">
        <f>VLOOKUP(Compras[[#This Row],[Codigo]],Stock[#Data],2,FALSE)</f>
        <v>Pipa Madera Intervenida Grande</v>
      </c>
      <c r="D694" s="40">
        <v>1</v>
      </c>
      <c r="E694" s="6">
        <v>519</v>
      </c>
      <c r="F694" s="12">
        <f>VLOOKUP(Compras[[#This Row],[Codigo]],Stock[#Data],3,FALSE)</f>
        <v>400</v>
      </c>
      <c r="G694" s="43">
        <f>Compras[[#This Row],[Unidad]]*Compras[[#This Row],[Cantidad]]</f>
        <v>400</v>
      </c>
      <c r="H694" s="16"/>
      <c r="I694" s="16"/>
      <c r="J694" s="16"/>
      <c r="K694" s="16"/>
    </row>
    <row r="695" spans="1:11" ht="20.25" customHeight="1">
      <c r="A695" s="16"/>
      <c r="B695" s="41">
        <v>44927</v>
      </c>
      <c r="C695" s="6" t="str">
        <f>VLOOKUP(Compras[[#This Row],[Codigo]],Stock[#Data],2,FALSE)</f>
        <v xml:space="preserve">Filtros Stamp Regular </v>
      </c>
      <c r="D695" s="40">
        <v>10</v>
      </c>
      <c r="E695" s="6">
        <v>409</v>
      </c>
      <c r="F695" s="12">
        <f>VLOOKUP(Compras[[#This Row],[Codigo]],Stock[#Data],3,FALSE)</f>
        <v>125</v>
      </c>
      <c r="G695" s="43">
        <f>Compras[[#This Row],[Unidad]]*Compras[[#This Row],[Cantidad]]</f>
        <v>1250</v>
      </c>
      <c r="H695" s="16"/>
      <c r="I695" s="16"/>
      <c r="J695" s="16"/>
      <c r="K695" s="16"/>
    </row>
    <row r="696" spans="1:11" ht="20.25" customHeight="1">
      <c r="A696" s="16"/>
      <c r="B696" s="41">
        <v>44927</v>
      </c>
      <c r="C696" s="6" t="str">
        <f>VLOOKUP(Compras[[#This Row],[Codigo]],Stock[#Data],2,FALSE)</f>
        <v>Blunt Wrap Champagne</v>
      </c>
      <c r="D696" s="40">
        <v>1</v>
      </c>
      <c r="E696" s="6">
        <v>504</v>
      </c>
      <c r="F696" s="12">
        <f>VLOOKUP(Compras[[#This Row],[Codigo]],Stock[#Data],3,FALSE)</f>
        <v>225</v>
      </c>
      <c r="G696" s="43">
        <f>Compras[[#This Row],[Unidad]]*Compras[[#This Row],[Cantidad]]</f>
        <v>225</v>
      </c>
      <c r="H696" s="16"/>
      <c r="I696" s="16"/>
      <c r="J696" s="16"/>
      <c r="K696" s="16"/>
    </row>
    <row r="697" spans="1:11" ht="20.25" customHeight="1">
      <c r="A697" s="16"/>
      <c r="B697" s="41">
        <v>44927</v>
      </c>
      <c r="C697" s="6" t="str">
        <f>VLOOKUP(Compras[[#This Row],[Codigo]],Stock[#Data],2,FALSE)</f>
        <v>Blunt Wrap Vainilla</v>
      </c>
      <c r="D697" s="40">
        <v>5</v>
      </c>
      <c r="E697" s="6">
        <v>507</v>
      </c>
      <c r="F697" s="12">
        <f>VLOOKUP(Compras[[#This Row],[Codigo]],Stock[#Data],3,FALSE)</f>
        <v>225</v>
      </c>
      <c r="G697" s="43">
        <f>Compras[[#This Row],[Unidad]]*Compras[[#This Row],[Cantidad]]</f>
        <v>1125</v>
      </c>
      <c r="H697" s="16"/>
      <c r="I697" s="16"/>
      <c r="J697" s="16"/>
      <c r="K697" s="16"/>
    </row>
    <row r="698" spans="1:11" ht="20.25" customHeight="1">
      <c r="A698" s="16"/>
      <c r="B698" s="41">
        <v>44927</v>
      </c>
      <c r="C698" s="6" t="str">
        <f>VLOOKUP(Compras[[#This Row],[Codigo]],Stock[#Data],2,FALSE)</f>
        <v>Tuquero Acrílico</v>
      </c>
      <c r="D698" s="40">
        <v>2</v>
      </c>
      <c r="E698" s="6">
        <v>508</v>
      </c>
      <c r="F698" s="12">
        <f>VLOOKUP(Compras[[#This Row],[Codigo]],Stock[#Data],3,FALSE)</f>
        <v>300</v>
      </c>
      <c r="G698" s="43">
        <f>Compras[[#This Row],[Unidad]]*Compras[[#This Row],[Cantidad]]</f>
        <v>600</v>
      </c>
      <c r="H698" s="16"/>
      <c r="I698" s="16"/>
      <c r="J698" s="16"/>
      <c r="K698" s="16"/>
    </row>
    <row r="699" spans="1:11" ht="20.25" customHeight="1">
      <c r="A699" s="16"/>
      <c r="B699" s="41">
        <v>44927</v>
      </c>
      <c r="C699" s="6" t="str">
        <f>VLOOKUP(Compras[[#This Row],[Codigo]],Stock[#Data],2,FALSE)</f>
        <v>Blunt Wrap Piña Colada</v>
      </c>
      <c r="D699" s="40">
        <v>2</v>
      </c>
      <c r="E699" s="6">
        <v>509</v>
      </c>
      <c r="F699" s="12">
        <f>VLOOKUP(Compras[[#This Row],[Codigo]],Stock[#Data],3,FALSE)</f>
        <v>225</v>
      </c>
      <c r="G699" s="43">
        <f>Compras[[#This Row],[Unidad]]*Compras[[#This Row],[Cantidad]]</f>
        <v>450</v>
      </c>
      <c r="H699" s="16"/>
      <c r="I699" s="16"/>
      <c r="J699" s="16"/>
      <c r="K699" s="16"/>
    </row>
    <row r="700" spans="1:11" ht="20.25" customHeight="1">
      <c r="A700" s="16"/>
      <c r="B700" s="41">
        <v>44927</v>
      </c>
      <c r="C700" s="6" t="str">
        <f>VLOOKUP(Compras[[#This Row],[Codigo]],Stock[#Data],2,FALSE)</f>
        <v xml:space="preserve">Polea Santa Planta 5kg </v>
      </c>
      <c r="D700" s="40">
        <v>2</v>
      </c>
      <c r="E700" s="6">
        <v>510</v>
      </c>
      <c r="F700" s="12">
        <f>VLOOKUP(Compras[[#This Row],[Codigo]],Stock[#Data],3,FALSE)</f>
        <v>1375</v>
      </c>
      <c r="G700" s="43">
        <f>Compras[[#This Row],[Unidad]]*Compras[[#This Row],[Cantidad]]</f>
        <v>2750</v>
      </c>
      <c r="H700" s="16"/>
      <c r="I700" s="16"/>
      <c r="J700" s="16"/>
      <c r="K700" s="16"/>
    </row>
    <row r="701" spans="1:11" ht="20.25" customHeight="1">
      <c r="A701" s="16"/>
      <c r="B701" s="41">
        <v>44927</v>
      </c>
      <c r="C701" s="6" t="str">
        <f>VLOOKUP(Compras[[#This Row],[Codigo]],Stock[#Data],2,FALSE)</f>
        <v>Bioestimulante The Green Nousery 2 Litros</v>
      </c>
      <c r="D701" s="40">
        <v>1</v>
      </c>
      <c r="E701" s="6">
        <v>511</v>
      </c>
      <c r="F701" s="12">
        <f>VLOOKUP(Compras[[#This Row],[Codigo]],Stock[#Data],3,FALSE)</f>
        <v>1000</v>
      </c>
      <c r="G701" s="43">
        <f>Compras[[#This Row],[Unidad]]*Compras[[#This Row],[Cantidad]]</f>
        <v>1000</v>
      </c>
      <c r="H701" s="16"/>
      <c r="I701" s="16"/>
      <c r="J701" s="16"/>
      <c r="K701" s="16"/>
    </row>
    <row r="702" spans="1:11" ht="20.25" customHeight="1">
      <c r="A702" s="16"/>
      <c r="B702" s="41">
        <v>44927</v>
      </c>
      <c r="C702" s="6" t="str">
        <f>VLOOKUP(Compras[[#This Row],[Codigo]],Stock[#Data],2,FALSE)</f>
        <v>Sedas Smoking Master</v>
      </c>
      <c r="D702" s="40">
        <v>11</v>
      </c>
      <c r="E702" s="6">
        <v>512</v>
      </c>
      <c r="F702" s="12">
        <f>VLOOKUP(Compras[[#This Row],[Codigo]],Stock[#Data],3,FALSE)</f>
        <v>110</v>
      </c>
      <c r="G702" s="43">
        <f>Compras[[#This Row],[Unidad]]*Compras[[#This Row],[Cantidad]]</f>
        <v>1210</v>
      </c>
      <c r="H702" s="16"/>
      <c r="I702" s="16"/>
      <c r="J702" s="16"/>
      <c r="K702" s="16"/>
    </row>
    <row r="703" spans="1:11" ht="20.25" customHeight="1">
      <c r="A703" s="16"/>
      <c r="B703" s="41">
        <v>44927</v>
      </c>
      <c r="C703" s="6" t="str">
        <f>VLOOKUP(Compras[[#This Row],[Codigo]],Stock[#Data],2,FALSE)</f>
        <v>Sedas Smoking Organic</v>
      </c>
      <c r="D703" s="40">
        <v>10</v>
      </c>
      <c r="E703" s="6">
        <v>513</v>
      </c>
      <c r="F703" s="12">
        <f>VLOOKUP(Compras[[#This Row],[Codigo]],Stock[#Data],3,FALSE)</f>
        <v>50</v>
      </c>
      <c r="G703" s="43">
        <f>Compras[[#This Row],[Unidad]]*Compras[[#This Row],[Cantidad]]</f>
        <v>500</v>
      </c>
      <c r="H703" s="16"/>
      <c r="I703" s="16"/>
      <c r="J703" s="16"/>
      <c r="K703" s="16"/>
    </row>
    <row r="704" spans="1:11" ht="20.25" customHeight="1">
      <c r="A704" s="16"/>
      <c r="B704" s="41">
        <v>44927</v>
      </c>
      <c r="C704" s="6" t="str">
        <f>VLOOKUP(Compras[[#This Row],[Codigo]],Stock[#Data],2,FALSE)</f>
        <v>Sedas Smoking Brown</v>
      </c>
      <c r="D704" s="40">
        <v>12</v>
      </c>
      <c r="E704" s="6">
        <v>514</v>
      </c>
      <c r="F704" s="12">
        <f>VLOOKUP(Compras[[#This Row],[Codigo]],Stock[#Data],3,FALSE)</f>
        <v>50</v>
      </c>
      <c r="G704" s="43">
        <f>Compras[[#This Row],[Unidad]]*Compras[[#This Row],[Cantidad]]</f>
        <v>600</v>
      </c>
      <c r="H704" s="16"/>
      <c r="I704" s="16"/>
      <c r="J704" s="16"/>
      <c r="K704" s="16"/>
    </row>
    <row r="705" spans="1:11" ht="20.25" customHeight="1">
      <c r="A705" s="16"/>
      <c r="B705" s="41">
        <v>44927</v>
      </c>
      <c r="C705" s="6" t="str">
        <f>VLOOKUP(Compras[[#This Row],[Codigo]],Stock[#Data],2,FALSE)</f>
        <v>Sedas Smoking Deluxe</v>
      </c>
      <c r="D705" s="40">
        <v>12</v>
      </c>
      <c r="E705" s="6">
        <v>515</v>
      </c>
      <c r="F705" s="12">
        <f>VLOOKUP(Compras[[#This Row],[Codigo]],Stock[#Data],3,FALSE)</f>
        <v>50</v>
      </c>
      <c r="G705" s="43">
        <f>Compras[[#This Row],[Unidad]]*Compras[[#This Row],[Cantidad]]</f>
        <v>600</v>
      </c>
      <c r="H705" s="16"/>
      <c r="I705" s="16"/>
      <c r="J705" s="16"/>
      <c r="K705" s="16"/>
    </row>
    <row r="706" spans="1:11" ht="20.25" customHeight="1">
      <c r="A706" s="16"/>
      <c r="B706" s="41">
        <v>44927</v>
      </c>
      <c r="C706" s="6" t="str">
        <f>VLOOKUP(Compras[[#This Row],[Codigo]],Stock[#Data],2,FALSE)</f>
        <v>Balanza de Cocina</v>
      </c>
      <c r="D706" s="40">
        <v>1</v>
      </c>
      <c r="E706" s="6">
        <v>516</v>
      </c>
      <c r="F706" s="12">
        <f>VLOOKUP(Compras[[#This Row],[Codigo]],Stock[#Data],3,FALSE)</f>
        <v>2000</v>
      </c>
      <c r="G706" s="43">
        <f>Compras[[#This Row],[Unidad]]*Compras[[#This Row],[Cantidad]]</f>
        <v>2000</v>
      </c>
      <c r="H706" s="16"/>
      <c r="I706" s="16"/>
      <c r="J706" s="16"/>
      <c r="K706" s="16"/>
    </row>
    <row r="707" spans="1:11" ht="20.25" customHeight="1">
      <c r="A707" s="16"/>
      <c r="B707" s="41">
        <v>44927</v>
      </c>
      <c r="C707" s="6" t="str">
        <f>VLOOKUP(Compras[[#This Row],[Codigo]],Stock[#Data],2,FALSE)</f>
        <v>Sedas Lion Rolling Circus 1/4 Saborizadas Uva</v>
      </c>
      <c r="D707" s="40">
        <v>2</v>
      </c>
      <c r="E707" s="6">
        <v>517</v>
      </c>
      <c r="F707" s="12">
        <f>VLOOKUP(Compras[[#This Row],[Codigo]],Stock[#Data],3,FALSE)</f>
        <v>178</v>
      </c>
      <c r="G707" s="43">
        <f>Compras[[#This Row],[Unidad]]*Compras[[#This Row],[Cantidad]]</f>
        <v>356</v>
      </c>
      <c r="H707" s="16"/>
      <c r="I707" s="16"/>
      <c r="J707" s="16"/>
      <c r="K707" s="16"/>
    </row>
    <row r="708" spans="1:11" ht="20.25" customHeight="1">
      <c r="A708" s="16"/>
      <c r="B708" s="41">
        <v>44927</v>
      </c>
      <c r="C708" s="6" t="str">
        <f>VLOOKUP(Compras[[#This Row],[Codigo]],Stock[#Data],2,FALSE)</f>
        <v>Sedas Lion Rolling Circus 1/4 Saborizadas Coco</v>
      </c>
      <c r="D708" s="40">
        <v>1</v>
      </c>
      <c r="E708" s="6">
        <v>518</v>
      </c>
      <c r="F708" s="12">
        <f>VLOOKUP(Compras[[#This Row],[Codigo]],Stock[#Data],3,FALSE)</f>
        <v>178</v>
      </c>
      <c r="G708" s="43">
        <f>Compras[[#This Row],[Unidad]]*Compras[[#This Row],[Cantidad]]</f>
        <v>178</v>
      </c>
      <c r="H708" s="16"/>
      <c r="I708" s="16"/>
      <c r="J708" s="16"/>
      <c r="K708" s="16"/>
    </row>
    <row r="709" spans="1:11" ht="20.25" customHeight="1">
      <c r="A709" s="16"/>
      <c r="B709" s="41">
        <v>44927</v>
      </c>
      <c r="C709" s="6" t="str">
        <f>VLOOKUP(Compras[[#This Row],[Codigo]],Stock[#Data],2,FALSE)</f>
        <v>CropSecret 250ml Full Roots</v>
      </c>
      <c r="D709" s="40">
        <v>3</v>
      </c>
      <c r="E709" s="6">
        <v>1</v>
      </c>
      <c r="F709" s="12">
        <f>VLOOKUP(Compras[[#This Row],[Codigo]],Stock[#Data],3,FALSE)</f>
        <v>836</v>
      </c>
      <c r="G709" s="43">
        <f>Compras[[#This Row],[Unidad]]*Compras[[#This Row],[Cantidad]]</f>
        <v>2508</v>
      </c>
      <c r="H709" s="16"/>
      <c r="I709" s="16"/>
      <c r="J709" s="16"/>
      <c r="K709" s="16"/>
    </row>
    <row r="710" spans="1:11" ht="20.25" customHeight="1">
      <c r="A710" s="16"/>
      <c r="B710" s="41">
        <v>44927</v>
      </c>
      <c r="C710" s="6" t="str">
        <f>VLOOKUP(Compras[[#This Row],[Codigo]],Stock[#Data],2,FALSE)</f>
        <v>CropSecret 250ml Automatic Crop</v>
      </c>
      <c r="D710" s="40">
        <v>3</v>
      </c>
      <c r="E710" s="6">
        <v>3</v>
      </c>
      <c r="F710" s="12">
        <f>VLOOKUP(Compras[[#This Row],[Codigo]],Stock[#Data],3,FALSE)</f>
        <v>1094</v>
      </c>
      <c r="G710" s="43">
        <f>Compras[[#This Row],[Unidad]]*Compras[[#This Row],[Cantidad]]</f>
        <v>3282</v>
      </c>
      <c r="H710" s="16"/>
      <c r="I710" s="16"/>
      <c r="J710" s="16"/>
      <c r="K710" s="16"/>
    </row>
    <row r="711" spans="1:11" ht="20.25" customHeight="1">
      <c r="A711" s="16"/>
      <c r="B711" s="41">
        <v>44927</v>
      </c>
      <c r="C711" s="6" t="str">
        <f>VLOOKUP(Compras[[#This Row],[Codigo]],Stock[#Data],2,FALSE)</f>
        <v>CropSecret 250ml Booster Potion</v>
      </c>
      <c r="D711" s="40">
        <v>2</v>
      </c>
      <c r="E711" s="6">
        <v>4</v>
      </c>
      <c r="F711" s="12">
        <f>VLOOKUP(Compras[[#This Row],[Codigo]],Stock[#Data],3,FALSE)</f>
        <v>836</v>
      </c>
      <c r="G711" s="43">
        <f>Compras[[#This Row],[Unidad]]*Compras[[#This Row],[Cantidad]]</f>
        <v>1672</v>
      </c>
      <c r="H711" s="16"/>
      <c r="I711" s="16"/>
      <c r="J711" s="16"/>
      <c r="K711" s="16"/>
    </row>
    <row r="712" spans="1:11" ht="20.25" customHeight="1">
      <c r="A712" s="16"/>
      <c r="B712" s="41">
        <v>44927</v>
      </c>
      <c r="C712" s="6" t="str">
        <f>VLOOKUP(Compras[[#This Row],[Codigo]],Stock[#Data],2,FALSE)</f>
        <v>CropSecret 250ml Candy Maker</v>
      </c>
      <c r="D712" s="40">
        <v>4</v>
      </c>
      <c r="E712" s="6">
        <v>5</v>
      </c>
      <c r="F712" s="12">
        <f>VLOOKUP(Compras[[#This Row],[Codigo]],Stock[#Data],3,FALSE)</f>
        <v>707</v>
      </c>
      <c r="G712" s="43">
        <f>Compras[[#This Row],[Unidad]]*Compras[[#This Row],[Cantidad]]</f>
        <v>2828</v>
      </c>
      <c r="H712" s="16"/>
      <c r="I712" s="16"/>
      <c r="J712" s="16"/>
      <c r="K712" s="16"/>
    </row>
    <row r="713" spans="1:11" ht="20.25" customHeight="1">
      <c r="A713" s="16"/>
      <c r="B713" s="41">
        <v>44927</v>
      </c>
      <c r="C713" s="6" t="str">
        <f>VLOOKUP(Compras[[#This Row],[Codigo]],Stock[#Data],2,FALSE)</f>
        <v>CropSecret 250ml Floral Session</v>
      </c>
      <c r="D713" s="40">
        <v>2</v>
      </c>
      <c r="E713" s="6">
        <v>6</v>
      </c>
      <c r="F713" s="12">
        <f>VLOOKUP(Compras[[#This Row],[Codigo]],Stock[#Data],3,FALSE)</f>
        <v>836</v>
      </c>
      <c r="G713" s="43">
        <f>Compras[[#This Row],[Unidad]]*Compras[[#This Row],[Cantidad]]</f>
        <v>1672</v>
      </c>
      <c r="H713" s="16"/>
      <c r="I713" s="16"/>
      <c r="J713" s="16"/>
      <c r="K713" s="16"/>
    </row>
    <row r="714" spans="1:11" ht="20.25" customHeight="1">
      <c r="A714" s="16"/>
      <c r="B714" s="41">
        <v>44927</v>
      </c>
      <c r="C714" s="6" t="str">
        <f>VLOOKUP(Compras[[#This Row],[Codigo]],Stock[#Data],2,FALSE)</f>
        <v>CropSecret Kit Automáticas</v>
      </c>
      <c r="D714" s="40">
        <v>3</v>
      </c>
      <c r="E714" s="6">
        <v>7</v>
      </c>
      <c r="F714" s="12">
        <f>VLOOKUP(Compras[[#This Row],[Codigo]],Stock[#Data],3,FALSE)</f>
        <v>1759</v>
      </c>
      <c r="G714" s="43">
        <f>Compras[[#This Row],[Unidad]]*Compras[[#This Row],[Cantidad]]</f>
        <v>5277</v>
      </c>
      <c r="H714" s="16"/>
      <c r="I714" s="16"/>
      <c r="J714" s="16"/>
      <c r="K714" s="16"/>
    </row>
    <row r="715" spans="1:11" ht="20.25" customHeight="1">
      <c r="A715" s="16"/>
      <c r="B715" s="41">
        <v>44927</v>
      </c>
      <c r="C715" s="6" t="str">
        <f>VLOOKUP(Compras[[#This Row],[Codigo]],Stock[#Data],2,FALSE)</f>
        <v xml:space="preserve">CropSecret Kit Fotoperiódicas </v>
      </c>
      <c r="D715" s="40">
        <v>3</v>
      </c>
      <c r="E715" s="6">
        <v>8</v>
      </c>
      <c r="F715" s="12">
        <f>VLOOKUP(Compras[[#This Row],[Codigo]],Stock[#Data],3,FALSE)</f>
        <v>2136</v>
      </c>
      <c r="G715" s="43">
        <f>Compras[[#This Row],[Unidad]]*Compras[[#This Row],[Cantidad]]</f>
        <v>6408</v>
      </c>
      <c r="H715" s="16"/>
      <c r="I715" s="16"/>
      <c r="J715" s="16"/>
      <c r="K715" s="16"/>
    </row>
    <row r="716" spans="1:11" ht="20.25" customHeight="1">
      <c r="A716" s="16"/>
      <c r="B716" s="41">
        <v>44927</v>
      </c>
      <c r="C716" s="6" t="str">
        <f>VLOOKUP(Compras[[#This Row],[Codigo]],Stock[#Data],2,FALSE)</f>
        <v>Top Crop Top Bloom</v>
      </c>
      <c r="D716" s="40">
        <v>1</v>
      </c>
      <c r="E716" s="6">
        <v>9</v>
      </c>
      <c r="F716" s="12">
        <f>VLOOKUP(Compras[[#This Row],[Codigo]],Stock[#Data],3,FALSE)</f>
        <v>1082</v>
      </c>
      <c r="G716" s="43">
        <f>Compras[[#This Row],[Unidad]]*Compras[[#This Row],[Cantidad]]</f>
        <v>1082</v>
      </c>
      <c r="H716" s="16"/>
      <c r="I716" s="16"/>
      <c r="J716" s="16"/>
      <c r="K716" s="16"/>
    </row>
    <row r="717" spans="1:11" ht="20.25" customHeight="1">
      <c r="A717" s="16"/>
      <c r="B717" s="41">
        <v>44927</v>
      </c>
      <c r="C717" s="6" t="str">
        <f>VLOOKUP(Compras[[#This Row],[Codigo]],Stock[#Data],2,FALSE)</f>
        <v>Melaza Respeta mi 4:20 250cc</v>
      </c>
      <c r="D717" s="40">
        <v>3</v>
      </c>
      <c r="E717" s="6">
        <v>10</v>
      </c>
      <c r="F717" s="12">
        <f>VLOOKUP(Compras[[#This Row],[Codigo]],Stock[#Data],3,FALSE)</f>
        <v>437</v>
      </c>
      <c r="G717" s="43">
        <f>Compras[[#This Row],[Unidad]]*Compras[[#This Row],[Cantidad]]</f>
        <v>1311</v>
      </c>
      <c r="H717" s="16"/>
      <c r="I717" s="16"/>
      <c r="J717" s="16"/>
      <c r="K717" s="16"/>
    </row>
    <row r="718" spans="1:11" ht="20.25" customHeight="1">
      <c r="A718" s="16"/>
      <c r="B718" s="41">
        <v>44927</v>
      </c>
      <c r="C718" s="6" t="str">
        <f>VLOOKUP(Compras[[#This Row],[Codigo]],Stock[#Data],2,FALSE)</f>
        <v>Bio Brew</v>
      </c>
      <c r="D718" s="40">
        <v>4</v>
      </c>
      <c r="E718" s="6">
        <v>11</v>
      </c>
      <c r="F718" s="12">
        <f>VLOOKUP(Compras[[#This Row],[Codigo]],Stock[#Data],3,FALSE)</f>
        <v>530</v>
      </c>
      <c r="G718" s="43">
        <f>Compras[[#This Row],[Unidad]]*Compras[[#This Row],[Cantidad]]</f>
        <v>2120</v>
      </c>
      <c r="H718" s="16"/>
      <c r="I718" s="16"/>
      <c r="J718" s="16"/>
      <c r="K718" s="16"/>
    </row>
    <row r="719" spans="1:11" ht="20.25" customHeight="1">
      <c r="A719" s="16"/>
      <c r="B719" s="41">
        <v>44927</v>
      </c>
      <c r="C719" s="6" t="str">
        <f>VLOOKUP(Compras[[#This Row],[Codigo]],Stock[#Data],2,FALSE)</f>
        <v>Maca Brew 500cc</v>
      </c>
      <c r="D719" s="40">
        <v>7</v>
      </c>
      <c r="E719" s="6">
        <v>12</v>
      </c>
      <c r="F719" s="12">
        <f>VLOOKUP(Compras[[#This Row],[Codigo]],Stock[#Data],3,FALSE)</f>
        <v>470</v>
      </c>
      <c r="G719" s="43">
        <f>Compras[[#This Row],[Unidad]]*Compras[[#This Row],[Cantidad]]</f>
        <v>3290</v>
      </c>
      <c r="H719" s="16"/>
      <c r="I719" s="16"/>
      <c r="J719" s="16"/>
      <c r="K719" s="16"/>
    </row>
    <row r="720" spans="1:11" ht="20.25" customHeight="1">
      <c r="A720" s="16"/>
      <c r="B720" s="41">
        <v>44927</v>
      </c>
      <c r="C720" s="6" t="str">
        <f>VLOOKUP(Compras[[#This Row],[Codigo]],Stock[#Data],2,FALSE)</f>
        <v>SKOG Zeta</v>
      </c>
      <c r="D720" s="40">
        <v>18</v>
      </c>
      <c r="E720" s="6">
        <v>13</v>
      </c>
      <c r="F720" s="12">
        <f>VLOOKUP(Compras[[#This Row],[Codigo]],Stock[#Data],3,FALSE)</f>
        <v>405</v>
      </c>
      <c r="G720" s="43">
        <f>Compras[[#This Row],[Unidad]]*Compras[[#This Row],[Cantidad]]</f>
        <v>7290</v>
      </c>
      <c r="H720" s="16"/>
      <c r="I720" s="16"/>
      <c r="J720" s="16"/>
      <c r="K720" s="16"/>
    </row>
    <row r="721" spans="1:11" ht="20.25" customHeight="1">
      <c r="A721" s="16"/>
      <c r="B721" s="41">
        <v>44927</v>
      </c>
      <c r="C721" s="6" t="str">
        <f>VLOOKUP(Compras[[#This Row],[Codigo]],Stock[#Data],2,FALSE)</f>
        <v>SKOG Ema</v>
      </c>
      <c r="D721" s="40">
        <v>1</v>
      </c>
      <c r="E721" s="6">
        <v>14</v>
      </c>
      <c r="F721" s="12">
        <f>VLOOKUP(Compras[[#This Row],[Codigo]],Stock[#Data],3,FALSE)</f>
        <v>405</v>
      </c>
      <c r="G721" s="43">
        <f>Compras[[#This Row],[Unidad]]*Compras[[#This Row],[Cantidad]]</f>
        <v>405</v>
      </c>
      <c r="H721" s="16"/>
      <c r="I721" s="16"/>
      <c r="J721" s="16"/>
      <c r="K721" s="16"/>
    </row>
    <row r="722" spans="1:11" ht="20.25" customHeight="1">
      <c r="A722" s="16"/>
      <c r="B722" s="41">
        <v>44927</v>
      </c>
      <c r="C722" s="6" t="str">
        <f>VLOOKUP(Compras[[#This Row],[Codigo]],Stock[#Data],2,FALSE)</f>
        <v>SKOG King Clon</v>
      </c>
      <c r="D722" s="40">
        <v>15</v>
      </c>
      <c r="E722" s="6">
        <v>15</v>
      </c>
      <c r="F722" s="12">
        <f>VLOOKUP(Compras[[#This Row],[Codigo]],Stock[#Data],3,FALSE)</f>
        <v>485</v>
      </c>
      <c r="G722" s="43">
        <f>Compras[[#This Row],[Unidad]]*Compras[[#This Row],[Cantidad]]</f>
        <v>7275</v>
      </c>
      <c r="H722" s="16"/>
      <c r="I722" s="16"/>
      <c r="J722" s="16"/>
      <c r="K722" s="16"/>
    </row>
    <row r="723" spans="1:11" ht="20.25" customHeight="1">
      <c r="A723" s="16"/>
      <c r="B723" s="41">
        <v>44927</v>
      </c>
      <c r="C723" s="6" t="str">
        <f>VLOOKUP(Compras[[#This Row],[Codigo]],Stock[#Data],2,FALSE)</f>
        <v>Organic Life jabón potásico</v>
      </c>
      <c r="D723" s="40">
        <v>10</v>
      </c>
      <c r="E723" s="6">
        <v>18</v>
      </c>
      <c r="F723" s="12">
        <f>VLOOKUP(Compras[[#This Row],[Codigo]],Stock[#Data],3,FALSE)</f>
        <v>240</v>
      </c>
      <c r="G723" s="43">
        <f>Compras[[#This Row],[Unidad]]*Compras[[#This Row],[Cantidad]]</f>
        <v>2400</v>
      </c>
      <c r="H723" s="16"/>
      <c r="I723" s="16"/>
      <c r="J723" s="16"/>
      <c r="K723" s="16"/>
    </row>
    <row r="724" spans="1:11" ht="20.25" customHeight="1">
      <c r="A724" s="16"/>
      <c r="B724" s="41">
        <v>44927</v>
      </c>
      <c r="C724" s="6" t="str">
        <f>VLOOKUP(Compras[[#This Row],[Codigo]],Stock[#Data],2,FALSE)</f>
        <v>Organic Life Silicio</v>
      </c>
      <c r="D724" s="40">
        <v>8</v>
      </c>
      <c r="E724" s="6">
        <v>19</v>
      </c>
      <c r="F724" s="12">
        <f>VLOOKUP(Compras[[#This Row],[Codigo]],Stock[#Data],3,FALSE)</f>
        <v>435</v>
      </c>
      <c r="G724" s="43">
        <f>Compras[[#This Row],[Unidad]]*Compras[[#This Row],[Cantidad]]</f>
        <v>3480</v>
      </c>
      <c r="H724" s="16"/>
      <c r="I724" s="16"/>
      <c r="J724" s="16"/>
      <c r="K724" s="16"/>
    </row>
    <row r="725" spans="1:11" ht="20.25" customHeight="1">
      <c r="A725" s="16"/>
      <c r="B725" s="41">
        <v>44927</v>
      </c>
      <c r="C725" s="6" t="str">
        <f>VLOOKUP(Compras[[#This Row],[Codigo]],Stock[#Data],2,FALSE)</f>
        <v>Nostress aceite de neem</v>
      </c>
      <c r="D725" s="40">
        <v>9</v>
      </c>
      <c r="E725" s="6">
        <v>20</v>
      </c>
      <c r="F725" s="12">
        <f>VLOOKUP(Compras[[#This Row],[Codigo]],Stock[#Data],3,FALSE)</f>
        <v>430</v>
      </c>
      <c r="G725" s="43">
        <f>Compras[[#This Row],[Unidad]]*Compras[[#This Row],[Cantidad]]</f>
        <v>3870</v>
      </c>
      <c r="H725" s="16"/>
      <c r="I725" s="16"/>
      <c r="J725" s="16"/>
      <c r="K725" s="16"/>
    </row>
    <row r="726" spans="1:11" ht="20.25" customHeight="1">
      <c r="A726" s="16"/>
      <c r="B726" s="41">
        <v>44927</v>
      </c>
      <c r="C726" s="6" t="str">
        <f>VLOOKUP(Compras[[#This Row],[Codigo]],Stock[#Data],2,FALSE)</f>
        <v>TreeMIX A 45ml</v>
      </c>
      <c r="D726" s="40">
        <v>5</v>
      </c>
      <c r="E726" s="6">
        <v>21</v>
      </c>
      <c r="F726" s="12">
        <f>VLOOKUP(Compras[[#This Row],[Codigo]],Stock[#Data],3,FALSE)</f>
        <v>260</v>
      </c>
      <c r="G726" s="43">
        <f>Compras[[#This Row],[Unidad]]*Compras[[#This Row],[Cantidad]]</f>
        <v>1300</v>
      </c>
      <c r="H726" s="16"/>
      <c r="I726" s="16"/>
      <c r="J726" s="16"/>
      <c r="K726" s="16"/>
    </row>
    <row r="727" spans="1:11" ht="20.25" customHeight="1">
      <c r="A727" s="16"/>
      <c r="B727" s="41">
        <v>44927</v>
      </c>
      <c r="C727" s="6" t="str">
        <f>VLOOKUP(Compras[[#This Row],[Codigo]],Stock[#Data],2,FALSE)</f>
        <v>TreeMIX N 45ml</v>
      </c>
      <c r="D727" s="40">
        <v>8</v>
      </c>
      <c r="E727" s="6">
        <v>23</v>
      </c>
      <c r="F727" s="12">
        <f>VLOOKUP(Compras[[#This Row],[Codigo]],Stock[#Data],3,FALSE)</f>
        <v>260</v>
      </c>
      <c r="G727" s="43">
        <f>Compras[[#This Row],[Unidad]]*Compras[[#This Row],[Cantidad]]</f>
        <v>2080</v>
      </c>
      <c r="H727" s="16"/>
      <c r="I727" s="16"/>
      <c r="J727" s="16"/>
      <c r="K727" s="16"/>
    </row>
    <row r="728" spans="1:11" ht="20.25" customHeight="1">
      <c r="A728" s="16"/>
      <c r="B728" s="41">
        <v>44927</v>
      </c>
      <c r="C728" s="6" t="str">
        <f>VLOOKUP(Compras[[#This Row],[Codigo]],Stock[#Data],2,FALSE)</f>
        <v>TreeMIX ZYM 45ml</v>
      </c>
      <c r="D728" s="40">
        <v>4</v>
      </c>
      <c r="E728" s="6">
        <v>24</v>
      </c>
      <c r="F728" s="12">
        <f>VLOOKUP(Compras[[#This Row],[Codigo]],Stock[#Data],3,FALSE)</f>
        <v>840</v>
      </c>
      <c r="G728" s="43">
        <f>Compras[[#This Row],[Unidad]]*Compras[[#This Row],[Cantidad]]</f>
        <v>3360</v>
      </c>
      <c r="H728" s="16"/>
      <c r="I728" s="16"/>
      <c r="J728" s="16"/>
      <c r="K728" s="16"/>
    </row>
    <row r="729" spans="1:11" ht="20.25" customHeight="1">
      <c r="A729" s="16"/>
      <c r="B729" s="41">
        <v>44927</v>
      </c>
      <c r="C729" s="6" t="str">
        <f>VLOOKUP(Compras[[#This Row],[Codigo]],Stock[#Data],2,FALSE)</f>
        <v>TreeMIX PRO 45ml</v>
      </c>
      <c r="D729" s="40">
        <v>4</v>
      </c>
      <c r="E729" s="6">
        <v>25</v>
      </c>
      <c r="F729" s="12">
        <f>VLOOKUP(Compras[[#This Row],[Codigo]],Stock[#Data],3,FALSE)</f>
        <v>345</v>
      </c>
      <c r="G729" s="43">
        <f>Compras[[#This Row],[Unidad]]*Compras[[#This Row],[Cantidad]]</f>
        <v>1380</v>
      </c>
      <c r="H729" s="16"/>
      <c r="I729" s="16"/>
      <c r="J729" s="16"/>
      <c r="K729" s="16"/>
    </row>
    <row r="730" spans="1:11" ht="20.25" customHeight="1">
      <c r="A730" s="16"/>
      <c r="B730" s="41">
        <v>44927</v>
      </c>
      <c r="C730" s="6" t="str">
        <f>VLOOKUP(Compras[[#This Row],[Codigo]],Stock[#Data],2,FALSE)</f>
        <v>TreeMIX CANDY 45 ml</v>
      </c>
      <c r="D730" s="40">
        <v>9</v>
      </c>
      <c r="E730" s="6">
        <v>26</v>
      </c>
      <c r="F730" s="12">
        <f>VLOOKUP(Compras[[#This Row],[Codigo]],Stock[#Data],3,FALSE)</f>
        <v>220</v>
      </c>
      <c r="G730" s="43">
        <f>Compras[[#This Row],[Unidad]]*Compras[[#This Row],[Cantidad]]</f>
        <v>1980</v>
      </c>
      <c r="H730" s="16"/>
      <c r="I730" s="16"/>
      <c r="J730" s="16"/>
      <c r="K730" s="16"/>
    </row>
    <row r="731" spans="1:11" ht="20.25" customHeight="1">
      <c r="A731" s="16"/>
      <c r="B731" s="41">
        <v>44927</v>
      </c>
      <c r="C731" s="6" t="str">
        <f>VLOOKUP(Compras[[#This Row],[Codigo]],Stock[#Data],2,FALSE)</f>
        <v>TreeMIX KILL MIX 45ml</v>
      </c>
      <c r="D731" s="40">
        <v>2</v>
      </c>
      <c r="E731" s="6">
        <v>27</v>
      </c>
      <c r="F731" s="12">
        <f>VLOOKUP(Compras[[#This Row],[Codigo]],Stock[#Data],3,FALSE)</f>
        <v>320</v>
      </c>
      <c r="G731" s="43">
        <f>Compras[[#This Row],[Unidad]]*Compras[[#This Row],[Cantidad]]</f>
        <v>640</v>
      </c>
      <c r="H731" s="16"/>
      <c r="I731" s="16"/>
      <c r="J731" s="16"/>
      <c r="K731" s="16"/>
    </row>
    <row r="732" spans="1:11" ht="20.25" customHeight="1">
      <c r="A732" s="16"/>
      <c r="B732" s="41">
        <v>44927</v>
      </c>
      <c r="C732" s="6" t="str">
        <f>VLOOKUP(Compras[[#This Row],[Codigo]],Stock[#Data],2,FALSE)</f>
        <v>TreeMIX KILL BTI 45 ml</v>
      </c>
      <c r="D732" s="40">
        <v>2</v>
      </c>
      <c r="E732" s="6">
        <v>28</v>
      </c>
      <c r="F732" s="12">
        <f>VLOOKUP(Compras[[#This Row],[Codigo]],Stock[#Data],3,FALSE)</f>
        <v>420</v>
      </c>
      <c r="G732" s="43">
        <f>Compras[[#This Row],[Unidad]]*Compras[[#This Row],[Cantidad]]</f>
        <v>840</v>
      </c>
      <c r="H732" s="16"/>
      <c r="I732" s="16"/>
      <c r="J732" s="16"/>
      <c r="K732" s="16"/>
    </row>
    <row r="733" spans="1:11" ht="20.25" customHeight="1">
      <c r="A733" s="16"/>
      <c r="B733" s="41">
        <v>44927</v>
      </c>
      <c r="C733" s="6" t="str">
        <f>VLOOKUP(Compras[[#This Row],[Codigo]],Stock[#Data],2,FALSE)</f>
        <v>TreeMIX A 1l</v>
      </c>
      <c r="D733" s="40">
        <v>2</v>
      </c>
      <c r="E733" s="6">
        <v>29</v>
      </c>
      <c r="F733" s="12">
        <f>VLOOKUP(Compras[[#This Row],[Codigo]],Stock[#Data],3,FALSE)</f>
        <v>2530</v>
      </c>
      <c r="G733" s="43">
        <f>Compras[[#This Row],[Unidad]]*Compras[[#This Row],[Cantidad]]</f>
        <v>5060</v>
      </c>
      <c r="H733" s="16"/>
      <c r="I733" s="16"/>
      <c r="J733" s="16"/>
      <c r="K733" s="16"/>
    </row>
    <row r="734" spans="1:11" ht="20.25" customHeight="1">
      <c r="A734" s="16"/>
      <c r="B734" s="41">
        <v>44927</v>
      </c>
      <c r="C734" s="6" t="str">
        <f>VLOOKUP(Compras[[#This Row],[Codigo]],Stock[#Data],2,FALSE)</f>
        <v>TreeMIX PRO 200ml</v>
      </c>
      <c r="D734" s="40">
        <v>6</v>
      </c>
      <c r="E734" s="6">
        <v>30</v>
      </c>
      <c r="F734" s="12">
        <f>VLOOKUP(Compras[[#This Row],[Codigo]],Stock[#Data],3,FALSE)</f>
        <v>700</v>
      </c>
      <c r="G734" s="43">
        <f>Compras[[#This Row],[Unidad]]*Compras[[#This Row],[Cantidad]]</f>
        <v>4200</v>
      </c>
      <c r="H734" s="16"/>
      <c r="I734" s="16"/>
      <c r="J734" s="16"/>
      <c r="K734" s="16"/>
    </row>
    <row r="735" spans="1:11" ht="20.25" customHeight="1">
      <c r="A735" s="16"/>
      <c r="B735" s="41">
        <v>44927</v>
      </c>
      <c r="C735" s="6" t="str">
        <f>VLOOKUP(Compras[[#This Row],[Codigo]],Stock[#Data],2,FALSE)</f>
        <v>TreeMIX A 200ml</v>
      </c>
      <c r="D735" s="40">
        <v>6</v>
      </c>
      <c r="E735" s="6">
        <v>31</v>
      </c>
      <c r="F735" s="12">
        <f>VLOOKUP(Compras[[#This Row],[Codigo]],Stock[#Data],3,FALSE)</f>
        <v>700</v>
      </c>
      <c r="G735" s="43">
        <f>Compras[[#This Row],[Unidad]]*Compras[[#This Row],[Cantidad]]</f>
        <v>4200</v>
      </c>
      <c r="H735" s="16"/>
      <c r="I735" s="16"/>
      <c r="J735" s="16"/>
      <c r="K735" s="16"/>
    </row>
    <row r="736" spans="1:11" ht="20.25" customHeight="1">
      <c r="A736" s="16"/>
      <c r="B736" s="41">
        <v>44927</v>
      </c>
      <c r="C736" s="6" t="str">
        <f>VLOOKUP(Compras[[#This Row],[Codigo]],Stock[#Data],2,FALSE)</f>
        <v>TreeMIX F 200ml</v>
      </c>
      <c r="D736" s="40">
        <v>5</v>
      </c>
      <c r="E736" s="6">
        <v>32</v>
      </c>
      <c r="F736" s="12">
        <f>VLOOKUP(Compras[[#This Row],[Codigo]],Stock[#Data],3,FALSE)</f>
        <v>715</v>
      </c>
      <c r="G736" s="43">
        <f>Compras[[#This Row],[Unidad]]*Compras[[#This Row],[Cantidad]]</f>
        <v>3575</v>
      </c>
      <c r="H736" s="16"/>
      <c r="I736" s="16"/>
      <c r="J736" s="16"/>
      <c r="K736" s="16"/>
    </row>
    <row r="737" spans="1:11" ht="20.25" customHeight="1">
      <c r="A737" s="16"/>
      <c r="B737" s="41">
        <v>44927</v>
      </c>
      <c r="C737" s="6" t="str">
        <f>VLOOKUP(Compras[[#This Row],[Codigo]],Stock[#Data],2,FALSE)</f>
        <v>TreeMIX N 200ml</v>
      </c>
      <c r="D737" s="40">
        <v>6</v>
      </c>
      <c r="E737" s="6">
        <v>33</v>
      </c>
      <c r="F737" s="12">
        <f>VLOOKUP(Compras[[#This Row],[Codigo]],Stock[#Data],3,FALSE)</f>
        <v>650</v>
      </c>
      <c r="G737" s="43">
        <f>Compras[[#This Row],[Unidad]]*Compras[[#This Row],[Cantidad]]</f>
        <v>3900</v>
      </c>
      <c r="H737" s="16"/>
      <c r="I737" s="16"/>
      <c r="J737" s="16"/>
      <c r="K737" s="16"/>
    </row>
    <row r="738" spans="1:11" ht="20.25" customHeight="1">
      <c r="A738" s="16"/>
      <c r="B738" s="41">
        <v>44927</v>
      </c>
      <c r="C738" s="6" t="str">
        <f>VLOOKUP(Compras[[#This Row],[Codigo]],Stock[#Data],2,FALSE)</f>
        <v>TreeMIX ZYM 200ml</v>
      </c>
      <c r="D738" s="40">
        <v>1</v>
      </c>
      <c r="E738" s="6">
        <v>34</v>
      </c>
      <c r="F738" s="12">
        <f>VLOOKUP(Compras[[#This Row],[Codigo]],Stock[#Data],3,FALSE)</f>
        <v>2020</v>
      </c>
      <c r="G738" s="43">
        <f>Compras[[#This Row],[Unidad]]*Compras[[#This Row],[Cantidad]]</f>
        <v>2020</v>
      </c>
      <c r="H738" s="16"/>
      <c r="I738" s="16"/>
      <c r="J738" s="16"/>
      <c r="K738" s="16"/>
    </row>
    <row r="739" spans="1:11" ht="20.25" customHeight="1">
      <c r="A739" s="16"/>
      <c r="B739" s="41">
        <v>44927</v>
      </c>
      <c r="C739" s="6" t="str">
        <f>VLOOKUP(Compras[[#This Row],[Codigo]],Stock[#Data],2,FALSE)</f>
        <v>TreeMIX KILL MIX 200ml</v>
      </c>
      <c r="D739" s="40">
        <v>5</v>
      </c>
      <c r="E739" s="6">
        <v>35</v>
      </c>
      <c r="F739" s="12">
        <f>VLOOKUP(Compras[[#This Row],[Codigo]],Stock[#Data],3,FALSE)</f>
        <v>715</v>
      </c>
      <c r="G739" s="43">
        <f>Compras[[#This Row],[Unidad]]*Compras[[#This Row],[Cantidad]]</f>
        <v>3575</v>
      </c>
      <c r="H739" s="16"/>
      <c r="I739" s="16"/>
      <c r="J739" s="16"/>
      <c r="K739" s="16"/>
    </row>
    <row r="740" spans="1:11" ht="20.25" customHeight="1">
      <c r="A740" s="16"/>
      <c r="B740" s="41">
        <v>44927</v>
      </c>
      <c r="C740" s="6" t="str">
        <f>VLOOKUP(Compras[[#This Row],[Codigo]],Stock[#Data],2,FALSE)</f>
        <v>VAMP Guano de murcielago Vegetativo</v>
      </c>
      <c r="D740" s="40">
        <v>9</v>
      </c>
      <c r="E740" s="6">
        <v>37</v>
      </c>
      <c r="F740" s="12">
        <f>VLOOKUP(Compras[[#This Row],[Codigo]],Stock[#Data],3,FALSE)</f>
        <v>510</v>
      </c>
      <c r="G740" s="43">
        <f>Compras[[#This Row],[Unidad]]*Compras[[#This Row],[Cantidad]]</f>
        <v>4590</v>
      </c>
      <c r="H740" s="16"/>
      <c r="I740" s="16"/>
      <c r="J740" s="16"/>
      <c r="K740" s="16"/>
    </row>
    <row r="741" spans="1:11" ht="20.25" customHeight="1">
      <c r="A741" s="16"/>
      <c r="B741" s="41">
        <v>44927</v>
      </c>
      <c r="C741" s="6" t="str">
        <f>VLOOKUP(Compras[[#This Row],[Codigo]],Stock[#Data],2,FALSE)</f>
        <v>VAMP Guano de murcielago Flora</v>
      </c>
      <c r="D741" s="40">
        <v>10</v>
      </c>
      <c r="E741" s="6">
        <v>38</v>
      </c>
      <c r="F741" s="12">
        <f>VLOOKUP(Compras[[#This Row],[Codigo]],Stock[#Data],3,FALSE)</f>
        <v>510</v>
      </c>
      <c r="G741" s="43">
        <f>Compras[[#This Row],[Unidad]]*Compras[[#This Row],[Cantidad]]</f>
        <v>5100</v>
      </c>
      <c r="H741" s="16"/>
      <c r="I741" s="16"/>
      <c r="J741" s="16"/>
      <c r="K741" s="16"/>
    </row>
    <row r="742" spans="1:11" ht="20.25" customHeight="1">
      <c r="A742" s="16"/>
      <c r="B742" s="41">
        <v>44927</v>
      </c>
      <c r="C742" s="6" t="str">
        <f>VLOOKUP(Compras[[#This Row],[Codigo]],Stock[#Data],2,FALSE)</f>
        <v>VAMP hechizo BOOM</v>
      </c>
      <c r="D742" s="40">
        <v>6</v>
      </c>
      <c r="E742" s="6">
        <v>39</v>
      </c>
      <c r="F742" s="12">
        <f>VLOOKUP(Compras[[#This Row],[Codigo]],Stock[#Data],3,FALSE)</f>
        <v>600</v>
      </c>
      <c r="G742" s="43">
        <f>Compras[[#This Row],[Unidad]]*Compras[[#This Row],[Cantidad]]</f>
        <v>3600</v>
      </c>
      <c r="H742" s="16"/>
      <c r="I742" s="16"/>
      <c r="J742" s="16"/>
      <c r="K742" s="16"/>
    </row>
    <row r="743" spans="1:11" ht="20.25" customHeight="1">
      <c r="A743" s="16"/>
      <c r="B743" s="41">
        <v>44927</v>
      </c>
      <c r="C743" s="6" t="str">
        <f>VLOOKUP(Compras[[#This Row],[Codigo]],Stock[#Data],2,FALSE)</f>
        <v>VAMP hechizo BLOOM</v>
      </c>
      <c r="D743" s="40">
        <v>8</v>
      </c>
      <c r="E743" s="6">
        <v>40</v>
      </c>
      <c r="F743" s="12">
        <f>VLOOKUP(Compras[[#This Row],[Codigo]],Stock[#Data],3,FALSE)</f>
        <v>600</v>
      </c>
      <c r="G743" s="43">
        <f>Compras[[#This Row],[Unidad]]*Compras[[#This Row],[Cantidad]]</f>
        <v>4800</v>
      </c>
      <c r="H743" s="16"/>
      <c r="I743" s="16"/>
      <c r="J743" s="16"/>
      <c r="K743" s="16"/>
    </row>
    <row r="744" spans="1:11" ht="20.25" customHeight="1">
      <c r="A744" s="16"/>
      <c r="B744" s="41">
        <v>44927</v>
      </c>
      <c r="C744" s="6" t="str">
        <f>VLOOKUP(Compras[[#This Row],[Codigo]],Stock[#Data],2,FALSE)</f>
        <v>VAMP Pocion IMPKBLE</v>
      </c>
      <c r="D744" s="40">
        <v>9</v>
      </c>
      <c r="E744" s="6">
        <v>41</v>
      </c>
      <c r="F744" s="12">
        <f>VLOOKUP(Compras[[#This Row],[Codigo]],Stock[#Data],3,FALSE)</f>
        <v>795</v>
      </c>
      <c r="G744" s="43">
        <f>Compras[[#This Row],[Unidad]]*Compras[[#This Row],[Cantidad]]</f>
        <v>7155</v>
      </c>
      <c r="H744" s="16"/>
      <c r="I744" s="16"/>
      <c r="J744" s="16"/>
      <c r="K744" s="16"/>
    </row>
    <row r="745" spans="1:11" ht="20.25" customHeight="1">
      <c r="A745" s="16"/>
      <c r="B745" s="41">
        <v>44927</v>
      </c>
      <c r="C745" s="6" t="str">
        <f>VLOOKUP(Compras[[#This Row],[Codigo]],Stock[#Data],2,FALSE)</f>
        <v>VAMP Pocion INFERNAL</v>
      </c>
      <c r="D745" s="40">
        <v>3</v>
      </c>
      <c r="E745" s="6">
        <v>42</v>
      </c>
      <c r="F745" s="12">
        <f>VLOOKUP(Compras[[#This Row],[Codigo]],Stock[#Data],3,FALSE)</f>
        <v>795</v>
      </c>
      <c r="G745" s="43">
        <f>Compras[[#This Row],[Unidad]]*Compras[[#This Row],[Cantidad]]</f>
        <v>2385</v>
      </c>
      <c r="H745" s="16"/>
      <c r="I745" s="16"/>
      <c r="J745" s="16"/>
      <c r="K745" s="16"/>
    </row>
    <row r="746" spans="1:11" ht="20.25" customHeight="1">
      <c r="A746" s="16"/>
      <c r="B746" s="41">
        <v>44927</v>
      </c>
      <c r="C746" s="6" t="str">
        <f>VLOOKUP(Compras[[#This Row],[Codigo]],Stock[#Data],2,FALSE)</f>
        <v>VAMP Arcilla Volcanica</v>
      </c>
      <c r="D746" s="40">
        <v>3</v>
      </c>
      <c r="E746" s="6">
        <v>43</v>
      </c>
      <c r="F746" s="12">
        <f>VLOOKUP(Compras[[#This Row],[Codigo]],Stock[#Data],3,FALSE)</f>
        <v>458</v>
      </c>
      <c r="G746" s="43">
        <f>Compras[[#This Row],[Unidad]]*Compras[[#This Row],[Cantidad]]</f>
        <v>1374</v>
      </c>
      <c r="H746" s="16"/>
      <c r="I746" s="16"/>
      <c r="J746" s="16"/>
      <c r="K746" s="16"/>
    </row>
    <row r="747" spans="1:11" ht="20.25" customHeight="1">
      <c r="A747" s="16"/>
      <c r="B747" s="41">
        <v>44927</v>
      </c>
      <c r="C747" s="6" t="str">
        <f>VLOOKUP(Compras[[#This Row],[Codigo]],Stock[#Data],2,FALSE)</f>
        <v>BioEnergy Trichodermas</v>
      </c>
      <c r="D747" s="40">
        <v>5</v>
      </c>
      <c r="E747" s="6">
        <v>47</v>
      </c>
      <c r="F747" s="12">
        <f>VLOOKUP(Compras[[#This Row],[Codigo]],Stock[#Data],3,FALSE)</f>
        <v>350</v>
      </c>
      <c r="G747" s="43">
        <f>Compras[[#This Row],[Unidad]]*Compras[[#This Row],[Cantidad]]</f>
        <v>1750</v>
      </c>
      <c r="H747" s="16"/>
      <c r="I747" s="16"/>
      <c r="J747" s="16"/>
      <c r="K747" s="16"/>
    </row>
    <row r="748" spans="1:11" ht="20.25" customHeight="1">
      <c r="A748" s="16"/>
      <c r="B748" s="41">
        <v>44927</v>
      </c>
      <c r="C748" s="6" t="str">
        <f>VLOOKUP(Compras[[#This Row],[Codigo]],Stock[#Data],2,FALSE)</f>
        <v>Landiner humus de lombríz 5l</v>
      </c>
      <c r="D748" s="40">
        <v>5</v>
      </c>
      <c r="E748" s="6">
        <v>49</v>
      </c>
      <c r="F748" s="12">
        <f>VLOOKUP(Compras[[#This Row],[Codigo]],Stock[#Data],3,FALSE)</f>
        <v>416</v>
      </c>
      <c r="G748" s="43">
        <f>Compras[[#This Row],[Unidad]]*Compras[[#This Row],[Cantidad]]</f>
        <v>2080</v>
      </c>
      <c r="H748" s="16"/>
      <c r="I748" s="16"/>
      <c r="J748" s="16"/>
      <c r="K748" s="16"/>
    </row>
    <row r="749" spans="1:11" ht="20.25" customHeight="1">
      <c r="A749" s="16"/>
      <c r="B749" s="41">
        <v>44927</v>
      </c>
      <c r="C749" s="6" t="str">
        <f>VLOOKUP(Compras[[#This Row],[Codigo]],Stock[#Data],2,FALSE)</f>
        <v>JIFFY moneda turba</v>
      </c>
      <c r="D749" s="40">
        <v>54</v>
      </c>
      <c r="E749" s="6">
        <v>50</v>
      </c>
      <c r="F749" s="12">
        <f>VLOOKUP(Compras[[#This Row],[Codigo]],Stock[#Data],3,FALSE)</f>
        <v>70</v>
      </c>
      <c r="G749" s="43">
        <f>Compras[[#This Row],[Unidad]]*Compras[[#This Row],[Cantidad]]</f>
        <v>3780</v>
      </c>
      <c r="H749" s="16"/>
      <c r="I749" s="16"/>
      <c r="J749" s="16"/>
      <c r="K749" s="16"/>
    </row>
    <row r="750" spans="1:11" ht="20.25" customHeight="1">
      <c r="A750" s="16"/>
      <c r="B750" s="41">
        <v>44927</v>
      </c>
      <c r="C750" s="6" t="str">
        <f>VLOOKUP(Compras[[#This Row],[Codigo]],Stock[#Data],2,FALSE)</f>
        <v>Landiner Turba 10l</v>
      </c>
      <c r="D750" s="40">
        <v>6</v>
      </c>
      <c r="E750" s="6">
        <v>51</v>
      </c>
      <c r="F750" s="12">
        <f>VLOOKUP(Compras[[#This Row],[Codigo]],Stock[#Data],3,FALSE)</f>
        <v>845</v>
      </c>
      <c r="G750" s="43">
        <f>Compras[[#This Row],[Unidad]]*Compras[[#This Row],[Cantidad]]</f>
        <v>5070</v>
      </c>
      <c r="H750" s="16"/>
      <c r="I750" s="16"/>
      <c r="J750" s="16"/>
      <c r="K750" s="16"/>
    </row>
    <row r="751" spans="1:11" ht="20.25" customHeight="1">
      <c r="A751" s="16"/>
      <c r="B751" s="41">
        <v>44927</v>
      </c>
      <c r="C751" s="6" t="str">
        <f>VLOOKUP(Compras[[#This Row],[Codigo]],Stock[#Data],2,FALSE)</f>
        <v>Sustrato Perlita</v>
      </c>
      <c r="D751" s="40">
        <v>6</v>
      </c>
      <c r="E751" s="6">
        <v>52</v>
      </c>
      <c r="F751" s="12">
        <f>VLOOKUP(Compras[[#This Row],[Codigo]],Stock[#Data],3,FALSE)</f>
        <v>400</v>
      </c>
      <c r="G751" s="43">
        <f>Compras[[#This Row],[Unidad]]*Compras[[#This Row],[Cantidad]]</f>
        <v>2400</v>
      </c>
      <c r="H751" s="16"/>
      <c r="I751" s="16"/>
      <c r="J751" s="16"/>
      <c r="K751" s="16"/>
    </row>
    <row r="752" spans="1:11" ht="20.25" customHeight="1">
      <c r="A752" s="16"/>
      <c r="B752" s="41">
        <v>44927</v>
      </c>
      <c r="C752" s="6" t="str">
        <f>VLOOKUP(Compras[[#This Row],[Codigo]],Stock[#Data],2,FALSE)</f>
        <v>Power Cleaning H2O</v>
      </c>
      <c r="D752" s="40">
        <v>5</v>
      </c>
      <c r="E752" s="6">
        <v>54</v>
      </c>
      <c r="F752" s="12">
        <f>VLOOKUP(Compras[[#This Row],[Codigo]],Stock[#Data],3,FALSE)</f>
        <v>380</v>
      </c>
      <c r="G752" s="43">
        <f>Compras[[#This Row],[Unidad]]*Compras[[#This Row],[Cantidad]]</f>
        <v>1900</v>
      </c>
      <c r="H752" s="16"/>
      <c r="I752" s="16"/>
      <c r="J752" s="16"/>
      <c r="K752" s="16"/>
    </row>
    <row r="753" spans="1:11" ht="20.25" customHeight="1">
      <c r="A753" s="16"/>
      <c r="B753" s="41">
        <v>44927</v>
      </c>
      <c r="C753" s="6" t="str">
        <f>VLOOKUP(Compras[[#This Row],[Codigo]],Stock[#Data],2,FALSE)</f>
        <v>Power PH-</v>
      </c>
      <c r="D753" s="40">
        <v>2</v>
      </c>
      <c r="E753" s="6">
        <v>55</v>
      </c>
      <c r="F753" s="12">
        <f>VLOOKUP(Compras[[#This Row],[Codigo]],Stock[#Data],3,FALSE)</f>
        <v>400</v>
      </c>
      <c r="G753" s="43">
        <f>Compras[[#This Row],[Unidad]]*Compras[[#This Row],[Cantidad]]</f>
        <v>800</v>
      </c>
      <c r="H753" s="16"/>
      <c r="I753" s="16"/>
      <c r="J753" s="16"/>
      <c r="K753" s="16"/>
    </row>
    <row r="754" spans="1:11" ht="20.25" customHeight="1">
      <c r="A754" s="16"/>
      <c r="B754" s="41">
        <v>44927</v>
      </c>
      <c r="C754" s="6" t="str">
        <f>VLOOKUP(Compras[[#This Row],[Codigo]],Stock[#Data],2,FALSE)</f>
        <v>Power Buffer PH7</v>
      </c>
      <c r="D754" s="40">
        <v>8</v>
      </c>
      <c r="E754" s="6">
        <v>56</v>
      </c>
      <c r="F754" s="12">
        <f>VLOOKUP(Compras[[#This Row],[Codigo]],Stock[#Data],3,FALSE)</f>
        <v>310</v>
      </c>
      <c r="G754" s="43">
        <f>Compras[[#This Row],[Unidad]]*Compras[[#This Row],[Cantidad]]</f>
        <v>2480</v>
      </c>
      <c r="H754" s="16"/>
      <c r="I754" s="16"/>
      <c r="J754" s="16"/>
      <c r="K754" s="16"/>
    </row>
    <row r="755" spans="1:11" ht="20.25" customHeight="1">
      <c r="A755" s="16"/>
      <c r="B755" s="41">
        <v>44927</v>
      </c>
      <c r="C755" s="6" t="str">
        <f>VLOOKUP(Compras[[#This Row],[Codigo]],Stock[#Data],2,FALSE)</f>
        <v>Power Buffer PH4</v>
      </c>
      <c r="D755" s="40">
        <v>8</v>
      </c>
      <c r="E755" s="6">
        <v>57</v>
      </c>
      <c r="F755" s="12">
        <f>VLOOKUP(Compras[[#This Row],[Codigo]],Stock[#Data],3,FALSE)</f>
        <v>310</v>
      </c>
      <c r="G755" s="43">
        <f>Compras[[#This Row],[Unidad]]*Compras[[#This Row],[Cantidad]]</f>
        <v>2480</v>
      </c>
      <c r="H755" s="16"/>
      <c r="I755" s="16"/>
      <c r="J755" s="16"/>
      <c r="K755" s="16"/>
    </row>
    <row r="756" spans="1:11" ht="20.25" customHeight="1">
      <c r="A756" s="16"/>
      <c r="B756" s="41">
        <v>44927</v>
      </c>
      <c r="C756" s="6" t="str">
        <f>VLOOKUP(Compras[[#This Row],[Codigo]],Stock[#Data],2,FALSE)</f>
        <v xml:space="preserve">Encendedor Clipper </v>
      </c>
      <c r="D756" s="40">
        <v>54</v>
      </c>
      <c r="E756" s="6">
        <v>58</v>
      </c>
      <c r="F756" s="12">
        <f>VLOOKUP(Compras[[#This Row],[Codigo]],Stock[#Data],3,FALSE)</f>
        <v>378</v>
      </c>
      <c r="G756" s="43">
        <f>Compras[[#This Row],[Unidad]]*Compras[[#This Row],[Cantidad]]</f>
        <v>20412</v>
      </c>
      <c r="H756" s="16"/>
      <c r="I756" s="16"/>
      <c r="J756" s="16"/>
      <c r="K756" s="16"/>
    </row>
    <row r="757" spans="1:11" ht="20.25" customHeight="1">
      <c r="A757" s="16"/>
      <c r="B757" s="41">
        <v>44927</v>
      </c>
      <c r="C757" s="6" t="str">
        <f>VLOOKUP(Compras[[#This Row],[Codigo]],Stock[#Data],2,FALSE)</f>
        <v xml:space="preserve">Encendedor OCB </v>
      </c>
      <c r="D757" s="40">
        <v>1</v>
      </c>
      <c r="E757" s="6">
        <v>61</v>
      </c>
      <c r="F757" s="12">
        <f>VLOOKUP(Compras[[#This Row],[Codigo]],Stock[#Data],3,FALSE)</f>
        <v>481</v>
      </c>
      <c r="G757" s="43">
        <f>Compras[[#This Row],[Unidad]]*Compras[[#This Row],[Cantidad]]</f>
        <v>481</v>
      </c>
      <c r="H757" s="16"/>
      <c r="I757" s="16"/>
      <c r="J757" s="16"/>
      <c r="K757" s="16"/>
    </row>
    <row r="758" spans="1:11" ht="20.25" customHeight="1">
      <c r="A758" s="16"/>
      <c r="B758" s="41">
        <v>44927</v>
      </c>
      <c r="C758" s="6" t="str">
        <f>VLOOKUP(Compras[[#This Row],[Codigo]],Stock[#Data],2,FALSE)</f>
        <v>Encendedor Candela soplete</v>
      </c>
      <c r="D758" s="40">
        <v>2</v>
      </c>
      <c r="E758" s="6">
        <v>62</v>
      </c>
      <c r="F758" s="12">
        <f>VLOOKUP(Compras[[#This Row],[Codigo]],Stock[#Data],3,FALSE)</f>
        <v>1060</v>
      </c>
      <c r="G758" s="43">
        <f>Compras[[#This Row],[Unidad]]*Compras[[#This Row],[Cantidad]]</f>
        <v>2120</v>
      </c>
      <c r="H758" s="16"/>
      <c r="I758" s="16"/>
      <c r="J758" s="16"/>
      <c r="K758" s="16"/>
    </row>
    <row r="759" spans="1:11" ht="20.25" customHeight="1">
      <c r="A759" s="16"/>
      <c r="B759" s="41">
        <v>44927</v>
      </c>
      <c r="C759" s="6" t="str">
        <f>VLOOKUP(Compras[[#This Row],[Codigo]],Stock[#Data],2,FALSE)</f>
        <v>Sedas Lion Rolling Circus 1/4 alfalfa</v>
      </c>
      <c r="D759" s="40">
        <v>17</v>
      </c>
      <c r="E759" s="6">
        <v>63</v>
      </c>
      <c r="F759" s="12">
        <f>VLOOKUP(Compras[[#This Row],[Codigo]],Stock[#Data],3,FALSE)</f>
        <v>150</v>
      </c>
      <c r="G759" s="43">
        <f>Compras[[#This Row],[Unidad]]*Compras[[#This Row],[Cantidad]]</f>
        <v>2550</v>
      </c>
      <c r="H759" s="16"/>
      <c r="I759" s="16"/>
      <c r="J759" s="16"/>
      <c r="K759" s="16"/>
    </row>
    <row r="760" spans="1:11" ht="20.25" customHeight="1">
      <c r="A760" s="16"/>
      <c r="B760" s="41">
        <v>44927</v>
      </c>
      <c r="C760" s="6" t="str">
        <f>VLOOKUP(Compras[[#This Row],[Codigo]],Stock[#Data],2,FALSE)</f>
        <v>Sedas Lion Rolling Circus Kz alfalfa</v>
      </c>
      <c r="D760" s="40">
        <v>38</v>
      </c>
      <c r="E760" s="6">
        <v>64</v>
      </c>
      <c r="F760" s="12">
        <f>VLOOKUP(Compras[[#This Row],[Codigo]],Stock[#Data],3,FALSE)</f>
        <v>259</v>
      </c>
      <c r="G760" s="43">
        <f>Compras[[#This Row],[Unidad]]*Compras[[#This Row],[Cantidad]]</f>
        <v>9842</v>
      </c>
      <c r="H760" s="16"/>
      <c r="I760" s="16"/>
      <c r="J760" s="16"/>
      <c r="K760" s="16"/>
    </row>
    <row r="761" spans="1:11" ht="20.25" customHeight="1">
      <c r="A761" s="16"/>
      <c r="B761" s="41">
        <v>44927</v>
      </c>
      <c r="C761" s="6" t="str">
        <f>VLOOKUP(Compras[[#This Row],[Codigo]],Stock[#Data],2,FALSE)</f>
        <v>Sedas Lion Rolling Circus 1/4 celulosa</v>
      </c>
      <c r="D761" s="40">
        <v>7</v>
      </c>
      <c r="E761" s="6">
        <v>65</v>
      </c>
      <c r="F761" s="12">
        <f>VLOOKUP(Compras[[#This Row],[Codigo]],Stock[#Data],3,FALSE)</f>
        <v>348</v>
      </c>
      <c r="G761" s="43">
        <f>Compras[[#This Row],[Unidad]]*Compras[[#This Row],[Cantidad]]</f>
        <v>2436</v>
      </c>
      <c r="H761" s="16"/>
      <c r="I761" s="16"/>
      <c r="J761" s="16"/>
      <c r="K761" s="16"/>
    </row>
    <row r="762" spans="1:11" ht="20.25" customHeight="1">
      <c r="A762" s="16"/>
      <c r="B762" s="41">
        <v>44927</v>
      </c>
      <c r="C762" s="6" t="str">
        <f>VLOOKUP(Compras[[#This Row],[Codigo]],Stock[#Data],2,FALSE)</f>
        <v>Sedas Lion Rolling Circus 1/4 saborizada Menta</v>
      </c>
      <c r="D762" s="40">
        <v>9</v>
      </c>
      <c r="E762" s="6">
        <v>66</v>
      </c>
      <c r="F762" s="12">
        <f>VLOOKUP(Compras[[#This Row],[Codigo]],Stock[#Data],3,FALSE)</f>
        <v>217</v>
      </c>
      <c r="G762" s="43">
        <f>Compras[[#This Row],[Unidad]]*Compras[[#This Row],[Cantidad]]</f>
        <v>1953</v>
      </c>
      <c r="H762" s="16"/>
      <c r="I762" s="16"/>
      <c r="J762" s="16"/>
      <c r="K762" s="16"/>
    </row>
    <row r="763" spans="1:11" ht="20.25" customHeight="1">
      <c r="A763" s="16"/>
      <c r="B763" s="41">
        <v>44927</v>
      </c>
      <c r="C763" s="6" t="str">
        <f>VLOOKUP(Compras[[#This Row],[Codigo]],Stock[#Data],2,FALSE)</f>
        <v>Sedas Blunt Rey 1/4 organic</v>
      </c>
      <c r="D763" s="40">
        <v>48</v>
      </c>
      <c r="E763" s="6">
        <v>67</v>
      </c>
      <c r="F763" s="12">
        <f>VLOOKUP(Compras[[#This Row],[Codigo]],Stock[#Data],3,FALSE)</f>
        <v>109</v>
      </c>
      <c r="G763" s="43">
        <f>Compras[[#This Row],[Unidad]]*Compras[[#This Row],[Cantidad]]</f>
        <v>5232</v>
      </c>
      <c r="H763" s="16"/>
      <c r="I763" s="16"/>
      <c r="J763" s="16"/>
      <c r="K763" s="16"/>
    </row>
    <row r="764" spans="1:11" ht="20.25" customHeight="1">
      <c r="A764" s="16"/>
      <c r="B764" s="41">
        <v>44927</v>
      </c>
      <c r="C764" s="6" t="str">
        <f>VLOOKUP(Compras[[#This Row],[Codigo]],Stock[#Data],2,FALSE)</f>
        <v>Armador ZEUS Plástico</v>
      </c>
      <c r="D764" s="40">
        <v>1</v>
      </c>
      <c r="E764" s="6">
        <v>170</v>
      </c>
      <c r="F764" s="12">
        <f>VLOOKUP(Compras[[#This Row],[Codigo]],Stock[#Data],3,FALSE)</f>
        <v>430</v>
      </c>
      <c r="G764" s="43">
        <f>Compras[[#This Row],[Unidad]]*Compras[[#This Row],[Cantidad]]</f>
        <v>430</v>
      </c>
      <c r="H764" s="16"/>
      <c r="I764" s="16"/>
      <c r="J764" s="16"/>
      <c r="K764" s="16"/>
    </row>
    <row r="765" spans="1:11" ht="20.25" customHeight="1">
      <c r="A765" s="16"/>
      <c r="B765" s="41">
        <v>44927</v>
      </c>
      <c r="C765" s="6" t="str">
        <f>VLOOKUP(Compras[[#This Row],[Codigo]],Stock[#Data],2,FALSE)</f>
        <v>Sedas Blunt Rey Kz celulosa Orange</v>
      </c>
      <c r="D765" s="40">
        <v>26</v>
      </c>
      <c r="E765" s="6">
        <v>68</v>
      </c>
      <c r="F765" s="12">
        <f>VLOOKUP(Compras[[#This Row],[Codigo]],Stock[#Data],3,FALSE)</f>
        <v>167</v>
      </c>
      <c r="G765" s="43">
        <f>Compras[[#This Row],[Unidad]]*Compras[[#This Row],[Cantidad]]</f>
        <v>4342</v>
      </c>
      <c r="H765" s="16"/>
      <c r="I765" s="16"/>
      <c r="J765" s="16"/>
      <c r="K765" s="16"/>
    </row>
    <row r="766" spans="1:11" ht="20.25" customHeight="1">
      <c r="A766" s="16"/>
      <c r="B766" s="41">
        <v>44927</v>
      </c>
      <c r="C766" s="6" t="str">
        <f>VLOOKUP(Compras[[#This Row],[Codigo]],Stock[#Data],2,FALSE)</f>
        <v>Sedas Blunt Rey Kz celulosa Verde</v>
      </c>
      <c r="D766" s="40">
        <v>20</v>
      </c>
      <c r="E766" s="6">
        <v>70</v>
      </c>
      <c r="F766" s="12">
        <f>VLOOKUP(Compras[[#This Row],[Codigo]],Stock[#Data],3,FALSE)</f>
        <v>163</v>
      </c>
      <c r="G766" s="43">
        <f>Compras[[#This Row],[Unidad]]*Compras[[#This Row],[Cantidad]]</f>
        <v>3260</v>
      </c>
      <c r="H766" s="16"/>
      <c r="I766" s="16"/>
      <c r="J766" s="16"/>
      <c r="K766" s="16"/>
    </row>
    <row r="767" spans="1:11" ht="20.25" customHeight="1">
      <c r="A767" s="16"/>
      <c r="B767" s="41">
        <v>44927</v>
      </c>
      <c r="C767" s="6" t="str">
        <f>VLOOKUP(Compras[[#This Row],[Codigo]],Stock[#Data],2,FALSE)</f>
        <v>Sedas Blunt Rey 1/4 celulosa Orange</v>
      </c>
      <c r="D767" s="40">
        <v>35</v>
      </c>
      <c r="E767" s="6">
        <v>71</v>
      </c>
      <c r="F767" s="12">
        <f>VLOOKUP(Compras[[#This Row],[Codigo]],Stock[#Data],3,FALSE)</f>
        <v>143</v>
      </c>
      <c r="G767" s="43">
        <f>Compras[[#This Row],[Unidad]]*Compras[[#This Row],[Cantidad]]</f>
        <v>5005</v>
      </c>
      <c r="H767" s="16"/>
      <c r="I767" s="16"/>
      <c r="J767" s="16"/>
      <c r="K767" s="16"/>
    </row>
    <row r="768" spans="1:11" ht="20.25" customHeight="1">
      <c r="A768" s="16"/>
      <c r="B768" s="41">
        <v>44927</v>
      </c>
      <c r="C768" s="6" t="str">
        <f>VLOOKUP(Compras[[#This Row],[Codigo]],Stock[#Data],2,FALSE)</f>
        <v>Sedas Blunt Rey 1/4 celulosa Verde</v>
      </c>
      <c r="D768" s="40">
        <v>16</v>
      </c>
      <c r="E768" s="6">
        <v>72</v>
      </c>
      <c r="F768" s="12">
        <f>VLOOKUP(Compras[[#This Row],[Codigo]],Stock[#Data],3,FALSE)</f>
        <v>135</v>
      </c>
      <c r="G768" s="43">
        <f>Compras[[#This Row],[Unidad]]*Compras[[#This Row],[Cantidad]]</f>
        <v>2160</v>
      </c>
      <c r="H768" s="16"/>
      <c r="I768" s="16"/>
      <c r="J768" s="16"/>
      <c r="K768" s="16"/>
    </row>
    <row r="769" spans="1:11" ht="20.25" customHeight="1">
      <c r="A769" s="16"/>
      <c r="B769" s="41">
        <v>44927</v>
      </c>
      <c r="C769" s="6" t="str">
        <f>VLOOKUP(Compras[[#This Row],[Codigo]],Stock[#Data],2,FALSE)</f>
        <v>Sedas Blunt Rey 1/4 saborizadas Durazno</v>
      </c>
      <c r="D769" s="40">
        <v>10</v>
      </c>
      <c r="E769" s="6">
        <v>73</v>
      </c>
      <c r="F769" s="12">
        <f>VLOOKUP(Compras[[#This Row],[Codigo]],Stock[#Data],3,FALSE)</f>
        <v>126</v>
      </c>
      <c r="G769" s="43">
        <f>Compras[[#This Row],[Unidad]]*Compras[[#This Row],[Cantidad]]</f>
        <v>1260</v>
      </c>
      <c r="H769" s="16"/>
      <c r="I769" s="16"/>
      <c r="J769" s="16"/>
      <c r="K769" s="16"/>
    </row>
    <row r="770" spans="1:11" ht="20.25" customHeight="1">
      <c r="A770" s="16"/>
      <c r="B770" s="41">
        <v>44927</v>
      </c>
      <c r="C770" s="6" t="str">
        <f>VLOOKUP(Compras[[#This Row],[Codigo]],Stock[#Data],2,FALSE)</f>
        <v>Sedas Blunt Rey 1/4 saborizadas Uva</v>
      </c>
      <c r="D770" s="40">
        <v>5</v>
      </c>
      <c r="E770" s="6">
        <v>74</v>
      </c>
      <c r="F770" s="12">
        <f>VLOOKUP(Compras[[#This Row],[Codigo]],Stock[#Data],3,FALSE)</f>
        <v>126</v>
      </c>
      <c r="G770" s="43">
        <f>Compras[[#This Row],[Unidad]]*Compras[[#This Row],[Cantidad]]</f>
        <v>630</v>
      </c>
      <c r="H770" s="16"/>
      <c r="I770" s="16"/>
      <c r="J770" s="16"/>
      <c r="K770" s="16"/>
    </row>
    <row r="771" spans="1:11" ht="20.25" customHeight="1">
      <c r="A771" s="16"/>
      <c r="B771" s="41">
        <v>44927</v>
      </c>
      <c r="C771" s="6" t="str">
        <f>VLOOKUP(Compras[[#This Row],[Codigo]],Stock[#Data],2,FALSE)</f>
        <v>Sedas STAMPS Kz Organic</v>
      </c>
      <c r="D771" s="40">
        <v>3</v>
      </c>
      <c r="E771" s="6">
        <v>75</v>
      </c>
      <c r="F771" s="12">
        <f>VLOOKUP(Compras[[#This Row],[Codigo]],Stock[#Data],3,FALSE)</f>
        <v>93</v>
      </c>
      <c r="G771" s="43">
        <f>Compras[[#This Row],[Unidad]]*Compras[[#This Row],[Cantidad]]</f>
        <v>279</v>
      </c>
      <c r="H771" s="16"/>
      <c r="I771" s="16"/>
      <c r="J771" s="16"/>
      <c r="K771" s="16"/>
    </row>
    <row r="772" spans="1:11" ht="20.25" customHeight="1">
      <c r="A772" s="16"/>
      <c r="B772" s="41">
        <v>44927</v>
      </c>
      <c r="C772" s="6" t="str">
        <f>VLOOKUP(Compras[[#This Row],[Codigo]],Stock[#Data],2,FALSE)</f>
        <v>Sedas OCB 1/4 Virgin Papers</v>
      </c>
      <c r="D772" s="40">
        <v>20</v>
      </c>
      <c r="E772" s="6">
        <v>76</v>
      </c>
      <c r="F772" s="12">
        <f>VLOOKUP(Compras[[#This Row],[Codigo]],Stock[#Data],3,FALSE)</f>
        <v>165</v>
      </c>
      <c r="G772" s="43">
        <f>Compras[[#This Row],[Unidad]]*Compras[[#This Row],[Cantidad]]</f>
        <v>3300</v>
      </c>
      <c r="H772" s="16"/>
      <c r="I772" s="16"/>
      <c r="J772" s="16"/>
      <c r="K772" s="16"/>
    </row>
    <row r="773" spans="1:11" ht="20.25" customHeight="1">
      <c r="A773" s="16"/>
      <c r="B773" s="41">
        <v>44927</v>
      </c>
      <c r="C773" s="6" t="str">
        <f>VLOOKUP(Compras[[#This Row],[Codigo]],Stock[#Data],2,FALSE)</f>
        <v>Sedas OCB 1/4 Organic  Bamboo</v>
      </c>
      <c r="D773" s="40">
        <v>13</v>
      </c>
      <c r="E773" s="6">
        <v>77</v>
      </c>
      <c r="F773" s="12">
        <f>VLOOKUP(Compras[[#This Row],[Codigo]],Stock[#Data],3,FALSE)</f>
        <v>165</v>
      </c>
      <c r="G773" s="43">
        <f>Compras[[#This Row],[Unidad]]*Compras[[#This Row],[Cantidad]]</f>
        <v>2145</v>
      </c>
      <c r="H773" s="16"/>
      <c r="I773" s="16"/>
      <c r="J773" s="16"/>
      <c r="K773" s="16"/>
    </row>
    <row r="774" spans="1:11" ht="20.25" customHeight="1">
      <c r="A774" s="16"/>
      <c r="B774" s="41">
        <v>44927</v>
      </c>
      <c r="C774" s="6" t="str">
        <f>VLOOKUP(Compras[[#This Row],[Codigo]],Stock[#Data],2,FALSE)</f>
        <v xml:space="preserve"> Sedas LION Kz Ultra fina</v>
      </c>
      <c r="D774" s="40">
        <v>46</v>
      </c>
      <c r="E774" s="6">
        <v>78</v>
      </c>
      <c r="F774" s="12">
        <f>VLOOKUP(Compras[[#This Row],[Codigo]],Stock[#Data],3,FALSE)</f>
        <v>65</v>
      </c>
      <c r="G774" s="43">
        <f>Compras[[#This Row],[Unidad]]*Compras[[#This Row],[Cantidad]]</f>
        <v>2990</v>
      </c>
      <c r="H774" s="16"/>
      <c r="I774" s="16"/>
      <c r="J774" s="16"/>
      <c r="K774" s="16"/>
    </row>
    <row r="775" spans="1:11" ht="20.25" customHeight="1">
      <c r="A775" s="16"/>
      <c r="B775" s="41">
        <v>44927</v>
      </c>
      <c r="C775" s="6" t="str">
        <f>VLOOKUP(Compras[[#This Row],[Codigo]],Stock[#Data],2,FALSE)</f>
        <v>Sedas RAW 1/4 +tips BROWN</v>
      </c>
      <c r="D775" s="40">
        <v>15</v>
      </c>
      <c r="E775" s="6">
        <v>80</v>
      </c>
      <c r="F775" s="12">
        <f>VLOOKUP(Compras[[#This Row],[Codigo]],Stock[#Data],3,FALSE)</f>
        <v>568</v>
      </c>
      <c r="G775" s="43">
        <f>Compras[[#This Row],[Unidad]]*Compras[[#This Row],[Cantidad]]</f>
        <v>8520</v>
      </c>
      <c r="H775" s="16"/>
      <c r="I775" s="16"/>
      <c r="J775" s="16"/>
      <c r="K775" s="16"/>
    </row>
    <row r="776" spans="1:11" ht="20.25" customHeight="1">
      <c r="A776" s="16"/>
      <c r="B776" s="41">
        <v>44927</v>
      </c>
      <c r="C776" s="6" t="str">
        <f>VLOOKUP(Compras[[#This Row],[Codigo]],Stock[#Data],2,FALSE)</f>
        <v>Sedas RAW 1/4 +tips BLACK</v>
      </c>
      <c r="D776" s="40">
        <v>2</v>
      </c>
      <c r="E776" s="6">
        <v>81</v>
      </c>
      <c r="F776" s="12">
        <f>VLOOKUP(Compras[[#This Row],[Codigo]],Stock[#Data],3,FALSE)</f>
        <v>514</v>
      </c>
      <c r="G776" s="43">
        <f>Compras[[#This Row],[Unidad]]*Compras[[#This Row],[Cantidad]]</f>
        <v>1028</v>
      </c>
      <c r="H776" s="16"/>
      <c r="I776" s="16"/>
      <c r="J776" s="16"/>
      <c r="K776" s="16"/>
    </row>
    <row r="777" spans="1:11" ht="20.25" customHeight="1">
      <c r="A777" s="16"/>
      <c r="B777" s="41">
        <v>44927</v>
      </c>
      <c r="C777" s="6" t="str">
        <f>VLOOKUP(Compras[[#This Row],[Codigo]],Stock[#Data],2,FALSE)</f>
        <v>Sedas Smoking x 300</v>
      </c>
      <c r="D777" s="40">
        <v>5</v>
      </c>
      <c r="E777" s="6">
        <v>83</v>
      </c>
      <c r="F777" s="12">
        <f>VLOOKUP(Compras[[#This Row],[Codigo]],Stock[#Data],3,FALSE)</f>
        <v>223</v>
      </c>
      <c r="G777" s="43">
        <f>Compras[[#This Row],[Unidad]]*Compras[[#This Row],[Cantidad]]</f>
        <v>1115</v>
      </c>
      <c r="H777" s="16"/>
      <c r="I777" s="16"/>
      <c r="J777" s="16"/>
      <c r="K777" s="16"/>
    </row>
    <row r="778" spans="1:11" ht="20.25" customHeight="1">
      <c r="A778" s="16"/>
      <c r="B778" s="41">
        <v>44927</v>
      </c>
      <c r="C778" s="6" t="str">
        <f>VLOOKUP(Compras[[#This Row],[Codigo]],Stock[#Data],2,FALSE)</f>
        <v>Sedas ABADIE x 100</v>
      </c>
      <c r="D778" s="40">
        <v>1</v>
      </c>
      <c r="E778" s="6">
        <v>84</v>
      </c>
      <c r="F778" s="12">
        <f>VLOOKUP(Compras[[#This Row],[Codigo]],Stock[#Data],3,FALSE)</f>
        <v>150</v>
      </c>
      <c r="G778" s="43">
        <f>Compras[[#This Row],[Unidad]]*Compras[[#This Row],[Cantidad]]</f>
        <v>150</v>
      </c>
      <c r="H778" s="16"/>
      <c r="I778" s="16"/>
      <c r="J778" s="16"/>
      <c r="K778" s="16"/>
    </row>
    <row r="779" spans="1:11" ht="20.25" customHeight="1">
      <c r="A779" s="16"/>
      <c r="B779" s="41">
        <v>44927</v>
      </c>
      <c r="C779" s="6" t="str">
        <f>VLOOKUP(Compras[[#This Row],[Codigo]],Stock[#Data],2,FALSE)</f>
        <v>Sedas GIZEH Kz Pink</v>
      </c>
      <c r="D779" s="40">
        <v>43</v>
      </c>
      <c r="E779" s="6">
        <v>86</v>
      </c>
      <c r="F779" s="12">
        <f>VLOOKUP(Compras[[#This Row],[Codigo]],Stock[#Data],3,FALSE)</f>
        <v>298</v>
      </c>
      <c r="G779" s="43">
        <f>Compras[[#This Row],[Unidad]]*Compras[[#This Row],[Cantidad]]</f>
        <v>12814</v>
      </c>
      <c r="H779" s="16"/>
      <c r="I779" s="16"/>
      <c r="J779" s="16"/>
      <c r="K779" s="16"/>
    </row>
    <row r="780" spans="1:11" ht="20.25" customHeight="1">
      <c r="A780" s="16"/>
      <c r="B780" s="41">
        <v>44927</v>
      </c>
      <c r="C780" s="6" t="str">
        <f>VLOOKUP(Compras[[#This Row],[Codigo]],Stock[#Data],2,FALSE)</f>
        <v xml:space="preserve">Sedas GIZEH 1/4 +tips </v>
      </c>
      <c r="D780" s="40">
        <v>2</v>
      </c>
      <c r="E780" s="6">
        <v>87</v>
      </c>
      <c r="F780" s="12">
        <f>VLOOKUP(Compras[[#This Row],[Codigo]],Stock[#Data],3,FALSE)</f>
        <v>310</v>
      </c>
      <c r="G780" s="43">
        <f>Compras[[#This Row],[Unidad]]*Compras[[#This Row],[Cantidad]]</f>
        <v>620</v>
      </c>
      <c r="H780" s="16"/>
      <c r="I780" s="16"/>
      <c r="J780" s="16"/>
      <c r="K780" s="16"/>
    </row>
    <row r="781" spans="1:11" ht="20.25" customHeight="1">
      <c r="A781" s="16"/>
      <c r="B781" s="41">
        <v>44927</v>
      </c>
      <c r="C781" s="6" t="str">
        <f>VLOOKUP(Compras[[#This Row],[Codigo]],Stock[#Data],2,FALSE)</f>
        <v xml:space="preserve">Sedas GIZEH Kz +tips </v>
      </c>
      <c r="D781" s="40">
        <v>4</v>
      </c>
      <c r="E781" s="6">
        <v>88</v>
      </c>
      <c r="F781" s="12">
        <f>VLOOKUP(Compras[[#This Row],[Codigo]],Stock[#Data],3,FALSE)</f>
        <v>350</v>
      </c>
      <c r="G781" s="43">
        <f>Compras[[#This Row],[Unidad]]*Compras[[#This Row],[Cantidad]]</f>
        <v>1400</v>
      </c>
      <c r="H781" s="16"/>
      <c r="I781" s="16"/>
      <c r="J781" s="16"/>
      <c r="K781" s="16"/>
    </row>
    <row r="782" spans="1:11" ht="20.25" customHeight="1">
      <c r="A782" s="16"/>
      <c r="B782" s="41">
        <v>44927</v>
      </c>
      <c r="C782" s="6" t="str">
        <f>VLOOKUP(Compras[[#This Row],[Codigo]],Stock[#Data],2,FALSE)</f>
        <v>Sedas GIZEH rollo de seda</v>
      </c>
      <c r="D782" s="40">
        <v>2</v>
      </c>
      <c r="E782" s="6">
        <v>89</v>
      </c>
      <c r="F782" s="12">
        <f>VLOOKUP(Compras[[#This Row],[Codigo]],Stock[#Data],3,FALSE)</f>
        <v>125</v>
      </c>
      <c r="G782" s="43">
        <f>Compras[[#This Row],[Unidad]]*Compras[[#This Row],[Cantidad]]</f>
        <v>250</v>
      </c>
      <c r="H782" s="16"/>
      <c r="I782" s="16"/>
      <c r="J782" s="16"/>
      <c r="K782" s="16"/>
    </row>
    <row r="783" spans="1:11" ht="20.25" customHeight="1">
      <c r="A783" s="16"/>
      <c r="B783" s="41">
        <v>44927</v>
      </c>
      <c r="C783" s="6" t="str">
        <f>VLOOKUP(Compras[[#This Row],[Codigo]],Stock[#Data],2,FALSE)</f>
        <v>Sedas PRISMA 1/4 Purple</v>
      </c>
      <c r="D783" s="40">
        <v>2</v>
      </c>
      <c r="E783" s="6">
        <v>90</v>
      </c>
      <c r="F783" s="12">
        <f>VLOOKUP(Compras[[#This Row],[Codigo]],Stock[#Data],3,FALSE)</f>
        <v>100</v>
      </c>
      <c r="G783" s="43">
        <f>Compras[[#This Row],[Unidad]]*Compras[[#This Row],[Cantidad]]</f>
        <v>200</v>
      </c>
      <c r="H783" s="16"/>
      <c r="I783" s="16"/>
      <c r="J783" s="16"/>
      <c r="K783" s="16"/>
    </row>
    <row r="784" spans="1:11" ht="20.25" customHeight="1">
      <c r="A784" s="16"/>
      <c r="B784" s="41">
        <v>44927</v>
      </c>
      <c r="C784" s="6" t="str">
        <f>VLOOKUP(Compras[[#This Row],[Codigo]],Stock[#Data],2,FALSE)</f>
        <v>Sedas PRISMA 1/4 Blue</v>
      </c>
      <c r="D784" s="40">
        <v>7</v>
      </c>
      <c r="E784" s="6">
        <v>91</v>
      </c>
      <c r="F784" s="12">
        <f>VLOOKUP(Compras[[#This Row],[Codigo]],Stock[#Data],3,FALSE)</f>
        <v>100</v>
      </c>
      <c r="G784" s="43">
        <f>Compras[[#This Row],[Unidad]]*Compras[[#This Row],[Cantidad]]</f>
        <v>700</v>
      </c>
      <c r="H784" s="16"/>
      <c r="I784" s="16"/>
      <c r="J784" s="16"/>
      <c r="K784" s="16"/>
    </row>
    <row r="785" spans="1:11" ht="20.25" customHeight="1">
      <c r="A785" s="16"/>
      <c r="B785" s="41">
        <v>44927</v>
      </c>
      <c r="C785" s="6" t="str">
        <f>VLOOKUP(Compras[[#This Row],[Codigo]],Stock[#Data],2,FALSE)</f>
        <v>Sedas PRISMA 1/4 Pink</v>
      </c>
      <c r="D785" s="40">
        <v>7</v>
      </c>
      <c r="E785" s="6">
        <v>92</v>
      </c>
      <c r="F785" s="12">
        <f>VLOOKUP(Compras[[#This Row],[Codigo]],Stock[#Data],3,FALSE)</f>
        <v>100</v>
      </c>
      <c r="G785" s="43">
        <f>Compras[[#This Row],[Unidad]]*Compras[[#This Row],[Cantidad]]</f>
        <v>700</v>
      </c>
      <c r="H785" s="16"/>
      <c r="I785" s="16"/>
      <c r="J785" s="16"/>
      <c r="K785" s="16"/>
    </row>
    <row r="786" spans="1:11" ht="20.25" customHeight="1">
      <c r="A786" s="16"/>
      <c r="B786" s="41">
        <v>44927</v>
      </c>
      <c r="C786" s="6" t="str">
        <f>VLOOKUP(Compras[[#This Row],[Codigo]],Stock[#Data],2,FALSE)</f>
        <v>Sedas ROK 1/4 celulosa</v>
      </c>
      <c r="D786" s="40">
        <v>2</v>
      </c>
      <c r="E786" s="6">
        <v>93</v>
      </c>
      <c r="F786" s="12">
        <f>VLOOKUP(Compras[[#This Row],[Codigo]],Stock[#Data],3,FALSE)</f>
        <v>111</v>
      </c>
      <c r="G786" s="43">
        <f>Compras[[#This Row],[Unidad]]*Compras[[#This Row],[Cantidad]]</f>
        <v>222</v>
      </c>
      <c r="H786" s="16"/>
      <c r="I786" s="16"/>
      <c r="J786" s="16"/>
      <c r="K786" s="16"/>
    </row>
    <row r="787" spans="1:11" ht="20.25" customHeight="1">
      <c r="A787" s="16"/>
      <c r="B787" s="41">
        <v>44927</v>
      </c>
      <c r="C787" s="6" t="str">
        <f>VLOOKUP(Compras[[#This Row],[Codigo]],Stock[#Data],2,FALSE)</f>
        <v>Tips Rok Organic</v>
      </c>
      <c r="D787" s="40">
        <v>12</v>
      </c>
      <c r="E787" s="6">
        <v>96</v>
      </c>
      <c r="F787" s="12">
        <f>VLOOKUP(Compras[[#This Row],[Codigo]],Stock[#Data],3,FALSE)</f>
        <v>50</v>
      </c>
      <c r="G787" s="43">
        <f>Compras[[#This Row],[Unidad]]*Compras[[#This Row],[Cantidad]]</f>
        <v>600</v>
      </c>
      <c r="H787" s="16"/>
      <c r="I787" s="16"/>
      <c r="J787" s="16"/>
      <c r="K787" s="16"/>
    </row>
    <row r="788" spans="1:11" ht="20.25" customHeight="1">
      <c r="A788" s="16"/>
      <c r="B788" s="41">
        <v>44927</v>
      </c>
      <c r="C788" s="6" t="str">
        <f>VLOOKUP(Compras[[#This Row],[Codigo]],Stock[#Data],2,FALSE)</f>
        <v>Tips OCB Organic</v>
      </c>
      <c r="D788" s="40">
        <v>4</v>
      </c>
      <c r="E788" s="6">
        <v>95</v>
      </c>
      <c r="F788" s="12">
        <f>VLOOKUP(Compras[[#This Row],[Codigo]],Stock[#Data],3,FALSE)</f>
        <v>156</v>
      </c>
      <c r="G788" s="43">
        <f>Compras[[#This Row],[Unidad]]*Compras[[#This Row],[Cantidad]]</f>
        <v>624</v>
      </c>
      <c r="H788" s="16"/>
      <c r="I788" s="16"/>
      <c r="J788" s="16"/>
      <c r="K788" s="16"/>
    </row>
    <row r="789" spans="1:11" ht="20.25" customHeight="1">
      <c r="A789" s="16"/>
      <c r="B789" s="41">
        <v>44927</v>
      </c>
      <c r="C789" s="6" t="str">
        <f>VLOOKUP(Compras[[#This Row],[Codigo]],Stock[#Data],2,FALSE)</f>
        <v>Tips Lion Rolling Circus pre-armados</v>
      </c>
      <c r="D789" s="40">
        <v>7</v>
      </c>
      <c r="E789" s="6">
        <v>97</v>
      </c>
      <c r="F789" s="12">
        <f>VLOOKUP(Compras[[#This Row],[Codigo]],Stock[#Data],3,FALSE)</f>
        <v>803</v>
      </c>
      <c r="G789" s="43">
        <f>Compras[[#This Row],[Unidad]]*Compras[[#This Row],[Cantidad]]</f>
        <v>5621</v>
      </c>
      <c r="H789" s="16"/>
      <c r="I789" s="16"/>
      <c r="J789" s="16"/>
      <c r="K789" s="16"/>
    </row>
    <row r="790" spans="1:11" ht="20.25" customHeight="1">
      <c r="A790" s="16"/>
      <c r="B790" s="41">
        <v>44927</v>
      </c>
      <c r="C790" s="6" t="str">
        <f>VLOOKUP(Compras[[#This Row],[Codigo]],Stock[#Data],2,FALSE)</f>
        <v>Blunt Lion Rolling Circus Hemp Wraps Tequila</v>
      </c>
      <c r="D790" s="40">
        <v>1</v>
      </c>
      <c r="E790" s="6">
        <v>98</v>
      </c>
      <c r="F790" s="12">
        <f>VLOOKUP(Compras[[#This Row],[Codigo]],Stock[#Data],3,FALSE)</f>
        <v>315</v>
      </c>
      <c r="G790" s="43">
        <f>Compras[[#This Row],[Unidad]]*Compras[[#This Row],[Cantidad]]</f>
        <v>315</v>
      </c>
      <c r="H790" s="16"/>
      <c r="I790" s="16"/>
      <c r="J790" s="16"/>
      <c r="K790" s="16"/>
    </row>
    <row r="791" spans="1:11" ht="20.25" customHeight="1">
      <c r="A791" s="16"/>
      <c r="B791" s="41">
        <v>44927</v>
      </c>
      <c r="C791" s="6" t="str">
        <f>VLOOKUP(Compras[[#This Row],[Codigo]],Stock[#Data],2,FALSE)</f>
        <v>Blunt Lion Rolling Circus TERPENES GELATO</v>
      </c>
      <c r="D791" s="40">
        <v>23</v>
      </c>
      <c r="E791" s="6">
        <v>99</v>
      </c>
      <c r="F791" s="12">
        <f>VLOOKUP(Compras[[#This Row],[Codigo]],Stock[#Data],3,FALSE)</f>
        <v>422</v>
      </c>
      <c r="G791" s="43">
        <f>Compras[[#This Row],[Unidad]]*Compras[[#This Row],[Cantidad]]</f>
        <v>9706</v>
      </c>
      <c r="H791" s="16"/>
      <c r="I791" s="16"/>
      <c r="J791" s="16"/>
      <c r="K791" s="16"/>
    </row>
    <row r="792" spans="1:11" ht="20.25" customHeight="1">
      <c r="A792" s="16"/>
      <c r="B792" s="41">
        <v>44927</v>
      </c>
      <c r="C792" s="6" t="str">
        <f>VLOOKUP(Compras[[#This Row],[Codigo]],Stock[#Data],2,FALSE)</f>
        <v xml:space="preserve"> Blunt Wrap Chocolate</v>
      </c>
      <c r="D792" s="40">
        <v>8</v>
      </c>
      <c r="E792" s="6">
        <v>100</v>
      </c>
      <c r="F792" s="12">
        <f>VLOOKUP(Compras[[#This Row],[Codigo]],Stock[#Data],3,FALSE)</f>
        <v>225</v>
      </c>
      <c r="G792" s="43">
        <f>Compras[[#This Row],[Unidad]]*Compras[[#This Row],[Cantidad]]</f>
        <v>1800</v>
      </c>
      <c r="H792" s="16"/>
      <c r="I792" s="16"/>
      <c r="J792" s="16"/>
      <c r="K792" s="16"/>
    </row>
    <row r="793" spans="1:11" ht="20.25" customHeight="1">
      <c r="A793" s="16"/>
      <c r="B793" s="41">
        <v>44927</v>
      </c>
      <c r="C793" s="6" t="str">
        <f>VLOOKUP(Compras[[#This Row],[Codigo]],Stock[#Data],2,FALSE)</f>
        <v xml:space="preserve"> Blunt Wrap Purple</v>
      </c>
      <c r="D793" s="40">
        <v>12</v>
      </c>
      <c r="E793" s="6">
        <v>101</v>
      </c>
      <c r="F793" s="12">
        <f>VLOOKUP(Compras[[#This Row],[Codigo]],Stock[#Data],3,FALSE)</f>
        <v>225</v>
      </c>
      <c r="G793" s="43">
        <f>Compras[[#This Row],[Unidad]]*Compras[[#This Row],[Cantidad]]</f>
        <v>2700</v>
      </c>
      <c r="H793" s="16"/>
      <c r="I793" s="16"/>
      <c r="J793" s="16"/>
      <c r="K793" s="16"/>
    </row>
    <row r="794" spans="1:11" ht="20.25" customHeight="1">
      <c r="A794" s="16"/>
      <c r="B794" s="41">
        <v>44927</v>
      </c>
      <c r="C794" s="6" t="str">
        <f>VLOOKUP(Compras[[#This Row],[Codigo]],Stock[#Data],2,FALSE)</f>
        <v xml:space="preserve"> Blunt Wrap Peach</v>
      </c>
      <c r="D794" s="40">
        <v>13</v>
      </c>
      <c r="E794" s="6">
        <v>102</v>
      </c>
      <c r="F794" s="12">
        <f>VLOOKUP(Compras[[#This Row],[Codigo]],Stock[#Data],3,FALSE)</f>
        <v>225</v>
      </c>
      <c r="G794" s="43">
        <f>Compras[[#This Row],[Unidad]]*Compras[[#This Row],[Cantidad]]</f>
        <v>2925</v>
      </c>
      <c r="H794" s="16"/>
      <c r="I794" s="16"/>
      <c r="J794" s="16"/>
      <c r="K794" s="16"/>
    </row>
    <row r="795" spans="1:11" ht="20.25" customHeight="1">
      <c r="A795" s="16"/>
      <c r="B795" s="41">
        <v>44927</v>
      </c>
      <c r="C795" s="6" t="str">
        <f>VLOOKUP(Compras[[#This Row],[Codigo]],Stock[#Data],2,FALSE)</f>
        <v xml:space="preserve"> Blunt Wrap White Grape</v>
      </c>
      <c r="D795" s="40">
        <v>21</v>
      </c>
      <c r="E795" s="6">
        <v>103</v>
      </c>
      <c r="F795" s="12">
        <f>VLOOKUP(Compras[[#This Row],[Codigo]],Stock[#Data],3,FALSE)</f>
        <v>225</v>
      </c>
      <c r="G795" s="43">
        <f>Compras[[#This Row],[Unidad]]*Compras[[#This Row],[Cantidad]]</f>
        <v>4725</v>
      </c>
      <c r="H795" s="16"/>
      <c r="I795" s="16"/>
      <c r="J795" s="16"/>
      <c r="K795" s="16"/>
    </row>
    <row r="796" spans="1:11" ht="20.25" customHeight="1">
      <c r="A796" s="16"/>
      <c r="B796" s="41">
        <v>44927</v>
      </c>
      <c r="C796" s="6" t="str">
        <f>VLOOKUP(Compras[[#This Row],[Codigo]],Stock[#Data],2,FALSE)</f>
        <v xml:space="preserve"> Blunt Wrap Blueberry</v>
      </c>
      <c r="D796" s="40">
        <v>2</v>
      </c>
      <c r="E796" s="6">
        <v>106</v>
      </c>
      <c r="F796" s="12">
        <f>VLOOKUP(Compras[[#This Row],[Codigo]],Stock[#Data],3,FALSE)</f>
        <v>225</v>
      </c>
      <c r="G796" s="43">
        <f>Compras[[#This Row],[Unidad]]*Compras[[#This Row],[Cantidad]]</f>
        <v>450</v>
      </c>
      <c r="H796" s="16"/>
      <c r="I796" s="16"/>
      <c r="J796" s="16"/>
      <c r="K796" s="16"/>
    </row>
    <row r="797" spans="1:11" ht="20.25" customHeight="1">
      <c r="A797" s="16"/>
      <c r="B797" s="41">
        <v>44927</v>
      </c>
      <c r="C797" s="6" t="str">
        <f>VLOOKUP(Compras[[#This Row],[Codigo]],Stock[#Data],2,FALSE)</f>
        <v>Filtros GIZEH biodegradable</v>
      </c>
      <c r="D797" s="40">
        <v>5</v>
      </c>
      <c r="E797" s="6">
        <v>107</v>
      </c>
      <c r="F797" s="12">
        <f>VLOOKUP(Compras[[#This Row],[Codigo]],Stock[#Data],3,FALSE)</f>
        <v>280</v>
      </c>
      <c r="G797" s="43">
        <f>Compras[[#This Row],[Unidad]]*Compras[[#This Row],[Cantidad]]</f>
        <v>1400</v>
      </c>
      <c r="H797" s="16"/>
      <c r="I797" s="16"/>
      <c r="J797" s="16"/>
      <c r="K797" s="16"/>
    </row>
    <row r="798" spans="1:11" ht="20.25" customHeight="1">
      <c r="A798" s="16"/>
      <c r="B798" s="41">
        <v>44927</v>
      </c>
      <c r="C798" s="6" t="str">
        <f>VLOOKUP(Compras[[#This Row],[Codigo]],Stock[#Data],2,FALSE)</f>
        <v>Papel Rosin Lion Rolling Circus doble silicona</v>
      </c>
      <c r="D798" s="40">
        <v>1</v>
      </c>
      <c r="E798" s="6">
        <v>109</v>
      </c>
      <c r="F798" s="12">
        <f>VLOOKUP(Compras[[#This Row],[Codigo]],Stock[#Data],3,FALSE)</f>
        <v>843</v>
      </c>
      <c r="G798" s="43">
        <f>Compras[[#This Row],[Unidad]]*Compras[[#This Row],[Cantidad]]</f>
        <v>843</v>
      </c>
      <c r="H798" s="16"/>
      <c r="I798" s="16"/>
      <c r="J798" s="16"/>
      <c r="K798" s="16"/>
    </row>
    <row r="799" spans="1:11" ht="20.25" customHeight="1">
      <c r="A799" s="16"/>
      <c r="B799" s="41">
        <v>44927</v>
      </c>
      <c r="C799" s="6" t="str">
        <f>VLOOKUP(Compras[[#This Row],[Codigo]],Stock[#Data],2,FALSE)</f>
        <v>Papel Rosin Lion Rolling Circus Natural</v>
      </c>
      <c r="D799" s="40">
        <v>3</v>
      </c>
      <c r="E799" s="6">
        <v>110</v>
      </c>
      <c r="F799" s="12">
        <f>VLOOKUP(Compras[[#This Row],[Codigo]],Stock[#Data],3,FALSE)</f>
        <v>843</v>
      </c>
      <c r="G799" s="43">
        <f>Compras[[#This Row],[Unidad]]*Compras[[#This Row],[Cantidad]]</f>
        <v>2529</v>
      </c>
      <c r="H799" s="16"/>
      <c r="I799" s="16"/>
      <c r="J799" s="16"/>
      <c r="K799" s="16"/>
    </row>
    <row r="800" spans="1:11" ht="20.25" customHeight="1">
      <c r="A800" s="16"/>
      <c r="B800" s="41">
        <v>44927</v>
      </c>
      <c r="C800" s="6" t="str">
        <f>VLOOKUP(Compras[[#This Row],[Codigo]],Stock[#Data],2,FALSE)</f>
        <v>Papel Rosin RAW XL</v>
      </c>
      <c r="D800" s="40">
        <v>1</v>
      </c>
      <c r="E800" s="6">
        <v>111</v>
      </c>
      <c r="F800" s="12">
        <f>VLOOKUP(Compras[[#This Row],[Codigo]],Stock[#Data],3,FALSE)</f>
        <v>3273</v>
      </c>
      <c r="G800" s="43">
        <f>Compras[[#This Row],[Unidad]]*Compras[[#This Row],[Cantidad]]</f>
        <v>3273</v>
      </c>
      <c r="H800" s="16"/>
      <c r="I800" s="16"/>
      <c r="J800" s="16"/>
      <c r="K800" s="16"/>
    </row>
    <row r="801" spans="1:11" ht="20.25" customHeight="1">
      <c r="A801" s="16"/>
      <c r="B801" s="41">
        <v>44927</v>
      </c>
      <c r="C801" s="6" t="str">
        <f>VLOOKUP(Compras[[#This Row],[Codigo]],Stock[#Data],2,FALSE)</f>
        <v>Tabaco Cerrito</v>
      </c>
      <c r="D801" s="40">
        <v>3</v>
      </c>
      <c r="E801" s="6">
        <v>112</v>
      </c>
      <c r="F801" s="12">
        <f>VLOOKUP(Compras[[#This Row],[Codigo]],Stock[#Data],3,FALSE)</f>
        <v>552</v>
      </c>
      <c r="G801" s="43">
        <f>Compras[[#This Row],[Unidad]]*Compras[[#This Row],[Cantidad]]</f>
        <v>1656</v>
      </c>
      <c r="H801" s="16"/>
      <c r="I801" s="16"/>
      <c r="J801" s="16"/>
      <c r="K801" s="16"/>
    </row>
    <row r="802" spans="1:11" ht="20.25" customHeight="1">
      <c r="A802" s="16"/>
      <c r="B802" s="41">
        <v>44927</v>
      </c>
      <c r="C802" s="6" t="str">
        <f>VLOOKUP(Compras[[#This Row],[Codigo]],Stock[#Data],2,FALSE)</f>
        <v>Tabaco RED FIELD</v>
      </c>
      <c r="D802" s="40">
        <v>2</v>
      </c>
      <c r="E802" s="6">
        <v>114</v>
      </c>
      <c r="F802" s="12">
        <f>VLOOKUP(Compras[[#This Row],[Codigo]],Stock[#Data],3,FALSE)</f>
        <v>525</v>
      </c>
      <c r="G802" s="43">
        <f>Compras[[#This Row],[Unidad]]*Compras[[#This Row],[Cantidad]]</f>
        <v>1050</v>
      </c>
      <c r="H802" s="16"/>
      <c r="I802" s="16"/>
      <c r="J802" s="16"/>
      <c r="K802" s="16"/>
    </row>
    <row r="803" spans="1:11" ht="20.25" customHeight="1">
      <c r="A803" s="16"/>
      <c r="B803" s="41">
        <v>44927</v>
      </c>
      <c r="C803" s="6" t="str">
        <f>VLOOKUP(Compras[[#This Row],[Codigo]],Stock[#Data],2,FALSE)</f>
        <v>Tabaco Van Kiff Cherry</v>
      </c>
      <c r="D803" s="40">
        <v>6</v>
      </c>
      <c r="E803" s="6">
        <v>118</v>
      </c>
      <c r="F803" s="12">
        <f>VLOOKUP(Compras[[#This Row],[Codigo]],Stock[#Data],3,FALSE)</f>
        <v>580</v>
      </c>
      <c r="G803" s="43">
        <f>Compras[[#This Row],[Unidad]]*Compras[[#This Row],[Cantidad]]</f>
        <v>3480</v>
      </c>
      <c r="H803" s="16"/>
      <c r="I803" s="16"/>
      <c r="J803" s="16"/>
      <c r="K803" s="16"/>
    </row>
    <row r="804" spans="1:11" ht="20.25" customHeight="1">
      <c r="A804" s="16"/>
      <c r="B804" s="41">
        <v>44927</v>
      </c>
      <c r="C804" s="6" t="str">
        <f>VLOOKUP(Compras[[#This Row],[Codigo]],Stock[#Data],2,FALSE)</f>
        <v>Tabaco Van Kiff Chocolate</v>
      </c>
      <c r="D804" s="40">
        <v>7</v>
      </c>
      <c r="E804" s="6">
        <v>119</v>
      </c>
      <c r="F804" s="12">
        <f>VLOOKUP(Compras[[#This Row],[Codigo]],Stock[#Data],3,FALSE)</f>
        <v>580</v>
      </c>
      <c r="G804" s="43">
        <f>Compras[[#This Row],[Unidad]]*Compras[[#This Row],[Cantidad]]</f>
        <v>4060</v>
      </c>
      <c r="H804" s="16"/>
      <c r="I804" s="16"/>
      <c r="J804" s="16"/>
      <c r="K804" s="16"/>
    </row>
    <row r="805" spans="1:11" ht="20.25" customHeight="1">
      <c r="A805" s="16"/>
      <c r="B805" s="41">
        <v>44927</v>
      </c>
      <c r="C805" s="6" t="str">
        <f>VLOOKUP(Compras[[#This Row],[Codigo]],Stock[#Data],2,FALSE)</f>
        <v>Tabaco Van Kiff Vainilla</v>
      </c>
      <c r="D805" s="40">
        <v>9</v>
      </c>
      <c r="E805" s="6">
        <v>120</v>
      </c>
      <c r="F805" s="12">
        <f>VLOOKUP(Compras[[#This Row],[Codigo]],Stock[#Data],3,FALSE)</f>
        <v>580</v>
      </c>
      <c r="G805" s="43">
        <f>Compras[[#This Row],[Unidad]]*Compras[[#This Row],[Cantidad]]</f>
        <v>5220</v>
      </c>
      <c r="H805" s="16"/>
      <c r="I805" s="16"/>
      <c r="J805" s="16"/>
      <c r="K805" s="16"/>
    </row>
    <row r="806" spans="1:11" ht="20.25" customHeight="1">
      <c r="A806" s="16"/>
      <c r="B806" s="41">
        <v>44927</v>
      </c>
      <c r="C806" s="6" t="str">
        <f>VLOOKUP(Compras[[#This Row],[Codigo]],Stock[#Data],2,FALSE)</f>
        <v>Tabaco Adayya naguile</v>
      </c>
      <c r="D806" s="40">
        <v>1</v>
      </c>
      <c r="E806" s="6">
        <v>121</v>
      </c>
      <c r="F806" s="12">
        <f>VLOOKUP(Compras[[#This Row],[Codigo]],Stock[#Data],3,FALSE)</f>
        <v>560</v>
      </c>
      <c r="G806" s="43">
        <f>Compras[[#This Row],[Unidad]]*Compras[[#This Row],[Cantidad]]</f>
        <v>560</v>
      </c>
      <c r="H806" s="16"/>
      <c r="I806" s="16"/>
      <c r="J806" s="16"/>
      <c r="K806" s="16"/>
    </row>
    <row r="807" spans="1:11" ht="20.25" customHeight="1">
      <c r="A807" s="16"/>
      <c r="B807" s="41">
        <v>44927</v>
      </c>
      <c r="C807" s="6" t="str">
        <f>VLOOKUP(Compras[[#This Row],[Codigo]],Stock[#Data],2,FALSE)</f>
        <v>Tabaco Argento pipa</v>
      </c>
      <c r="D807" s="40">
        <v>2</v>
      </c>
      <c r="E807" s="6">
        <v>122</v>
      </c>
      <c r="F807" s="12">
        <f>VLOOKUP(Compras[[#This Row],[Codigo]],Stock[#Data],3,FALSE)</f>
        <v>665</v>
      </c>
      <c r="G807" s="43">
        <f>Compras[[#This Row],[Unidad]]*Compras[[#This Row],[Cantidad]]</f>
        <v>1330</v>
      </c>
      <c r="H807" s="16"/>
      <c r="I807" s="16"/>
      <c r="J807" s="16"/>
      <c r="K807" s="16"/>
    </row>
    <row r="808" spans="1:11" ht="20.25" customHeight="1">
      <c r="A808" s="16"/>
      <c r="B808" s="41">
        <v>44927</v>
      </c>
      <c r="C808" s="6" t="str">
        <f>VLOOKUP(Compras[[#This Row],[Codigo]],Stock[#Data],2,FALSE)</f>
        <v xml:space="preserve">Conos $100 Honey Puff </v>
      </c>
      <c r="D808" s="40">
        <v>7</v>
      </c>
      <c r="E808" s="6">
        <v>123</v>
      </c>
      <c r="F808" s="12">
        <f>VLOOKUP(Compras[[#This Row],[Codigo]],Stock[#Data],3,FALSE)</f>
        <v>170</v>
      </c>
      <c r="G808" s="43">
        <f>Compras[[#This Row],[Unidad]]*Compras[[#This Row],[Cantidad]]</f>
        <v>1190</v>
      </c>
      <c r="H808" s="16"/>
      <c r="I808" s="16"/>
      <c r="J808" s="16"/>
      <c r="K808" s="16"/>
    </row>
    <row r="809" spans="1:11" ht="20.25" customHeight="1">
      <c r="A809" s="16"/>
      <c r="B809" s="41">
        <v>44927</v>
      </c>
      <c r="C809" s="6" t="str">
        <f>VLOOKUP(Compras[[#This Row],[Codigo]],Stock[#Data],2,FALSE)</f>
        <v>Conos RAW x5 Stage RAWKET</v>
      </c>
      <c r="D809" s="40">
        <v>1</v>
      </c>
      <c r="E809" s="6">
        <v>125</v>
      </c>
      <c r="F809" s="12">
        <f>VLOOKUP(Compras[[#This Row],[Codigo]],Stock[#Data],3,FALSE)</f>
        <v>779</v>
      </c>
      <c r="G809" s="43">
        <f>Compras[[#This Row],[Unidad]]*Compras[[#This Row],[Cantidad]]</f>
        <v>779</v>
      </c>
      <c r="H809" s="16"/>
      <c r="I809" s="16"/>
      <c r="J809" s="16"/>
      <c r="K809" s="16"/>
    </row>
    <row r="810" spans="1:11" ht="20.25" customHeight="1">
      <c r="A810" s="16"/>
      <c r="B810" s="41">
        <v>44927</v>
      </c>
      <c r="C810" s="6" t="str">
        <f>VLOOKUP(Compras[[#This Row],[Codigo]],Stock[#Data],2,FALSE)</f>
        <v>Bandeja Blunt Rey chicas m/v</v>
      </c>
      <c r="D810" s="40">
        <v>9</v>
      </c>
      <c r="E810" s="6">
        <v>128</v>
      </c>
      <c r="F810" s="12">
        <f>VLOOKUP(Compras[[#This Row],[Codigo]],Stock[#Data],3,FALSE)</f>
        <v>1047</v>
      </c>
      <c r="G810" s="43">
        <f>Compras[[#This Row],[Unidad]]*Compras[[#This Row],[Cantidad]]</f>
        <v>9423</v>
      </c>
      <c r="H810" s="16"/>
      <c r="I810" s="16"/>
      <c r="J810" s="16"/>
      <c r="K810" s="16"/>
    </row>
    <row r="811" spans="1:11" ht="20.25" customHeight="1">
      <c r="A811" s="16"/>
      <c r="B811" s="41">
        <v>44927</v>
      </c>
      <c r="C811" s="6" t="str">
        <f>VLOOKUP(Compras[[#This Row],[Codigo]],Stock[#Data],2,FALSE)</f>
        <v>Bandeja RAW grande</v>
      </c>
      <c r="D811" s="40">
        <v>2</v>
      </c>
      <c r="E811" s="6">
        <v>130</v>
      </c>
      <c r="F811" s="12">
        <f>VLOOKUP(Compras[[#This Row],[Codigo]],Stock[#Data],3,FALSE)</f>
        <v>2915</v>
      </c>
      <c r="G811" s="43">
        <f>Compras[[#This Row],[Unidad]]*Compras[[#This Row],[Cantidad]]</f>
        <v>5830</v>
      </c>
      <c r="H811" s="16"/>
      <c r="I811" s="16"/>
      <c r="J811" s="16"/>
      <c r="K811" s="16"/>
    </row>
    <row r="812" spans="1:11" ht="20.25" customHeight="1">
      <c r="A812" s="16"/>
      <c r="B812" s="41">
        <v>44927</v>
      </c>
      <c r="C812" s="6" t="str">
        <f>VLOOKUP(Compras[[#This Row],[Codigo]],Stock[#Data],2,FALSE)</f>
        <v>Bandeja STAMPS grande</v>
      </c>
      <c r="D812" s="40">
        <v>1</v>
      </c>
      <c r="E812" s="6">
        <v>131</v>
      </c>
      <c r="F812" s="12">
        <f>VLOOKUP(Compras[[#This Row],[Codigo]],Stock[#Data],3,FALSE)</f>
        <v>1200</v>
      </c>
      <c r="G812" s="43">
        <f>Compras[[#This Row],[Unidad]]*Compras[[#This Row],[Cantidad]]</f>
        <v>1200</v>
      </c>
      <c r="H812" s="16"/>
      <c r="I812" s="16"/>
      <c r="J812" s="16"/>
      <c r="K812" s="16"/>
    </row>
    <row r="813" spans="1:11" ht="20.25" customHeight="1">
      <c r="A813" s="16"/>
      <c r="B813" s="41">
        <v>44927</v>
      </c>
      <c r="C813" s="6" t="str">
        <f>VLOOKUP(Compras[[#This Row],[Codigo]],Stock[#Data],2,FALSE)</f>
        <v xml:space="preserve">Bandeja Silicona </v>
      </c>
      <c r="D813" s="40">
        <v>2</v>
      </c>
      <c r="E813" s="6">
        <v>133</v>
      </c>
      <c r="F813" s="12">
        <f>VLOOKUP(Compras[[#This Row],[Codigo]],Stock[#Data],3,FALSE)</f>
        <v>3399</v>
      </c>
      <c r="G813" s="43">
        <f>Compras[[#This Row],[Unidad]]*Compras[[#This Row],[Cantidad]]</f>
        <v>6798</v>
      </c>
      <c r="H813" s="16"/>
      <c r="I813" s="16"/>
      <c r="J813" s="16"/>
      <c r="K813" s="16"/>
    </row>
    <row r="814" spans="1:11" ht="20.25" customHeight="1">
      <c r="A814" s="16"/>
      <c r="B814" s="41">
        <v>44927</v>
      </c>
      <c r="C814" s="6" t="str">
        <f>VLOOKUP(Compras[[#This Row],[Codigo]],Stock[#Data],2,FALSE)</f>
        <v>Bandeja Motivos Varios</v>
      </c>
      <c r="D814" s="40">
        <v>5</v>
      </c>
      <c r="E814" s="6">
        <v>135</v>
      </c>
      <c r="F814" s="12">
        <f>VLOOKUP(Compras[[#This Row],[Codigo]],Stock[#Data],3,FALSE)</f>
        <v>1047</v>
      </c>
      <c r="G814" s="43">
        <f>Compras[[#This Row],[Unidad]]*Compras[[#This Row],[Cantidad]]</f>
        <v>5235</v>
      </c>
      <c r="H814" s="16"/>
      <c r="I814" s="16"/>
      <c r="J814" s="16"/>
      <c r="K814" s="16"/>
    </row>
    <row r="815" spans="1:11" ht="20.25" customHeight="1">
      <c r="A815" s="16"/>
      <c r="B815" s="41">
        <v>44927</v>
      </c>
      <c r="C815" s="6" t="str">
        <f>VLOOKUP(Compras[[#This Row],[Codigo]],Stock[#Data],2,FALSE)</f>
        <v>Bandeja RAW madera</v>
      </c>
      <c r="D815" s="40">
        <v>1</v>
      </c>
      <c r="E815" s="6">
        <v>136</v>
      </c>
      <c r="F815" s="12">
        <f>VLOOKUP(Compras[[#This Row],[Codigo]],Stock[#Data],3,FALSE)</f>
        <v>10000</v>
      </c>
      <c r="G815" s="43">
        <f>Compras[[#This Row],[Unidad]]*Compras[[#This Row],[Cantidad]]</f>
        <v>10000</v>
      </c>
      <c r="H815" s="16"/>
      <c r="I815" s="16"/>
      <c r="J815" s="16"/>
      <c r="K815" s="16"/>
    </row>
    <row r="816" spans="1:11" ht="20.25" customHeight="1">
      <c r="A816" s="16"/>
      <c r="B816" s="41">
        <v>44927</v>
      </c>
      <c r="C816" s="6" t="str">
        <f>VLOOKUP(Compras[[#This Row],[Codigo]],Stock[#Data],2,FALSE)</f>
        <v>Cenicero Lion Rolling Circus</v>
      </c>
      <c r="D816" s="40">
        <v>5</v>
      </c>
      <c r="E816" s="6">
        <v>139</v>
      </c>
      <c r="F816" s="12">
        <f>VLOOKUP(Compras[[#This Row],[Codigo]],Stock[#Data],3,FALSE)</f>
        <v>494</v>
      </c>
      <c r="G816" s="43">
        <f>Compras[[#This Row],[Unidad]]*Compras[[#This Row],[Cantidad]]</f>
        <v>2470</v>
      </c>
      <c r="H816" s="16"/>
      <c r="I816" s="16"/>
      <c r="J816" s="16"/>
      <c r="K816" s="16"/>
    </row>
    <row r="817" spans="1:11" ht="20.25" customHeight="1">
      <c r="A817" s="16"/>
      <c r="B817" s="41">
        <v>44927</v>
      </c>
      <c r="C817" s="6" t="str">
        <f>VLOOKUP(Compras[[#This Row],[Codigo]],Stock[#Data],2,FALSE)</f>
        <v>Cenicero Calavera Chala</v>
      </c>
      <c r="D817" s="40">
        <v>1</v>
      </c>
      <c r="E817" s="6">
        <v>141</v>
      </c>
      <c r="F817" s="12">
        <f>VLOOKUP(Compras[[#This Row],[Codigo]],Stock[#Data],3,FALSE)</f>
        <v>225</v>
      </c>
      <c r="G817" s="43">
        <f>Compras[[#This Row],[Unidad]]*Compras[[#This Row],[Cantidad]]</f>
        <v>225</v>
      </c>
      <c r="H817" s="16"/>
      <c r="I817" s="16"/>
      <c r="J817" s="16"/>
      <c r="K817" s="16"/>
    </row>
    <row r="818" spans="1:11" ht="20.25" customHeight="1">
      <c r="A818" s="16"/>
      <c r="B818" s="41">
        <v>44927</v>
      </c>
      <c r="C818" s="6" t="str">
        <f>VLOOKUP(Compras[[#This Row],[Codigo]],Stock[#Data],2,FALSE)</f>
        <v>Cenicero Motivos Varios</v>
      </c>
      <c r="D818" s="40">
        <v>1</v>
      </c>
      <c r="E818" s="6">
        <v>142</v>
      </c>
      <c r="F818" s="12">
        <f>VLOOKUP(Compras[[#This Row],[Codigo]],Stock[#Data],3,FALSE)</f>
        <v>215</v>
      </c>
      <c r="G818" s="43">
        <f>Compras[[#This Row],[Unidad]]*Compras[[#This Row],[Cantidad]]</f>
        <v>215</v>
      </c>
      <c r="H818" s="16"/>
      <c r="I818" s="16"/>
      <c r="J818" s="16"/>
      <c r="K818" s="16"/>
    </row>
    <row r="819" spans="1:11" ht="20.25" customHeight="1">
      <c r="A819" s="16"/>
      <c r="B819" s="41">
        <v>44927</v>
      </c>
      <c r="C819" s="6" t="str">
        <f>VLOOKUP(Compras[[#This Row],[Codigo]],Stock[#Data],2,FALSE)</f>
        <v>Cenicero Vidrio Chala</v>
      </c>
      <c r="D819" s="40">
        <v>3</v>
      </c>
      <c r="E819" s="6">
        <v>143</v>
      </c>
      <c r="F819" s="12">
        <f>VLOOKUP(Compras[[#This Row],[Codigo]],Stock[#Data],3,FALSE)</f>
        <v>692</v>
      </c>
      <c r="G819" s="43">
        <f>Compras[[#This Row],[Unidad]]*Compras[[#This Row],[Cantidad]]</f>
        <v>2076</v>
      </c>
      <c r="H819" s="16"/>
      <c r="I819" s="16"/>
      <c r="J819" s="16"/>
      <c r="K819" s="16"/>
    </row>
    <row r="820" spans="1:11" ht="20.25" customHeight="1">
      <c r="A820" s="16"/>
      <c r="B820" s="41">
        <v>44927</v>
      </c>
      <c r="C820" s="6" t="str">
        <f>VLOOKUP(Compras[[#This Row],[Codigo]],Stock[#Data],2,FALSE)</f>
        <v xml:space="preserve">Cenicero STAMS </v>
      </c>
      <c r="D820" s="40">
        <v>2</v>
      </c>
      <c r="E820" s="6">
        <v>144</v>
      </c>
      <c r="F820" s="12">
        <f>VLOOKUP(Compras[[#This Row],[Codigo]],Stock[#Data],3,FALSE)</f>
        <v>385</v>
      </c>
      <c r="G820" s="43">
        <f>Compras[[#This Row],[Unidad]]*Compras[[#This Row],[Cantidad]]</f>
        <v>770</v>
      </c>
      <c r="H820" s="16"/>
      <c r="I820" s="16"/>
      <c r="J820" s="16"/>
      <c r="K820" s="16"/>
    </row>
    <row r="821" spans="1:11" ht="20.25" customHeight="1">
      <c r="A821" s="16"/>
      <c r="B821" s="41">
        <v>44927</v>
      </c>
      <c r="C821" s="6" t="str">
        <f>VLOOKUP(Compras[[#This Row],[Codigo]],Stock[#Data],2,FALSE)</f>
        <v>Lata Lion Rolling Circus</v>
      </c>
      <c r="D821" s="40">
        <v>2</v>
      </c>
      <c r="E821" s="6">
        <v>145</v>
      </c>
      <c r="F821" s="12">
        <f>VLOOKUP(Compras[[#This Row],[Codigo]],Stock[#Data],3,FALSE)</f>
        <v>580</v>
      </c>
      <c r="G821" s="43">
        <f>Compras[[#This Row],[Unidad]]*Compras[[#This Row],[Cantidad]]</f>
        <v>1160</v>
      </c>
      <c r="H821" s="16"/>
      <c r="I821" s="16"/>
      <c r="J821" s="16"/>
      <c r="K821" s="16"/>
    </row>
    <row r="822" spans="1:11" ht="20.25" customHeight="1">
      <c r="A822" s="16"/>
      <c r="B822" s="41">
        <v>44927</v>
      </c>
      <c r="C822" s="6" t="str">
        <f>VLOOKUP(Compras[[#This Row],[Codigo]],Stock[#Data],2,FALSE)</f>
        <v xml:space="preserve">Lata Van Häasen </v>
      </c>
      <c r="D822" s="40">
        <v>1</v>
      </c>
      <c r="E822" s="6">
        <v>147</v>
      </c>
      <c r="F822" s="12">
        <f>VLOOKUP(Compras[[#This Row],[Codigo]],Stock[#Data],3,FALSE)</f>
        <v>380</v>
      </c>
      <c r="G822" s="43">
        <f>Compras[[#This Row],[Unidad]]*Compras[[#This Row],[Cantidad]]</f>
        <v>380</v>
      </c>
      <c r="H822" s="16"/>
      <c r="I822" s="16"/>
      <c r="J822" s="16"/>
      <c r="K822" s="16"/>
    </row>
    <row r="823" spans="1:11" ht="20.25" customHeight="1">
      <c r="A823" s="16"/>
      <c r="B823" s="41">
        <v>44927</v>
      </c>
      <c r="C823" s="6" t="str">
        <f>VLOOKUP(Compras[[#This Row],[Codigo]],Stock[#Data],2,FALSE)</f>
        <v>Sauver 1/4</v>
      </c>
      <c r="D823" s="40">
        <v>11</v>
      </c>
      <c r="E823" s="6">
        <v>149</v>
      </c>
      <c r="F823" s="12">
        <f>VLOOKUP(Compras[[#This Row],[Codigo]],Stock[#Data],3,FALSE)</f>
        <v>75</v>
      </c>
      <c r="G823" s="43">
        <f>Compras[[#This Row],[Unidad]]*Compras[[#This Row],[Cantidad]]</f>
        <v>825</v>
      </c>
      <c r="H823" s="16"/>
      <c r="I823" s="16"/>
      <c r="J823" s="16"/>
      <c r="K823" s="16"/>
    </row>
    <row r="824" spans="1:11" ht="20.25" customHeight="1">
      <c r="A824" s="16"/>
      <c r="B824" s="41">
        <v>44927</v>
      </c>
      <c r="C824" s="6" t="str">
        <f>VLOOKUP(Compras[[#This Row],[Codigo]],Stock[#Data],2,FALSE)</f>
        <v>Portaseda RAW 1/4</v>
      </c>
      <c r="D824" s="40">
        <v>2</v>
      </c>
      <c r="E824" s="6">
        <v>150</v>
      </c>
      <c r="F824" s="12">
        <f>VLOOKUP(Compras[[#This Row],[Codigo]],Stock[#Data],3,FALSE)</f>
        <v>580</v>
      </c>
      <c r="G824" s="43">
        <f>Compras[[#This Row],[Unidad]]*Compras[[#This Row],[Cantidad]]</f>
        <v>1160</v>
      </c>
      <c r="H824" s="16"/>
      <c r="I824" s="16"/>
      <c r="J824" s="16"/>
      <c r="K824" s="16"/>
    </row>
    <row r="825" spans="1:11" ht="20.25" customHeight="1">
      <c r="A825" s="16"/>
      <c r="B825" s="41">
        <v>44927</v>
      </c>
      <c r="C825" s="6" t="str">
        <f>VLOOKUP(Compras[[#This Row],[Codigo]],Stock[#Data],2,FALSE)</f>
        <v xml:space="preserve">Portaseda RAW Kz </v>
      </c>
      <c r="D825" s="40">
        <v>2</v>
      </c>
      <c r="E825" s="6">
        <v>151</v>
      </c>
      <c r="F825" s="12">
        <f>VLOOKUP(Compras[[#This Row],[Codigo]],Stock[#Data],3,FALSE)</f>
        <v>1160</v>
      </c>
      <c r="G825" s="43">
        <f>Compras[[#This Row],[Unidad]]*Compras[[#This Row],[Cantidad]]</f>
        <v>2320</v>
      </c>
      <c r="H825" s="16"/>
      <c r="I825" s="16"/>
      <c r="J825" s="16"/>
      <c r="K825" s="16"/>
    </row>
    <row r="826" spans="1:11" ht="20.25" customHeight="1">
      <c r="A826" s="16"/>
      <c r="B826" s="41">
        <v>44927</v>
      </c>
      <c r="C826" s="6" t="str">
        <f>VLOOKUP(Compras[[#This Row],[Codigo]],Stock[#Data],2,FALSE)</f>
        <v xml:space="preserve">Tabaquera Tobac </v>
      </c>
      <c r="D826" s="40">
        <v>1</v>
      </c>
      <c r="E826" s="6">
        <v>153</v>
      </c>
      <c r="F826" s="12">
        <f>VLOOKUP(Compras[[#This Row],[Codigo]],Stock[#Data],3,FALSE)</f>
        <v>2280</v>
      </c>
      <c r="G826" s="43">
        <f>Compras[[#This Row],[Unidad]]*Compras[[#This Row],[Cantidad]]</f>
        <v>2280</v>
      </c>
      <c r="H826" s="16"/>
      <c r="I826" s="16"/>
      <c r="J826" s="16"/>
      <c r="K826" s="16"/>
    </row>
    <row r="827" spans="1:11" ht="20.25" customHeight="1">
      <c r="A827" s="16"/>
      <c r="B827" s="41">
        <v>44927</v>
      </c>
      <c r="C827" s="6" t="str">
        <f>VLOOKUP(Compras[[#This Row],[Codigo]],Stock[#Data],2,FALSE)</f>
        <v>Pipa Madera</v>
      </c>
      <c r="D827" s="40">
        <v>2</v>
      </c>
      <c r="E827" s="6">
        <v>155</v>
      </c>
      <c r="F827" s="12">
        <f>VLOOKUP(Compras[[#This Row],[Codigo]],Stock[#Data],3,FALSE)</f>
        <v>450</v>
      </c>
      <c r="G827" s="43">
        <f>Compras[[#This Row],[Unidad]]*Compras[[#This Row],[Cantidad]]</f>
        <v>900</v>
      </c>
      <c r="H827" s="16"/>
      <c r="I827" s="16"/>
      <c r="J827" s="16"/>
      <c r="K827" s="16"/>
    </row>
    <row r="828" spans="1:11" ht="20.25" customHeight="1">
      <c r="A828" s="16"/>
      <c r="B828" s="41">
        <v>44927</v>
      </c>
      <c r="C828" s="6" t="str">
        <f>VLOOKUP(Compras[[#This Row],[Codigo]],Stock[#Data],2,FALSE)</f>
        <v>Pipa Vidrio y Silicona</v>
      </c>
      <c r="D828" s="40">
        <v>1</v>
      </c>
      <c r="E828" s="6">
        <v>156</v>
      </c>
      <c r="F828" s="12">
        <f>VLOOKUP(Compras[[#This Row],[Codigo]],Stock[#Data],3,FALSE)</f>
        <v>929</v>
      </c>
      <c r="G828" s="43">
        <f>Compras[[#This Row],[Unidad]]*Compras[[#This Row],[Cantidad]]</f>
        <v>929</v>
      </c>
      <c r="H828" s="16"/>
      <c r="I828" s="16"/>
      <c r="J828" s="16"/>
      <c r="K828" s="16"/>
    </row>
    <row r="829" spans="1:11" ht="20.25" customHeight="1">
      <c r="A829" s="16"/>
      <c r="B829" s="41">
        <v>44927</v>
      </c>
      <c r="C829" s="6" t="str">
        <f>VLOOKUP(Compras[[#This Row],[Codigo]],Stock[#Data],2,FALSE)</f>
        <v>Pipa Silicona</v>
      </c>
      <c r="D829" s="40">
        <v>6</v>
      </c>
      <c r="E829" s="6">
        <v>157</v>
      </c>
      <c r="F829" s="12">
        <f>VLOOKUP(Compras[[#This Row],[Codigo]],Stock[#Data],3,FALSE)</f>
        <v>1895</v>
      </c>
      <c r="G829" s="43">
        <f>Compras[[#This Row],[Unidad]]*Compras[[#This Row],[Cantidad]]</f>
        <v>11370</v>
      </c>
      <c r="H829" s="16"/>
      <c r="I829" s="16"/>
      <c r="J829" s="16"/>
      <c r="K829" s="16"/>
    </row>
    <row r="830" spans="1:11" ht="20.25" customHeight="1">
      <c r="A830" s="16"/>
      <c r="B830" s="41">
        <v>44927</v>
      </c>
      <c r="C830" s="6" t="str">
        <f>VLOOKUP(Compras[[#This Row],[Codigo]],Stock[#Data],2,FALSE)</f>
        <v>Pipa D&amp;K Calavera</v>
      </c>
      <c r="D830" s="40">
        <v>1</v>
      </c>
      <c r="E830" s="6">
        <v>159</v>
      </c>
      <c r="F830" s="12">
        <f>VLOOKUP(Compras[[#This Row],[Codigo]],Stock[#Data],3,FALSE)</f>
        <v>1810</v>
      </c>
      <c r="G830" s="43">
        <f>Compras[[#This Row],[Unidad]]*Compras[[#This Row],[Cantidad]]</f>
        <v>1810</v>
      </c>
      <c r="H830" s="16"/>
      <c r="I830" s="16"/>
      <c r="J830" s="16"/>
      <c r="K830" s="16"/>
    </row>
    <row r="831" spans="1:11" ht="20.25" customHeight="1">
      <c r="A831" s="16"/>
      <c r="B831" s="41">
        <v>44927</v>
      </c>
      <c r="C831" s="6" t="str">
        <f>VLOOKUP(Compras[[#This Row],[Codigo]],Stock[#Data],2,FALSE)</f>
        <v>Pipa D&amp;K Chica</v>
      </c>
      <c r="D831" s="40">
        <v>2</v>
      </c>
      <c r="E831" s="6">
        <v>160</v>
      </c>
      <c r="F831" s="12">
        <f>VLOOKUP(Compras[[#This Row],[Codigo]],Stock[#Data],3,FALSE)</f>
        <v>1020</v>
      </c>
      <c r="G831" s="43">
        <f>Compras[[#This Row],[Unidad]]*Compras[[#This Row],[Cantidad]]</f>
        <v>2040</v>
      </c>
      <c r="H831" s="16"/>
      <c r="I831" s="16"/>
      <c r="J831" s="16"/>
      <c r="K831" s="16"/>
    </row>
    <row r="832" spans="1:11" ht="20.25" customHeight="1">
      <c r="A832" s="16"/>
      <c r="B832" s="41">
        <v>44927</v>
      </c>
      <c r="C832" s="6" t="str">
        <f>VLOOKUP(Compras[[#This Row],[Codigo]],Stock[#Data],2,FALSE)</f>
        <v>Pipa D&amp;K Metal+Picador</v>
      </c>
      <c r="D832" s="40">
        <v>1</v>
      </c>
      <c r="E832" s="6">
        <v>161</v>
      </c>
      <c r="F832" s="12">
        <f>VLOOKUP(Compras[[#This Row],[Codigo]],Stock[#Data],3,FALSE)</f>
        <v>830</v>
      </c>
      <c r="G832" s="43">
        <f>Compras[[#This Row],[Unidad]]*Compras[[#This Row],[Cantidad]]</f>
        <v>830</v>
      </c>
      <c r="H832" s="16"/>
      <c r="I832" s="16"/>
      <c r="J832" s="16"/>
      <c r="K832" s="16"/>
    </row>
    <row r="833" spans="1:11" ht="20.25" customHeight="1">
      <c r="A833" s="16"/>
      <c r="B833" s="41">
        <v>44927</v>
      </c>
      <c r="C833" s="6" t="str">
        <f>VLOOKUP(Compras[[#This Row],[Codigo]],Stock[#Data],2,FALSE)</f>
        <v>Turbina D&amp;K Pico de Vidrio</v>
      </c>
      <c r="D833" s="40">
        <v>1</v>
      </c>
      <c r="E833" s="6">
        <v>167</v>
      </c>
      <c r="F833" s="12">
        <f>VLOOKUP(Compras[[#This Row],[Codigo]],Stock[#Data],3,FALSE)</f>
        <v>1041</v>
      </c>
      <c r="G833" s="43">
        <f>Compras[[#This Row],[Unidad]]*Compras[[#This Row],[Cantidad]]</f>
        <v>1041</v>
      </c>
      <c r="H833" s="16"/>
      <c r="I833" s="16"/>
      <c r="J833" s="16"/>
      <c r="K833" s="16"/>
    </row>
    <row r="834" spans="1:11" ht="20.25" customHeight="1">
      <c r="A834" s="16"/>
      <c r="B834" s="41">
        <v>44927</v>
      </c>
      <c r="C834" s="6" t="str">
        <f>VLOOKUP(Compras[[#This Row],[Codigo]],Stock[#Data],2,FALSE)</f>
        <v>Armador ZEUS Plástico</v>
      </c>
      <c r="D834" s="40">
        <v>3</v>
      </c>
      <c r="E834" s="6">
        <v>170</v>
      </c>
      <c r="F834" s="12">
        <f>VLOOKUP(Compras[[#This Row],[Codigo]],Stock[#Data],3,FALSE)</f>
        <v>430</v>
      </c>
      <c r="G834" s="43">
        <f>Compras[[#This Row],[Unidad]]*Compras[[#This Row],[Cantidad]]</f>
        <v>1290</v>
      </c>
      <c r="H834" s="16"/>
      <c r="I834" s="16"/>
      <c r="J834" s="16"/>
      <c r="K834" s="16"/>
    </row>
    <row r="835" spans="1:11" ht="20.25" customHeight="1">
      <c r="A835" s="16"/>
      <c r="B835" s="41">
        <v>44927</v>
      </c>
      <c r="C835" s="6" t="str">
        <f>VLOOKUP(Compras[[#This Row],[Codigo]],Stock[#Data],2,FALSE)</f>
        <v xml:space="preserve">Bong Calavera pirex </v>
      </c>
      <c r="D835" s="40">
        <v>1</v>
      </c>
      <c r="E835" s="6">
        <v>174</v>
      </c>
      <c r="F835" s="12">
        <f>VLOOKUP(Compras[[#This Row],[Codigo]],Stock[#Data],3,FALSE)</f>
        <v>7274</v>
      </c>
      <c r="G835" s="43">
        <f>Compras[[#This Row],[Unidad]]*Compras[[#This Row],[Cantidad]]</f>
        <v>7274</v>
      </c>
      <c r="H835" s="16"/>
      <c r="I835" s="16"/>
      <c r="J835" s="16"/>
      <c r="K835" s="16"/>
    </row>
    <row r="836" spans="1:11" ht="20.25" customHeight="1">
      <c r="A836" s="16"/>
      <c r="B836" s="41">
        <v>44927</v>
      </c>
      <c r="C836" s="6" t="str">
        <f>VLOOKUP(Compras[[#This Row],[Codigo]],Stock[#Data],2,FALSE)</f>
        <v>Bong Ceramica</v>
      </c>
      <c r="D836" s="40">
        <v>1</v>
      </c>
      <c r="E836" s="6">
        <v>175</v>
      </c>
      <c r="F836" s="12">
        <f>VLOOKUP(Compras[[#This Row],[Codigo]],Stock[#Data],3,FALSE)</f>
        <v>3791</v>
      </c>
      <c r="G836" s="43">
        <f>Compras[[#This Row],[Unidad]]*Compras[[#This Row],[Cantidad]]</f>
        <v>3791</v>
      </c>
      <c r="H836" s="16"/>
      <c r="I836" s="16"/>
      <c r="J836" s="16"/>
      <c r="K836" s="16"/>
    </row>
    <row r="837" spans="1:11" ht="20.25" customHeight="1">
      <c r="A837" s="16"/>
      <c r="B837" s="41">
        <v>44927</v>
      </c>
      <c r="C837" s="6" t="str">
        <f>VLOOKUP(Compras[[#This Row],[Codigo]],Stock[#Data],2,FALSE)</f>
        <v>Recipiente Rosin SQUADAFUM Redondo Grande</v>
      </c>
      <c r="D837" s="40">
        <v>5</v>
      </c>
      <c r="E837" s="6">
        <v>179</v>
      </c>
      <c r="F837" s="12">
        <f>VLOOKUP(Compras[[#This Row],[Codigo]],Stock[#Data],3,FALSE)</f>
        <v>600</v>
      </c>
      <c r="G837" s="43">
        <f>Compras[[#This Row],[Unidad]]*Compras[[#This Row],[Cantidad]]</f>
        <v>3000</v>
      </c>
      <c r="H837" s="16"/>
      <c r="I837" s="16"/>
      <c r="J837" s="16"/>
      <c r="K837" s="16"/>
    </row>
    <row r="838" spans="1:11" ht="20.25" customHeight="1">
      <c r="A838" s="16"/>
      <c r="B838" s="41">
        <v>44927</v>
      </c>
      <c r="C838" s="6" t="str">
        <f>VLOOKUP(Compras[[#This Row],[Codigo]],Stock[#Data],2,FALSE)</f>
        <v>Recipiente Rosin SQUADAFUM Redondo Mediano</v>
      </c>
      <c r="D838" s="40">
        <v>4</v>
      </c>
      <c r="E838" s="6">
        <v>180</v>
      </c>
      <c r="F838" s="12">
        <f>VLOOKUP(Compras[[#This Row],[Codigo]],Stock[#Data],3,FALSE)</f>
        <v>270</v>
      </c>
      <c r="G838" s="43">
        <f>Compras[[#This Row],[Unidad]]*Compras[[#This Row],[Cantidad]]</f>
        <v>1080</v>
      </c>
      <c r="H838" s="16"/>
      <c r="I838" s="16"/>
      <c r="J838" s="16"/>
      <c r="K838" s="16"/>
    </row>
    <row r="839" spans="1:11" ht="20.25" customHeight="1">
      <c r="A839" s="16"/>
      <c r="B839" s="41">
        <v>44927</v>
      </c>
      <c r="C839" s="6" t="str">
        <f>VLOOKUP(Compras[[#This Row],[Codigo]],Stock[#Data],2,FALSE)</f>
        <v>Recipiente Rosin SQUADAFUM Triangular</v>
      </c>
      <c r="D839" s="40">
        <v>4</v>
      </c>
      <c r="E839" s="6">
        <v>182</v>
      </c>
      <c r="F839" s="12">
        <f>VLOOKUP(Compras[[#This Row],[Codigo]],Stock[#Data],3,FALSE)</f>
        <v>542</v>
      </c>
      <c r="G839" s="43">
        <f>Compras[[#This Row],[Unidad]]*Compras[[#This Row],[Cantidad]]</f>
        <v>2168</v>
      </c>
      <c r="H839" s="16"/>
      <c r="I839" s="16"/>
      <c r="J839" s="16"/>
      <c r="K839" s="16"/>
    </row>
    <row r="840" spans="1:11" ht="20.25" customHeight="1">
      <c r="A840" s="16"/>
      <c r="B840" s="41">
        <v>44927</v>
      </c>
      <c r="C840" s="6" t="str">
        <f>VLOOKUP(Compras[[#This Row],[Codigo]],Stock[#Data],2,FALSE)</f>
        <v>Distribuidor de Riengo 15x15</v>
      </c>
      <c r="D840" s="40">
        <v>5</v>
      </c>
      <c r="E840" s="6">
        <v>183</v>
      </c>
      <c r="F840" s="12">
        <f>VLOOKUP(Compras[[#This Row],[Codigo]],Stock[#Data],3,FALSE)</f>
        <v>390</v>
      </c>
      <c r="G840" s="43">
        <f>Compras[[#This Row],[Unidad]]*Compras[[#This Row],[Cantidad]]</f>
        <v>1950</v>
      </c>
      <c r="H840" s="16"/>
      <c r="I840" s="16"/>
      <c r="J840" s="16"/>
      <c r="K840" s="16"/>
    </row>
    <row r="841" spans="1:11" ht="20.25" customHeight="1">
      <c r="A841" s="16"/>
      <c r="B841" s="41">
        <v>44927</v>
      </c>
      <c r="C841" s="6" t="str">
        <f>VLOOKUP(Compras[[#This Row],[Codigo]],Stock[#Data],2,FALSE)</f>
        <v>Distribuidor de Riengo Redondo</v>
      </c>
      <c r="D841" s="40">
        <v>4</v>
      </c>
      <c r="E841" s="6">
        <v>184</v>
      </c>
      <c r="F841" s="12">
        <f>VLOOKUP(Compras[[#This Row],[Codigo]],Stock[#Data],3,FALSE)</f>
        <v>390</v>
      </c>
      <c r="G841" s="43">
        <f>Compras[[#This Row],[Unidad]]*Compras[[#This Row],[Cantidad]]</f>
        <v>1560</v>
      </c>
      <c r="H841" s="16"/>
      <c r="I841" s="16"/>
      <c r="J841" s="16"/>
      <c r="K841" s="16"/>
    </row>
    <row r="842" spans="1:11" ht="20.25" customHeight="1">
      <c r="A842" s="16"/>
      <c r="B842" s="41">
        <v>44927</v>
      </c>
      <c r="C842" s="6" t="str">
        <f>VLOOKUP(Compras[[#This Row],[Codigo]],Stock[#Data],2,FALSE)</f>
        <v>Medidor de PH</v>
      </c>
      <c r="D842" s="40">
        <v>1</v>
      </c>
      <c r="E842" s="6">
        <v>185</v>
      </c>
      <c r="F842" s="12">
        <f>VLOOKUP(Compras[[#This Row],[Codigo]],Stock[#Data],3,FALSE)</f>
        <v>2000</v>
      </c>
      <c r="G842" s="43">
        <f>Compras[[#This Row],[Unidad]]*Compras[[#This Row],[Cantidad]]</f>
        <v>2000</v>
      </c>
      <c r="H842" s="16"/>
      <c r="I842" s="16"/>
      <c r="J842" s="16"/>
      <c r="K842" s="16"/>
    </row>
    <row r="843" spans="1:11" ht="20.25" customHeight="1">
      <c r="A843" s="16"/>
      <c r="B843" s="41">
        <v>44927</v>
      </c>
      <c r="C843" s="6" t="str">
        <f>VLOOKUP(Compras[[#This Row],[Codigo]],Stock[#Data],2,FALSE)</f>
        <v>Medidor de Electroconductividad</v>
      </c>
      <c r="D843" s="40">
        <v>4</v>
      </c>
      <c r="E843" s="6">
        <v>186</v>
      </c>
      <c r="F843" s="12">
        <f>VLOOKUP(Compras[[#This Row],[Codigo]],Stock[#Data],3,FALSE)</f>
        <v>879</v>
      </c>
      <c r="G843" s="43">
        <f>Compras[[#This Row],[Unidad]]*Compras[[#This Row],[Cantidad]]</f>
        <v>3516</v>
      </c>
      <c r="H843" s="16"/>
      <c r="I843" s="16"/>
      <c r="J843" s="16"/>
      <c r="K843" s="16"/>
    </row>
    <row r="844" spans="1:11" ht="20.25" customHeight="1">
      <c r="A844" s="16"/>
      <c r="B844" s="41">
        <v>44927</v>
      </c>
      <c r="C844" s="6" t="str">
        <f>VLOOKUP(Compras[[#This Row],[Codigo]],Stock[#Data],2,FALSE)</f>
        <v>Termohidrógeno</v>
      </c>
      <c r="D844" s="40">
        <v>3</v>
      </c>
      <c r="E844" s="6">
        <v>187</v>
      </c>
      <c r="F844" s="12">
        <f>VLOOKUP(Compras[[#This Row],[Codigo]],Stock[#Data],3,FALSE)</f>
        <v>2000</v>
      </c>
      <c r="G844" s="43">
        <f>Compras[[#This Row],[Unidad]]*Compras[[#This Row],[Cantidad]]</f>
        <v>6000</v>
      </c>
      <c r="H844" s="16"/>
      <c r="I844" s="16"/>
      <c r="J844" s="16"/>
      <c r="K844" s="16"/>
    </row>
    <row r="845" spans="1:11" ht="20.25" customHeight="1">
      <c r="A845" s="16"/>
      <c r="B845" s="41">
        <v>44927</v>
      </c>
      <c r="C845" s="6" t="str">
        <f>VLOOKUP(Compras[[#This Row],[Codigo]],Stock[#Data],2,FALSE)</f>
        <v xml:space="preserve">Pastilla para pipa ZEUS </v>
      </c>
      <c r="D845" s="40">
        <v>3</v>
      </c>
      <c r="E845" s="6">
        <v>192</v>
      </c>
      <c r="F845" s="12">
        <f>VLOOKUP(Compras[[#This Row],[Codigo]],Stock[#Data],3,FALSE)</f>
        <v>261</v>
      </c>
      <c r="G845" s="43">
        <f>Compras[[#This Row],[Unidad]]*Compras[[#This Row],[Cantidad]]</f>
        <v>783</v>
      </c>
      <c r="H845" s="16"/>
      <c r="I845" s="16"/>
      <c r="J845" s="16"/>
      <c r="K845" s="16"/>
    </row>
    <row r="846" spans="1:11" ht="20.25" customHeight="1">
      <c r="A846" s="16"/>
      <c r="B846" s="41">
        <v>44927</v>
      </c>
      <c r="C846" s="6" t="str">
        <f>VLOOKUP(Compras[[#This Row],[Codigo]],Stock[#Data],2,FALSE)</f>
        <v>Red de Scrog 60x60</v>
      </c>
      <c r="D846" s="40">
        <v>8</v>
      </c>
      <c r="E846" s="6">
        <v>193</v>
      </c>
      <c r="F846" s="12">
        <f>VLOOKUP(Compras[[#This Row],[Codigo]],Stock[#Data],3,FALSE)</f>
        <v>522</v>
      </c>
      <c r="G846" s="43">
        <f>Compras[[#This Row],[Unidad]]*Compras[[#This Row],[Cantidad]]</f>
        <v>4176</v>
      </c>
      <c r="H846" s="16"/>
      <c r="I846" s="16"/>
      <c r="J846" s="16"/>
      <c r="K846" s="16"/>
    </row>
    <row r="847" spans="1:11" ht="20.25" customHeight="1">
      <c r="A847" s="16"/>
      <c r="B847" s="41">
        <v>44927</v>
      </c>
      <c r="C847" s="6" t="str">
        <f>VLOOKUP(Compras[[#This Row],[Codigo]],Stock[#Data],2,FALSE)</f>
        <v>Red de Scrog 80x80</v>
      </c>
      <c r="D847" s="40">
        <v>2</v>
      </c>
      <c r="E847" s="6">
        <v>194</v>
      </c>
      <c r="F847" s="12">
        <f>VLOOKUP(Compras[[#This Row],[Codigo]],Stock[#Data],3,FALSE)</f>
        <v>540</v>
      </c>
      <c r="G847" s="43">
        <f>Compras[[#This Row],[Unidad]]*Compras[[#This Row],[Cantidad]]</f>
        <v>1080</v>
      </c>
      <c r="H847" s="16"/>
      <c r="I847" s="16"/>
      <c r="J847" s="16"/>
      <c r="K847" s="16"/>
    </row>
    <row r="848" spans="1:11" ht="20.25" customHeight="1">
      <c r="A848" s="16"/>
      <c r="B848" s="41">
        <v>44927</v>
      </c>
      <c r="C848" s="6" t="str">
        <f>VLOOKUP(Compras[[#This Row],[Codigo]],Stock[#Data],2,FALSE)</f>
        <v>Red de Scrog 100x100</v>
      </c>
      <c r="D848" s="40">
        <v>3</v>
      </c>
      <c r="E848" s="6">
        <v>195</v>
      </c>
      <c r="F848" s="12">
        <f>VLOOKUP(Compras[[#This Row],[Codigo]],Stock[#Data],3,FALSE)</f>
        <v>576</v>
      </c>
      <c r="G848" s="43">
        <f>Compras[[#This Row],[Unidad]]*Compras[[#This Row],[Cantidad]]</f>
        <v>1728</v>
      </c>
      <c r="H848" s="16"/>
      <c r="I848" s="16"/>
      <c r="J848" s="16"/>
      <c r="K848" s="16"/>
    </row>
    <row r="849" spans="1:11" ht="20.25" customHeight="1">
      <c r="A849" s="16"/>
      <c r="B849" s="41">
        <v>44927</v>
      </c>
      <c r="C849" s="6" t="str">
        <f>VLOOKUP(Compras[[#This Row],[Codigo]],Stock[#Data],2,FALSE)</f>
        <v>Red de Scrog 120x120</v>
      </c>
      <c r="D849" s="40">
        <v>6</v>
      </c>
      <c r="E849" s="6">
        <v>196</v>
      </c>
      <c r="F849" s="12">
        <f>VLOOKUP(Compras[[#This Row],[Codigo]],Stock[#Data],3,FALSE)</f>
        <v>630</v>
      </c>
      <c r="G849" s="43">
        <f>Compras[[#This Row],[Unidad]]*Compras[[#This Row],[Cantidad]]</f>
        <v>3780</v>
      </c>
      <c r="H849" s="16"/>
      <c r="I849" s="16"/>
      <c r="J849" s="16"/>
      <c r="K849" s="16"/>
    </row>
    <row r="850" spans="1:11" ht="20.25" customHeight="1">
      <c r="A850" s="16"/>
      <c r="B850" s="41">
        <v>44927</v>
      </c>
      <c r="C850" s="6" t="str">
        <f>VLOOKUP(Compras[[#This Row],[Codigo]],Stock[#Data],2,FALSE)</f>
        <v>Red de Scrog 150x150</v>
      </c>
      <c r="D850" s="40">
        <v>1</v>
      </c>
      <c r="E850" s="6">
        <v>197</v>
      </c>
      <c r="F850" s="12">
        <f>VLOOKUP(Compras[[#This Row],[Codigo]],Stock[#Data],3,FALSE)</f>
        <v>654</v>
      </c>
      <c r="G850" s="43">
        <f>Compras[[#This Row],[Unidad]]*Compras[[#This Row],[Cantidad]]</f>
        <v>654</v>
      </c>
      <c r="H850" s="16"/>
      <c r="I850" s="16"/>
      <c r="J850" s="16"/>
      <c r="K850" s="16"/>
    </row>
    <row r="851" spans="1:11" ht="20.25" customHeight="1">
      <c r="A851" s="16"/>
      <c r="B851" s="41">
        <v>44927</v>
      </c>
      <c r="C851" s="6" t="str">
        <f>VLOOKUP(Compras[[#This Row],[Codigo]],Stock[#Data],2,FALSE)</f>
        <v>Red de Scrog Cronic Scrog Pot</v>
      </c>
      <c r="D851" s="40">
        <v>1</v>
      </c>
      <c r="E851" s="6">
        <v>198</v>
      </c>
      <c r="F851" s="12">
        <f>VLOOKUP(Compras[[#This Row],[Codigo]],Stock[#Data],3,FALSE)</f>
        <v>615</v>
      </c>
      <c r="G851" s="43">
        <f>Compras[[#This Row],[Unidad]]*Compras[[#This Row],[Cantidad]]</f>
        <v>615</v>
      </c>
      <c r="H851" s="16"/>
      <c r="I851" s="16"/>
      <c r="J851" s="16"/>
      <c r="K851" s="16"/>
    </row>
    <row r="852" spans="1:11" ht="20.25" customHeight="1">
      <c r="A852" s="16"/>
      <c r="B852" s="41">
        <v>44927</v>
      </c>
      <c r="C852" s="6" t="str">
        <f>VLOOKUP(Compras[[#This Row],[Codigo]],Stock[#Data],2,FALSE)</f>
        <v>POWER TREBOL</v>
      </c>
      <c r="D852" s="40">
        <v>20</v>
      </c>
      <c r="E852" s="6">
        <v>199</v>
      </c>
      <c r="F852" s="12">
        <f>VLOOKUP(Compras[[#This Row],[Codigo]],Stock[#Data],3,FALSE)</f>
        <v>140</v>
      </c>
      <c r="G852" s="43">
        <f>Compras[[#This Row],[Unidad]]*Compras[[#This Row],[Cantidad]]</f>
        <v>2800</v>
      </c>
      <c r="H852" s="16"/>
      <c r="I852" s="16"/>
      <c r="J852" s="16"/>
      <c r="K852" s="16"/>
    </row>
    <row r="853" spans="1:11" ht="20.25" customHeight="1">
      <c r="A853" s="16"/>
      <c r="B853" s="41">
        <v>44927</v>
      </c>
      <c r="C853" s="6" t="str">
        <f>VLOOKUP(Compras[[#This Row],[Codigo]],Stock[#Data],2,FALSE)</f>
        <v>Juego REFUMANYI</v>
      </c>
      <c r="D853" s="40">
        <v>3</v>
      </c>
      <c r="E853" s="6">
        <v>202</v>
      </c>
      <c r="F853" s="12">
        <f>VLOOKUP(Compras[[#This Row],[Codigo]],Stock[#Data],3,FALSE)</f>
        <v>252</v>
      </c>
      <c r="G853" s="43">
        <f>Compras[[#This Row],[Unidad]]*Compras[[#This Row],[Cantidad]]</f>
        <v>756</v>
      </c>
      <c r="H853" s="16"/>
      <c r="I853" s="16"/>
      <c r="J853" s="16"/>
      <c r="K853" s="16"/>
    </row>
    <row r="854" spans="1:11" ht="20.25" customHeight="1">
      <c r="A854" s="16"/>
      <c r="B854" s="41">
        <v>44927</v>
      </c>
      <c r="C854" s="6" t="str">
        <f>VLOOKUP(Compras[[#This Row],[Codigo]],Stock[#Data],2,FALSE)</f>
        <v>Juego TKBIÓ</v>
      </c>
      <c r="D854" s="40">
        <v>3</v>
      </c>
      <c r="E854" s="6">
        <v>203</v>
      </c>
      <c r="F854" s="12">
        <f>VLOOKUP(Compras[[#This Row],[Codigo]],Stock[#Data],3,FALSE)</f>
        <v>2520</v>
      </c>
      <c r="G854" s="43">
        <f>Compras[[#This Row],[Unidad]]*Compras[[#This Row],[Cantidad]]</f>
        <v>7560</v>
      </c>
      <c r="H854" s="16"/>
      <c r="I854" s="16"/>
      <c r="J854" s="16"/>
      <c r="K854" s="16"/>
    </row>
    <row r="855" spans="1:11" ht="20.25" customHeight="1">
      <c r="A855" s="16"/>
      <c r="B855" s="41">
        <v>44927</v>
      </c>
      <c r="C855" s="6" t="str">
        <f>VLOOKUP(Compras[[#This Row],[Codigo]],Stock[#Data],2,FALSE)</f>
        <v>Picador Huevo</v>
      </c>
      <c r="D855" s="40">
        <v>2</v>
      </c>
      <c r="E855" s="6">
        <v>208</v>
      </c>
      <c r="F855" s="12">
        <f>VLOOKUP(Compras[[#This Row],[Codigo]],Stock[#Data],3,FALSE)</f>
        <v>5913</v>
      </c>
      <c r="G855" s="43">
        <f>Compras[[#This Row],[Unidad]]*Compras[[#This Row],[Cantidad]]</f>
        <v>11826</v>
      </c>
      <c r="H855" s="16"/>
      <c r="I855" s="16"/>
      <c r="J855" s="16"/>
      <c r="K855" s="16"/>
    </row>
    <row r="856" spans="1:11" ht="20.25" customHeight="1">
      <c r="A856" s="16"/>
      <c r="B856" s="41">
        <v>44927</v>
      </c>
      <c r="C856" s="6" t="str">
        <f>VLOOKUP(Compras[[#This Row],[Codigo]],Stock[#Data],2,FALSE)</f>
        <v>Picador Laberinto</v>
      </c>
      <c r="D856" s="40">
        <v>1</v>
      </c>
      <c r="E856" s="6">
        <v>210</v>
      </c>
      <c r="F856" s="12">
        <f>VLOOKUP(Compras[[#This Row],[Codigo]],Stock[#Data],3,FALSE)</f>
        <v>3500</v>
      </c>
      <c r="G856" s="43">
        <f>Compras[[#This Row],[Unidad]]*Compras[[#This Row],[Cantidad]]</f>
        <v>3500</v>
      </c>
      <c r="H856" s="16"/>
      <c r="I856" s="16"/>
      <c r="J856" s="16"/>
      <c r="K856" s="16"/>
    </row>
    <row r="857" spans="1:11" ht="20.25" customHeight="1">
      <c r="A857" s="16"/>
      <c r="B857" s="41">
        <v>44927</v>
      </c>
      <c r="C857" s="6" t="str">
        <f>VLOOKUP(Compras[[#This Row],[Codigo]],Stock[#Data],2,FALSE)</f>
        <v>Picador D&amp;K Ojo</v>
      </c>
      <c r="D857" s="40">
        <v>1</v>
      </c>
      <c r="E857" s="6">
        <v>213</v>
      </c>
      <c r="F857" s="12">
        <f>VLOOKUP(Compras[[#This Row],[Codigo]],Stock[#Data],3,FALSE)</f>
        <v>3000</v>
      </c>
      <c r="G857" s="43">
        <f>Compras[[#This Row],[Unidad]]*Compras[[#This Row],[Cantidad]]</f>
        <v>3000</v>
      </c>
      <c r="H857" s="16"/>
      <c r="I857" s="16"/>
      <c r="J857" s="16"/>
      <c r="K857" s="16"/>
    </row>
    <row r="858" spans="1:11" ht="20.25" customHeight="1">
      <c r="A858" s="16"/>
      <c r="B858" s="41">
        <v>44927</v>
      </c>
      <c r="C858" s="6" t="str">
        <f>VLOOKUP(Compras[[#This Row],[Codigo]],Stock[#Data],2,FALSE)</f>
        <v>Picador D&amp;K Calavera Mexicana</v>
      </c>
      <c r="D858" s="40">
        <v>2</v>
      </c>
      <c r="E858" s="6">
        <v>215</v>
      </c>
      <c r="F858" s="12">
        <f>VLOOKUP(Compras[[#This Row],[Codigo]],Stock[#Data],3,FALSE)</f>
        <v>1250</v>
      </c>
      <c r="G858" s="43">
        <f>Compras[[#This Row],[Unidad]]*Compras[[#This Row],[Cantidad]]</f>
        <v>2500</v>
      </c>
      <c r="H858" s="16"/>
      <c r="I858" s="16"/>
      <c r="J858" s="16"/>
      <c r="K858" s="16"/>
    </row>
    <row r="859" spans="1:11" ht="20.25" customHeight="1">
      <c r="A859" s="16"/>
      <c r="B859" s="41">
        <v>44927</v>
      </c>
      <c r="C859" s="6" t="str">
        <f>VLOOKUP(Compras[[#This Row],[Codigo]],Stock[#Data],2,FALSE)</f>
        <v xml:space="preserve">Picador Star Wars Darth Vader </v>
      </c>
      <c r="D859" s="40">
        <v>1</v>
      </c>
      <c r="E859" s="6">
        <v>216</v>
      </c>
      <c r="F859" s="12">
        <f>VLOOKUP(Compras[[#This Row],[Codigo]],Stock[#Data],3,FALSE)</f>
        <v>3445</v>
      </c>
      <c r="G859" s="43">
        <f>Compras[[#This Row],[Unidad]]*Compras[[#This Row],[Cantidad]]</f>
        <v>3445</v>
      </c>
      <c r="H859" s="16"/>
      <c r="I859" s="16"/>
      <c r="J859" s="16"/>
      <c r="K859" s="16"/>
    </row>
    <row r="860" spans="1:11" ht="20.25" customHeight="1">
      <c r="A860" s="16"/>
      <c r="B860" s="41">
        <v>44927</v>
      </c>
      <c r="C860" s="6" t="str">
        <f>VLOOKUP(Compras[[#This Row],[Codigo]],Stock[#Data],2,FALSE)</f>
        <v>Picador Star Wars R2D2</v>
      </c>
      <c r="D860" s="40">
        <v>1</v>
      </c>
      <c r="E860" s="6">
        <v>217</v>
      </c>
      <c r="F860" s="12">
        <f>VLOOKUP(Compras[[#This Row],[Codigo]],Stock[#Data],3,FALSE)</f>
        <v>4708</v>
      </c>
      <c r="G860" s="43">
        <f>Compras[[#This Row],[Unidad]]*Compras[[#This Row],[Cantidad]]</f>
        <v>4708</v>
      </c>
      <c r="H860" s="16"/>
      <c r="I860" s="16"/>
      <c r="J860" s="16"/>
      <c r="K860" s="16"/>
    </row>
    <row r="861" spans="1:11" ht="20.25" customHeight="1">
      <c r="A861" s="16"/>
      <c r="B861" s="41">
        <v>44927</v>
      </c>
      <c r="C861" s="6" t="str">
        <f>VLOOKUP(Compras[[#This Row],[Codigo]],Stock[#Data],2,FALSE)</f>
        <v>Picador Lion Rolling Circus Negro Lionpepers.com</v>
      </c>
      <c r="D861" s="40">
        <v>1</v>
      </c>
      <c r="E861" s="6">
        <v>222</v>
      </c>
      <c r="F861" s="12">
        <f>VLOOKUP(Compras[[#This Row],[Codigo]],Stock[#Data],3,FALSE)</f>
        <v>1250</v>
      </c>
      <c r="G861" s="43">
        <f>Compras[[#This Row],[Unidad]]*Compras[[#This Row],[Cantidad]]</f>
        <v>1250</v>
      </c>
      <c r="H861" s="16"/>
      <c r="I861" s="16"/>
      <c r="J861" s="16"/>
      <c r="K861" s="16"/>
    </row>
    <row r="862" spans="1:11" ht="20.25" customHeight="1">
      <c r="A862" s="16"/>
      <c r="B862" s="41">
        <v>44927</v>
      </c>
      <c r="C862" s="6" t="str">
        <f>VLOOKUP(Compras[[#This Row],[Codigo]],Stock[#Data],2,FALSE)</f>
        <v>Picador The Bulldog Molino</v>
      </c>
      <c r="D862" s="40">
        <v>1</v>
      </c>
      <c r="E862" s="6">
        <v>224</v>
      </c>
      <c r="F862" s="12">
        <f>VLOOKUP(Compras[[#This Row],[Codigo]],Stock[#Data],3,FALSE)</f>
        <v>5000</v>
      </c>
      <c r="G862" s="43">
        <f>Compras[[#This Row],[Unidad]]*Compras[[#This Row],[Cantidad]]</f>
        <v>5000</v>
      </c>
      <c r="H862" s="16"/>
      <c r="I862" s="16"/>
      <c r="J862" s="16"/>
      <c r="K862" s="16"/>
    </row>
    <row r="863" spans="1:11" ht="20.25" customHeight="1">
      <c r="A863" s="16"/>
      <c r="B863" s="41">
        <v>44927</v>
      </c>
      <c r="C863" s="6" t="str">
        <f>VLOOKUP(Compras[[#This Row],[Codigo]],Stock[#Data],2,FALSE)</f>
        <v>Rejillas x5</v>
      </c>
      <c r="D863" s="40">
        <v>89</v>
      </c>
      <c r="E863" s="6">
        <v>239</v>
      </c>
      <c r="F863" s="12">
        <f>VLOOKUP(Compras[[#This Row],[Codigo]],Stock[#Data],3,FALSE)</f>
        <v>20</v>
      </c>
      <c r="G863" s="43">
        <f>Compras[[#This Row],[Unidad]]*Compras[[#This Row],[Cantidad]]</f>
        <v>1780</v>
      </c>
      <c r="H863" s="16"/>
      <c r="I863" s="16"/>
      <c r="J863" s="16"/>
      <c r="K863" s="16"/>
    </row>
    <row r="864" spans="1:11" ht="20.25" customHeight="1">
      <c r="A864" s="16"/>
      <c r="B864" s="41">
        <v>44927</v>
      </c>
      <c r="C864" s="6" t="str">
        <f>VLOOKUP(Compras[[#This Row],[Codigo]],Stock[#Data],2,FALSE)</f>
        <v>FLYATRAP</v>
      </c>
      <c r="D864" s="40">
        <v>2</v>
      </c>
      <c r="E864" s="6">
        <v>240</v>
      </c>
      <c r="F864" s="12">
        <f>VLOOKUP(Compras[[#This Row],[Codigo]],Stock[#Data],3,FALSE)</f>
        <v>375</v>
      </c>
      <c r="G864" s="43">
        <f>Compras[[#This Row],[Unidad]]*Compras[[#This Row],[Cantidad]]</f>
        <v>750</v>
      </c>
      <c r="H864" s="16"/>
      <c r="I864" s="16"/>
      <c r="J864" s="16"/>
      <c r="K864" s="16"/>
    </row>
    <row r="865" spans="1:11" ht="20.25" customHeight="1">
      <c r="A865" s="16"/>
      <c r="B865" s="41">
        <v>44927</v>
      </c>
      <c r="C865" s="6" t="str">
        <f>VLOOKUP(Compras[[#This Row],[Codigo]],Stock[#Data],2,FALSE)</f>
        <v>Bandeja de Almacidos 325</v>
      </c>
      <c r="D865" s="40">
        <v>4</v>
      </c>
      <c r="E865" s="6">
        <v>241</v>
      </c>
      <c r="F865" s="12">
        <f>VLOOKUP(Compras[[#This Row],[Codigo]],Stock[#Data],3,FALSE)</f>
        <v>198</v>
      </c>
      <c r="G865" s="43">
        <f>Compras[[#This Row],[Unidad]]*Compras[[#This Row],[Cantidad]]</f>
        <v>792</v>
      </c>
      <c r="H865" s="16"/>
      <c r="I865" s="16"/>
      <c r="J865" s="16"/>
      <c r="K865" s="16"/>
    </row>
    <row r="866" spans="1:11" ht="20.25" customHeight="1">
      <c r="A866" s="16"/>
      <c r="B866" s="41">
        <v>44927</v>
      </c>
      <c r="C866" s="6" t="str">
        <f>VLOOKUP(Compras[[#This Row],[Codigo]],Stock[#Data],2,FALSE)</f>
        <v>Bandeja de Almacidos 200</v>
      </c>
      <c r="D866" s="40">
        <v>2</v>
      </c>
      <c r="E866" s="6">
        <v>242</v>
      </c>
      <c r="F866" s="12">
        <f>VLOOKUP(Compras[[#This Row],[Codigo]],Stock[#Data],3,FALSE)</f>
        <v>198</v>
      </c>
      <c r="G866" s="43">
        <f>Compras[[#This Row],[Unidad]]*Compras[[#This Row],[Cantidad]]</f>
        <v>396</v>
      </c>
      <c r="H866" s="16"/>
      <c r="I866" s="16"/>
      <c r="J866" s="16"/>
      <c r="K866" s="16"/>
    </row>
    <row r="867" spans="1:11" ht="20.25" customHeight="1">
      <c r="A867" s="16"/>
      <c r="B867" s="41">
        <v>44927</v>
      </c>
      <c r="C867" s="6" t="str">
        <f>VLOOKUP(Compras[[#This Row],[Codigo]],Stock[#Data],2,FALSE)</f>
        <v>Bandeja de Almacidos 72</v>
      </c>
      <c r="D867" s="40">
        <v>8</v>
      </c>
      <c r="E867" s="6">
        <v>243</v>
      </c>
      <c r="F867" s="12">
        <f>VLOOKUP(Compras[[#This Row],[Codigo]],Stock[#Data],3,FALSE)</f>
        <v>198</v>
      </c>
      <c r="G867" s="43">
        <f>Compras[[#This Row],[Unidad]]*Compras[[#This Row],[Cantidad]]</f>
        <v>1584</v>
      </c>
      <c r="H867" s="16"/>
      <c r="I867" s="16"/>
      <c r="J867" s="16"/>
      <c r="K867" s="16"/>
    </row>
    <row r="868" spans="1:11" ht="20.25" customHeight="1">
      <c r="A868" s="16"/>
      <c r="B868" s="41">
        <v>44927</v>
      </c>
      <c r="C868" s="6" t="str">
        <f>VLOOKUP(Compras[[#This Row],[Codigo]],Stock[#Data],2,FALSE)</f>
        <v>Bandeja de Almacidos 50</v>
      </c>
      <c r="D868" s="40">
        <v>4</v>
      </c>
      <c r="E868" s="6">
        <v>244</v>
      </c>
      <c r="F868" s="12">
        <f>VLOOKUP(Compras[[#This Row],[Codigo]],Stock[#Data],3,FALSE)</f>
        <v>198</v>
      </c>
      <c r="G868" s="43">
        <f>Compras[[#This Row],[Unidad]]*Compras[[#This Row],[Cantidad]]</f>
        <v>792</v>
      </c>
      <c r="H868" s="16"/>
      <c r="I868" s="16"/>
      <c r="J868" s="16"/>
      <c r="K868" s="16"/>
    </row>
    <row r="869" spans="1:11" ht="20.25" customHeight="1">
      <c r="A869" s="16"/>
      <c r="B869" s="41">
        <v>44927</v>
      </c>
      <c r="C869" s="6" t="str">
        <f>VLOOKUP(Compras[[#This Row],[Codigo]],Stock[#Data],2,FALSE)</f>
        <v>Bandeja de Almacidos 25</v>
      </c>
      <c r="D869" s="40">
        <v>8</v>
      </c>
      <c r="E869" s="6">
        <v>245</v>
      </c>
      <c r="F869" s="12">
        <f>VLOOKUP(Compras[[#This Row],[Codigo]],Stock[#Data],3,FALSE)</f>
        <v>198</v>
      </c>
      <c r="G869" s="43">
        <f>Compras[[#This Row],[Unidad]]*Compras[[#This Row],[Cantidad]]</f>
        <v>1584</v>
      </c>
      <c r="H869" s="16"/>
      <c r="I869" s="16"/>
      <c r="J869" s="16"/>
      <c r="K869" s="16"/>
    </row>
    <row r="870" spans="1:11" ht="20.25" customHeight="1">
      <c r="A870" s="16"/>
      <c r="B870" s="41">
        <v>44927</v>
      </c>
      <c r="C870" s="6" t="str">
        <f>VLOOKUP(Compras[[#This Row],[Codigo]],Stock[#Data],2,FALSE)</f>
        <v>Macetas Sopladas 7 litros</v>
      </c>
      <c r="D870" s="40">
        <v>27</v>
      </c>
      <c r="E870" s="6">
        <v>247</v>
      </c>
      <c r="F870" s="12">
        <f>VLOOKUP(Compras[[#This Row],[Codigo]],Stock[#Data],3,FALSE)</f>
        <v>100</v>
      </c>
      <c r="G870" s="43">
        <f>Compras[[#This Row],[Unidad]]*Compras[[#This Row],[Cantidad]]</f>
        <v>2700</v>
      </c>
      <c r="H870" s="16"/>
      <c r="I870" s="16"/>
      <c r="J870" s="16"/>
      <c r="K870" s="16"/>
    </row>
    <row r="871" spans="1:11" ht="20.25" customHeight="1">
      <c r="A871" s="16"/>
      <c r="B871" s="41">
        <v>44927</v>
      </c>
      <c r="C871" s="6" t="str">
        <f>VLOOKUP(Compras[[#This Row],[Codigo]],Stock[#Data],2,FALSE)</f>
        <v>Macetas Sopladas 10l</v>
      </c>
      <c r="D871" s="40">
        <v>22</v>
      </c>
      <c r="E871" s="6">
        <v>248</v>
      </c>
      <c r="F871" s="12">
        <f>VLOOKUP(Compras[[#This Row],[Codigo]],Stock[#Data],3,FALSE)</f>
        <v>178</v>
      </c>
      <c r="G871" s="43">
        <f>Compras[[#This Row],[Unidad]]*Compras[[#This Row],[Cantidad]]</f>
        <v>3916</v>
      </c>
      <c r="H871" s="16"/>
      <c r="I871" s="16"/>
      <c r="J871" s="16"/>
      <c r="K871" s="16"/>
    </row>
    <row r="872" spans="1:11" ht="20.25" customHeight="1">
      <c r="A872" s="16"/>
      <c r="B872" s="41">
        <v>44927</v>
      </c>
      <c r="C872" s="6" t="str">
        <f>VLOOKUP(Compras[[#This Row],[Codigo]],Stock[#Data],2,FALSE)</f>
        <v>Macetas Root House 3,7 litros</v>
      </c>
      <c r="D872" s="40">
        <v>1</v>
      </c>
      <c r="E872" s="6">
        <v>249</v>
      </c>
      <c r="F872" s="12">
        <f>VLOOKUP(Compras[[#This Row],[Codigo]],Stock[#Data],3,FALSE)</f>
        <v>445</v>
      </c>
      <c r="G872" s="43">
        <f>Compras[[#This Row],[Unidad]]*Compras[[#This Row],[Cantidad]]</f>
        <v>445</v>
      </c>
      <c r="H872" s="16"/>
      <c r="I872" s="16"/>
      <c r="J872" s="16"/>
      <c r="K872" s="16"/>
    </row>
    <row r="873" spans="1:11" ht="20.25" customHeight="1">
      <c r="A873" s="16"/>
      <c r="B873" s="41">
        <v>44927</v>
      </c>
      <c r="C873" s="6" t="str">
        <f>VLOOKUP(Compras[[#This Row],[Codigo]],Stock[#Data],2,FALSE)</f>
        <v>Macetas Root House 10 litros</v>
      </c>
      <c r="D873" s="40">
        <v>1</v>
      </c>
      <c r="E873" s="6">
        <v>250</v>
      </c>
      <c r="F873" s="12">
        <f>VLOOKUP(Compras[[#This Row],[Codigo]],Stock[#Data],3,FALSE)</f>
        <v>750</v>
      </c>
      <c r="G873" s="43">
        <f>Compras[[#This Row],[Unidad]]*Compras[[#This Row],[Cantidad]]</f>
        <v>750</v>
      </c>
      <c r="H873" s="16"/>
      <c r="I873" s="16"/>
      <c r="J873" s="16"/>
      <c r="K873" s="16"/>
    </row>
    <row r="874" spans="1:11" ht="20.25" customHeight="1">
      <c r="A874" s="16"/>
      <c r="B874" s="41">
        <v>44927</v>
      </c>
      <c r="C874" s="6" t="str">
        <f>VLOOKUP(Compras[[#This Row],[Codigo]],Stock[#Data],2,FALSE)</f>
        <v>Macetas Root House 35 litros</v>
      </c>
      <c r="D874" s="40">
        <v>3</v>
      </c>
      <c r="E874" s="6">
        <v>251</v>
      </c>
      <c r="F874" s="12">
        <f>VLOOKUP(Compras[[#This Row],[Codigo]],Stock[#Data],3,FALSE)</f>
        <v>1970</v>
      </c>
      <c r="G874" s="43">
        <f>Compras[[#This Row],[Unidad]]*Compras[[#This Row],[Cantidad]]</f>
        <v>5910</v>
      </c>
      <c r="H874" s="16"/>
      <c r="I874" s="16"/>
      <c r="J874" s="16"/>
      <c r="K874" s="16"/>
    </row>
    <row r="875" spans="1:11" ht="20.25" customHeight="1">
      <c r="A875" s="16"/>
      <c r="B875" s="41">
        <v>44927</v>
      </c>
      <c r="C875" s="6" t="str">
        <f>VLOOKUP(Compras[[#This Row],[Codigo]],Stock[#Data],2,FALSE)</f>
        <v>Macetas Dame Aire 80 litros</v>
      </c>
      <c r="D875" s="40">
        <v>3</v>
      </c>
      <c r="E875" s="6">
        <v>257</v>
      </c>
      <c r="F875" s="12">
        <f>VLOOKUP(Compras[[#This Row],[Codigo]],Stock[#Data],3,FALSE)</f>
        <v>900</v>
      </c>
      <c r="G875" s="43">
        <f>Compras[[#This Row],[Unidad]]*Compras[[#This Row],[Cantidad]]</f>
        <v>2700</v>
      </c>
      <c r="H875" s="16"/>
      <c r="I875" s="16"/>
      <c r="J875" s="16"/>
      <c r="K875" s="16"/>
    </row>
    <row r="876" spans="1:11" ht="20.25" customHeight="1">
      <c r="A876" s="16"/>
      <c r="B876" s="41">
        <v>44927</v>
      </c>
      <c r="C876" s="6" t="str">
        <f>VLOOKUP(Compras[[#This Row],[Codigo]],Stock[#Data],2,FALSE)</f>
        <v xml:space="preserve">pilas </v>
      </c>
      <c r="D876" s="40">
        <v>42</v>
      </c>
      <c r="E876" s="6">
        <v>261</v>
      </c>
      <c r="F876" s="12">
        <f>VLOOKUP(Compras[[#This Row],[Codigo]],Stock[#Data],3,FALSE)</f>
        <v>29</v>
      </c>
      <c r="G876" s="43">
        <f>Compras[[#This Row],[Unidad]]*Compras[[#This Row],[Cantidad]]</f>
        <v>1218</v>
      </c>
      <c r="H876" s="16"/>
      <c r="I876" s="16"/>
      <c r="J876" s="16"/>
      <c r="K876" s="16"/>
    </row>
    <row r="877" spans="1:11" ht="20.25" customHeight="1">
      <c r="A877" s="16"/>
      <c r="B877" s="41">
        <v>44927</v>
      </c>
      <c r="C877" s="6" t="str">
        <f>VLOOKUP(Compras[[#This Row],[Codigo]],Stock[#Data],2,FALSE)</f>
        <v>Secador Buen Consejo 4 pisos</v>
      </c>
      <c r="D877" s="40">
        <v>3</v>
      </c>
      <c r="E877" s="6">
        <v>262</v>
      </c>
      <c r="F877" s="12">
        <f>VLOOKUP(Compras[[#This Row],[Codigo]],Stock[#Data],3,FALSE)</f>
        <v>3400</v>
      </c>
      <c r="G877" s="43">
        <f>Compras[[#This Row],[Unidad]]*Compras[[#This Row],[Cantidad]]</f>
        <v>10200</v>
      </c>
      <c r="H877" s="16"/>
      <c r="I877" s="16"/>
      <c r="J877" s="16"/>
      <c r="K877" s="16"/>
    </row>
    <row r="878" spans="1:11" ht="20.25" customHeight="1">
      <c r="A878" s="16"/>
      <c r="B878" s="41">
        <v>44927</v>
      </c>
      <c r="C878" s="6" t="str">
        <f>VLOOKUP(Compras[[#This Row],[Codigo]],Stock[#Data],2,FALSE)</f>
        <v>Timer Zurich</v>
      </c>
      <c r="D878" s="40">
        <v>1</v>
      </c>
      <c r="E878" s="6">
        <v>265</v>
      </c>
      <c r="F878" s="12">
        <f>VLOOKUP(Compras[[#This Row],[Codigo]],Stock[#Data],3,FALSE)</f>
        <v>2398</v>
      </c>
      <c r="G878" s="43">
        <f>Compras[[#This Row],[Unidad]]*Compras[[#This Row],[Cantidad]]</f>
        <v>2398</v>
      </c>
      <c r="H878" s="16"/>
      <c r="I878" s="16"/>
      <c r="J878" s="16"/>
      <c r="K878" s="16"/>
    </row>
    <row r="879" spans="1:11" ht="20.25" customHeight="1">
      <c r="A879" s="16"/>
      <c r="B879" s="41">
        <v>44927</v>
      </c>
      <c r="C879" s="6" t="str">
        <f>VLOOKUP(Compras[[#This Row],[Codigo]],Stock[#Data],2,FALSE)</f>
        <v>Lupa con clip x60</v>
      </c>
      <c r="D879" s="40">
        <v>4</v>
      </c>
      <c r="E879" s="6">
        <v>266</v>
      </c>
      <c r="F879" s="12">
        <f>VLOOKUP(Compras[[#This Row],[Codigo]],Stock[#Data],3,FALSE)</f>
        <v>1500</v>
      </c>
      <c r="G879" s="43">
        <f>Compras[[#This Row],[Unidad]]*Compras[[#This Row],[Cantidad]]</f>
        <v>6000</v>
      </c>
      <c r="H879" s="16"/>
      <c r="I879" s="16"/>
      <c r="J879" s="16"/>
      <c r="K879" s="16"/>
    </row>
    <row r="880" spans="1:11" ht="20.25" customHeight="1">
      <c r="A880" s="16"/>
      <c r="B880" s="41">
        <v>44927</v>
      </c>
      <c r="C880" s="6" t="str">
        <f>VLOOKUP(Compras[[#This Row],[Codigo]],Stock[#Data],2,FALSE)</f>
        <v>REPUESTO Bong dk 19mm</v>
      </c>
      <c r="D880" s="40">
        <v>2</v>
      </c>
      <c r="E880" s="6">
        <v>270</v>
      </c>
      <c r="F880" s="12">
        <f>VLOOKUP(Compras[[#This Row],[Codigo]],Stock[#Data],3,FALSE)</f>
        <v>1804</v>
      </c>
      <c r="G880" s="43">
        <f>Compras[[#This Row],[Unidad]]*Compras[[#This Row],[Cantidad]]</f>
        <v>3608</v>
      </c>
      <c r="H880" s="16"/>
      <c r="I880" s="16"/>
      <c r="J880" s="16"/>
      <c r="K880" s="16"/>
    </row>
    <row r="881" spans="1:11" ht="20.25" customHeight="1">
      <c r="A881" s="16"/>
      <c r="B881" s="41">
        <v>44927</v>
      </c>
      <c r="C881" s="6" t="str">
        <f>VLOOKUP(Compras[[#This Row],[Codigo]],Stock[#Data],2,FALSE)</f>
        <v>Picador 3 rayos aluminio negro</v>
      </c>
      <c r="D881" s="40">
        <v>1</v>
      </c>
      <c r="E881" s="6">
        <v>276</v>
      </c>
      <c r="F881" s="12">
        <f>VLOOKUP(Compras[[#This Row],[Codigo]],Stock[#Data],3,FALSE)</f>
        <v>2082</v>
      </c>
      <c r="G881" s="43">
        <f>Compras[[#This Row],[Unidad]]*Compras[[#This Row],[Cantidad]]</f>
        <v>2082</v>
      </c>
      <c r="H881" s="16"/>
      <c r="I881" s="16"/>
      <c r="J881" s="16"/>
      <c r="K881" s="16"/>
    </row>
    <row r="882" spans="1:11" ht="20.25" customHeight="1">
      <c r="A882" s="16"/>
      <c r="B882" s="41">
        <v>44927</v>
      </c>
      <c r="C882" s="6" t="str">
        <f>VLOOKUP(Compras[[#This Row],[Codigo]],Stock[#Data],2,FALSE)</f>
        <v>Macetas Sopladas N12</v>
      </c>
      <c r="D882" s="40">
        <v>1</v>
      </c>
      <c r="E882" s="6">
        <v>281</v>
      </c>
      <c r="F882" s="12">
        <f>VLOOKUP(Compras[[#This Row],[Codigo]],Stock[#Data],3,FALSE)</f>
        <v>21</v>
      </c>
      <c r="G882" s="43">
        <f>Compras[[#This Row],[Unidad]]*Compras[[#This Row],[Cantidad]]</f>
        <v>21</v>
      </c>
      <c r="H882" s="16"/>
      <c r="I882" s="16"/>
      <c r="J882" s="16"/>
      <c r="K882" s="16"/>
    </row>
    <row r="883" spans="1:11" ht="20.25" customHeight="1">
      <c r="A883" s="16"/>
      <c r="B883" s="41">
        <v>44927</v>
      </c>
      <c r="C883" s="6" t="str">
        <f>VLOOKUP(Compras[[#This Row],[Codigo]],Stock[#Data],2,FALSE)</f>
        <v>Papel Rosin RAW 10 cm</v>
      </c>
      <c r="D883" s="40">
        <v>1</v>
      </c>
      <c r="E883" s="6">
        <v>282</v>
      </c>
      <c r="F883" s="12">
        <f>VLOOKUP(Compras[[#This Row],[Codigo]],Stock[#Data],3,FALSE)</f>
        <v>940</v>
      </c>
      <c r="G883" s="43">
        <f>Compras[[#This Row],[Unidad]]*Compras[[#This Row],[Cantidad]]</f>
        <v>940</v>
      </c>
      <c r="H883" s="16"/>
      <c r="I883" s="16"/>
      <c r="J883" s="16"/>
      <c r="K883" s="16"/>
    </row>
    <row r="884" spans="1:11" ht="20.25" customHeight="1">
      <c r="A884" s="16"/>
      <c r="B884" s="41">
        <v>44927</v>
      </c>
      <c r="C884" s="6" t="str">
        <f>VLOOKUP(Compras[[#This Row],[Codigo]],Stock[#Data],2,FALSE)</f>
        <v>Landiner Harina de Hueso</v>
      </c>
      <c r="D884" s="40">
        <v>3</v>
      </c>
      <c r="E884" s="6">
        <v>285</v>
      </c>
      <c r="F884" s="12">
        <f>VLOOKUP(Compras[[#This Row],[Codigo]],Stock[#Data],3,FALSE)</f>
        <v>415</v>
      </c>
      <c r="G884" s="43">
        <f>Compras[[#This Row],[Unidad]]*Compras[[#This Row],[Cantidad]]</f>
        <v>1245</v>
      </c>
      <c r="H884" s="16"/>
      <c r="I884" s="16"/>
      <c r="J884" s="16"/>
      <c r="K884" s="16"/>
    </row>
    <row r="885" spans="1:11" ht="20.25" customHeight="1">
      <c r="A885" s="16"/>
      <c r="B885" s="41">
        <v>44927</v>
      </c>
      <c r="C885" s="6" t="str">
        <f>VLOOKUP(Compras[[#This Row],[Codigo]],Stock[#Data],2,FALSE)</f>
        <v>Pipa silicona colmena</v>
      </c>
      <c r="D885" s="40">
        <v>2</v>
      </c>
      <c r="E885" s="6">
        <v>286</v>
      </c>
      <c r="F885" s="12">
        <f>VLOOKUP(Compras[[#This Row],[Codigo]],Stock[#Data],3,FALSE)</f>
        <v>1420</v>
      </c>
      <c r="G885" s="43">
        <f>Compras[[#This Row],[Unidad]]*Compras[[#This Row],[Cantidad]]</f>
        <v>2840</v>
      </c>
      <c r="H885" s="16"/>
      <c r="I885" s="16"/>
      <c r="J885" s="16"/>
      <c r="K885" s="16"/>
    </row>
    <row r="886" spans="1:11" ht="20.25" customHeight="1">
      <c r="A886" s="16"/>
      <c r="B886" s="41">
        <v>44927</v>
      </c>
      <c r="C886" s="6" t="str">
        <f>VLOOKUP(Compras[[#This Row],[Codigo]],Stock[#Data],2,FALSE)</f>
        <v>Sedas Blunt Rey 1/4  Hemp</v>
      </c>
      <c r="D886" s="40">
        <v>4</v>
      </c>
      <c r="E886" s="6">
        <v>287</v>
      </c>
      <c r="F886" s="12">
        <f>VLOOKUP(Compras[[#This Row],[Codigo]],Stock[#Data],3,FALSE)</f>
        <v>120</v>
      </c>
      <c r="G886" s="43">
        <f>Compras[[#This Row],[Unidad]]*Compras[[#This Row],[Cantidad]]</f>
        <v>480</v>
      </c>
      <c r="H886" s="16"/>
      <c r="I886" s="16"/>
      <c r="J886" s="16"/>
      <c r="K886" s="16"/>
    </row>
    <row r="887" spans="1:11" ht="20.25" customHeight="1">
      <c r="A887" s="16"/>
      <c r="B887" s="41">
        <v>44927</v>
      </c>
      <c r="C887" s="6" t="str">
        <f>VLOOKUP(Compras[[#This Row],[Codigo]],Stock[#Data],2,FALSE)</f>
        <v>Macetas Mad Rocket 25 Litros</v>
      </c>
      <c r="D887" s="40">
        <v>5</v>
      </c>
      <c r="E887" s="6">
        <v>291</v>
      </c>
      <c r="F887" s="12">
        <f>VLOOKUP(Compras[[#This Row],[Codigo]],Stock[#Data],3,FALSE)</f>
        <v>1143</v>
      </c>
      <c r="G887" s="43">
        <f>Compras[[#This Row],[Unidad]]*Compras[[#This Row],[Cantidad]]</f>
        <v>5715</v>
      </c>
      <c r="H887" s="16"/>
      <c r="I887" s="16"/>
      <c r="J887" s="16"/>
      <c r="K887" s="16"/>
    </row>
    <row r="888" spans="1:11" ht="20.25" customHeight="1">
      <c r="A888" s="16"/>
      <c r="B888" s="41">
        <v>44927</v>
      </c>
      <c r="C888" s="6" t="str">
        <f>VLOOKUP(Compras[[#This Row],[Codigo]],Stock[#Data],2,FALSE)</f>
        <v>Mallas para prensa 90 micras</v>
      </c>
      <c r="D888" s="40">
        <v>4</v>
      </c>
      <c r="E888" s="6">
        <v>293</v>
      </c>
      <c r="F888" s="12">
        <f>VLOOKUP(Compras[[#This Row],[Codigo]],Stock[#Data],3,FALSE)</f>
        <v>144</v>
      </c>
      <c r="G888" s="43">
        <f>Compras[[#This Row],[Unidad]]*Compras[[#This Row],[Cantidad]]</f>
        <v>576</v>
      </c>
      <c r="H888" s="16"/>
      <c r="I888" s="16"/>
      <c r="J888" s="16"/>
      <c r="K888" s="16"/>
    </row>
    <row r="889" spans="1:11" ht="20.25" customHeight="1">
      <c r="A889" s="16"/>
      <c r="B889" s="41">
        <v>44927</v>
      </c>
      <c r="C889" s="6" t="str">
        <f>VLOOKUP(Compras[[#This Row],[Codigo]],Stock[#Data],2,FALSE)</f>
        <v>Soplete</v>
      </c>
      <c r="D889" s="40">
        <v>4</v>
      </c>
      <c r="E889" s="6">
        <v>296</v>
      </c>
      <c r="F889" s="12">
        <f>VLOOKUP(Compras[[#This Row],[Codigo]],Stock[#Data],3,FALSE)</f>
        <v>1095</v>
      </c>
      <c r="G889" s="43">
        <f>Compras[[#This Row],[Unidad]]*Compras[[#This Row],[Cantidad]]</f>
        <v>4380</v>
      </c>
      <c r="H889" s="16"/>
      <c r="I889" s="16"/>
      <c r="J889" s="16"/>
      <c r="K889" s="16"/>
    </row>
    <row r="890" spans="1:11" ht="20.25" customHeight="1">
      <c r="A890" s="16"/>
      <c r="B890" s="41">
        <v>44927</v>
      </c>
      <c r="C890" s="6" t="str">
        <f>VLOOKUP(Compras[[#This Row],[Codigo]],Stock[#Data],2,FALSE)</f>
        <v>Dabber #2</v>
      </c>
      <c r="D890" s="40">
        <v>1</v>
      </c>
      <c r="E890" s="6">
        <v>297</v>
      </c>
      <c r="F890" s="12">
        <f>VLOOKUP(Compras[[#This Row],[Codigo]],Stock[#Data],3,FALSE)</f>
        <v>1200</v>
      </c>
      <c r="G890" s="43">
        <f>Compras[[#This Row],[Unidad]]*Compras[[#This Row],[Cantidad]]</f>
        <v>1200</v>
      </c>
      <c r="H890" s="16"/>
      <c r="I890" s="16"/>
      <c r="J890" s="16"/>
      <c r="K890" s="16"/>
    </row>
    <row r="891" spans="1:11" ht="20.25" customHeight="1">
      <c r="A891" s="16"/>
      <c r="B891" s="41">
        <v>44927</v>
      </c>
      <c r="C891" s="6" t="str">
        <f>VLOOKUP(Compras[[#This Row],[Codigo]],Stock[#Data],2,FALSE)</f>
        <v>Dabber #4</v>
      </c>
      <c r="D891" s="40">
        <v>2</v>
      </c>
      <c r="E891" s="6">
        <v>299</v>
      </c>
      <c r="F891" s="12">
        <f>VLOOKUP(Compras[[#This Row],[Codigo]],Stock[#Data],3,FALSE)</f>
        <v>1200</v>
      </c>
      <c r="G891" s="43">
        <f>Compras[[#This Row],[Unidad]]*Compras[[#This Row],[Cantidad]]</f>
        <v>2400</v>
      </c>
      <c r="H891" s="16"/>
      <c r="I891" s="16"/>
      <c r="J891" s="16"/>
      <c r="K891" s="16"/>
    </row>
    <row r="892" spans="1:11" ht="20.25" customHeight="1">
      <c r="A892" s="16"/>
      <c r="B892" s="41">
        <v>44927</v>
      </c>
      <c r="C892" s="6" t="str">
        <f>VLOOKUP(Compras[[#This Row],[Codigo]],Stock[#Data],2,FALSE)</f>
        <v>Hisopos de madera 20 u</v>
      </c>
      <c r="D892" s="40">
        <v>15</v>
      </c>
      <c r="E892" s="6">
        <v>301</v>
      </c>
      <c r="F892" s="12">
        <f>VLOOKUP(Compras[[#This Row],[Codigo]],Stock[#Data],3,FALSE)</f>
        <v>175</v>
      </c>
      <c r="G892" s="43">
        <f>Compras[[#This Row],[Unidad]]*Compras[[#This Row],[Cantidad]]</f>
        <v>2625</v>
      </c>
      <c r="H892" s="16"/>
      <c r="I892" s="16"/>
      <c r="J892" s="16"/>
      <c r="K892" s="16"/>
    </row>
    <row r="893" spans="1:11" ht="20.25" customHeight="1">
      <c r="A893" s="16"/>
      <c r="B893" s="41">
        <v>44927</v>
      </c>
      <c r="C893" s="6" t="str">
        <f>VLOOKUP(Compras[[#This Row],[Codigo]],Stock[#Data],2,FALSE)</f>
        <v xml:space="preserve">Pisón de madera </v>
      </c>
      <c r="D893" s="40">
        <v>19</v>
      </c>
      <c r="E893" s="6">
        <v>302</v>
      </c>
      <c r="F893" s="12">
        <f>VLOOKUP(Compras[[#This Row],[Codigo]],Stock[#Data],3,FALSE)</f>
        <v>132</v>
      </c>
      <c r="G893" s="43">
        <f>Compras[[#This Row],[Unidad]]*Compras[[#This Row],[Cantidad]]</f>
        <v>2508</v>
      </c>
      <c r="H893" s="16"/>
      <c r="I893" s="16"/>
      <c r="J893" s="16"/>
      <c r="K893" s="16"/>
    </row>
    <row r="894" spans="1:11" ht="20.25" customHeight="1">
      <c r="A894" s="16"/>
      <c r="B894" s="41">
        <v>44927</v>
      </c>
      <c r="C894" s="6" t="str">
        <f>VLOOKUP(Compras[[#This Row],[Codigo]],Stock[#Data],2,FALSE)</f>
        <v>Gas Butano Universal</v>
      </c>
      <c r="D894" s="40">
        <v>2</v>
      </c>
      <c r="E894" s="6">
        <v>303</v>
      </c>
      <c r="F894" s="12">
        <f>VLOOKUP(Compras[[#This Row],[Codigo]],Stock[#Data],3,FALSE)</f>
        <v>540</v>
      </c>
      <c r="G894" s="43">
        <f>Compras[[#This Row],[Unidad]]*Compras[[#This Row],[Cantidad]]</f>
        <v>1080</v>
      </c>
      <c r="H894" s="16"/>
      <c r="I894" s="16"/>
      <c r="J894" s="16"/>
      <c r="K894" s="16"/>
    </row>
    <row r="895" spans="1:11" ht="20.25" customHeight="1">
      <c r="A895" s="16"/>
      <c r="B895" s="41">
        <v>44927</v>
      </c>
      <c r="C895" s="6" t="str">
        <f>VLOOKUP(Compras[[#This Row],[Codigo]],Stock[#Data],2,FALSE)</f>
        <v>Tuqueros</v>
      </c>
      <c r="D895" s="40">
        <v>7</v>
      </c>
      <c r="E895" s="6">
        <v>307</v>
      </c>
      <c r="F895" s="12">
        <f>VLOOKUP(Compras[[#This Row],[Codigo]],Stock[#Data],3,FALSE)</f>
        <v>12</v>
      </c>
      <c r="G895" s="43">
        <f>Compras[[#This Row],[Unidad]]*Compras[[#This Row],[Cantidad]]</f>
        <v>84</v>
      </c>
      <c r="H895" s="16"/>
      <c r="I895" s="16"/>
      <c r="J895" s="16"/>
      <c r="K895" s="16"/>
    </row>
    <row r="896" spans="1:11" ht="20.25" customHeight="1">
      <c r="A896" s="16"/>
      <c r="B896" s="41">
        <v>44927</v>
      </c>
      <c r="C896" s="6" t="str">
        <f>VLOOKUP(Compras[[#This Row],[Codigo]],Stock[#Data],2,FALSE)</f>
        <v>Sedas Lion Rolling Circus Ultra Thin</v>
      </c>
      <c r="D896" s="40">
        <v>5</v>
      </c>
      <c r="E896" s="6">
        <v>309</v>
      </c>
      <c r="F896" s="12">
        <f>VLOOKUP(Compras[[#This Row],[Codigo]],Stock[#Data],3,FALSE)</f>
        <v>123</v>
      </c>
      <c r="G896" s="43">
        <f>Compras[[#This Row],[Unidad]]*Compras[[#This Row],[Cantidad]]</f>
        <v>615</v>
      </c>
      <c r="H896" s="16"/>
      <c r="I896" s="16"/>
      <c r="J896" s="16"/>
      <c r="K896" s="16"/>
    </row>
    <row r="897" spans="1:11" ht="20.25" customHeight="1">
      <c r="A897" s="16"/>
      <c r="B897" s="41">
        <v>44927</v>
      </c>
      <c r="C897" s="6" t="str">
        <f>VLOOKUP(Compras[[#This Row],[Codigo]],Stock[#Data],2,FALSE)</f>
        <v xml:space="preserve">Sedas 3 Rayos Celulosa </v>
      </c>
      <c r="D897" s="40">
        <v>15</v>
      </c>
      <c r="E897" s="6">
        <v>310</v>
      </c>
      <c r="F897" s="12">
        <f>VLOOKUP(Compras[[#This Row],[Codigo]],Stock[#Data],3,FALSE)</f>
        <v>211</v>
      </c>
      <c r="G897" s="43">
        <f>Compras[[#This Row],[Unidad]]*Compras[[#This Row],[Cantidad]]</f>
        <v>3165</v>
      </c>
      <c r="H897" s="16"/>
      <c r="I897" s="16"/>
      <c r="J897" s="16"/>
      <c r="K897" s="16"/>
    </row>
    <row r="898" spans="1:11" ht="20.25" customHeight="1">
      <c r="A898" s="16"/>
      <c r="B898" s="41">
        <v>44927</v>
      </c>
      <c r="C898" s="6" t="str">
        <f>VLOOKUP(Compras[[#This Row],[Codigo]],Stock[#Data],2,FALSE)</f>
        <v>Cortahilo</v>
      </c>
      <c r="D898" s="40">
        <v>4</v>
      </c>
      <c r="E898" s="6">
        <v>311</v>
      </c>
      <c r="F898" s="12">
        <f>VLOOKUP(Compras[[#This Row],[Codigo]],Stock[#Data],3,FALSE)</f>
        <v>214</v>
      </c>
      <c r="G898" s="43">
        <f>Compras[[#This Row],[Unidad]]*Compras[[#This Row],[Cantidad]]</f>
        <v>856</v>
      </c>
      <c r="H898" s="16"/>
      <c r="I898" s="16"/>
      <c r="J898" s="16"/>
      <c r="K898" s="16"/>
    </row>
    <row r="899" spans="1:11" ht="20.25" customHeight="1">
      <c r="A899" s="16"/>
      <c r="B899" s="41">
        <v>44927</v>
      </c>
      <c r="C899" s="6" t="str">
        <f>VLOOKUP(Compras[[#This Row],[Codigo]],Stock[#Data],2,FALSE)</f>
        <v>Bandeja de Acrilico Rick and Morty</v>
      </c>
      <c r="D899" s="40">
        <v>1</v>
      </c>
      <c r="E899" s="6">
        <v>316</v>
      </c>
      <c r="F899" s="12">
        <f>VLOOKUP(Compras[[#This Row],[Codigo]],Stock[#Data],3,FALSE)</f>
        <v>900</v>
      </c>
      <c r="G899" s="43">
        <f>Compras[[#This Row],[Unidad]]*Compras[[#This Row],[Cantidad]]</f>
        <v>900</v>
      </c>
      <c r="H899" s="16"/>
      <c r="I899" s="16"/>
      <c r="J899" s="16"/>
      <c r="K899" s="16"/>
    </row>
    <row r="900" spans="1:11" ht="20.25" customHeight="1">
      <c r="A900" s="16"/>
      <c r="B900" s="41">
        <v>44927</v>
      </c>
      <c r="C900" s="6" t="str">
        <f>VLOOKUP(Compras[[#This Row],[Codigo]],Stock[#Data],2,FALSE)</f>
        <v xml:space="preserve">Namaste AMAZONIA  300gr </v>
      </c>
      <c r="D900" s="40">
        <v>1</v>
      </c>
      <c r="E900" s="6">
        <v>318</v>
      </c>
      <c r="F900" s="12">
        <f>VLOOKUP(Compras[[#This Row],[Codigo]],Stock[#Data],3,FALSE)</f>
        <v>2347</v>
      </c>
      <c r="G900" s="43">
        <f>Compras[[#This Row],[Unidad]]*Compras[[#This Row],[Cantidad]]</f>
        <v>2347</v>
      </c>
      <c r="H900" s="16"/>
      <c r="I900" s="16"/>
      <c r="J900" s="16"/>
      <c r="K900" s="16"/>
    </row>
    <row r="901" spans="1:11" ht="20.25" customHeight="1">
      <c r="A901" s="16"/>
      <c r="B901" s="41">
        <v>44927</v>
      </c>
      <c r="C901" s="6" t="str">
        <f>VLOOKUP(Compras[[#This Row],[Codigo]],Stock[#Data],2,FALSE)</f>
        <v xml:space="preserve">Bandeja Lion  Rolling Circus XXL </v>
      </c>
      <c r="D901" s="40">
        <v>2</v>
      </c>
      <c r="E901" s="6">
        <v>319</v>
      </c>
      <c r="F901" s="12">
        <f>VLOOKUP(Compras[[#This Row],[Codigo]],Stock[#Data],3,FALSE)</f>
        <v>2587</v>
      </c>
      <c r="G901" s="43">
        <f>Compras[[#This Row],[Unidad]]*Compras[[#This Row],[Cantidad]]</f>
        <v>5174</v>
      </c>
      <c r="H901" s="16"/>
      <c r="I901" s="16"/>
      <c r="J901" s="16"/>
      <c r="K901" s="16"/>
    </row>
    <row r="902" spans="1:11" ht="20.25" customHeight="1">
      <c r="A902" s="16"/>
      <c r="B902" s="41">
        <v>44927</v>
      </c>
      <c r="C902" s="6" t="str">
        <f>VLOOKUP(Compras[[#This Row],[Codigo]],Stock[#Data],2,FALSE)</f>
        <v xml:space="preserve">Malla para Rosin Keep is Fresh 120 micras x10 </v>
      </c>
      <c r="D902" s="40">
        <v>5</v>
      </c>
      <c r="E902" s="6">
        <v>321</v>
      </c>
      <c r="F902" s="12">
        <f>VLOOKUP(Compras[[#This Row],[Codigo]],Stock[#Data],3,FALSE)</f>
        <v>2556</v>
      </c>
      <c r="G902" s="43">
        <f>Compras[[#This Row],[Unidad]]*Compras[[#This Row],[Cantidad]]</f>
        <v>12780</v>
      </c>
      <c r="H902" s="16"/>
      <c r="I902" s="16"/>
      <c r="J902" s="16"/>
      <c r="K902" s="16"/>
    </row>
    <row r="903" spans="1:11" ht="20.25" customHeight="1">
      <c r="A903" s="16"/>
      <c r="B903" s="41">
        <v>44927</v>
      </c>
      <c r="C903" s="6" t="str">
        <f>VLOOKUP(Compras[[#This Row],[Codigo]],Stock[#Data],2,FALSE)</f>
        <v>Masetas Air Pot</v>
      </c>
      <c r="D903" s="40">
        <v>4</v>
      </c>
      <c r="E903" s="6">
        <v>322</v>
      </c>
      <c r="F903" s="12">
        <f>VLOOKUP(Compras[[#This Row],[Codigo]],Stock[#Data],3,FALSE)</f>
        <v>500</v>
      </c>
      <c r="G903" s="43">
        <f>Compras[[#This Row],[Unidad]]*Compras[[#This Row],[Cantidad]]</f>
        <v>2000</v>
      </c>
      <c r="H903" s="16"/>
      <c r="I903" s="16"/>
      <c r="J903" s="16"/>
      <c r="K903" s="16"/>
    </row>
    <row r="904" spans="1:11" ht="20.25" customHeight="1">
      <c r="A904" s="16"/>
      <c r="B904" s="41">
        <v>44927</v>
      </c>
      <c r="C904" s="6" t="str">
        <f>VLOOKUP(Compras[[#This Row],[Codigo]],Stock[#Data],2,FALSE)</f>
        <v xml:space="preserve">Tijeras Plásticas </v>
      </c>
      <c r="D904" s="40">
        <v>1</v>
      </c>
      <c r="E904" s="6">
        <v>323</v>
      </c>
      <c r="F904" s="12">
        <f>VLOOKUP(Compras[[#This Row],[Codigo]],Stock[#Data],3,FALSE)</f>
        <v>250</v>
      </c>
      <c r="G904" s="43">
        <f>Compras[[#This Row],[Unidad]]*Compras[[#This Row],[Cantidad]]</f>
        <v>250</v>
      </c>
      <c r="H904" s="16"/>
      <c r="I904" s="16"/>
      <c r="J904" s="16"/>
      <c r="K904" s="16"/>
    </row>
    <row r="905" spans="1:11" ht="20.25" customHeight="1">
      <c r="A905" s="16"/>
      <c r="B905" s="41">
        <v>44927</v>
      </c>
      <c r="C905" s="6" t="str">
        <f>VLOOKUP(Compras[[#This Row],[Codigo]],Stock[#Data],2,FALSE)</f>
        <v>Picador D&amp;K Granada</v>
      </c>
      <c r="D905" s="40">
        <v>1</v>
      </c>
      <c r="E905" s="6">
        <v>327</v>
      </c>
      <c r="F905" s="12">
        <f>VLOOKUP(Compras[[#This Row],[Codigo]],Stock[#Data],3,FALSE)</f>
        <v>2200</v>
      </c>
      <c r="G905" s="43">
        <f>Compras[[#This Row],[Unidad]]*Compras[[#This Row],[Cantidad]]</f>
        <v>2200</v>
      </c>
      <c r="H905" s="16"/>
      <c r="I905" s="16"/>
      <c r="J905" s="16"/>
      <c r="K905" s="16"/>
    </row>
    <row r="906" spans="1:11" ht="20.25" customHeight="1">
      <c r="A906" s="16"/>
      <c r="B906" s="41">
        <v>44927</v>
      </c>
      <c r="C906" s="6" t="str">
        <f>VLOOKUP(Compras[[#This Row],[Codigo]],Stock[#Data],2,FALSE)</f>
        <v>Picador Galleta</v>
      </c>
      <c r="D906" s="40">
        <v>1</v>
      </c>
      <c r="E906" s="6">
        <v>328</v>
      </c>
      <c r="F906" s="12">
        <f>VLOOKUP(Compras[[#This Row],[Codigo]],Stock[#Data],3,FALSE)</f>
        <v>1590</v>
      </c>
      <c r="G906" s="43">
        <f>Compras[[#This Row],[Unidad]]*Compras[[#This Row],[Cantidad]]</f>
        <v>1590</v>
      </c>
      <c r="H906" s="16"/>
      <c r="I906" s="16"/>
      <c r="J906" s="16"/>
      <c r="K906" s="16"/>
    </row>
    <row r="907" spans="1:11" ht="20.25" customHeight="1">
      <c r="A907" s="16"/>
      <c r="B907" s="41">
        <v>44927</v>
      </c>
      <c r="C907" s="6" t="str">
        <f>VLOOKUP(Compras[[#This Row],[Codigo]],Stock[#Data],2,FALSE)</f>
        <v>Picador Burger</v>
      </c>
      <c r="D907" s="40">
        <v>1</v>
      </c>
      <c r="E907" s="6">
        <v>329</v>
      </c>
      <c r="F907" s="12">
        <f>VLOOKUP(Compras[[#This Row],[Codigo]],Stock[#Data],3,FALSE)</f>
        <v>2512</v>
      </c>
      <c r="G907" s="43">
        <f>Compras[[#This Row],[Unidad]]*Compras[[#This Row],[Cantidad]]</f>
        <v>2512</v>
      </c>
      <c r="H907" s="16"/>
      <c r="I907" s="16"/>
      <c r="J907" s="16"/>
      <c r="K907" s="16"/>
    </row>
    <row r="908" spans="1:11" ht="20.25" customHeight="1">
      <c r="A908" s="16"/>
      <c r="B908" s="41">
        <v>44927</v>
      </c>
      <c r="C908" s="6" t="str">
        <f>VLOOKUP(Compras[[#This Row],[Codigo]],Stock[#Data],2,FALSE)</f>
        <v>Picador ZEUS Hoyo</v>
      </c>
      <c r="D908" s="40">
        <v>1</v>
      </c>
      <c r="E908" s="6">
        <v>330</v>
      </c>
      <c r="F908" s="12">
        <f>VLOOKUP(Compras[[#This Row],[Codigo]],Stock[#Data],3,FALSE)</f>
        <v>1260</v>
      </c>
      <c r="G908" s="43">
        <f>Compras[[#This Row],[Unidad]]*Compras[[#This Row],[Cantidad]]</f>
        <v>1260</v>
      </c>
      <c r="H908" s="16"/>
      <c r="I908" s="16"/>
      <c r="J908" s="16"/>
      <c r="K908" s="16"/>
    </row>
    <row r="909" spans="1:11" ht="20.25" customHeight="1">
      <c r="A909" s="16"/>
      <c r="B909" s="41">
        <v>44927</v>
      </c>
      <c r="C909" s="6" t="str">
        <f>VLOOKUP(Compras[[#This Row],[Codigo]],Stock[#Data],2,FALSE)</f>
        <v>Extractor Kudu 4"</v>
      </c>
      <c r="D909" s="40">
        <v>2</v>
      </c>
      <c r="E909" s="6">
        <v>332</v>
      </c>
      <c r="F909" s="12">
        <f>VLOOKUP(Compras[[#This Row],[Codigo]],Stock[#Data],3,FALSE)</f>
        <v>4933</v>
      </c>
      <c r="G909" s="43">
        <f>Compras[[#This Row],[Unidad]]*Compras[[#This Row],[Cantidad]]</f>
        <v>9866</v>
      </c>
      <c r="H909" s="16"/>
      <c r="I909" s="16"/>
      <c r="J909" s="16"/>
      <c r="K909" s="16"/>
    </row>
    <row r="910" spans="1:11" ht="20.25" customHeight="1">
      <c r="A910" s="16"/>
      <c r="B910" s="41">
        <v>44927</v>
      </c>
      <c r="C910" s="6" t="str">
        <f>VLOOKUP(Compras[[#This Row],[Codigo]],Stock[#Data],2,FALSE)</f>
        <v xml:space="preserve">Picador Bronce </v>
      </c>
      <c r="D910" s="40">
        <v>4</v>
      </c>
      <c r="E910" s="6">
        <v>340</v>
      </c>
      <c r="F910" s="12">
        <f>VLOOKUP(Compras[[#This Row],[Codigo]],Stock[#Data],3,FALSE)</f>
        <v>1330</v>
      </c>
      <c r="G910" s="43">
        <f>Compras[[#This Row],[Unidad]]*Compras[[#This Row],[Cantidad]]</f>
        <v>5320</v>
      </c>
      <c r="H910" s="16"/>
      <c r="I910" s="16"/>
      <c r="J910" s="16"/>
      <c r="K910" s="16"/>
    </row>
    <row r="911" spans="1:11" ht="20.25" customHeight="1">
      <c r="A911" s="16"/>
      <c r="B911" s="41">
        <v>44927</v>
      </c>
      <c r="C911" s="6" t="str">
        <f>VLOOKUP(Compras[[#This Row],[Codigo]],Stock[#Data],2,FALSE)</f>
        <v>Triple 15 Landiner</v>
      </c>
      <c r="D911" s="40">
        <v>1</v>
      </c>
      <c r="E911" s="6">
        <v>341</v>
      </c>
      <c r="F911" s="12">
        <f>VLOOKUP(Compras[[#This Row],[Codigo]],Stock[#Data],3,FALSE)</f>
        <v>350</v>
      </c>
      <c r="G911" s="43">
        <f>Compras[[#This Row],[Unidad]]*Compras[[#This Row],[Cantidad]]</f>
        <v>350</v>
      </c>
      <c r="H911" s="16"/>
      <c r="I911" s="16"/>
      <c r="J911" s="16"/>
      <c r="K911" s="16"/>
    </row>
    <row r="912" spans="1:11" ht="20.25" customHeight="1">
      <c r="A912" s="16"/>
      <c r="B912" s="41">
        <v>44927</v>
      </c>
      <c r="C912" s="6" t="str">
        <f>VLOOKUP(Compras[[#This Row],[Codigo]],Stock[#Data],2,FALSE)</f>
        <v xml:space="preserve">Cápsula Cuarzo </v>
      </c>
      <c r="D912" s="40">
        <v>1</v>
      </c>
      <c r="E912" s="6">
        <v>345</v>
      </c>
      <c r="F912" s="12">
        <f>VLOOKUP(Compras[[#This Row],[Codigo]],Stock[#Data],3,FALSE)</f>
        <v>750</v>
      </c>
      <c r="G912" s="43">
        <f>Compras[[#This Row],[Unidad]]*Compras[[#This Row],[Cantidad]]</f>
        <v>750</v>
      </c>
      <c r="H912" s="16"/>
      <c r="I912" s="16"/>
      <c r="J912" s="16"/>
      <c r="K912" s="16"/>
    </row>
    <row r="913" spans="1:11" ht="20.25" customHeight="1">
      <c r="A913" s="16"/>
      <c r="B913" s="41">
        <v>44927</v>
      </c>
      <c r="C913" s="6" t="str">
        <f>VLOOKUP(Compras[[#This Row],[Codigo]],Stock[#Data],2,FALSE)</f>
        <v>Namaste Nutripack</v>
      </c>
      <c r="D913" s="40">
        <v>3</v>
      </c>
      <c r="E913" s="6">
        <v>346</v>
      </c>
      <c r="F913" s="12">
        <f>VLOOKUP(Compras[[#This Row],[Codigo]],Stock[#Data],3,FALSE)</f>
        <v>3376</v>
      </c>
      <c r="G913" s="43">
        <f>Compras[[#This Row],[Unidad]]*Compras[[#This Row],[Cantidad]]</f>
        <v>10128</v>
      </c>
      <c r="H913" s="16"/>
      <c r="I913" s="16"/>
      <c r="J913" s="16"/>
      <c r="K913" s="16"/>
    </row>
    <row r="914" spans="1:11" ht="20.25" customHeight="1">
      <c r="A914" s="16"/>
      <c r="B914" s="41">
        <v>44927</v>
      </c>
      <c r="C914" s="6" t="str">
        <f>VLOOKUP(Compras[[#This Row],[Codigo]],Stock[#Data],2,FALSE)</f>
        <v xml:space="preserve">Tapa Banger Chupete </v>
      </c>
      <c r="D914" s="40">
        <v>3</v>
      </c>
      <c r="E914" s="6">
        <v>347</v>
      </c>
      <c r="F914" s="12">
        <f>VLOOKUP(Compras[[#This Row],[Codigo]],Stock[#Data],3,FALSE)</f>
        <v>2485</v>
      </c>
      <c r="G914" s="43">
        <f>Compras[[#This Row],[Unidad]]*Compras[[#This Row],[Cantidad]]</f>
        <v>7455</v>
      </c>
      <c r="H914" s="16"/>
      <c r="I914" s="16"/>
      <c r="J914" s="16"/>
      <c r="K914" s="16"/>
    </row>
    <row r="915" spans="1:11" ht="20.25" customHeight="1">
      <c r="A915" s="16"/>
      <c r="B915" s="41">
        <v>44927</v>
      </c>
      <c r="C915" s="6" t="str">
        <f>VLOOKUP(Compras[[#This Row],[Codigo]],Stock[#Data],2,FALSE)</f>
        <v xml:space="preserve">Tabaco Van Kiff American Blend </v>
      </c>
      <c r="D915" s="40">
        <v>4</v>
      </c>
      <c r="E915" s="6">
        <v>348</v>
      </c>
      <c r="F915" s="12">
        <f>VLOOKUP(Compras[[#This Row],[Codigo]],Stock[#Data],3,FALSE)</f>
        <v>580</v>
      </c>
      <c r="G915" s="43">
        <f>Compras[[#This Row],[Unidad]]*Compras[[#This Row],[Cantidad]]</f>
        <v>2320</v>
      </c>
      <c r="H915" s="16"/>
      <c r="I915" s="16"/>
      <c r="J915" s="16"/>
      <c r="K915" s="16"/>
    </row>
    <row r="916" spans="1:11" ht="20.25" customHeight="1">
      <c r="A916" s="16"/>
      <c r="B916" s="41">
        <v>44927</v>
      </c>
      <c r="C916" s="6" t="str">
        <f>VLOOKUP(Compras[[#This Row],[Codigo]],Stock[#Data],2,FALSE)</f>
        <v>Pipa de Piedra</v>
      </c>
      <c r="D916" s="40">
        <v>2</v>
      </c>
      <c r="E916" s="6">
        <v>351</v>
      </c>
      <c r="F916" s="12">
        <f>VLOOKUP(Compras[[#This Row],[Codigo]],Stock[#Data],3,FALSE)</f>
        <v>350</v>
      </c>
      <c r="G916" s="43">
        <f>Compras[[#This Row],[Unidad]]*Compras[[#This Row],[Cantidad]]</f>
        <v>700</v>
      </c>
      <c r="H916" s="16"/>
      <c r="I916" s="16"/>
      <c r="J916" s="16"/>
      <c r="K916" s="16"/>
    </row>
    <row r="917" spans="1:11" ht="20.25" customHeight="1">
      <c r="A917" s="16"/>
      <c r="B917" s="41">
        <v>44927</v>
      </c>
      <c r="C917" s="6" t="str">
        <f>VLOOKUP(Compras[[#This Row],[Codigo]],Stock[#Data],2,FALSE)</f>
        <v>Led Growtech 300watts</v>
      </c>
      <c r="D917" s="40">
        <v>1</v>
      </c>
      <c r="E917" s="6">
        <v>353</v>
      </c>
      <c r="F917" s="12">
        <f>VLOOKUP(Compras[[#This Row],[Codigo]],Stock[#Data],3,FALSE)</f>
        <v>30960</v>
      </c>
      <c r="G917" s="43">
        <f>Compras[[#This Row],[Unidad]]*Compras[[#This Row],[Cantidad]]</f>
        <v>30960</v>
      </c>
      <c r="H917" s="16"/>
      <c r="I917" s="16"/>
      <c r="J917" s="16"/>
      <c r="K917" s="16"/>
    </row>
    <row r="918" spans="1:11" ht="20.25" customHeight="1">
      <c r="A918" s="16"/>
      <c r="B918" s="41">
        <v>44927</v>
      </c>
      <c r="C918" s="6" t="str">
        <f>VLOOKUP(Compras[[#This Row],[Codigo]],Stock[#Data],2,FALSE)</f>
        <v xml:space="preserve">ocb ultimate </v>
      </c>
      <c r="D918" s="40">
        <v>18</v>
      </c>
      <c r="E918" s="6">
        <v>354</v>
      </c>
      <c r="F918" s="12">
        <f>VLOOKUP(Compras[[#This Row],[Codigo]],Stock[#Data],3,FALSE)</f>
        <v>165</v>
      </c>
      <c r="G918" s="43">
        <f>Compras[[#This Row],[Unidad]]*Compras[[#This Row],[Cantidad]]</f>
        <v>2970</v>
      </c>
      <c r="H918" s="16"/>
      <c r="I918" s="16"/>
      <c r="J918" s="16"/>
      <c r="K918" s="16"/>
    </row>
    <row r="919" spans="1:11" ht="20.25" customHeight="1">
      <c r="A919" s="16"/>
      <c r="B919" s="41">
        <v>44927</v>
      </c>
      <c r="C919" s="6" t="str">
        <f>VLOOKUP(Compras[[#This Row],[Codigo]],Stock[#Data],2,FALSE)</f>
        <v xml:space="preserve">ocb white </v>
      </c>
      <c r="D919" s="40">
        <v>22</v>
      </c>
      <c r="E919" s="6">
        <v>355</v>
      </c>
      <c r="F919" s="12">
        <f>VLOOKUP(Compras[[#This Row],[Codigo]],Stock[#Data],3,FALSE)</f>
        <v>115</v>
      </c>
      <c r="G919" s="43">
        <f>Compras[[#This Row],[Unidad]]*Compras[[#This Row],[Cantidad]]</f>
        <v>2530</v>
      </c>
      <c r="H919" s="16"/>
      <c r="I919" s="16"/>
      <c r="J919" s="16"/>
      <c r="K919" s="16"/>
    </row>
    <row r="920" spans="1:11" ht="20.25" customHeight="1">
      <c r="A920" s="16"/>
      <c r="B920" s="41">
        <v>44927</v>
      </c>
      <c r="C920" s="6" t="str">
        <f>VLOOKUP(Compras[[#This Row],[Codigo]],Stock[#Data],2,FALSE)</f>
        <v xml:space="preserve">tips moon </v>
      </c>
      <c r="D920" s="40">
        <v>1</v>
      </c>
      <c r="E920" s="6">
        <v>356</v>
      </c>
      <c r="F920" s="12">
        <f>VLOOKUP(Compras[[#This Row],[Codigo]],Stock[#Data],3,FALSE)</f>
        <v>50</v>
      </c>
      <c r="G920" s="43">
        <f>Compras[[#This Row],[Unidad]]*Compras[[#This Row],[Cantidad]]</f>
        <v>50</v>
      </c>
      <c r="H920" s="16"/>
      <c r="I920" s="16"/>
      <c r="J920" s="16"/>
      <c r="K920" s="16"/>
    </row>
    <row r="921" spans="1:11" ht="20.25" customHeight="1">
      <c r="A921" s="16"/>
      <c r="B921" s="41">
        <v>44927</v>
      </c>
      <c r="C921" s="6" t="str">
        <f>VLOOKUP(Compras[[#This Row],[Codigo]],Stock[#Data],2,FALSE)</f>
        <v>Celulosa Lion Rolling Circus Kz</v>
      </c>
      <c r="D921" s="40">
        <v>18</v>
      </c>
      <c r="E921" s="6">
        <v>359</v>
      </c>
      <c r="F921" s="12">
        <f>VLOOKUP(Compras[[#This Row],[Codigo]],Stock[#Data],3,FALSE)</f>
        <v>422</v>
      </c>
      <c r="G921" s="43">
        <f>Compras[[#This Row],[Unidad]]*Compras[[#This Row],[Cantidad]]</f>
        <v>7596</v>
      </c>
      <c r="H921" s="16"/>
      <c r="I921" s="16"/>
      <c r="J921" s="16"/>
      <c r="K921" s="16"/>
    </row>
    <row r="922" spans="1:11" ht="20.25" customHeight="1">
      <c r="A922" s="16"/>
      <c r="B922" s="41">
        <v>44927</v>
      </c>
      <c r="C922" s="6" t="str">
        <f>VLOOKUP(Compras[[#This Row],[Codigo]],Stock[#Data],2,FALSE)</f>
        <v xml:space="preserve">Blunt Wrap Mango </v>
      </c>
      <c r="D922" s="40">
        <v>2</v>
      </c>
      <c r="E922" s="6">
        <v>360</v>
      </c>
      <c r="F922" s="12">
        <f>VLOOKUP(Compras[[#This Row],[Codigo]],Stock[#Data],3,FALSE)</f>
        <v>225</v>
      </c>
      <c r="G922" s="43">
        <f>Compras[[#This Row],[Unidad]]*Compras[[#This Row],[Cantidad]]</f>
        <v>450</v>
      </c>
      <c r="H922" s="16"/>
      <c r="I922" s="16"/>
      <c r="J922" s="16"/>
      <c r="K922" s="16"/>
    </row>
    <row r="923" spans="1:11" ht="20.25" customHeight="1">
      <c r="A923" s="16"/>
      <c r="B923" s="41">
        <v>44927</v>
      </c>
      <c r="C923" s="6" t="str">
        <f>VLOOKUP(Compras[[#This Row],[Codigo]],Stock[#Data],2,FALSE)</f>
        <v xml:space="preserve">filtros gizhe slim 6mm </v>
      </c>
      <c r="D923" s="40">
        <v>6</v>
      </c>
      <c r="E923" s="6">
        <v>361</v>
      </c>
      <c r="F923" s="12">
        <f>VLOOKUP(Compras[[#This Row],[Codigo]],Stock[#Data],3,FALSE)</f>
        <v>175</v>
      </c>
      <c r="G923" s="43">
        <f>Compras[[#This Row],[Unidad]]*Compras[[#This Row],[Cantidad]]</f>
        <v>1050</v>
      </c>
      <c r="H923" s="16"/>
      <c r="I923" s="16"/>
      <c r="J923" s="16"/>
      <c r="K923" s="16"/>
    </row>
    <row r="924" spans="1:11" ht="20.25" customHeight="1">
      <c r="A924" s="16"/>
      <c r="B924" s="41">
        <v>44927</v>
      </c>
      <c r="C924" s="6" t="str">
        <f>VLOOKUP(Compras[[#This Row],[Codigo]],Stock[#Data],2,FALSE)</f>
        <v>Bong Atrapa Hielo</v>
      </c>
      <c r="D924" s="40">
        <v>1</v>
      </c>
      <c r="E924" s="6">
        <v>362</v>
      </c>
      <c r="F924" s="12">
        <f>VLOOKUP(Compras[[#This Row],[Codigo]],Stock[#Data],3,FALSE)</f>
        <v>5365</v>
      </c>
      <c r="G924" s="43">
        <f>Compras[[#This Row],[Unidad]]*Compras[[#This Row],[Cantidad]]</f>
        <v>5365</v>
      </c>
      <c r="H924" s="16"/>
      <c r="I924" s="16"/>
      <c r="J924" s="16"/>
      <c r="K924" s="16"/>
    </row>
    <row r="925" spans="1:11" ht="20.25" customHeight="1">
      <c r="A925" s="16"/>
      <c r="B925" s="41">
        <v>44927</v>
      </c>
      <c r="C925" s="6" t="str">
        <f>VLOOKUP(Compras[[#This Row],[Codigo]],Stock[#Data],2,FALSE)</f>
        <v>Maceta Mad Rocket 10L</v>
      </c>
      <c r="D925" s="40">
        <v>1</v>
      </c>
      <c r="E925" s="6">
        <v>363</v>
      </c>
      <c r="F925" s="12">
        <f>VLOOKUP(Compras[[#This Row],[Codigo]],Stock[#Data],3,FALSE)</f>
        <v>621</v>
      </c>
      <c r="G925" s="43">
        <f>Compras[[#This Row],[Unidad]]*Compras[[#This Row],[Cantidad]]</f>
        <v>621</v>
      </c>
      <c r="H925" s="16"/>
      <c r="I925" s="16"/>
      <c r="J925" s="16"/>
      <c r="K925" s="16"/>
    </row>
    <row r="926" spans="1:11" ht="20.25" customHeight="1">
      <c r="A926" s="16"/>
      <c r="B926" s="41">
        <v>44927</v>
      </c>
      <c r="C926" s="6" t="str">
        <f>VLOOKUP(Compras[[#This Row],[Codigo]],Stock[#Data],2,FALSE)</f>
        <v>Crop Secret Floral session 500ml</v>
      </c>
      <c r="D926" s="40">
        <v>3</v>
      </c>
      <c r="E926" s="6">
        <v>364</v>
      </c>
      <c r="F926" s="12">
        <f>VLOOKUP(Compras[[#This Row],[Codigo]],Stock[#Data],3,FALSE)</f>
        <v>1350</v>
      </c>
      <c r="G926" s="43">
        <f>Compras[[#This Row],[Unidad]]*Compras[[#This Row],[Cantidad]]</f>
        <v>4050</v>
      </c>
      <c r="H926" s="16"/>
      <c r="I926" s="16"/>
      <c r="J926" s="16"/>
      <c r="K926" s="16"/>
    </row>
    <row r="927" spans="1:11" ht="20.25" customHeight="1">
      <c r="A927" s="16"/>
      <c r="B927" s="41">
        <v>44927</v>
      </c>
      <c r="C927" s="6" t="str">
        <f>VLOOKUP(Compras[[#This Row],[Codigo]],Stock[#Data],2,FALSE)</f>
        <v xml:space="preserve">Latas Zeus </v>
      </c>
      <c r="D927" s="40">
        <v>3</v>
      </c>
      <c r="E927" s="6">
        <v>365</v>
      </c>
      <c r="F927" s="12">
        <f>VLOOKUP(Compras[[#This Row],[Codigo]],Stock[#Data],3,FALSE)</f>
        <v>521</v>
      </c>
      <c r="G927" s="43">
        <f>Compras[[#This Row],[Unidad]]*Compras[[#This Row],[Cantidad]]</f>
        <v>1563</v>
      </c>
      <c r="H927" s="16"/>
      <c r="I927" s="16"/>
      <c r="J927" s="16"/>
      <c r="K927" s="16"/>
    </row>
    <row r="928" spans="1:11" ht="20.25" customHeight="1">
      <c r="A928" s="16"/>
      <c r="B928" s="41">
        <v>44927</v>
      </c>
      <c r="C928" s="6" t="str">
        <f>VLOOKUP(Compras[[#This Row],[Codigo]],Stock[#Data],2,FALSE)</f>
        <v>Picador Lion Cubo</v>
      </c>
      <c r="D928" s="40">
        <v>1</v>
      </c>
      <c r="E928" s="6">
        <v>369</v>
      </c>
      <c r="F928" s="12">
        <f>VLOOKUP(Compras[[#This Row],[Codigo]],Stock[#Data],3,FALSE)</f>
        <v>3562</v>
      </c>
      <c r="G928" s="43">
        <f>Compras[[#This Row],[Unidad]]*Compras[[#This Row],[Cantidad]]</f>
        <v>3562</v>
      </c>
      <c r="H928" s="16"/>
      <c r="I928" s="16"/>
      <c r="J928" s="16"/>
      <c r="K928" s="16"/>
    </row>
    <row r="929" spans="1:11" ht="20.25" customHeight="1">
      <c r="A929" s="16"/>
      <c r="B929" s="41">
        <v>44927</v>
      </c>
      <c r="C929" s="6" t="str">
        <f>VLOOKUP(Compras[[#This Row],[Codigo]],Stock[#Data],2,FALSE)</f>
        <v xml:space="preserve">Picador moderm space </v>
      </c>
      <c r="D929" s="40">
        <v>1</v>
      </c>
      <c r="E929" s="6">
        <v>371</v>
      </c>
      <c r="F929" s="12">
        <f>VLOOKUP(Compras[[#This Row],[Codigo]],Stock[#Data],3,FALSE)</f>
        <v>5211</v>
      </c>
      <c r="G929" s="43">
        <f>Compras[[#This Row],[Unidad]]*Compras[[#This Row],[Cantidad]]</f>
        <v>5211</v>
      </c>
      <c r="H929" s="16"/>
      <c r="I929" s="16"/>
      <c r="J929" s="16"/>
      <c r="K929" s="16"/>
    </row>
    <row r="930" spans="1:11" ht="20.25" customHeight="1">
      <c r="A930" s="16"/>
      <c r="B930" s="41">
        <v>44927</v>
      </c>
      <c r="C930" s="6" t="str">
        <f>VLOOKUP(Compras[[#This Row],[Codigo]],Stock[#Data],2,FALSE)</f>
        <v xml:space="preserve">Picador cannabis shop 4p dk </v>
      </c>
      <c r="D930" s="40">
        <v>1</v>
      </c>
      <c r="E930" s="6">
        <v>376</v>
      </c>
      <c r="F930" s="12">
        <f>VLOOKUP(Compras[[#This Row],[Codigo]],Stock[#Data],3,FALSE)</f>
        <v>1946</v>
      </c>
      <c r="G930" s="43">
        <f>Compras[[#This Row],[Unidad]]*Compras[[#This Row],[Cantidad]]</f>
        <v>1946</v>
      </c>
      <c r="H930" s="16"/>
      <c r="I930" s="16"/>
      <c r="J930" s="16"/>
      <c r="K930" s="16"/>
    </row>
    <row r="931" spans="1:11" ht="20.25" customHeight="1">
      <c r="A931" s="16"/>
      <c r="B931" s="41">
        <v>44927</v>
      </c>
      <c r="C931" s="6" t="str">
        <f>VLOOKUP(Compras[[#This Row],[Codigo]],Stock[#Data],2,FALSE)</f>
        <v xml:space="preserve">Turbina pipa </v>
      </c>
      <c r="D931" s="40">
        <v>2</v>
      </c>
      <c r="E931" s="6">
        <v>377</v>
      </c>
      <c r="F931" s="12">
        <f>VLOOKUP(Compras[[#This Row],[Codigo]],Stock[#Data],3,FALSE)</f>
        <v>1020</v>
      </c>
      <c r="G931" s="43">
        <f>Compras[[#This Row],[Unidad]]*Compras[[#This Row],[Cantidad]]</f>
        <v>2040</v>
      </c>
      <c r="H931" s="16"/>
      <c r="I931" s="16"/>
      <c r="J931" s="16"/>
      <c r="K931" s="16"/>
    </row>
    <row r="932" spans="1:11" ht="20.25" customHeight="1">
      <c r="A932" s="16"/>
      <c r="B932" s="41">
        <v>44927</v>
      </c>
      <c r="C932" s="6" t="str">
        <f>VLOOKUP(Compras[[#This Row],[Codigo]],Stock[#Data],2,FALSE)</f>
        <v xml:space="preserve">Bong de vidrio cuello curbo Dk </v>
      </c>
      <c r="D932" s="40">
        <v>1</v>
      </c>
      <c r="E932" s="6">
        <v>385</v>
      </c>
      <c r="F932" s="12">
        <f>VLOOKUP(Compras[[#This Row],[Codigo]],Stock[#Data],3,FALSE)</f>
        <v>6700</v>
      </c>
      <c r="G932" s="43">
        <f>Compras[[#This Row],[Unidad]]*Compras[[#This Row],[Cantidad]]</f>
        <v>6700</v>
      </c>
      <c r="H932" s="16"/>
      <c r="I932" s="16"/>
      <c r="J932" s="16"/>
      <c r="K932" s="16"/>
    </row>
    <row r="933" spans="1:11" ht="20.25" customHeight="1">
      <c r="A933" s="16"/>
      <c r="B933" s="41">
        <v>44927</v>
      </c>
      <c r="C933" s="6" t="str">
        <f>VLOOKUP(Compras[[#This Row],[Codigo]],Stock[#Data],2,FALSE)</f>
        <v>Macetas Soplada 15L</v>
      </c>
      <c r="D933" s="40">
        <v>9</v>
      </c>
      <c r="E933" s="6">
        <v>380</v>
      </c>
      <c r="F933" s="12">
        <f>VLOOKUP(Compras[[#This Row],[Codigo]],Stock[#Data],3,FALSE)</f>
        <v>222</v>
      </c>
      <c r="G933" s="43">
        <f>Compras[[#This Row],[Unidad]]*Compras[[#This Row],[Cantidad]]</f>
        <v>1998</v>
      </c>
      <c r="H933" s="16"/>
      <c r="I933" s="16"/>
      <c r="J933" s="16"/>
      <c r="K933" s="16"/>
    </row>
    <row r="934" spans="1:11" ht="20.25" customHeight="1">
      <c r="A934" s="16"/>
      <c r="B934" s="41">
        <v>44927</v>
      </c>
      <c r="C934" s="6" t="str">
        <f>VLOOKUP(Compras[[#This Row],[Codigo]],Stock[#Data],2,FALSE)</f>
        <v xml:space="preserve">Blunt Wrap Cosmopolitan </v>
      </c>
      <c r="D934" s="40">
        <v>16</v>
      </c>
      <c r="E934" s="6">
        <v>387</v>
      </c>
      <c r="F934" s="12">
        <f>VLOOKUP(Compras[[#This Row],[Codigo]],Stock[#Data],3,FALSE)</f>
        <v>225</v>
      </c>
      <c r="G934" s="43">
        <f>Compras[[#This Row],[Unidad]]*Compras[[#This Row],[Cantidad]]</f>
        <v>3600</v>
      </c>
      <c r="H934" s="16"/>
      <c r="I934" s="16"/>
      <c r="J934" s="16"/>
      <c r="K934" s="16"/>
    </row>
    <row r="935" spans="1:11" ht="20.25" customHeight="1">
      <c r="A935" s="16"/>
      <c r="B935" s="41">
        <v>44927</v>
      </c>
      <c r="C935" s="6" t="str">
        <f>VLOOKUP(Compras[[#This Row],[Codigo]],Stock[#Data],2,FALSE)</f>
        <v>Bandeja Lion Rollin Mediana</v>
      </c>
      <c r="D935" s="40">
        <v>1</v>
      </c>
      <c r="E935" s="6">
        <v>389</v>
      </c>
      <c r="F935" s="12">
        <f>VLOOKUP(Compras[[#This Row],[Codigo]],Stock[#Data],3,FALSE)</f>
        <v>1898</v>
      </c>
      <c r="G935" s="43">
        <f>Compras[[#This Row],[Unidad]]*Compras[[#This Row],[Cantidad]]</f>
        <v>1898</v>
      </c>
      <c r="H935" s="16"/>
      <c r="I935" s="16"/>
      <c r="J935" s="16"/>
      <c r="K935" s="16"/>
    </row>
    <row r="936" spans="1:11" ht="20.25" customHeight="1">
      <c r="A936" s="16"/>
      <c r="B936" s="41">
        <v>44927</v>
      </c>
      <c r="C936" s="6" t="str">
        <f>VLOOKUP(Compras[[#This Row],[Codigo]],Stock[#Data],2,FALSE)</f>
        <v xml:space="preserve">Pïcador Dragon Ball </v>
      </c>
      <c r="D936" s="40">
        <v>1</v>
      </c>
      <c r="E936" s="6">
        <v>390</v>
      </c>
      <c r="F936" s="12">
        <f>VLOOKUP(Compras[[#This Row],[Codigo]],Stock[#Data],3,FALSE)</f>
        <v>3125</v>
      </c>
      <c r="G936" s="43">
        <f>Compras[[#This Row],[Unidad]]*Compras[[#This Row],[Cantidad]]</f>
        <v>3125</v>
      </c>
      <c r="H936" s="16"/>
      <c r="I936" s="16"/>
      <c r="J936" s="16"/>
      <c r="K936" s="16"/>
    </row>
    <row r="937" spans="1:11" ht="20.25" customHeight="1">
      <c r="A937" s="16"/>
      <c r="B937" s="41">
        <v>44927</v>
      </c>
      <c r="C937" s="6" t="str">
        <f>VLOOKUP(Compras[[#This Row],[Codigo]],Stock[#Data],2,FALSE)</f>
        <v>Carpa Santa planta 80X80X160</v>
      </c>
      <c r="D937" s="40">
        <v>1</v>
      </c>
      <c r="E937" s="6">
        <v>391</v>
      </c>
      <c r="F937" s="12">
        <f>VLOOKUP(Compras[[#This Row],[Codigo]],Stock[#Data],3,FALSE)</f>
        <v>17159</v>
      </c>
      <c r="G937" s="43">
        <f>Compras[[#This Row],[Unidad]]*Compras[[#This Row],[Cantidad]]</f>
        <v>17159</v>
      </c>
      <c r="H937" s="16"/>
      <c r="I937" s="16"/>
      <c r="J937" s="16"/>
      <c r="K937" s="16"/>
    </row>
    <row r="938" spans="1:11" ht="20.25" customHeight="1">
      <c r="A938" s="16"/>
      <c r="B938" s="41">
        <v>44927</v>
      </c>
      <c r="C938" s="6" t="str">
        <f>VLOOKUP(Compras[[#This Row],[Codigo]],Stock[#Data],2,FALSE)</f>
        <v xml:space="preserve">Grotek Micropack </v>
      </c>
      <c r="D938" s="40">
        <v>1</v>
      </c>
      <c r="E938" s="6">
        <v>392</v>
      </c>
      <c r="F938" s="12">
        <f>VLOOKUP(Compras[[#This Row],[Codigo]],Stock[#Data],3,FALSE)</f>
        <v>6682</v>
      </c>
      <c r="G938" s="43">
        <f>Compras[[#This Row],[Unidad]]*Compras[[#This Row],[Cantidad]]</f>
        <v>6682</v>
      </c>
      <c r="H938" s="16"/>
      <c r="I938" s="16"/>
      <c r="J938" s="16"/>
      <c r="K938" s="16"/>
    </row>
    <row r="939" spans="1:11" ht="20.25" customHeight="1">
      <c r="A939" s="16"/>
      <c r="B939" s="41">
        <v>44927</v>
      </c>
      <c r="C939" s="6" t="str">
        <f>VLOOKUP(Compras[[#This Row],[Codigo]],Stock[#Data],2,FALSE)</f>
        <v xml:space="preserve">El gran tabacal Rubio </v>
      </c>
      <c r="D939" s="40">
        <v>3</v>
      </c>
      <c r="E939" s="6">
        <v>393</v>
      </c>
      <c r="F939" s="12">
        <f>VLOOKUP(Compras[[#This Row],[Codigo]],Stock[#Data],3,FALSE)</f>
        <v>500</v>
      </c>
      <c r="G939" s="43">
        <f>Compras[[#This Row],[Unidad]]*Compras[[#This Row],[Cantidad]]</f>
        <v>1500</v>
      </c>
      <c r="H939" s="16"/>
      <c r="I939" s="16"/>
      <c r="J939" s="16"/>
      <c r="K939" s="16"/>
    </row>
    <row r="940" spans="1:11" ht="20.25" customHeight="1">
      <c r="A940" s="16"/>
      <c r="B940" s="41">
        <v>44927</v>
      </c>
      <c r="C940" s="6" t="str">
        <f>VLOOKUP(Compras[[#This Row],[Codigo]],Stock[#Data],2,FALSE)</f>
        <v>El gran tabacal criollo</v>
      </c>
      <c r="D940" s="40">
        <v>1</v>
      </c>
      <c r="E940" s="6">
        <v>394</v>
      </c>
      <c r="F940" s="12">
        <f>VLOOKUP(Compras[[#This Row],[Codigo]],Stock[#Data],3,FALSE)</f>
        <v>600</v>
      </c>
      <c r="G940" s="43">
        <f>Compras[[#This Row],[Unidad]]*Compras[[#This Row],[Cantidad]]</f>
        <v>600</v>
      </c>
      <c r="H940" s="16"/>
      <c r="I940" s="16"/>
      <c r="J940" s="16"/>
      <c r="K940" s="16"/>
    </row>
    <row r="941" spans="1:11" ht="20.25" customHeight="1">
      <c r="A941" s="16"/>
      <c r="B941" s="41">
        <v>44927</v>
      </c>
      <c r="C941" s="6" t="str">
        <f>VLOOKUP(Compras[[#This Row],[Codigo]],Stock[#Data],2,FALSE)</f>
        <v xml:space="preserve">El gran tabacal tabaco pipa </v>
      </c>
      <c r="D941" s="40">
        <v>2</v>
      </c>
      <c r="E941" s="6">
        <v>395</v>
      </c>
      <c r="F941" s="12">
        <f>VLOOKUP(Compras[[#This Row],[Codigo]],Stock[#Data],3,FALSE)</f>
        <v>600</v>
      </c>
      <c r="G941" s="43">
        <f>Compras[[#This Row],[Unidad]]*Compras[[#This Row],[Cantidad]]</f>
        <v>1200</v>
      </c>
      <c r="H941" s="16"/>
      <c r="I941" s="16"/>
      <c r="J941" s="16"/>
      <c r="K941" s="16"/>
    </row>
    <row r="942" spans="1:11" ht="20.25" customHeight="1">
      <c r="A942" s="16"/>
      <c r="B942" s="41">
        <v>44927</v>
      </c>
      <c r="C942" s="6" t="str">
        <f>VLOOKUP(Compras[[#This Row],[Codigo]],Stock[#Data],2,FALSE)</f>
        <v xml:space="preserve">Tree mix Candy 1L </v>
      </c>
      <c r="D942" s="40">
        <v>1</v>
      </c>
      <c r="E942" s="6">
        <v>396</v>
      </c>
      <c r="F942" s="12">
        <f>VLOOKUP(Compras[[#This Row],[Codigo]],Stock[#Data],3,FALSE)</f>
        <v>2510</v>
      </c>
      <c r="G942" s="43">
        <f>Compras[[#This Row],[Unidad]]*Compras[[#This Row],[Cantidad]]</f>
        <v>2510</v>
      </c>
      <c r="H942" s="16"/>
      <c r="I942" s="16"/>
      <c r="J942" s="16"/>
      <c r="K942" s="16"/>
    </row>
    <row r="943" spans="1:11" ht="20.25" customHeight="1">
      <c r="A943" s="16"/>
      <c r="B943" s="41">
        <v>44927</v>
      </c>
      <c r="C943" s="6" t="str">
        <f>VLOOKUP(Compras[[#This Row],[Codigo]],Stock[#Data],2,FALSE)</f>
        <v>Extractor Kudu 6"</v>
      </c>
      <c r="D943" s="40">
        <v>2</v>
      </c>
      <c r="E943" s="6">
        <v>397</v>
      </c>
      <c r="F943" s="12">
        <f>VLOOKUP(Compras[[#This Row],[Codigo]],Stock[#Data],3,FALSE)</f>
        <v>6075</v>
      </c>
      <c r="G943" s="43">
        <f>Compras[[#This Row],[Unidad]]*Compras[[#This Row],[Cantidad]]</f>
        <v>12150</v>
      </c>
      <c r="H943" s="16"/>
      <c r="I943" s="16"/>
      <c r="J943" s="16"/>
      <c r="K943" s="16"/>
    </row>
    <row r="944" spans="1:11" ht="20.25" customHeight="1">
      <c r="A944" s="16"/>
      <c r="B944" s="41">
        <v>44927</v>
      </c>
      <c r="C944" s="6" t="str">
        <f>VLOOKUP(Compras[[#This Row],[Codigo]],Stock[#Data],2,FALSE)</f>
        <v xml:space="preserve">Pangea kit profesional </v>
      </c>
      <c r="D944" s="40">
        <v>3</v>
      </c>
      <c r="E944" s="6">
        <v>398</v>
      </c>
      <c r="F944" s="12">
        <f>VLOOKUP(Compras[[#This Row],[Codigo]],Stock[#Data],3,FALSE)</f>
        <v>4025</v>
      </c>
      <c r="G944" s="43">
        <f>Compras[[#This Row],[Unidad]]*Compras[[#This Row],[Cantidad]]</f>
        <v>12075</v>
      </c>
      <c r="H944" s="16"/>
      <c r="I944" s="16"/>
      <c r="J944" s="16"/>
      <c r="K944" s="16"/>
    </row>
    <row r="945" spans="1:11" ht="20.25" customHeight="1">
      <c r="A945" s="16"/>
      <c r="B945" s="41">
        <v>44927</v>
      </c>
      <c r="C945" s="6" t="str">
        <f>VLOOKUP(Compras[[#This Row],[Codigo]],Stock[#Data],2,FALSE)</f>
        <v xml:space="preserve">Van kiff Menta </v>
      </c>
      <c r="D945" s="40">
        <v>4</v>
      </c>
      <c r="E945" s="6">
        <v>400</v>
      </c>
      <c r="F945" s="12">
        <f>VLOOKUP(Compras[[#This Row],[Codigo]],Stock[#Data],3,FALSE)</f>
        <v>580</v>
      </c>
      <c r="G945" s="43">
        <f>Compras[[#This Row],[Unidad]]*Compras[[#This Row],[Cantidad]]</f>
        <v>2320</v>
      </c>
      <c r="H945" s="16"/>
      <c r="I945" s="16"/>
      <c r="J945" s="16"/>
      <c r="K945" s="16"/>
    </row>
    <row r="946" spans="1:11" ht="20.25" customHeight="1">
      <c r="A946" s="16"/>
      <c r="B946" s="41">
        <v>44927</v>
      </c>
      <c r="C946" s="6" t="str">
        <f>VLOOKUP(Compras[[#This Row],[Codigo]],Stock[#Data],2,FALSE)</f>
        <v>Picador Scuadarfum plastico 3p</v>
      </c>
      <c r="D946" s="40">
        <v>2</v>
      </c>
      <c r="E946" s="6">
        <v>403</v>
      </c>
      <c r="F946" s="12">
        <f>VLOOKUP(Compras[[#This Row],[Codigo]],Stock[#Data],3,FALSE)</f>
        <v>715</v>
      </c>
      <c r="G946" s="43">
        <f>Compras[[#This Row],[Unidad]]*Compras[[#This Row],[Cantidad]]</f>
        <v>1430</v>
      </c>
      <c r="H946" s="16"/>
      <c r="I946" s="16"/>
      <c r="J946" s="16"/>
      <c r="K946" s="16"/>
    </row>
    <row r="947" spans="1:11" ht="20.25" customHeight="1">
      <c r="A947" s="16"/>
      <c r="B947" s="41">
        <v>44927</v>
      </c>
      <c r="C947" s="6" t="str">
        <f>VLOOKUP(Compras[[#This Row],[Codigo]],Stock[#Data],2,FALSE)</f>
        <v>Blunt Lion Rolling Circus Buble gumm</v>
      </c>
      <c r="D947" s="40">
        <v>9</v>
      </c>
      <c r="E947" s="6">
        <v>404</v>
      </c>
      <c r="F947" s="12">
        <f>VLOOKUP(Compras[[#This Row],[Codigo]],Stock[#Data],3,FALSE)</f>
        <v>383</v>
      </c>
      <c r="G947" s="43">
        <f>Compras[[#This Row],[Unidad]]*Compras[[#This Row],[Cantidad]]</f>
        <v>3447</v>
      </c>
      <c r="H947" s="16"/>
      <c r="I947" s="16"/>
      <c r="J947" s="16"/>
      <c r="K947" s="16"/>
    </row>
    <row r="948" spans="1:11" ht="20.25" customHeight="1">
      <c r="A948" s="16"/>
      <c r="B948" s="41">
        <v>44927</v>
      </c>
      <c r="C948" s="6" t="str">
        <f>VLOOKUP(Compras[[#This Row],[Codigo]],Stock[#Data],2,FALSE)</f>
        <v>Blunt Lion Rolling Circus Straberry</v>
      </c>
      <c r="D948" s="40">
        <v>7</v>
      </c>
      <c r="E948" s="6">
        <v>405</v>
      </c>
      <c r="F948" s="12">
        <f>VLOOKUP(Compras[[#This Row],[Codigo]],Stock[#Data],3,FALSE)</f>
        <v>383</v>
      </c>
      <c r="G948" s="43">
        <f>Compras[[#This Row],[Unidad]]*Compras[[#This Row],[Cantidad]]</f>
        <v>2681</v>
      </c>
      <c r="H948" s="16"/>
      <c r="I948" s="16"/>
      <c r="J948" s="16"/>
      <c r="K948" s="16"/>
    </row>
    <row r="949" spans="1:11" ht="20.25" customHeight="1">
      <c r="A949" s="16"/>
      <c r="B949" s="41">
        <v>44927</v>
      </c>
      <c r="C949" s="6" t="str">
        <f>VLOOKUP(Compras[[#This Row],[Codigo]],Stock[#Data],2,FALSE)</f>
        <v xml:space="preserve">Lion Blunt Gorilla </v>
      </c>
      <c r="D949" s="40">
        <v>1</v>
      </c>
      <c r="E949" s="6">
        <v>407</v>
      </c>
      <c r="F949" s="12">
        <f>VLOOKUP(Compras[[#This Row],[Codigo]],Stock[#Data],3,FALSE)</f>
        <v>380</v>
      </c>
      <c r="G949" s="43">
        <f>Compras[[#This Row],[Unidad]]*Compras[[#This Row],[Cantidad]]</f>
        <v>380</v>
      </c>
      <c r="H949" s="16"/>
      <c r="I949" s="16"/>
      <c r="J949" s="16"/>
      <c r="K949" s="16"/>
    </row>
    <row r="950" spans="1:11" ht="20.25" customHeight="1">
      <c r="A950" s="16"/>
      <c r="B950" s="41">
        <v>44927</v>
      </c>
      <c r="C950" s="6" t="str">
        <f>VLOOKUP(Compras[[#This Row],[Codigo]],Stock[#Data],2,FALSE)</f>
        <v xml:space="preserve">Filtros Stamp Bio </v>
      </c>
      <c r="D950" s="40">
        <v>0</v>
      </c>
      <c r="E950" s="6">
        <v>410</v>
      </c>
      <c r="F950" s="12">
        <f>VLOOKUP(Compras[[#This Row],[Codigo]],Stock[#Data],3,FALSE)</f>
        <v>180</v>
      </c>
      <c r="G950" s="43">
        <f>Compras[[#This Row],[Unidad]]*Compras[[#This Row],[Cantidad]]</f>
        <v>0</v>
      </c>
      <c r="H950" s="16"/>
      <c r="I950" s="16"/>
      <c r="J950" s="16"/>
      <c r="K950" s="16"/>
    </row>
    <row r="951" spans="1:11" ht="20.25" customHeight="1">
      <c r="A951" s="16"/>
      <c r="B951" s="41">
        <v>44927</v>
      </c>
      <c r="C951" s="6" t="str">
        <f>VLOOKUP(Compras[[#This Row],[Codigo]],Stock[#Data],2,FALSE)</f>
        <v xml:space="preserve">Tabaquera GB </v>
      </c>
      <c r="D951" s="40">
        <v>3</v>
      </c>
      <c r="E951" s="6">
        <v>411</v>
      </c>
      <c r="F951" s="12">
        <f>VLOOKUP(Compras[[#This Row],[Codigo]],Stock[#Data],3,FALSE)</f>
        <v>500</v>
      </c>
      <c r="G951" s="43">
        <f>Compras[[#This Row],[Unidad]]*Compras[[#This Row],[Cantidad]]</f>
        <v>1500</v>
      </c>
      <c r="H951" s="16"/>
      <c r="I951" s="16"/>
      <c r="J951" s="16"/>
      <c r="K951" s="16"/>
    </row>
    <row r="952" spans="1:11" ht="20.25" customHeight="1">
      <c r="A952" s="16"/>
      <c r="B952" s="41">
        <v>44927</v>
      </c>
      <c r="C952" s="6" t="str">
        <f>VLOOKUP(Compras[[#This Row],[Codigo]],Stock[#Data],2,FALSE)</f>
        <v>Maquina para Armar Metalica STAMPS</v>
      </c>
      <c r="D952" s="40">
        <v>2</v>
      </c>
      <c r="E952" s="6">
        <v>413</v>
      </c>
      <c r="F952" s="12">
        <f>VLOOKUP(Compras[[#This Row],[Codigo]],Stock[#Data],3,FALSE)</f>
        <v>1145</v>
      </c>
      <c r="G952" s="43">
        <f>Compras[[#This Row],[Unidad]]*Compras[[#This Row],[Cantidad]]</f>
        <v>2290</v>
      </c>
      <c r="H952" s="16"/>
      <c r="I952" s="16"/>
      <c r="J952" s="16"/>
      <c r="K952" s="16"/>
    </row>
    <row r="953" spans="1:11" ht="20.25" customHeight="1">
      <c r="A953" s="16"/>
      <c r="B953" s="41">
        <v>44927</v>
      </c>
      <c r="C953" s="6" t="str">
        <f>VLOOKUP(Compras[[#This Row],[Codigo]],Stock[#Data],2,FALSE)</f>
        <v xml:space="preserve">Picar StampsAcrilico 4 partes </v>
      </c>
      <c r="D953" s="40">
        <v>5</v>
      </c>
      <c r="E953" s="6">
        <v>418</v>
      </c>
      <c r="F953" s="12">
        <f>VLOOKUP(Compras[[#This Row],[Codigo]],Stock[#Data],3,FALSE)</f>
        <v>595</v>
      </c>
      <c r="G953" s="43">
        <f>Compras[[#This Row],[Unidad]]*Compras[[#This Row],[Cantidad]]</f>
        <v>2975</v>
      </c>
      <c r="H953" s="16"/>
      <c r="I953" s="16"/>
      <c r="J953" s="16"/>
      <c r="K953" s="16"/>
    </row>
    <row r="954" spans="1:11" ht="20.25" customHeight="1">
      <c r="A954" s="16"/>
      <c r="B954" s="41">
        <v>44927</v>
      </c>
      <c r="C954" s="6" t="str">
        <f>VLOOKUP(Compras[[#This Row],[Codigo]],Stock[#Data],2,FALSE)</f>
        <v>Bong Keep it Freesh 2</v>
      </c>
      <c r="D954" s="40">
        <v>1</v>
      </c>
      <c r="E954" s="6">
        <v>419</v>
      </c>
      <c r="F954" s="12">
        <f>VLOOKUP(Compras[[#This Row],[Codigo]],Stock[#Data],3,FALSE)</f>
        <v>14899</v>
      </c>
      <c r="G954" s="43">
        <f>Compras[[#This Row],[Unidad]]*Compras[[#This Row],[Cantidad]]</f>
        <v>14899</v>
      </c>
      <c r="H954" s="16"/>
      <c r="I954" s="16"/>
      <c r="J954" s="16"/>
      <c r="K954" s="16"/>
    </row>
    <row r="955" spans="1:11" ht="20.25" customHeight="1">
      <c r="A955" s="16"/>
      <c r="B955" s="41">
        <v>44927</v>
      </c>
      <c r="C955" s="6" t="str">
        <f>VLOOKUP(Compras[[#This Row],[Codigo]],Stock[#Data],2,FALSE)</f>
        <v>Bong Keep it Freesh 3</v>
      </c>
      <c r="D955" s="40">
        <v>1</v>
      </c>
      <c r="E955" s="6">
        <v>420</v>
      </c>
      <c r="F955" s="12">
        <f>VLOOKUP(Compras[[#This Row],[Codigo]],Stock[#Data],3,FALSE)</f>
        <v>14998</v>
      </c>
      <c r="G955" s="43">
        <f>Compras[[#This Row],[Unidad]]*Compras[[#This Row],[Cantidad]]</f>
        <v>14998</v>
      </c>
      <c r="H955" s="16"/>
      <c r="I955" s="16"/>
      <c r="J955" s="16"/>
      <c r="K955" s="16"/>
    </row>
    <row r="956" spans="1:11" ht="20.25" customHeight="1">
      <c r="A956" s="16"/>
      <c r="B956" s="41">
        <v>44927</v>
      </c>
      <c r="C956" s="6" t="str">
        <f>VLOOKUP(Compras[[#This Row],[Codigo]],Stock[#Data],2,FALSE)</f>
        <v>Porta porros 420</v>
      </c>
      <c r="D956" s="40">
        <v>5</v>
      </c>
      <c r="E956" s="6">
        <v>421</v>
      </c>
      <c r="F956" s="12">
        <f>VLOOKUP(Compras[[#This Row],[Codigo]],Stock[#Data],3,FALSE)</f>
        <v>73</v>
      </c>
      <c r="G956" s="43">
        <f>Compras[[#This Row],[Unidad]]*Compras[[#This Row],[Cantidad]]</f>
        <v>365</v>
      </c>
      <c r="H956" s="16"/>
      <c r="I956" s="16"/>
      <c r="J956" s="16"/>
      <c r="K956" s="16"/>
    </row>
    <row r="957" spans="1:11" ht="20.25" customHeight="1">
      <c r="A957" s="16"/>
      <c r="B957" s="41">
        <v>44927</v>
      </c>
      <c r="C957" s="6" t="str">
        <f>VLOOKUP(Compras[[#This Row],[Codigo]],Stock[#Data],2,FALSE)</f>
        <v>Picador 420</v>
      </c>
      <c r="D957" s="40">
        <v>1</v>
      </c>
      <c r="E957" s="6">
        <v>423</v>
      </c>
      <c r="F957" s="12">
        <f>VLOOKUP(Compras[[#This Row],[Codigo]],Stock[#Data],3,FALSE)</f>
        <v>870</v>
      </c>
      <c r="G957" s="43">
        <f>Compras[[#This Row],[Unidad]]*Compras[[#This Row],[Cantidad]]</f>
        <v>870</v>
      </c>
      <c r="H957" s="16"/>
      <c r="I957" s="16"/>
      <c r="J957" s="16"/>
      <c r="K957" s="16"/>
    </row>
    <row r="958" spans="1:11" ht="20.25" customHeight="1">
      <c r="A958" s="16"/>
      <c r="B958" s="41">
        <v>44927</v>
      </c>
      <c r="C958" s="6" t="str">
        <f>VLOOKUP(Compras[[#This Row],[Codigo]],Stock[#Data],2,FALSE)</f>
        <v>Sedas Dolar Honey Puff</v>
      </c>
      <c r="D958" s="40">
        <v>6</v>
      </c>
      <c r="E958" s="6">
        <v>425</v>
      </c>
      <c r="F958" s="12">
        <f>VLOOKUP(Compras[[#This Row],[Codigo]],Stock[#Data],3,FALSE)</f>
        <v>316</v>
      </c>
      <c r="G958" s="43">
        <f>Compras[[#This Row],[Unidad]]*Compras[[#This Row],[Cantidad]]</f>
        <v>1896</v>
      </c>
      <c r="H958" s="16"/>
      <c r="I958" s="16"/>
      <c r="J958" s="16"/>
      <c r="K958" s="16"/>
    </row>
    <row r="959" spans="1:11" ht="20.25" customHeight="1">
      <c r="A959" s="16"/>
      <c r="B959" s="41">
        <v>44927</v>
      </c>
      <c r="C959" s="6" t="str">
        <f>VLOOKUP(Compras[[#This Row],[Codigo]],Stock[#Data],2,FALSE)</f>
        <v>picador lion plastico triner</v>
      </c>
      <c r="D959" s="40">
        <v>2</v>
      </c>
      <c r="E959" s="6">
        <v>426</v>
      </c>
      <c r="F959" s="12">
        <f>VLOOKUP(Compras[[#This Row],[Codigo]],Stock[#Data],3,FALSE)</f>
        <v>1319</v>
      </c>
      <c r="G959" s="43">
        <f>Compras[[#This Row],[Unidad]]*Compras[[#This Row],[Cantidad]]</f>
        <v>2638</v>
      </c>
      <c r="H959" s="16"/>
      <c r="I959" s="16"/>
      <c r="J959" s="16"/>
      <c r="K959" s="16"/>
    </row>
    <row r="960" spans="1:11" ht="20.25" customHeight="1">
      <c r="A960" s="16"/>
      <c r="B960" s="41">
        <v>44927</v>
      </c>
      <c r="C960" s="6" t="str">
        <f>VLOOKUP(Compras[[#This Row],[Codigo]],Stock[#Data],2,FALSE)</f>
        <v>Cigarrera</v>
      </c>
      <c r="D960" s="40">
        <v>1</v>
      </c>
      <c r="E960" s="6">
        <v>428</v>
      </c>
      <c r="F960" s="12">
        <f>VLOOKUP(Compras[[#This Row],[Codigo]],Stock[#Data],3,FALSE)</f>
        <v>1699</v>
      </c>
      <c r="G960" s="43">
        <f>Compras[[#This Row],[Unidad]]*Compras[[#This Row],[Cantidad]]</f>
        <v>1699</v>
      </c>
      <c r="H960" s="16"/>
      <c r="I960" s="16"/>
      <c r="J960" s="16"/>
      <c r="K960" s="16"/>
    </row>
    <row r="961" spans="1:11" ht="20.25" customHeight="1">
      <c r="A961" s="16"/>
      <c r="B961" s="41">
        <v>44927</v>
      </c>
      <c r="C961" s="6" t="str">
        <f>VLOOKUP(Compras[[#This Row],[Codigo]],Stock[#Data],2,FALSE)</f>
        <v xml:space="preserve">Picador lion Barcelona California Amsterdam 2 partes </v>
      </c>
      <c r="D961" s="40">
        <v>2</v>
      </c>
      <c r="E961" s="6">
        <v>429</v>
      </c>
      <c r="F961" s="12">
        <f>VLOOKUP(Compras[[#This Row],[Codigo]],Stock[#Data],3,FALSE)</f>
        <v>2002</v>
      </c>
      <c r="G961" s="43">
        <f>Compras[[#This Row],[Unidad]]*Compras[[#This Row],[Cantidad]]</f>
        <v>4004</v>
      </c>
      <c r="H961" s="16"/>
      <c r="I961" s="16"/>
      <c r="J961" s="16"/>
      <c r="K961" s="16"/>
    </row>
    <row r="962" spans="1:11" ht="20.25" customHeight="1">
      <c r="A962" s="16"/>
      <c r="B962" s="41">
        <v>44927</v>
      </c>
      <c r="C962" s="6" t="str">
        <f>VLOOKUP(Compras[[#This Row],[Codigo]],Stock[#Data],2,FALSE)</f>
        <v>Pipas metalicas largas</v>
      </c>
      <c r="D962" s="40">
        <v>2</v>
      </c>
      <c r="E962" s="6">
        <v>430</v>
      </c>
      <c r="F962" s="12">
        <f>VLOOKUP(Compras[[#This Row],[Codigo]],Stock[#Data],3,FALSE)</f>
        <v>1235</v>
      </c>
      <c r="G962" s="43">
        <f>Compras[[#This Row],[Unidad]]*Compras[[#This Row],[Cantidad]]</f>
        <v>2470</v>
      </c>
      <c r="H962" s="16"/>
      <c r="I962" s="16"/>
      <c r="J962" s="16"/>
      <c r="K962" s="16"/>
    </row>
    <row r="963" spans="1:11" ht="20.25" customHeight="1">
      <c r="A963" s="16"/>
      <c r="B963" s="41">
        <v>44927</v>
      </c>
      <c r="C963" s="6" t="str">
        <f>VLOOKUP(Compras[[#This Row],[Codigo]],Stock[#Data],2,FALSE)</f>
        <v>Pipas Dk Vidrio cortas</v>
      </c>
      <c r="D963" s="40">
        <v>2</v>
      </c>
      <c r="E963" s="6">
        <v>431</v>
      </c>
      <c r="F963" s="12">
        <f>VLOOKUP(Compras[[#This Row],[Codigo]],Stock[#Data],3,FALSE)</f>
        <v>1192</v>
      </c>
      <c r="G963" s="43">
        <f>Compras[[#This Row],[Unidad]]*Compras[[#This Row],[Cantidad]]</f>
        <v>2384</v>
      </c>
      <c r="H963" s="16"/>
      <c r="I963" s="16"/>
      <c r="J963" s="16"/>
      <c r="K963" s="16"/>
    </row>
    <row r="964" spans="1:11" ht="20.25" customHeight="1">
      <c r="A964" s="16"/>
      <c r="B964" s="41">
        <v>44927</v>
      </c>
      <c r="C964" s="6" t="str">
        <f>VLOOKUP(Compras[[#This Row],[Codigo]],Stock[#Data],2,FALSE)</f>
        <v xml:space="preserve">Turbina Bujia </v>
      </c>
      <c r="D964" s="40">
        <v>2</v>
      </c>
      <c r="E964" s="6">
        <v>432</v>
      </c>
      <c r="F964" s="12">
        <f>VLOOKUP(Compras[[#This Row],[Codigo]],Stock[#Data],3,FALSE)</f>
        <v>525</v>
      </c>
      <c r="G964" s="43">
        <f>Compras[[#This Row],[Unidad]]*Compras[[#This Row],[Cantidad]]</f>
        <v>1050</v>
      </c>
      <c r="H964" s="16"/>
      <c r="I964" s="16"/>
      <c r="J964" s="16"/>
      <c r="K964" s="16"/>
    </row>
    <row r="965" spans="1:11" ht="20.25" customHeight="1">
      <c r="A965" s="16"/>
      <c r="B965" s="41">
        <v>44927</v>
      </c>
      <c r="C965" s="6" t="str">
        <f>VLOOKUP(Compras[[#This Row],[Codigo]],Stock[#Data],2,FALSE)</f>
        <v>Picador STAMPS 3p Acrilico</v>
      </c>
      <c r="D965" s="40">
        <v>3</v>
      </c>
      <c r="E965" s="6">
        <v>433</v>
      </c>
      <c r="F965" s="12">
        <f>VLOOKUP(Compras[[#This Row],[Codigo]],Stock[#Data],3,FALSE)</f>
        <v>270</v>
      </c>
      <c r="G965" s="43">
        <f>Compras[[#This Row],[Unidad]]*Compras[[#This Row],[Cantidad]]</f>
        <v>810</v>
      </c>
      <c r="H965" s="16"/>
      <c r="I965" s="16"/>
      <c r="J965" s="16"/>
      <c r="K965" s="16"/>
    </row>
    <row r="966" spans="1:11" ht="20.25" customHeight="1">
      <c r="A966" s="16"/>
      <c r="B966" s="41">
        <v>44927</v>
      </c>
      <c r="C966" s="6" t="str">
        <f>VLOOKUP(Compras[[#This Row],[Codigo]],Stock[#Data],2,FALSE)</f>
        <v>Picador Dk Calavera 3p</v>
      </c>
      <c r="D966" s="40">
        <v>1</v>
      </c>
      <c r="E966" s="6">
        <v>434</v>
      </c>
      <c r="F966" s="12">
        <f>VLOOKUP(Compras[[#This Row],[Codigo]],Stock[#Data],3,FALSE)</f>
        <v>1250</v>
      </c>
      <c r="G966" s="43">
        <f>Compras[[#This Row],[Unidad]]*Compras[[#This Row],[Cantidad]]</f>
        <v>1250</v>
      </c>
      <c r="H966" s="16"/>
      <c r="I966" s="16"/>
      <c r="J966" s="16"/>
      <c r="K966" s="16"/>
    </row>
    <row r="967" spans="1:11" ht="20.25" customHeight="1">
      <c r="A967" s="16"/>
      <c r="B967" s="41">
        <v>44927</v>
      </c>
      <c r="C967" s="6" t="str">
        <f>VLOOKUP(Compras[[#This Row],[Codigo]],Stock[#Data],2,FALSE)</f>
        <v xml:space="preserve">Picador Dk 4p Amsterdam hoja </v>
      </c>
      <c r="D967" s="40">
        <v>1</v>
      </c>
      <c r="E967" s="6">
        <v>435</v>
      </c>
      <c r="F967" s="12">
        <f>VLOOKUP(Compras[[#This Row],[Codigo]],Stock[#Data],3,FALSE)</f>
        <v>2140</v>
      </c>
      <c r="G967" s="43">
        <f>Compras[[#This Row],[Unidad]]*Compras[[#This Row],[Cantidad]]</f>
        <v>2140</v>
      </c>
      <c r="H967" s="16"/>
      <c r="I967" s="16"/>
      <c r="J967" s="16"/>
      <c r="K967" s="16"/>
    </row>
    <row r="968" spans="1:11" ht="20.25" customHeight="1">
      <c r="A968" s="16"/>
      <c r="B968" s="41">
        <v>44927</v>
      </c>
      <c r="C968" s="6" t="str">
        <f>VLOOKUP(Compras[[#This Row],[Codigo]],Stock[#Data],2,FALSE)</f>
        <v xml:space="preserve">Picador Stamp Metalico 4p </v>
      </c>
      <c r="D968" s="40">
        <v>1</v>
      </c>
      <c r="E968" s="6">
        <v>436</v>
      </c>
      <c r="F968" s="12">
        <f>VLOOKUP(Compras[[#This Row],[Codigo]],Stock[#Data],3,FALSE)</f>
        <v>4500</v>
      </c>
      <c r="G968" s="43">
        <f>Compras[[#This Row],[Unidad]]*Compras[[#This Row],[Cantidad]]</f>
        <v>4500</v>
      </c>
      <c r="H968" s="16"/>
      <c r="I968" s="16"/>
      <c r="J968" s="16"/>
      <c r="K968" s="16"/>
    </row>
    <row r="969" spans="1:11" ht="20.25" customHeight="1">
      <c r="A969" s="16"/>
      <c r="B969" s="41">
        <v>44927</v>
      </c>
      <c r="C969" s="6" t="str">
        <f>VLOOKUP(Compras[[#This Row],[Codigo]],Stock[#Data],2,FALSE)</f>
        <v xml:space="preserve">Pipas Capitan America </v>
      </c>
      <c r="D969" s="40">
        <v>2</v>
      </c>
      <c r="E969" s="6">
        <v>437</v>
      </c>
      <c r="F969" s="12">
        <f>VLOOKUP(Compras[[#This Row],[Codigo]],Stock[#Data],3,FALSE)</f>
        <v>1325</v>
      </c>
      <c r="G969" s="43">
        <f>Compras[[#This Row],[Unidad]]*Compras[[#This Row],[Cantidad]]</f>
        <v>2650</v>
      </c>
      <c r="H969" s="16"/>
      <c r="I969" s="16"/>
      <c r="J969" s="16"/>
      <c r="K969" s="16"/>
    </row>
    <row r="970" spans="1:11" ht="20.25" customHeight="1">
      <c r="A970" s="16"/>
      <c r="B970" s="41">
        <v>44927</v>
      </c>
      <c r="C970" s="6" t="str">
        <f>VLOOKUP(Compras[[#This Row],[Codigo]],Stock[#Data],2,FALSE)</f>
        <v>Maceta Mad Rocket 16L</v>
      </c>
      <c r="D970" s="40">
        <v>5</v>
      </c>
      <c r="E970" s="6">
        <v>438</v>
      </c>
      <c r="F970" s="12">
        <f>VLOOKUP(Compras[[#This Row],[Codigo]],Stock[#Data],3,FALSE)</f>
        <v>820</v>
      </c>
      <c r="G970" s="43">
        <f>Compras[[#This Row],[Unidad]]*Compras[[#This Row],[Cantidad]]</f>
        <v>4100</v>
      </c>
      <c r="H970" s="16"/>
      <c r="I970" s="16"/>
      <c r="J970" s="16"/>
      <c r="K970" s="16"/>
    </row>
    <row r="971" spans="1:11" ht="20.25" customHeight="1">
      <c r="A971" s="16"/>
      <c r="B971" s="41">
        <v>44927</v>
      </c>
      <c r="C971" s="6" t="str">
        <f>VLOOKUP(Compras[[#This Row],[Codigo]],Stock[#Data],2,FALSE)</f>
        <v xml:space="preserve">Bolsas Ziplock Keep it </v>
      </c>
      <c r="D971" s="40">
        <v>1</v>
      </c>
      <c r="E971" s="6">
        <v>439</v>
      </c>
      <c r="F971" s="12">
        <f>VLOOKUP(Compras[[#This Row],[Codigo]],Stock[#Data],3,FALSE)</f>
        <v>160</v>
      </c>
      <c r="G971" s="43">
        <f>Compras[[#This Row],[Unidad]]*Compras[[#This Row],[Cantidad]]</f>
        <v>160</v>
      </c>
      <c r="H971" s="16"/>
      <c r="I971" s="16"/>
      <c r="J971" s="16"/>
      <c r="K971" s="16"/>
    </row>
    <row r="972" spans="1:11" ht="20.25" customHeight="1">
      <c r="A972" s="16"/>
      <c r="B972" s="41">
        <v>44927</v>
      </c>
      <c r="C972" s="6" t="str">
        <f>VLOOKUP(Compras[[#This Row],[Codigo]],Stock[#Data],2,FALSE)</f>
        <v>Mochila Lion Rolling Circus</v>
      </c>
      <c r="D972" s="40">
        <v>2</v>
      </c>
      <c r="E972" s="6">
        <v>440</v>
      </c>
      <c r="F972" s="12">
        <f>VLOOKUP(Compras[[#This Row],[Codigo]],Stock[#Data],3,FALSE)</f>
        <v>1011</v>
      </c>
      <c r="G972" s="43">
        <f>Compras[[#This Row],[Unidad]]*Compras[[#This Row],[Cantidad]]</f>
        <v>2022</v>
      </c>
      <c r="H972" s="16"/>
      <c r="I972" s="16"/>
      <c r="J972" s="16"/>
      <c r="K972" s="16"/>
    </row>
    <row r="973" spans="1:11" ht="20.25" customHeight="1">
      <c r="A973" s="16"/>
      <c r="B973" s="41">
        <v>44927</v>
      </c>
      <c r="C973" s="6" t="str">
        <f>VLOOKUP(Compras[[#This Row],[Codigo]],Stock[#Data],2,FALSE)</f>
        <v xml:space="preserve">Bio Proyect Ph + 125ml </v>
      </c>
      <c r="D973" s="40">
        <v>4</v>
      </c>
      <c r="E973" s="6">
        <v>441</v>
      </c>
      <c r="F973" s="12">
        <f>VLOOKUP(Compras[[#This Row],[Codigo]],Stock[#Data],3,FALSE)</f>
        <v>631</v>
      </c>
      <c r="G973" s="43">
        <f>Compras[[#This Row],[Unidad]]*Compras[[#This Row],[Cantidad]]</f>
        <v>2524</v>
      </c>
      <c r="H973" s="16"/>
      <c r="I973" s="16"/>
      <c r="J973" s="16"/>
      <c r="K973" s="16"/>
    </row>
    <row r="974" spans="1:11" ht="20.25" customHeight="1">
      <c r="A974" s="16"/>
      <c r="B974" s="41">
        <v>44927</v>
      </c>
      <c r="C974" s="6" t="str">
        <f>VLOOKUP(Compras[[#This Row],[Codigo]],Stock[#Data],2,FALSE)</f>
        <v>Tree mix Pro 1L</v>
      </c>
      <c r="D974" s="40">
        <v>1</v>
      </c>
      <c r="E974" s="6">
        <v>442</v>
      </c>
      <c r="F974" s="12">
        <f>VLOOKUP(Compras[[#This Row],[Codigo]],Stock[#Data],3,FALSE)</f>
        <v>2310</v>
      </c>
      <c r="G974" s="43">
        <f>Compras[[#This Row],[Unidad]]*Compras[[#This Row],[Cantidad]]</f>
        <v>2310</v>
      </c>
      <c r="H974" s="16"/>
      <c r="I974" s="16"/>
      <c r="J974" s="16"/>
      <c r="K974" s="16"/>
    </row>
    <row r="975" spans="1:11" ht="20.25" customHeight="1">
      <c r="A975" s="16"/>
      <c r="B975" s="41">
        <v>44927</v>
      </c>
      <c r="C975" s="6" t="str">
        <f>VLOOKUP(Compras[[#This Row],[Codigo]],Stock[#Data],2,FALSE)</f>
        <v xml:space="preserve">Tree mix F 1L  </v>
      </c>
      <c r="D975" s="40">
        <v>1</v>
      </c>
      <c r="E975" s="6">
        <v>444</v>
      </c>
      <c r="F975" s="12">
        <f>VLOOKUP(Compras[[#This Row],[Codigo]],Stock[#Data],3,FALSE)</f>
        <v>2670</v>
      </c>
      <c r="G975" s="43">
        <f>Compras[[#This Row],[Unidad]]*Compras[[#This Row],[Cantidad]]</f>
        <v>2670</v>
      </c>
      <c r="H975" s="16"/>
      <c r="I975" s="16"/>
      <c r="J975" s="16"/>
      <c r="K975" s="16"/>
    </row>
    <row r="976" spans="1:11" ht="20.25" customHeight="1">
      <c r="A976" s="16"/>
      <c r="B976" s="41">
        <v>44927</v>
      </c>
      <c r="C976" s="6" t="str">
        <f>VLOOKUP(Compras[[#This Row],[Codigo]],Stock[#Data],2,FALSE)</f>
        <v>Tree Mix A 500ml</v>
      </c>
      <c r="D976" s="40">
        <v>1</v>
      </c>
      <c r="E976" s="6">
        <v>447</v>
      </c>
      <c r="F976" s="12">
        <f>VLOOKUP(Compras[[#This Row],[Codigo]],Stock[#Data],3,FALSE)</f>
        <v>1430</v>
      </c>
      <c r="G976" s="43">
        <f>Compras[[#This Row],[Unidad]]*Compras[[#This Row],[Cantidad]]</f>
        <v>1430</v>
      </c>
      <c r="H976" s="16"/>
      <c r="I976" s="16"/>
      <c r="J976" s="16"/>
      <c r="K976" s="16"/>
    </row>
    <row r="977" spans="1:11" ht="20.25" customHeight="1">
      <c r="A977" s="16"/>
      <c r="B977" s="41">
        <v>44927</v>
      </c>
      <c r="C977" s="6" t="str">
        <f>VLOOKUP(Compras[[#This Row],[Codigo]],Stock[#Data],2,FALSE)</f>
        <v>Tree Mix  Candy 500ml</v>
      </c>
      <c r="D977" s="40">
        <v>1</v>
      </c>
      <c r="E977" s="6">
        <v>449</v>
      </c>
      <c r="F977" s="12">
        <f>VLOOKUP(Compras[[#This Row],[Codigo]],Stock[#Data],3,FALSE)</f>
        <v>1260</v>
      </c>
      <c r="G977" s="43">
        <f>Compras[[#This Row],[Unidad]]*Compras[[#This Row],[Cantidad]]</f>
        <v>1260</v>
      </c>
      <c r="H977" s="16"/>
      <c r="I977" s="16"/>
      <c r="J977" s="16"/>
      <c r="K977" s="16"/>
    </row>
    <row r="978" spans="1:11" ht="20.25" customHeight="1">
      <c r="A978" s="16"/>
      <c r="B978" s="41">
        <v>44927</v>
      </c>
      <c r="C978" s="6" t="str">
        <f>VLOOKUP(Compras[[#This Row],[Codigo]],Stock[#Data],2,FALSE)</f>
        <v>Tree Mix  Candy 200ml</v>
      </c>
      <c r="D978" s="40">
        <v>4</v>
      </c>
      <c r="E978" s="6">
        <v>450</v>
      </c>
      <c r="F978" s="12">
        <f>VLOOKUP(Compras[[#This Row],[Codigo]],Stock[#Data],3,FALSE)</f>
        <v>520</v>
      </c>
      <c r="G978" s="43">
        <f>Compras[[#This Row],[Unidad]]*Compras[[#This Row],[Cantidad]]</f>
        <v>2080</v>
      </c>
      <c r="H978" s="16"/>
      <c r="I978" s="16"/>
      <c r="J978" s="16"/>
      <c r="K978" s="16"/>
    </row>
    <row r="979" spans="1:11" ht="20.25" customHeight="1">
      <c r="A979" s="16"/>
      <c r="B979" s="41">
        <v>44927</v>
      </c>
      <c r="C979" s="6" t="str">
        <f>VLOOKUP(Compras[[#This Row],[Codigo]],Stock[#Data],2,FALSE)</f>
        <v>Vermiculita</v>
      </c>
      <c r="D979" s="40">
        <v>4</v>
      </c>
      <c r="E979" s="6">
        <v>451</v>
      </c>
      <c r="F979" s="12">
        <f>VLOOKUP(Compras[[#This Row],[Codigo]],Stock[#Data],3,FALSE)</f>
        <v>844</v>
      </c>
      <c r="G979" s="43">
        <f>Compras[[#This Row],[Unidad]]*Compras[[#This Row],[Cantidad]]</f>
        <v>3376</v>
      </c>
      <c r="H979" s="16"/>
      <c r="I979" s="16"/>
      <c r="J979" s="16"/>
      <c r="K979" s="16"/>
    </row>
    <row r="980" spans="1:11" ht="20.25" customHeight="1">
      <c r="A980" s="16"/>
      <c r="B980" s="41">
        <v>44927</v>
      </c>
      <c r="C980" s="6" t="str">
        <f>VLOOKUP(Compras[[#This Row],[Codigo]],Stock[#Data],2,FALSE)</f>
        <v>Nostress Dolomita</v>
      </c>
      <c r="D980" s="40">
        <v>5</v>
      </c>
      <c r="E980" s="6">
        <v>452</v>
      </c>
      <c r="F980" s="12">
        <f>VLOOKUP(Compras[[#This Row],[Codigo]],Stock[#Data],3,FALSE)</f>
        <v>230</v>
      </c>
      <c r="G980" s="43">
        <f>Compras[[#This Row],[Unidad]]*Compras[[#This Row],[Cantidad]]</f>
        <v>1150</v>
      </c>
      <c r="H980" s="16"/>
      <c r="I980" s="16"/>
      <c r="J980" s="16"/>
      <c r="K980" s="16"/>
    </row>
    <row r="981" spans="1:11" ht="20.25" customHeight="1">
      <c r="A981" s="16"/>
      <c r="B981" s="41">
        <v>44927</v>
      </c>
      <c r="C981" s="6" t="str">
        <f>VLOOKUP(Compras[[#This Row],[Codigo]],Stock[#Data],2,FALSE)</f>
        <v xml:space="preserve">Tips Raw Cone </v>
      </c>
      <c r="D981" s="40">
        <v>18</v>
      </c>
      <c r="E981" s="6">
        <v>453</v>
      </c>
      <c r="F981" s="12">
        <f>VLOOKUP(Compras[[#This Row],[Codigo]],Stock[#Data],3,FALSE)</f>
        <v>230</v>
      </c>
      <c r="G981" s="43">
        <f>Compras[[#This Row],[Unidad]]*Compras[[#This Row],[Cantidad]]</f>
        <v>4140</v>
      </c>
      <c r="H981" s="16"/>
      <c r="I981" s="16"/>
      <c r="J981" s="16"/>
      <c r="K981" s="16"/>
    </row>
    <row r="982" spans="1:11" ht="20.25" customHeight="1">
      <c r="A982" s="16"/>
      <c r="B982" s="41">
        <v>44927</v>
      </c>
      <c r="C982" s="6" t="str">
        <f>VLOOKUP(Compras[[#This Row],[Codigo]],Stock[#Data],2,FALSE)</f>
        <v>Vax Skog</v>
      </c>
      <c r="D982" s="40">
        <v>10</v>
      </c>
      <c r="E982" s="6">
        <v>454</v>
      </c>
      <c r="F982" s="12">
        <f>VLOOKUP(Compras[[#This Row],[Codigo]],Stock[#Data],3,FALSE)</f>
        <v>376</v>
      </c>
      <c r="G982" s="43">
        <f>Compras[[#This Row],[Unidad]]*Compras[[#This Row],[Cantidad]]</f>
        <v>3760</v>
      </c>
      <c r="H982" s="16"/>
      <c r="I982" s="16"/>
      <c r="J982" s="16"/>
      <c r="K982" s="16"/>
    </row>
    <row r="983" spans="1:11" ht="20.25" customHeight="1">
      <c r="A983" s="16"/>
      <c r="B983" s="41">
        <v>44927</v>
      </c>
      <c r="C983" s="6" t="str">
        <f>VLOOKUP(Compras[[#This Row],[Codigo]],Stock[#Data],2,FALSE)</f>
        <v>Melaza 100% natural</v>
      </c>
      <c r="D983" s="40">
        <v>4</v>
      </c>
      <c r="E983" s="6">
        <v>455</v>
      </c>
      <c r="F983" s="12">
        <f>VLOOKUP(Compras[[#This Row],[Codigo]],Stock[#Data],3,FALSE)</f>
        <v>340</v>
      </c>
      <c r="G983" s="43">
        <f>Compras[[#This Row],[Unidad]]*Compras[[#This Row],[Cantidad]]</f>
        <v>1360</v>
      </c>
      <c r="H983" s="16"/>
      <c r="I983" s="16"/>
      <c r="J983" s="16"/>
      <c r="K983" s="16"/>
    </row>
    <row r="984" spans="1:11" ht="20.25" customHeight="1">
      <c r="A984" s="16"/>
      <c r="B984" s="41">
        <v>44927</v>
      </c>
      <c r="C984" s="6" t="str">
        <f>VLOOKUP(Compras[[#This Row],[Codigo]],Stock[#Data],2,FALSE)</f>
        <v>Macetas Sopladas 3L</v>
      </c>
      <c r="D984" s="40">
        <v>76</v>
      </c>
      <c r="E984" s="6">
        <v>456</v>
      </c>
      <c r="F984" s="12">
        <f>VLOOKUP(Compras[[#This Row],[Codigo]],Stock[#Data],3,FALSE)</f>
        <v>58</v>
      </c>
      <c r="G984" s="43">
        <f>Compras[[#This Row],[Unidad]]*Compras[[#This Row],[Cantidad]]</f>
        <v>4408</v>
      </c>
      <c r="H984" s="16"/>
      <c r="I984" s="16"/>
      <c r="J984" s="16"/>
      <c r="K984" s="16"/>
    </row>
    <row r="985" spans="1:11" ht="20.25" customHeight="1">
      <c r="A985" s="16"/>
      <c r="B985" s="41">
        <v>44927</v>
      </c>
      <c r="C985" s="6" t="str">
        <f>VLOOKUP(Compras[[#This Row],[Codigo]],Stock[#Data],2,FALSE)</f>
        <v>Tips Lion silver</v>
      </c>
      <c r="D985" s="40">
        <v>13</v>
      </c>
      <c r="E985" s="6">
        <v>457</v>
      </c>
      <c r="F985" s="12">
        <f>VLOOKUP(Compras[[#This Row],[Codigo]],Stock[#Data],3,FALSE)</f>
        <v>137</v>
      </c>
      <c r="G985" s="43">
        <f>Compras[[#This Row],[Unidad]]*Compras[[#This Row],[Cantidad]]</f>
        <v>1781</v>
      </c>
      <c r="H985" s="16"/>
      <c r="I985" s="16"/>
      <c r="J985" s="16"/>
      <c r="K985" s="16"/>
    </row>
    <row r="986" spans="1:11" ht="20.25" customHeight="1">
      <c r="A986" s="16"/>
      <c r="B986" s="41">
        <v>44927</v>
      </c>
      <c r="C986" s="6" t="str">
        <f>VLOOKUP(Compras[[#This Row],[Codigo]],Stock[#Data],2,FALSE)</f>
        <v>Tips Lion Unbleached</v>
      </c>
      <c r="D986" s="40">
        <v>17</v>
      </c>
      <c r="E986" s="6">
        <v>458</v>
      </c>
      <c r="F986" s="12">
        <f>VLOOKUP(Compras[[#This Row],[Codigo]],Stock[#Data],3,FALSE)</f>
        <v>137</v>
      </c>
      <c r="G986" s="43">
        <f>Compras[[#This Row],[Unidad]]*Compras[[#This Row],[Cantidad]]</f>
        <v>2329</v>
      </c>
      <c r="H986" s="16"/>
      <c r="I986" s="16"/>
      <c r="J986" s="16"/>
      <c r="K986" s="16"/>
    </row>
    <row r="987" spans="1:11" ht="20.25" customHeight="1">
      <c r="A987" s="16"/>
      <c r="B987" s="41">
        <v>44927</v>
      </c>
      <c r="C987" s="6" t="str">
        <f>VLOOKUP(Compras[[#This Row],[Codigo]],Stock[#Data],2,FALSE)</f>
        <v>Bandeja lion Gold</v>
      </c>
      <c r="D987" s="40">
        <v>2</v>
      </c>
      <c r="E987" s="6">
        <v>459</v>
      </c>
      <c r="F987" s="12">
        <f>VLOOKUP(Compras[[#This Row],[Codigo]],Stock[#Data],3,FALSE)</f>
        <v>1822</v>
      </c>
      <c r="G987" s="43">
        <f>Compras[[#This Row],[Unidad]]*Compras[[#This Row],[Cantidad]]</f>
        <v>3644</v>
      </c>
      <c r="H987" s="16"/>
      <c r="I987" s="16"/>
      <c r="J987" s="16"/>
      <c r="K987" s="16"/>
    </row>
    <row r="988" spans="1:11" ht="20.25" customHeight="1">
      <c r="A988" s="16"/>
      <c r="B988" s="41">
        <v>44927</v>
      </c>
      <c r="C988" s="6" t="str">
        <f>VLOOKUP(Compras[[#This Row],[Codigo]],Stock[#Data],2,FALSE)</f>
        <v>Picador Pikachu</v>
      </c>
      <c r="D988" s="40">
        <v>1</v>
      </c>
      <c r="E988" s="6">
        <v>460</v>
      </c>
      <c r="F988" s="12">
        <f>VLOOKUP(Compras[[#This Row],[Codigo]],Stock[#Data],3,FALSE)</f>
        <v>2727</v>
      </c>
      <c r="G988" s="43">
        <f>Compras[[#This Row],[Unidad]]*Compras[[#This Row],[Cantidad]]</f>
        <v>2727</v>
      </c>
      <c r="H988" s="16"/>
      <c r="I988" s="16"/>
      <c r="J988" s="16"/>
      <c r="K988" s="16"/>
    </row>
    <row r="989" spans="1:11" ht="20.25" customHeight="1">
      <c r="A989" s="16"/>
      <c r="B989" s="41">
        <v>44927</v>
      </c>
      <c r="C989" s="6" t="str">
        <f>VLOOKUP(Compras[[#This Row],[Codigo]],Stock[#Data],2,FALSE)</f>
        <v>Picador Scuadarfum triangulo</v>
      </c>
      <c r="D989" s="40">
        <v>2</v>
      </c>
      <c r="E989" s="6">
        <v>462</v>
      </c>
      <c r="F989" s="12">
        <f>VLOOKUP(Compras[[#This Row],[Codigo]],Stock[#Data],3,FALSE)</f>
        <v>575</v>
      </c>
      <c r="G989" s="43">
        <f>Compras[[#This Row],[Unidad]]*Compras[[#This Row],[Cantidad]]</f>
        <v>1150</v>
      </c>
      <c r="H989" s="16"/>
      <c r="I989" s="16"/>
      <c r="J989" s="16"/>
      <c r="K989" s="16"/>
    </row>
    <row r="990" spans="1:11" ht="20.25" customHeight="1">
      <c r="A990" s="16"/>
      <c r="B990" s="41">
        <v>44927</v>
      </c>
      <c r="C990" s="6" t="str">
        <f>VLOOKUP(Compras[[#This Row],[Codigo]],Stock[#Data],2,FALSE)</f>
        <v>Bandeja Vidrio templado</v>
      </c>
      <c r="D990" s="40">
        <v>1</v>
      </c>
      <c r="E990" s="6">
        <v>463</v>
      </c>
      <c r="F990" s="12">
        <f>VLOOKUP(Compras[[#This Row],[Codigo]],Stock[#Data],3,FALSE)</f>
        <v>2000</v>
      </c>
      <c r="G990" s="43">
        <f>Compras[[#This Row],[Unidad]]*Compras[[#This Row],[Cantidad]]</f>
        <v>2000</v>
      </c>
      <c r="H990" s="16"/>
      <c r="I990" s="16"/>
      <c r="J990" s="16"/>
      <c r="K990" s="16"/>
    </row>
    <row r="991" spans="1:11" ht="20.25" customHeight="1">
      <c r="A991" s="16"/>
      <c r="B991" s="41">
        <v>44927</v>
      </c>
      <c r="C991" s="6" t="str">
        <f>VLOOKUP(Compras[[#This Row],[Codigo]],Stock[#Data],2,FALSE)</f>
        <v>Rape El gran tabacal</v>
      </c>
      <c r="D991" s="40">
        <v>2</v>
      </c>
      <c r="E991" s="6">
        <v>464</v>
      </c>
      <c r="F991" s="12">
        <f>VLOOKUP(Compras[[#This Row],[Codigo]],Stock[#Data],3,FALSE)</f>
        <v>500</v>
      </c>
      <c r="G991" s="43">
        <f>Compras[[#This Row],[Unidad]]*Compras[[#This Row],[Cantidad]]</f>
        <v>1000</v>
      </c>
      <c r="H991" s="16"/>
      <c r="I991" s="16"/>
      <c r="J991" s="16"/>
      <c r="K991" s="16"/>
    </row>
    <row r="992" spans="1:11" ht="20.25" customHeight="1">
      <c r="A992" s="16"/>
      <c r="B992" s="41">
        <v>44927</v>
      </c>
      <c r="C992" s="6" t="str">
        <f>VLOOKUP(Compras[[#This Row],[Codigo]],Stock[#Data],2,FALSE)</f>
        <v>Crema Cannabis Ned Lud</v>
      </c>
      <c r="D992" s="40">
        <v>1</v>
      </c>
      <c r="E992" s="6">
        <v>465</v>
      </c>
      <c r="F992" s="12">
        <f>VLOOKUP(Compras[[#This Row],[Codigo]],Stock[#Data],3,FALSE)</f>
        <v>1000</v>
      </c>
      <c r="G992" s="43">
        <f>Compras[[#This Row],[Unidad]]*Compras[[#This Row],[Cantidad]]</f>
        <v>1000</v>
      </c>
      <c r="H992" s="16"/>
      <c r="I992" s="16"/>
      <c r="J992" s="16"/>
      <c r="K992" s="16"/>
    </row>
    <row r="993" spans="1:11" ht="20.25" customHeight="1">
      <c r="A993" s="16"/>
      <c r="B993" s="41">
        <v>44927</v>
      </c>
      <c r="C993" s="6" t="str">
        <f>VLOOKUP(Compras[[#This Row],[Codigo]],Stock[#Data],2,FALSE)</f>
        <v>Aceite de Cannabis Ned Lud 20ml</v>
      </c>
      <c r="D993" s="40">
        <v>1</v>
      </c>
      <c r="E993" s="6">
        <v>466</v>
      </c>
      <c r="F993" s="12">
        <f>VLOOKUP(Compras[[#This Row],[Codigo]],Stock[#Data],3,FALSE)</f>
        <v>4000</v>
      </c>
      <c r="G993" s="43">
        <f>Compras[[#This Row],[Unidad]]*Compras[[#This Row],[Cantidad]]</f>
        <v>4000</v>
      </c>
      <c r="H993" s="16"/>
      <c r="I993" s="16"/>
      <c r="J993" s="16"/>
      <c r="K993" s="16"/>
    </row>
    <row r="994" spans="1:11" ht="20.25" customHeight="1">
      <c r="A994" s="16"/>
      <c r="B994" s="41">
        <v>44927</v>
      </c>
      <c r="C994" s="6" t="str">
        <f>VLOOKUP(Compras[[#This Row],[Codigo]],Stock[#Data],2,FALSE)</f>
        <v xml:space="preserve">Maceta Geotextil Pochita 24L </v>
      </c>
      <c r="D994" s="40">
        <v>2</v>
      </c>
      <c r="E994" s="6">
        <v>467</v>
      </c>
      <c r="F994" s="12">
        <f>VLOOKUP(Compras[[#This Row],[Codigo]],Stock[#Data],3,FALSE)</f>
        <v>421</v>
      </c>
      <c r="G994" s="43">
        <f>Compras[[#This Row],[Unidad]]*Compras[[#This Row],[Cantidad]]</f>
        <v>842</v>
      </c>
      <c r="H994" s="16"/>
      <c r="I994" s="16"/>
      <c r="J994" s="16"/>
      <c r="K994" s="16"/>
    </row>
    <row r="995" spans="1:11" ht="20.25" customHeight="1">
      <c r="A995" s="16"/>
      <c r="B995" s="41">
        <v>44927</v>
      </c>
      <c r="C995" s="6" t="str">
        <f>VLOOKUP(Compras[[#This Row],[Codigo]],Stock[#Data],2,FALSE)</f>
        <v>Tierra de Diatomeas La Pota 500g</v>
      </c>
      <c r="D995" s="40">
        <v>4</v>
      </c>
      <c r="E995" s="6">
        <v>468</v>
      </c>
      <c r="F995" s="12">
        <f>VLOOKUP(Compras[[#This Row],[Codigo]],Stock[#Data],3,FALSE)</f>
        <v>720</v>
      </c>
      <c r="G995" s="43">
        <f>Compras[[#This Row],[Unidad]]*Compras[[#This Row],[Cantidad]]</f>
        <v>2880</v>
      </c>
      <c r="H995" s="16"/>
      <c r="I995" s="16"/>
      <c r="J995" s="16"/>
      <c r="K995" s="16"/>
    </row>
    <row r="996" spans="1:11" ht="20.25" customHeight="1">
      <c r="A996" s="16"/>
      <c r="B996" s="41">
        <v>44927</v>
      </c>
      <c r="C996" s="6" t="str">
        <f>VLOOKUP(Compras[[#This Row],[Codigo]],Stock[#Data],2,FALSE)</f>
        <v>Repelente para Hormigas Green Leaf</v>
      </c>
      <c r="D996" s="40">
        <v>5</v>
      </c>
      <c r="E996" s="6">
        <v>469</v>
      </c>
      <c r="F996" s="12">
        <f>VLOOKUP(Compras[[#This Row],[Codigo]],Stock[#Data],3,FALSE)</f>
        <v>498</v>
      </c>
      <c r="G996" s="43">
        <f>Compras[[#This Row],[Unidad]]*Compras[[#This Row],[Cantidad]]</f>
        <v>2490</v>
      </c>
      <c r="H996" s="16"/>
      <c r="I996" s="16"/>
      <c r="J996" s="16"/>
      <c r="K996" s="16"/>
    </row>
    <row r="997" spans="1:11" ht="20.25" customHeight="1">
      <c r="A997" s="16"/>
      <c r="B997" s="41">
        <v>44927</v>
      </c>
      <c r="C997" s="6" t="str">
        <f>VLOOKUP(Compras[[#This Row],[Codigo]],Stock[#Data],2,FALSE)</f>
        <v>Araña Roja Green Leaf 100ml</v>
      </c>
      <c r="D997" s="40">
        <v>5</v>
      </c>
      <c r="E997" s="6">
        <v>470</v>
      </c>
      <c r="F997" s="12">
        <f>VLOOKUP(Compras[[#This Row],[Codigo]],Stock[#Data],3,FALSE)</f>
        <v>904</v>
      </c>
      <c r="G997" s="43">
        <f>Compras[[#This Row],[Unidad]]*Compras[[#This Row],[Cantidad]]</f>
        <v>4520</v>
      </c>
      <c r="H997" s="16"/>
      <c r="I997" s="16"/>
      <c r="J997" s="16"/>
      <c r="K997" s="16"/>
    </row>
    <row r="998" spans="1:11" ht="20.25" customHeight="1">
      <c r="A998" s="16"/>
      <c r="B998" s="41">
        <v>44927</v>
      </c>
      <c r="C998" s="6" t="str">
        <f>VLOOKUP(Compras[[#This Row],[Codigo]],Stock[#Data],2,FALSE)</f>
        <v>Alga Delta 100ml</v>
      </c>
      <c r="D998" s="40">
        <v>2</v>
      </c>
      <c r="E998" s="6">
        <v>471</v>
      </c>
      <c r="F998" s="12">
        <f>VLOOKUP(Compras[[#This Row],[Codigo]],Stock[#Data],3,FALSE)</f>
        <v>808</v>
      </c>
      <c r="G998" s="43">
        <f>Compras[[#This Row],[Unidad]]*Compras[[#This Row],[Cantidad]]</f>
        <v>1616</v>
      </c>
      <c r="H998" s="16"/>
      <c r="I998" s="16"/>
      <c r="J998" s="16"/>
      <c r="K998" s="16"/>
    </row>
    <row r="999" spans="1:11" ht="20.25" customHeight="1">
      <c r="A999" s="16"/>
      <c r="B999" s="41">
        <v>44927</v>
      </c>
      <c r="C999" s="6" t="str">
        <f>VLOOKUP(Compras[[#This Row],[Codigo]],Stock[#Data],2,FALSE)</f>
        <v>Eztabilizador 15g 62% keep it Fresh</v>
      </c>
      <c r="D999" s="40">
        <v>1</v>
      </c>
      <c r="E999" s="6">
        <v>472</v>
      </c>
      <c r="F999" s="12">
        <f>VLOOKUP(Compras[[#This Row],[Codigo]],Stock[#Data],3,FALSE)</f>
        <v>1084</v>
      </c>
      <c r="G999" s="43">
        <f>Compras[[#This Row],[Unidad]]*Compras[[#This Row],[Cantidad]]</f>
        <v>1084</v>
      </c>
      <c r="H999" s="16"/>
      <c r="I999" s="16"/>
      <c r="J999" s="16"/>
      <c r="K999" s="16"/>
    </row>
    <row r="1000" spans="1:11" ht="20.25" customHeight="1">
      <c r="A1000" s="16"/>
      <c r="B1000" s="41">
        <v>44927</v>
      </c>
      <c r="C1000" s="6" t="str">
        <f>VLOOKUP(Compras[[#This Row],[Codigo]],Stock[#Data],2,FALSE)</f>
        <v>Bandeja 3 Rayos Chica</v>
      </c>
      <c r="D1000" s="40">
        <v>4</v>
      </c>
      <c r="E1000" s="6">
        <v>473</v>
      </c>
      <c r="F1000" s="12">
        <f>VLOOKUP(Compras[[#This Row],[Codigo]],Stock[#Data],3,FALSE)</f>
        <v>1210</v>
      </c>
      <c r="G1000" s="43">
        <f>Compras[[#This Row],[Unidad]]*Compras[[#This Row],[Cantidad]]</f>
        <v>4840</v>
      </c>
      <c r="H1000" s="16"/>
      <c r="I1000" s="16"/>
      <c r="J1000" s="16"/>
      <c r="K1000" s="16"/>
    </row>
    <row r="1001" spans="1:11" ht="20.25" customHeight="1">
      <c r="A1001" s="16"/>
      <c r="B1001" s="41">
        <v>44927</v>
      </c>
      <c r="C1001" s="6" t="str">
        <f>VLOOKUP(Compras[[#This Row],[Codigo]],Stock[#Data],2,FALSE)</f>
        <v xml:space="preserve">Picador  Atomic Acrilico 5p </v>
      </c>
      <c r="D1001" s="40">
        <v>2</v>
      </c>
      <c r="E1001" s="6">
        <v>474</v>
      </c>
      <c r="F1001" s="12">
        <f>VLOOKUP(Compras[[#This Row],[Codigo]],Stock[#Data],3,FALSE)</f>
        <v>650</v>
      </c>
      <c r="G1001" s="43">
        <f>Compras[[#This Row],[Unidad]]*Compras[[#This Row],[Cantidad]]</f>
        <v>1300</v>
      </c>
      <c r="H1001" s="16"/>
      <c r="I1001" s="16"/>
      <c r="J1001" s="16"/>
      <c r="K1001" s="16"/>
    </row>
    <row r="1002" spans="1:11" ht="20.25" customHeight="1">
      <c r="A1002" s="16"/>
      <c r="B1002" s="41">
        <v>44927</v>
      </c>
      <c r="C1002" s="6" t="str">
        <f>VLOOKUP(Compras[[#This Row],[Codigo]],Stock[#Data],2,FALSE)</f>
        <v>Picador Lion  Acrilico 2p</v>
      </c>
      <c r="D1002" s="40">
        <v>5</v>
      </c>
      <c r="E1002" s="6">
        <v>475</v>
      </c>
      <c r="F1002" s="12">
        <f>VLOOKUP(Compras[[#This Row],[Codigo]],Stock[#Data],3,FALSE)</f>
        <v>770</v>
      </c>
      <c r="G1002" s="43">
        <f>Compras[[#This Row],[Unidad]]*Compras[[#This Row],[Cantidad]]</f>
        <v>3850</v>
      </c>
      <c r="H1002" s="16"/>
      <c r="I1002" s="16"/>
      <c r="J1002" s="16"/>
      <c r="K1002" s="16"/>
    </row>
    <row r="1003" spans="1:11" ht="20.25" customHeight="1">
      <c r="A1003" s="16"/>
      <c r="B1003" s="41">
        <v>44927</v>
      </c>
      <c r="C1003" s="6" t="str">
        <f>VLOOKUP(Compras[[#This Row],[Codigo]],Stock[#Data],2,FALSE)</f>
        <v xml:space="preserve">Filtros Gizhe + Sedas </v>
      </c>
      <c r="D1003" s="40">
        <v>13</v>
      </c>
      <c r="E1003" s="6">
        <v>476</v>
      </c>
      <c r="F1003" s="12">
        <f>VLOOKUP(Compras[[#This Row],[Codigo]],Stock[#Data],3,FALSE)</f>
        <v>150</v>
      </c>
      <c r="G1003" s="43">
        <f>Compras[[#This Row],[Unidad]]*Compras[[#This Row],[Cantidad]]</f>
        <v>1950</v>
      </c>
      <c r="H1003" s="16"/>
      <c r="I1003" s="16"/>
      <c r="J1003" s="16"/>
      <c r="K1003" s="16"/>
    </row>
    <row r="1004" spans="1:11" ht="20.25" customHeight="1">
      <c r="A1004" s="16"/>
      <c r="B1004" s="41">
        <v>44927</v>
      </c>
      <c r="C1004" s="6" t="str">
        <f>VLOOKUP(Compras[[#This Row],[Codigo]],Stock[#Data],2,FALSE)</f>
        <v>Namaste Oro Negro 100ml</v>
      </c>
      <c r="D1004" s="40">
        <v>7</v>
      </c>
      <c r="E1004" s="6">
        <v>478</v>
      </c>
      <c r="F1004" s="12">
        <f>VLOOKUP(Compras[[#This Row],[Codigo]],Stock[#Data],3,FALSE)</f>
        <v>515</v>
      </c>
      <c r="G1004" s="43">
        <f>Compras[[#This Row],[Unidad]]*Compras[[#This Row],[Cantidad]]</f>
        <v>3605</v>
      </c>
      <c r="H1004" s="16"/>
      <c r="I1004" s="16"/>
      <c r="J1004" s="16"/>
      <c r="K1004" s="16"/>
    </row>
    <row r="1005" spans="1:11" ht="20.25" customHeight="1">
      <c r="A1005" s="16"/>
      <c r="B1005" s="41">
        <v>44927</v>
      </c>
      <c r="C1005" s="6" t="str">
        <f>VLOOKUP(Compras[[#This Row],[Codigo]],Stock[#Data],2,FALSE)</f>
        <v>Namaste Trico+ 100gr</v>
      </c>
      <c r="D1005" s="40">
        <v>9</v>
      </c>
      <c r="E1005" s="6">
        <v>479</v>
      </c>
      <c r="F1005" s="12">
        <f>VLOOKUP(Compras[[#This Row],[Codigo]],Stock[#Data],3,FALSE)</f>
        <v>541</v>
      </c>
      <c r="G1005" s="43">
        <f>Compras[[#This Row],[Unidad]]*Compras[[#This Row],[Cantidad]]</f>
        <v>4869</v>
      </c>
      <c r="H1005" s="16"/>
      <c r="I1005" s="16"/>
      <c r="J1005" s="16"/>
      <c r="K1005" s="16"/>
    </row>
    <row r="1006" spans="1:11" ht="20.25" customHeight="1">
      <c r="A1006" s="16"/>
      <c r="B1006" s="41">
        <v>44927</v>
      </c>
      <c r="C1006" s="6" t="str">
        <f>VLOOKUP(Compras[[#This Row],[Codigo]],Stock[#Data],2,FALSE)</f>
        <v>Namaste Flora Booster 100ml</v>
      </c>
      <c r="D1006" s="40">
        <v>4</v>
      </c>
      <c r="E1006" s="6">
        <v>480</v>
      </c>
      <c r="F1006" s="12">
        <f>VLOOKUP(Compras[[#This Row],[Codigo]],Stock[#Data],3,FALSE)</f>
        <v>517</v>
      </c>
      <c r="G1006" s="43">
        <f>Compras[[#This Row],[Unidad]]*Compras[[#This Row],[Cantidad]]</f>
        <v>2068</v>
      </c>
      <c r="H1006" s="16"/>
      <c r="I1006" s="16"/>
      <c r="J1006" s="16"/>
      <c r="K1006" s="16"/>
    </row>
    <row r="1007" spans="1:11" ht="20.25" customHeight="1">
      <c r="A1007" s="16"/>
      <c r="B1007" s="41">
        <v>44927</v>
      </c>
      <c r="C1007" s="6" t="str">
        <f>VLOOKUP(Compras[[#This Row],[Codigo]],Stock[#Data],2,FALSE)</f>
        <v>Pipa Atomic Aluminio</v>
      </c>
      <c r="D1007" s="40">
        <v>2</v>
      </c>
      <c r="E1007" s="6">
        <v>481</v>
      </c>
      <c r="F1007" s="12">
        <f>VLOOKUP(Compras[[#This Row],[Codigo]],Stock[#Data],3,FALSE)</f>
        <v>540</v>
      </c>
      <c r="G1007" s="43">
        <f>Compras[[#This Row],[Unidad]]*Compras[[#This Row],[Cantidad]]</f>
        <v>1080</v>
      </c>
      <c r="H1007" s="16"/>
      <c r="I1007" s="16"/>
      <c r="J1007" s="16"/>
      <c r="K1007" s="16"/>
    </row>
    <row r="1008" spans="1:11" ht="20.25" customHeight="1">
      <c r="A1008" s="16"/>
      <c r="B1008" s="41">
        <v>44927</v>
      </c>
      <c r="C1008" s="6" t="str">
        <f>VLOOKUP(Compras[[#This Row],[Codigo]],Stock[#Data],2,FALSE)</f>
        <v>Pipa Trop Metal labrado</v>
      </c>
      <c r="D1008" s="40">
        <v>1</v>
      </c>
      <c r="E1008" s="6">
        <v>482</v>
      </c>
      <c r="F1008" s="12">
        <f>VLOOKUP(Compras[[#This Row],[Codigo]],Stock[#Data],3,FALSE)</f>
        <v>550</v>
      </c>
      <c r="G1008" s="43">
        <f>Compras[[#This Row],[Unidad]]*Compras[[#This Row],[Cantidad]]</f>
        <v>550</v>
      </c>
      <c r="H1008" s="16"/>
      <c r="I1008" s="16"/>
      <c r="J1008" s="16"/>
      <c r="K1008" s="16"/>
    </row>
    <row r="1009" spans="1:11" ht="20.25" customHeight="1">
      <c r="A1009" s="16"/>
      <c r="B1009" s="41">
        <v>44927</v>
      </c>
      <c r="C1009" s="6" t="str">
        <f>VLOOKUP(Compras[[#This Row],[Codigo]],Stock[#Data],2,FALSE)</f>
        <v>Bencina Clear Lata 133mlt</v>
      </c>
      <c r="D1009" s="40">
        <v>3</v>
      </c>
      <c r="E1009" s="6">
        <v>484</v>
      </c>
      <c r="F1009" s="12">
        <f>VLOOKUP(Compras[[#This Row],[Codigo]],Stock[#Data],3,FALSE)</f>
        <v>565</v>
      </c>
      <c r="G1009" s="43">
        <f>Compras[[#This Row],[Unidad]]*Compras[[#This Row],[Cantidad]]</f>
        <v>1695</v>
      </c>
      <c r="H1009" s="16"/>
      <c r="I1009" s="16"/>
      <c r="J1009" s="16"/>
      <c r="K1009" s="16"/>
    </row>
    <row r="1010" spans="1:11" ht="20.25" customHeight="1">
      <c r="A1010" s="16"/>
      <c r="B1010" s="41">
        <v>44927</v>
      </c>
      <c r="C1010" s="6" t="str">
        <f>VLOOKUP(Compras[[#This Row],[Codigo]],Stock[#Data],2,FALSE)</f>
        <v>El Duende Humus Luquido 250mlt</v>
      </c>
      <c r="D1010" s="40">
        <v>1</v>
      </c>
      <c r="E1010" s="6">
        <v>485</v>
      </c>
      <c r="F1010" s="12">
        <f>VLOOKUP(Compras[[#This Row],[Codigo]],Stock[#Data],3,FALSE)</f>
        <v>433</v>
      </c>
      <c r="G1010" s="43">
        <f>Compras[[#This Row],[Unidad]]*Compras[[#This Row],[Cantidad]]</f>
        <v>433</v>
      </c>
      <c r="H1010" s="16"/>
      <c r="I1010" s="16"/>
      <c r="J1010" s="16"/>
      <c r="K1010" s="16"/>
    </row>
    <row r="1011" spans="1:11" ht="20.25" customHeight="1">
      <c r="A1011" s="16"/>
      <c r="B1011" s="41">
        <v>44927</v>
      </c>
      <c r="C1011" s="6" t="str">
        <f>VLOOKUP(Compras[[#This Row],[Codigo]],Stock[#Data],2,FALSE)</f>
        <v>Clonaste Namaste 30gr</v>
      </c>
      <c r="D1011" s="40">
        <v>3</v>
      </c>
      <c r="E1011" s="6">
        <v>486</v>
      </c>
      <c r="F1011" s="12">
        <f>VLOOKUP(Compras[[#This Row],[Codigo]],Stock[#Data],3,FALSE)</f>
        <v>1054</v>
      </c>
      <c r="G1011" s="43">
        <f>Compras[[#This Row],[Unidad]]*Compras[[#This Row],[Cantidad]]</f>
        <v>3162</v>
      </c>
      <c r="H1011" s="16"/>
      <c r="I1011" s="16"/>
      <c r="J1011" s="16"/>
      <c r="K1011" s="16"/>
    </row>
    <row r="1012" spans="1:11" ht="20.25" customHeight="1">
      <c r="A1012" s="16"/>
      <c r="B1012" s="41">
        <v>44927</v>
      </c>
      <c r="C1012" s="6" t="str">
        <f>VLOOKUP(Compras[[#This Row],[Codigo]],Stock[#Data],2,FALSE)</f>
        <v>Pangea Kit Agroecologico</v>
      </c>
      <c r="D1012" s="40">
        <v>2</v>
      </c>
      <c r="E1012" s="6">
        <v>487</v>
      </c>
      <c r="F1012" s="12">
        <f>VLOOKUP(Compras[[#This Row],[Codigo]],Stock[#Data],3,FALSE)</f>
        <v>2000</v>
      </c>
      <c r="G1012" s="43">
        <f>Compras[[#This Row],[Unidad]]*Compras[[#This Row],[Cantidad]]</f>
        <v>4000</v>
      </c>
      <c r="H1012" s="16"/>
      <c r="I1012" s="16"/>
      <c r="J1012" s="16"/>
      <c r="K1012" s="16"/>
    </row>
    <row r="1013" spans="1:11" ht="20.25" customHeight="1">
      <c r="A1013" s="16"/>
      <c r="B1013" s="41">
        <v>44927</v>
      </c>
      <c r="C1013" s="6" t="str">
        <f>VLOOKUP(Compras[[#This Row],[Codigo]],Stock[#Data],2,FALSE)</f>
        <v>Pangea Kit Preventivo</v>
      </c>
      <c r="D1013" s="40">
        <v>2</v>
      </c>
      <c r="E1013" s="6">
        <v>488</v>
      </c>
      <c r="F1013" s="12">
        <f>VLOOKUP(Compras[[#This Row],[Codigo]],Stock[#Data],3,FALSE)</f>
        <v>1200</v>
      </c>
      <c r="G1013" s="43">
        <f>Compras[[#This Row],[Unidad]]*Compras[[#This Row],[Cantidad]]</f>
        <v>2400</v>
      </c>
      <c r="H1013" s="16"/>
      <c r="I1013" s="16"/>
      <c r="J1013" s="16"/>
      <c r="K1013" s="16"/>
    </row>
    <row r="1014" spans="1:11" ht="20.25" customHeight="1">
      <c r="A1014" s="16"/>
      <c r="B1014" s="41">
        <v>44927</v>
      </c>
      <c r="C1014" s="6" t="str">
        <f>VLOOKUP(Compras[[#This Row],[Codigo]],Stock[#Data],2,FALSE)</f>
        <v>Maceta Geotextil Pochita 12,5L</v>
      </c>
      <c r="D1014" s="40">
        <v>10</v>
      </c>
      <c r="E1014" s="6">
        <v>489</v>
      </c>
      <c r="F1014" s="12">
        <f>VLOOKUP(Compras[[#This Row],[Codigo]],Stock[#Data],3,FALSE)</f>
        <v>325</v>
      </c>
      <c r="G1014" s="43">
        <f>Compras[[#This Row],[Unidad]]*Compras[[#This Row],[Cantidad]]</f>
        <v>3250</v>
      </c>
      <c r="H1014" s="16"/>
      <c r="I1014" s="16"/>
      <c r="J1014" s="16"/>
      <c r="K1014" s="16"/>
    </row>
    <row r="1015" spans="1:11" ht="20.25" customHeight="1">
      <c r="A1015" s="16"/>
      <c r="B1015" s="41">
        <v>44927</v>
      </c>
      <c r="C1015" s="6" t="str">
        <f>VLOOKUP(Compras[[#This Row],[Codigo]],Stock[#Data],2,FALSE)</f>
        <v>Maceta Geotextil Pochita 40L</v>
      </c>
      <c r="D1015" s="40">
        <v>1</v>
      </c>
      <c r="E1015" s="6">
        <v>490</v>
      </c>
      <c r="F1015" s="12">
        <f>VLOOKUP(Compras[[#This Row],[Codigo]],Stock[#Data],3,FALSE)</f>
        <v>540</v>
      </c>
      <c r="G1015" s="43">
        <f>Compras[[#This Row],[Unidad]]*Compras[[#This Row],[Cantidad]]</f>
        <v>540</v>
      </c>
      <c r="H1015" s="16"/>
      <c r="I1015" s="16"/>
      <c r="J1015" s="16"/>
      <c r="K1015" s="16"/>
    </row>
    <row r="1016" spans="1:11" ht="20.25" customHeight="1">
      <c r="A1016" s="16"/>
      <c r="B1016" s="41">
        <v>44927</v>
      </c>
      <c r="C1016" s="6" t="str">
        <f>VLOOKUP(Compras[[#This Row],[Codigo]],Stock[#Data],2,FALSE)</f>
        <v xml:space="preserve">Limpia Pipa Organic Life </v>
      </c>
      <c r="D1016" s="40">
        <v>9</v>
      </c>
      <c r="E1016" s="6">
        <v>492</v>
      </c>
      <c r="F1016" s="12">
        <f>VLOOKUP(Compras[[#This Row],[Codigo]],Stock[#Data],3,FALSE)</f>
        <v>250</v>
      </c>
      <c r="G1016" s="43">
        <f>Compras[[#This Row],[Unidad]]*Compras[[#This Row],[Cantidad]]</f>
        <v>2250</v>
      </c>
      <c r="H1016" s="16"/>
      <c r="I1016" s="16"/>
      <c r="J1016" s="16"/>
      <c r="K1016" s="16"/>
    </row>
    <row r="1017" spans="1:11" ht="20.25" customHeight="1">
      <c r="A1017" s="16"/>
      <c r="B1017" s="41">
        <v>44927</v>
      </c>
      <c r="C1017" s="6" t="str">
        <f>VLOOKUP(Compras[[#This Row],[Codigo]],Stock[#Data],2,FALSE)</f>
        <v>Picador Ricky y Morty 4p</v>
      </c>
      <c r="D1017" s="40">
        <v>2</v>
      </c>
      <c r="E1017" s="6">
        <v>493</v>
      </c>
      <c r="F1017" s="12">
        <f>VLOOKUP(Compras[[#This Row],[Codigo]],Stock[#Data],3,FALSE)</f>
        <v>2600</v>
      </c>
      <c r="G1017" s="43">
        <f>Compras[[#This Row],[Unidad]]*Compras[[#This Row],[Cantidad]]</f>
        <v>5200</v>
      </c>
      <c r="H1017" s="16"/>
      <c r="I1017" s="16"/>
      <c r="J1017" s="16"/>
      <c r="K1017" s="16"/>
    </row>
    <row r="1018" spans="1:11" ht="20.25" customHeight="1">
      <c r="A1018" s="16"/>
      <c r="B1018" s="41">
        <v>44927</v>
      </c>
      <c r="C1018" s="6" t="str">
        <f>VLOOKUP(Compras[[#This Row],[Codigo]],Stock[#Data],2,FALSE)</f>
        <v>Revienta Esquejes 50cc</v>
      </c>
      <c r="D1018" s="40">
        <v>2</v>
      </c>
      <c r="E1018" s="6">
        <v>494</v>
      </c>
      <c r="F1018" s="12">
        <f>VLOOKUP(Compras[[#This Row],[Codigo]],Stock[#Data],3,FALSE)</f>
        <v>1660</v>
      </c>
      <c r="G1018" s="43">
        <f>Compras[[#This Row],[Unidad]]*Compras[[#This Row],[Cantidad]]</f>
        <v>3320</v>
      </c>
      <c r="H1018" s="16"/>
      <c r="I1018" s="16"/>
      <c r="J1018" s="16"/>
      <c r="K1018" s="16"/>
    </row>
    <row r="1019" spans="1:11" ht="20.25" customHeight="1">
      <c r="A1019" s="16"/>
      <c r="B1019" s="41">
        <v>44927</v>
      </c>
      <c r="C1019" s="6" t="str">
        <f>VLOOKUP(Compras[[#This Row],[Codigo]],Stock[#Data],2,FALSE)</f>
        <v>Revienta Cogollos 100cc</v>
      </c>
      <c r="D1019" s="40">
        <v>3</v>
      </c>
      <c r="E1019" s="6">
        <v>495</v>
      </c>
      <c r="F1019" s="12">
        <f>VLOOKUP(Compras[[#This Row],[Codigo]],Stock[#Data],3,FALSE)</f>
        <v>1250</v>
      </c>
      <c r="G1019" s="43">
        <f>Compras[[#This Row],[Unidad]]*Compras[[#This Row],[Cantidad]]</f>
        <v>3750</v>
      </c>
      <c r="H1019" s="16"/>
      <c r="I1019" s="16"/>
      <c r="J1019" s="16"/>
      <c r="K1019" s="16"/>
    </row>
    <row r="1020" spans="1:11" ht="20.25" customHeight="1">
      <c r="A1020" s="16"/>
      <c r="B1020" s="41">
        <v>44927</v>
      </c>
      <c r="C1020" s="6" t="str">
        <f>VLOOKUP(Compras[[#This Row],[Codigo]],Stock[#Data],2,FALSE)</f>
        <v>Namaste Flora Booster 500ml</v>
      </c>
      <c r="D1020" s="40">
        <v>2</v>
      </c>
      <c r="E1020" s="6">
        <v>496</v>
      </c>
      <c r="F1020" s="12">
        <f>VLOOKUP(Compras[[#This Row],[Codigo]],Stock[#Data],3,FALSE)</f>
        <v>1377</v>
      </c>
      <c r="G1020" s="43">
        <f>Compras[[#This Row],[Unidad]]*Compras[[#This Row],[Cantidad]]</f>
        <v>2754</v>
      </c>
      <c r="H1020" s="16"/>
      <c r="I1020" s="16"/>
      <c r="J1020" s="16"/>
      <c r="K1020" s="16"/>
    </row>
    <row r="1021" spans="1:11" ht="20.25" customHeight="1">
      <c r="A1021" s="16"/>
      <c r="B1021" s="41">
        <v>44927</v>
      </c>
      <c r="C1021" s="6" t="str">
        <f>VLOOKUP(Compras[[#This Row],[Codigo]],Stock[#Data],2,FALSE)</f>
        <v xml:space="preserve">Regaderas Finas </v>
      </c>
      <c r="D1021" s="40">
        <v>2</v>
      </c>
      <c r="E1021" s="6">
        <v>498</v>
      </c>
      <c r="F1021" s="12">
        <f>VLOOKUP(Compras[[#This Row],[Codigo]],Stock[#Data],3,FALSE)</f>
        <v>400</v>
      </c>
      <c r="G1021" s="43">
        <f>Compras[[#This Row],[Unidad]]*Compras[[#This Row],[Cantidad]]</f>
        <v>800</v>
      </c>
      <c r="H1021" s="16"/>
      <c r="I1021" s="16"/>
      <c r="J1021" s="16"/>
      <c r="K1021" s="16"/>
    </row>
    <row r="1022" spans="1:11" ht="20.25" customHeight="1">
      <c r="A1022" s="16"/>
      <c r="B1022" s="41">
        <v>44927</v>
      </c>
      <c r="C1022" s="6" t="str">
        <f>VLOOKUP(Compras[[#This Row],[Codigo]],Stock[#Data],2,FALSE)</f>
        <v>Maceta Cultivate 25L</v>
      </c>
      <c r="D1022" s="40">
        <v>1</v>
      </c>
      <c r="E1022" s="6">
        <v>499</v>
      </c>
      <c r="F1022" s="12">
        <f>VLOOKUP(Compras[[#This Row],[Codigo]],Stock[#Data],3,FALSE)</f>
        <v>380</v>
      </c>
      <c r="G1022" s="43">
        <f>Compras[[#This Row],[Unidad]]*Compras[[#This Row],[Cantidad]]</f>
        <v>380</v>
      </c>
      <c r="H1022" s="16"/>
      <c r="I1022" s="16"/>
      <c r="J1022" s="16"/>
      <c r="K1022" s="16"/>
    </row>
    <row r="1023" spans="1:11" ht="20.25" customHeight="1">
      <c r="A1023" s="16"/>
      <c r="B1023" s="41">
        <v>44927</v>
      </c>
      <c r="C1023" s="6" t="str">
        <f>VLOOKUP(Compras[[#This Row],[Codigo]],Stock[#Data],2,FALSE)</f>
        <v>Namaste Trico+ 250gr</v>
      </c>
      <c r="D1023" s="40">
        <v>2</v>
      </c>
      <c r="E1023" s="6">
        <v>500</v>
      </c>
      <c r="F1023" s="12">
        <f>VLOOKUP(Compras[[#This Row],[Codigo]],Stock[#Data],3,FALSE)</f>
        <v>1033</v>
      </c>
      <c r="G1023" s="43">
        <f>Compras[[#This Row],[Unidad]]*Compras[[#This Row],[Cantidad]]</f>
        <v>2066</v>
      </c>
      <c r="H1023" s="16"/>
      <c r="I1023" s="16"/>
      <c r="J1023" s="16"/>
      <c r="K1023" s="16"/>
    </row>
    <row r="1024" spans="1:11" ht="20.25" customHeight="1">
      <c r="A1024" s="16"/>
      <c r="B1024" s="41">
        <v>44927</v>
      </c>
      <c r="C1024" s="6" t="str">
        <f>VLOOKUP(Compras[[#This Row],[Codigo]],Stock[#Data],2,FALSE)</f>
        <v>Cooler 4" Ruleman BtFans</v>
      </c>
      <c r="D1024" s="40">
        <v>2</v>
      </c>
      <c r="E1024" s="6">
        <v>501</v>
      </c>
      <c r="F1024" s="12">
        <f>VLOOKUP(Compras[[#This Row],[Codigo]],Stock[#Data],3,FALSE)</f>
        <v>2000</v>
      </c>
      <c r="G1024" s="43">
        <f>Compras[[#This Row],[Unidad]]*Compras[[#This Row],[Cantidad]]</f>
        <v>4000</v>
      </c>
      <c r="H1024" s="16"/>
      <c r="I1024" s="16"/>
      <c r="J1024" s="16"/>
      <c r="K1024" s="16"/>
    </row>
    <row r="1025" spans="1:11" ht="20.25" customHeight="1">
      <c r="A1025" s="16"/>
      <c r="B1025" s="41">
        <v>44927</v>
      </c>
      <c r="C1025" s="6" t="str">
        <f>VLOOKUP(Compras[[#This Row],[Codigo]],Stock[#Data],2,FALSE)</f>
        <v xml:space="preserve">Clipper Raw </v>
      </c>
      <c r="D1025" s="40">
        <v>20</v>
      </c>
      <c r="E1025" s="6">
        <v>502</v>
      </c>
      <c r="F1025" s="12">
        <f>VLOOKUP(Compras[[#This Row],[Codigo]],Stock[#Data],3,FALSE)</f>
        <v>276</v>
      </c>
      <c r="G1025" s="43">
        <f>Compras[[#This Row],[Unidad]]*Compras[[#This Row],[Cantidad]]</f>
        <v>5520</v>
      </c>
      <c r="H1025" s="16"/>
      <c r="I1025" s="16"/>
      <c r="J1025" s="16"/>
      <c r="K1025" s="16"/>
    </row>
    <row r="1026" spans="1:11" ht="20.25" customHeight="1">
      <c r="A1026" s="16"/>
      <c r="B1026" s="41">
        <v>44927</v>
      </c>
      <c r="C1026" s="6" t="str">
        <f>VLOOKUP(Compras[[#This Row],[Codigo]],Stock[#Data],2,FALSE)</f>
        <v>Encendedor Magic Clip pop</v>
      </c>
      <c r="D1026" s="40">
        <v>14</v>
      </c>
      <c r="E1026" s="6">
        <v>503</v>
      </c>
      <c r="F1026" s="12">
        <f>VLOOKUP(Compras[[#This Row],[Codigo]],Stock[#Data],3,FALSE)</f>
        <v>150</v>
      </c>
      <c r="G1026" s="43">
        <f>Compras[[#This Row],[Unidad]]*Compras[[#This Row],[Cantidad]]</f>
        <v>2100</v>
      </c>
      <c r="H1026" s="16"/>
      <c r="I1026" s="16"/>
      <c r="J1026" s="16"/>
      <c r="K1026" s="16"/>
    </row>
    <row r="1027" spans="1:11" ht="20.25" customHeight="1">
      <c r="A1027" s="16"/>
      <c r="H1027" s="16"/>
      <c r="I1027" s="16"/>
      <c r="J1027" s="16"/>
      <c r="K1027" s="16"/>
    </row>
    <row r="1028" spans="1:11" ht="20.25" customHeight="1">
      <c r="A1028" s="16"/>
      <c r="H1028" s="16"/>
      <c r="I1028" s="16"/>
      <c r="J1028" s="16"/>
      <c r="K1028" s="16"/>
    </row>
    <row r="1029" spans="1:11" ht="20.25" customHeight="1"/>
    <row r="1030" spans="1:11" ht="21" customHeight="1"/>
    <row r="1031" spans="1:11" ht="20.25" customHeight="1"/>
    <row r="1032" spans="1:11" ht="20.25" customHeight="1"/>
  </sheetData>
  <mergeCells count="1">
    <mergeCell ref="B2:G2"/>
  </mergeCells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M51"/>
  <sheetViews>
    <sheetView showGridLines="0" showRowColHeaders="0" workbookViewId="0">
      <pane ySplit="3" topLeftCell="A34" activePane="bottomLeft" state="frozen"/>
      <selection pane="bottomLeft" activeCell="C38" sqref="C38"/>
    </sheetView>
  </sheetViews>
  <sheetFormatPr baseColWidth="10" defaultRowHeight="15"/>
  <cols>
    <col min="1" max="1" width="49.85546875" style="16" customWidth="1"/>
    <col min="2" max="2" width="25.5703125" customWidth="1"/>
    <col min="3" max="3" width="75.42578125" customWidth="1"/>
    <col min="4" max="4" width="36.7109375" customWidth="1"/>
    <col min="5" max="5" width="7.140625" style="16" customWidth="1"/>
    <col min="6" max="6" width="4.140625" style="16" customWidth="1"/>
    <col min="7" max="7" width="23.42578125" style="16" customWidth="1"/>
    <col min="8" max="8" width="34.85546875" customWidth="1"/>
    <col min="9" max="9" width="11.28515625" customWidth="1"/>
  </cols>
  <sheetData>
    <row r="1" spans="2:13" ht="72.75" customHeight="1">
      <c r="B1" s="16"/>
      <c r="C1" s="16"/>
      <c r="D1" s="16"/>
      <c r="H1" s="16"/>
      <c r="I1" s="16"/>
      <c r="J1" s="16"/>
    </row>
    <row r="2" spans="2:13" ht="75" customHeight="1">
      <c r="B2" s="69" t="s">
        <v>4</v>
      </c>
      <c r="C2" s="69"/>
      <c r="D2" s="69"/>
      <c r="G2" s="18"/>
      <c r="H2" s="18"/>
      <c r="I2" s="18"/>
      <c r="J2" s="18"/>
      <c r="K2" s="14"/>
      <c r="L2" s="14"/>
      <c r="M2" s="14"/>
    </row>
    <row r="3" spans="2:13" ht="23.25" customHeight="1">
      <c r="B3" s="19" t="s">
        <v>0</v>
      </c>
      <c r="C3" s="19" t="s">
        <v>5</v>
      </c>
      <c r="D3" s="19" t="s">
        <v>6</v>
      </c>
      <c r="G3" s="18"/>
      <c r="H3" s="18"/>
      <c r="I3" s="18"/>
      <c r="J3" s="18"/>
      <c r="K3" s="14"/>
      <c r="L3" s="14"/>
      <c r="M3" s="14"/>
    </row>
    <row r="4" spans="2:13" ht="15.75" customHeight="1">
      <c r="B4" s="13" t="s">
        <v>503</v>
      </c>
      <c r="C4" t="s">
        <v>606</v>
      </c>
      <c r="D4" s="7">
        <v>1700</v>
      </c>
    </row>
    <row r="5" spans="2:13">
      <c r="B5" s="6" t="s">
        <v>503</v>
      </c>
      <c r="C5" t="s">
        <v>504</v>
      </c>
      <c r="D5" s="7">
        <v>17000</v>
      </c>
    </row>
    <row r="6" spans="2:13">
      <c r="B6" s="6" t="s">
        <v>503</v>
      </c>
      <c r="C6" t="s">
        <v>516</v>
      </c>
      <c r="D6" s="7">
        <v>3000</v>
      </c>
    </row>
    <row r="7" spans="2:13">
      <c r="B7" s="6" t="s">
        <v>561</v>
      </c>
      <c r="C7" t="s">
        <v>562</v>
      </c>
      <c r="D7" s="7">
        <v>2200</v>
      </c>
    </row>
    <row r="8" spans="2:13">
      <c r="B8" s="6" t="s">
        <v>500</v>
      </c>
      <c r="C8" t="s">
        <v>562</v>
      </c>
      <c r="D8" s="7">
        <v>1650</v>
      </c>
    </row>
    <row r="9" spans="2:13">
      <c r="B9" s="6" t="s">
        <v>496</v>
      </c>
      <c r="C9" t="s">
        <v>562</v>
      </c>
      <c r="D9" s="7">
        <v>2200</v>
      </c>
    </row>
    <row r="10" spans="2:13">
      <c r="B10" s="6" t="s">
        <v>503</v>
      </c>
      <c r="C10" t="s">
        <v>562</v>
      </c>
      <c r="D10" s="7">
        <v>2200</v>
      </c>
    </row>
    <row r="11" spans="2:13">
      <c r="B11" s="6" t="s">
        <v>563</v>
      </c>
      <c r="C11" t="s">
        <v>568</v>
      </c>
      <c r="D11" s="7">
        <v>8500</v>
      </c>
    </row>
    <row r="12" spans="2:13">
      <c r="B12" s="6" t="s">
        <v>563</v>
      </c>
      <c r="C12" t="s">
        <v>569</v>
      </c>
      <c r="D12" s="7">
        <v>2200</v>
      </c>
    </row>
    <row r="13" spans="2:13">
      <c r="B13" s="6" t="s">
        <v>571</v>
      </c>
      <c r="C13" t="s">
        <v>572</v>
      </c>
      <c r="D13" s="7">
        <v>4000</v>
      </c>
    </row>
    <row r="14" spans="2:13">
      <c r="B14" s="13">
        <v>44946</v>
      </c>
      <c r="C14" t="s">
        <v>583</v>
      </c>
      <c r="D14" s="7">
        <v>2750</v>
      </c>
    </row>
    <row r="15" spans="2:13">
      <c r="B15" s="13">
        <v>44946</v>
      </c>
      <c r="C15" t="s">
        <v>584</v>
      </c>
      <c r="D15" s="7">
        <v>3200</v>
      </c>
    </row>
    <row r="16" spans="2:13">
      <c r="B16" s="13">
        <v>44946</v>
      </c>
      <c r="C16" t="s">
        <v>585</v>
      </c>
      <c r="D16" s="7">
        <v>1600</v>
      </c>
    </row>
    <row r="17" spans="2:4">
      <c r="B17" s="6" t="s">
        <v>592</v>
      </c>
      <c r="C17" t="s">
        <v>593</v>
      </c>
      <c r="D17" s="7">
        <v>1000</v>
      </c>
    </row>
    <row r="18" spans="2:4">
      <c r="B18" s="6" t="s">
        <v>594</v>
      </c>
      <c r="C18" t="s">
        <v>602</v>
      </c>
      <c r="D18" s="7">
        <v>6500</v>
      </c>
    </row>
    <row r="19" spans="2:4">
      <c r="B19" s="13">
        <v>44957</v>
      </c>
      <c r="C19" t="s">
        <v>605</v>
      </c>
      <c r="D19" s="7">
        <v>13000</v>
      </c>
    </row>
    <row r="20" spans="2:4">
      <c r="B20" s="6" t="s">
        <v>617</v>
      </c>
      <c r="C20" t="s">
        <v>626</v>
      </c>
      <c r="D20" s="7">
        <v>10000</v>
      </c>
    </row>
    <row r="21" spans="2:4">
      <c r="B21" s="6" t="s">
        <v>630</v>
      </c>
      <c r="C21" t="s">
        <v>636</v>
      </c>
      <c r="D21" s="7">
        <v>3000</v>
      </c>
    </row>
    <row r="22" spans="2:4">
      <c r="B22" s="6" t="s">
        <v>675</v>
      </c>
      <c r="C22" t="s">
        <v>602</v>
      </c>
      <c r="D22" s="7">
        <v>11000</v>
      </c>
    </row>
    <row r="23" spans="2:4">
      <c r="B23" s="6" t="s">
        <v>676</v>
      </c>
      <c r="C23" t="s">
        <v>677</v>
      </c>
      <c r="D23" s="7">
        <v>3000</v>
      </c>
    </row>
    <row r="24" spans="2:4">
      <c r="B24" s="6" t="s">
        <v>678</v>
      </c>
      <c r="C24" t="s">
        <v>679</v>
      </c>
      <c r="D24" s="7">
        <v>11000</v>
      </c>
    </row>
    <row r="25" spans="2:4">
      <c r="B25" s="6" t="s">
        <v>680</v>
      </c>
      <c r="C25" t="s">
        <v>681</v>
      </c>
      <c r="D25" s="7">
        <v>4400</v>
      </c>
    </row>
    <row r="26" spans="2:4">
      <c r="B26" s="6" t="s">
        <v>682</v>
      </c>
      <c r="C26" t="s">
        <v>683</v>
      </c>
      <c r="D26" s="7">
        <v>16260</v>
      </c>
    </row>
    <row r="27" spans="2:4">
      <c r="B27" s="6" t="s">
        <v>684</v>
      </c>
      <c r="C27" t="s">
        <v>685</v>
      </c>
      <c r="D27" s="7">
        <v>4300</v>
      </c>
    </row>
    <row r="28" spans="2:4">
      <c r="B28" s="6" t="s">
        <v>684</v>
      </c>
      <c r="C28" t="s">
        <v>686</v>
      </c>
      <c r="D28" s="7">
        <v>4000</v>
      </c>
    </row>
    <row r="29" spans="2:4">
      <c r="B29" s="6" t="s">
        <v>687</v>
      </c>
      <c r="C29" t="s">
        <v>688</v>
      </c>
      <c r="D29" s="7">
        <v>2300</v>
      </c>
    </row>
    <row r="30" spans="2:4">
      <c r="B30" s="6" t="s">
        <v>689</v>
      </c>
      <c r="C30" t="s">
        <v>690</v>
      </c>
      <c r="D30" s="7">
        <v>2000</v>
      </c>
    </row>
    <row r="31" spans="2:4">
      <c r="B31" s="13">
        <v>44985</v>
      </c>
      <c r="C31" t="s">
        <v>692</v>
      </c>
      <c r="D31" s="7">
        <v>22000</v>
      </c>
    </row>
    <row r="32" spans="2:4">
      <c r="B32" s="6" t="s">
        <v>715</v>
      </c>
      <c r="C32" t="s">
        <v>716</v>
      </c>
      <c r="D32" s="7">
        <v>6500</v>
      </c>
    </row>
    <row r="33" spans="2:4">
      <c r="B33" s="6" t="s">
        <v>715</v>
      </c>
      <c r="C33" t="s">
        <v>717</v>
      </c>
      <c r="D33" s="7">
        <v>3000</v>
      </c>
    </row>
    <row r="34" spans="2:4">
      <c r="B34" s="6" t="s">
        <v>718</v>
      </c>
      <c r="C34" t="s">
        <v>719</v>
      </c>
      <c r="D34" s="7">
        <v>4500</v>
      </c>
    </row>
    <row r="35" spans="2:4">
      <c r="B35" s="6" t="s">
        <v>718</v>
      </c>
      <c r="C35" t="s">
        <v>720</v>
      </c>
      <c r="D35" s="7">
        <v>17080</v>
      </c>
    </row>
    <row r="36" spans="2:4">
      <c r="B36" s="6" t="s">
        <v>718</v>
      </c>
      <c r="C36" t="s">
        <v>572</v>
      </c>
      <c r="D36" s="7">
        <v>10600</v>
      </c>
    </row>
    <row r="37" spans="2:4">
      <c r="B37" s="6" t="s">
        <v>721</v>
      </c>
      <c r="C37" t="s">
        <v>724</v>
      </c>
      <c r="D37" s="7">
        <v>13200</v>
      </c>
    </row>
    <row r="38" spans="2:4">
      <c r="B38" s="6" t="s">
        <v>734</v>
      </c>
      <c r="C38" t="s">
        <v>735</v>
      </c>
      <c r="D38" s="7">
        <v>3600</v>
      </c>
    </row>
    <row r="39" spans="2:4">
      <c r="B39" s="6" t="s">
        <v>737</v>
      </c>
      <c r="C39" t="s">
        <v>602</v>
      </c>
      <c r="D39" s="7">
        <v>22000</v>
      </c>
    </row>
    <row r="40" spans="2:4">
      <c r="B40" s="6" t="s">
        <v>746</v>
      </c>
      <c r="C40" t="s">
        <v>636</v>
      </c>
      <c r="D40" s="7">
        <v>4500</v>
      </c>
    </row>
    <row r="41" spans="2:4">
      <c r="B41" s="6" t="s">
        <v>751</v>
      </c>
      <c r="C41" t="s">
        <v>602</v>
      </c>
      <c r="D41" s="7">
        <v>24750</v>
      </c>
    </row>
    <row r="42" spans="2:4">
      <c r="B42" s="6" t="s">
        <v>777</v>
      </c>
      <c r="C42" t="s">
        <v>778</v>
      </c>
      <c r="D42" s="7">
        <v>24200</v>
      </c>
    </row>
    <row r="43" spans="2:4">
      <c r="B43" s="6" t="s">
        <v>777</v>
      </c>
      <c r="C43" t="s">
        <v>779</v>
      </c>
      <c r="D43" s="7">
        <v>19000</v>
      </c>
    </row>
    <row r="44" spans="2:4">
      <c r="B44" s="6" t="s">
        <v>780</v>
      </c>
      <c r="C44" t="s">
        <v>781</v>
      </c>
      <c r="D44" s="7">
        <v>1620</v>
      </c>
    </row>
    <row r="45" spans="2:4">
      <c r="B45" s="6" t="s">
        <v>793</v>
      </c>
      <c r="C45" t="s">
        <v>794</v>
      </c>
      <c r="D45" s="7">
        <v>18500</v>
      </c>
    </row>
    <row r="46" spans="2:4">
      <c r="B46" s="13">
        <v>45033</v>
      </c>
      <c r="C46" t="s">
        <v>602</v>
      </c>
      <c r="D46" s="7">
        <v>13200</v>
      </c>
    </row>
    <row r="47" spans="2:4">
      <c r="B47" s="6" t="s">
        <v>803</v>
      </c>
      <c r="C47" t="s">
        <v>602</v>
      </c>
      <c r="D47" s="7">
        <v>13200</v>
      </c>
    </row>
    <row r="48" spans="2:4">
      <c r="B48" s="6" t="s">
        <v>804</v>
      </c>
      <c r="C48" t="s">
        <v>805</v>
      </c>
      <c r="D48" s="7">
        <v>500</v>
      </c>
    </row>
    <row r="49" spans="2:4">
      <c r="B49" s="6" t="s">
        <v>1101</v>
      </c>
      <c r="C49" t="s">
        <v>602</v>
      </c>
      <c r="D49" s="7">
        <v>11000</v>
      </c>
    </row>
    <row r="50" spans="2:4">
      <c r="B50" s="6" t="s">
        <v>1127</v>
      </c>
      <c r="C50" t="s">
        <v>1133</v>
      </c>
      <c r="D50" s="7">
        <v>22000</v>
      </c>
    </row>
    <row r="51" spans="2:4">
      <c r="B51" s="6" t="s">
        <v>1127</v>
      </c>
      <c r="C51" t="s">
        <v>1134</v>
      </c>
      <c r="D51" s="7">
        <v>1680</v>
      </c>
    </row>
  </sheetData>
  <mergeCells count="1">
    <mergeCell ref="B2:D2"/>
  </mergeCells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P368"/>
  <sheetViews>
    <sheetView showGridLines="0" topLeftCell="B1" workbookViewId="0">
      <pane ySplit="3" topLeftCell="A4" activePane="bottomLeft" state="frozen"/>
      <selection pane="bottomLeft"/>
    </sheetView>
  </sheetViews>
  <sheetFormatPr baseColWidth="10" defaultRowHeight="15"/>
  <cols>
    <col min="1" max="1" width="41.140625" hidden="1" customWidth="1"/>
    <col min="2" max="2" width="16.5703125" style="5" customWidth="1"/>
    <col min="3" max="3" width="0" hidden="1" customWidth="1"/>
    <col min="4" max="4" width="17.140625" style="6" customWidth="1"/>
    <col min="5" max="5" width="21.7109375" customWidth="1"/>
    <col min="6" max="6" width="15.7109375" customWidth="1"/>
    <col min="7" max="7" width="18.5703125" customWidth="1"/>
    <col min="8" max="8" width="19.28515625" customWidth="1"/>
    <col min="9" max="9" width="19" customWidth="1"/>
    <col min="10" max="10" width="14.28515625" customWidth="1"/>
    <col min="11" max="11" width="20.5703125" style="16" customWidth="1"/>
    <col min="12" max="12" width="16.85546875" style="16" customWidth="1"/>
    <col min="13" max="13" width="17.28515625" customWidth="1"/>
    <col min="14" max="14" width="11.42578125" style="16"/>
    <col min="15" max="15" width="12.140625" style="16" customWidth="1"/>
  </cols>
  <sheetData>
    <row r="1" spans="1:16" ht="81.75" customHeight="1">
      <c r="A1" s="16"/>
      <c r="B1" s="20"/>
      <c r="C1" s="16"/>
      <c r="D1" s="21"/>
      <c r="E1" s="16"/>
      <c r="F1" s="16"/>
      <c r="G1" s="16"/>
      <c r="H1" s="16"/>
      <c r="I1" s="16"/>
      <c r="J1" s="16"/>
      <c r="M1" s="16"/>
    </row>
    <row r="2" spans="1:16" ht="73.5" customHeight="1">
      <c r="A2" s="16"/>
      <c r="B2" s="70" t="s">
        <v>10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6" ht="22.5" customHeight="1">
      <c r="A3" s="16"/>
      <c r="B3" s="5" t="s">
        <v>0</v>
      </c>
      <c r="C3" t="s">
        <v>7</v>
      </c>
      <c r="D3" s="10" t="s">
        <v>88</v>
      </c>
      <c r="E3" s="3" t="s">
        <v>100</v>
      </c>
      <c r="F3" s="29" t="s">
        <v>759</v>
      </c>
      <c r="G3" s="30" t="s">
        <v>760</v>
      </c>
      <c r="H3" s="65" t="s">
        <v>1129</v>
      </c>
      <c r="I3" s="8" t="s">
        <v>1128</v>
      </c>
      <c r="J3" s="4" t="s">
        <v>8</v>
      </c>
      <c r="K3" s="1" t="s">
        <v>9</v>
      </c>
      <c r="L3" t="s">
        <v>101</v>
      </c>
      <c r="M3" s="8" t="s">
        <v>102</v>
      </c>
      <c r="P3" s="16"/>
    </row>
    <row r="4" spans="1:16">
      <c r="B4" s="9">
        <v>44927</v>
      </c>
      <c r="C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4" s="6" t="s">
        <v>104</v>
      </c>
      <c r="E4" s="7">
        <f>SUMIF(Ventas[Fecha],Rdiario[[#This Row],[Fecha]],Ventas[Total])</f>
        <v>0</v>
      </c>
      <c r="F4" s="66">
        <f>SUMIF(Ventas[Fecha],Rdiario[[#This Row],[Fecha]],Ventas[Total 4])</f>
        <v>0</v>
      </c>
      <c r="G4" s="66">
        <f>Rdiario[[#This Row],[Ingresos Brutos]]-Rdiario[[#This Row],[Transferencia]]</f>
        <v>0</v>
      </c>
      <c r="H4" s="7">
        <f>Rdiario[[#This Row],[Ingresos Brutos]]-Rdiario[[#This Row],[Ganancia]]</f>
        <v>0</v>
      </c>
      <c r="I4" s="7">
        <f>SUMIF(Ventas[Fecha],Rdiario[[#This Row],[Fecha]],Ventas[Total 2])</f>
        <v>0</v>
      </c>
      <c r="J4" s="7">
        <f>SUMIF(Compras[Fecha],Rdiario[[#This Row],[Fecha]],Compras[Monto])</f>
        <v>1018455</v>
      </c>
      <c r="K4" s="7">
        <f>SUMIF(TGastos[Fecha],Rdiario[[#This Row],[Fecha]],TGastos[Monto])</f>
        <v>0</v>
      </c>
      <c r="L4" s="7">
        <f>Rdiario[[#This Row],[Ingresos Brutos]]-Rdiario[[#This Row],[Compras]]-Rdiario[[#This Row],[Gastos]]</f>
        <v>-1018455</v>
      </c>
      <c r="M4" s="7">
        <f>Rdiario[[#This Row],[Ganancia]]-Rdiario[[#This Row],[Compras]]-Rdiario[[#This Row],[Gastos]]</f>
        <v>-1018455</v>
      </c>
      <c r="P4" s="16"/>
    </row>
    <row r="5" spans="1:16">
      <c r="B5" s="9">
        <v>44928</v>
      </c>
      <c r="C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5" s="6" t="s">
        <v>105</v>
      </c>
      <c r="E5" s="7">
        <f>SUMIF(Ventas[Fecha],Rdiario[[#This Row],[Fecha]],Ventas[Total])</f>
        <v>18900</v>
      </c>
      <c r="F5" s="66">
        <f>SUMIF(Ventas[Fecha],Rdiario[[#This Row],[Fecha]],Ventas[Total 4])</f>
        <v>0</v>
      </c>
      <c r="G5" s="66">
        <f>Rdiario[[#This Row],[Ingresos Brutos]]-Rdiario[[#This Row],[Transferencia]]</f>
        <v>18900</v>
      </c>
      <c r="H5" s="7">
        <f>Rdiario[[#This Row],[Ingresos Brutos]]-Rdiario[[#This Row],[Ganancia]]</f>
        <v>9858</v>
      </c>
      <c r="I5" s="7">
        <f>SUMIF(Ventas[Fecha],Rdiario[[#This Row],[Fecha]],Ventas[Total 2])</f>
        <v>9042</v>
      </c>
      <c r="J5" s="7">
        <f>SUMIF(Compras[Fecha],Rdiario[[#This Row],[Fecha]],Compras[Monto])</f>
        <v>0</v>
      </c>
      <c r="K5" s="7">
        <f>SUMIF(TGastos[Fecha],Rdiario[[#This Row],[Fecha]],TGastos[Monto])</f>
        <v>2200</v>
      </c>
      <c r="L5" s="7">
        <f>Rdiario[[#This Row],[Ingresos Brutos]]-Rdiario[[#This Row],[Compras]]-Rdiario[[#This Row],[Gastos]]</f>
        <v>16700</v>
      </c>
      <c r="M5" s="7">
        <f>Rdiario[[#This Row],[Ganancia]]-Rdiario[[#This Row],[Compras]]-Rdiario[[#This Row],[Gastos]]</f>
        <v>6842</v>
      </c>
      <c r="P5" s="16"/>
    </row>
    <row r="6" spans="1:16">
      <c r="B6" s="9">
        <v>44929</v>
      </c>
      <c r="C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6" s="6" t="s">
        <v>106</v>
      </c>
      <c r="E6" s="7">
        <f>SUMIF(Ventas[Fecha],Rdiario[[#This Row],[Fecha]],Ventas[Total])</f>
        <v>13260</v>
      </c>
      <c r="F6" s="66">
        <f>SUMIF(Ventas[Fecha],Rdiario[[#This Row],[Fecha]],Ventas[Total 4])</f>
        <v>0</v>
      </c>
      <c r="G6" s="66">
        <f>Rdiario[[#This Row],[Ingresos Brutos]]-Rdiario[[#This Row],[Transferencia]]</f>
        <v>13260</v>
      </c>
      <c r="H6" s="7">
        <f>Rdiario[[#This Row],[Ingresos Brutos]]-Rdiario[[#This Row],[Ganancia]]</f>
        <v>7064</v>
      </c>
      <c r="I6" s="7">
        <f>SUMIF(Ventas[Fecha],Rdiario[[#This Row],[Fecha]],Ventas[Total 2])</f>
        <v>6196</v>
      </c>
      <c r="J6" s="7">
        <f>SUMIF(Compras[Fecha],Rdiario[[#This Row],[Fecha]],Compras[Monto])</f>
        <v>0</v>
      </c>
      <c r="K6" s="7">
        <f>SUMIF(TGastos[Fecha],Rdiario[[#This Row],[Fecha]],TGastos[Monto])</f>
        <v>0</v>
      </c>
      <c r="L6" s="7">
        <f>Rdiario[[#This Row],[Ingresos Brutos]]-Rdiario[[#This Row],[Compras]]-Rdiario[[#This Row],[Gastos]]</f>
        <v>13260</v>
      </c>
      <c r="M6" s="7">
        <f>Rdiario[[#This Row],[Ganancia]]-Rdiario[[#This Row],[Compras]]-Rdiario[[#This Row],[Gastos]]</f>
        <v>6196</v>
      </c>
      <c r="P6" s="16"/>
    </row>
    <row r="7" spans="1:16">
      <c r="B7" s="9">
        <v>44930</v>
      </c>
      <c r="C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7" s="6" t="s">
        <v>107</v>
      </c>
      <c r="E7" s="7">
        <f>SUMIF(Ventas[Fecha],Rdiario[[#This Row],[Fecha]],Ventas[Total])</f>
        <v>21400</v>
      </c>
      <c r="F7" s="66">
        <f>SUMIF(Ventas[Fecha],Rdiario[[#This Row],[Fecha]],Ventas[Total 4])</f>
        <v>0</v>
      </c>
      <c r="G7" s="66">
        <f>Rdiario[[#This Row],[Ingresos Brutos]]-Rdiario[[#This Row],[Transferencia]]</f>
        <v>21400</v>
      </c>
      <c r="H7" s="7">
        <f>Rdiario[[#This Row],[Ingresos Brutos]]-Rdiario[[#This Row],[Ganancia]]</f>
        <v>12604</v>
      </c>
      <c r="I7" s="7">
        <f>SUMIF(Ventas[Fecha],Rdiario[[#This Row],[Fecha]],Ventas[Total 2])</f>
        <v>8796</v>
      </c>
      <c r="J7" s="7">
        <f>SUMIF(Compras[Fecha],Rdiario[[#This Row],[Fecha]],Compras[Monto])</f>
        <v>0</v>
      </c>
      <c r="K7" s="7">
        <f>SUMIF(TGastos[Fecha],Rdiario[[#This Row],[Fecha]],TGastos[Monto])</f>
        <v>1650</v>
      </c>
      <c r="L7" s="7">
        <f>Rdiario[[#This Row],[Ingresos Brutos]]-Rdiario[[#This Row],[Compras]]-Rdiario[[#This Row],[Gastos]]</f>
        <v>19750</v>
      </c>
      <c r="M7" s="7">
        <f>Rdiario[[#This Row],[Ganancia]]-Rdiario[[#This Row],[Compras]]-Rdiario[[#This Row],[Gastos]]</f>
        <v>7146</v>
      </c>
      <c r="P7" s="16"/>
    </row>
    <row r="8" spans="1:16">
      <c r="B8" s="9">
        <v>44931</v>
      </c>
      <c r="C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8" s="6" t="s">
        <v>108</v>
      </c>
      <c r="E8" s="7">
        <f>SUMIF(Ventas[Fecha],Rdiario[[#This Row],[Fecha]],Ventas[Total])</f>
        <v>16100</v>
      </c>
      <c r="F8" s="66">
        <f>SUMIF(Ventas[Fecha],Rdiario[[#This Row],[Fecha]],Ventas[Total 4])</f>
        <v>0</v>
      </c>
      <c r="G8" s="66">
        <f>Rdiario[[#This Row],[Ingresos Brutos]]-Rdiario[[#This Row],[Transferencia]]</f>
        <v>16100</v>
      </c>
      <c r="H8" s="7">
        <f>Rdiario[[#This Row],[Ingresos Brutos]]-Rdiario[[#This Row],[Ganancia]]</f>
        <v>8419</v>
      </c>
      <c r="I8" s="7">
        <f>SUMIF(Ventas[Fecha],Rdiario[[#This Row],[Fecha]],Ventas[Total 2])</f>
        <v>7681</v>
      </c>
      <c r="J8" s="7">
        <f>SUMIF(Compras[Fecha],Rdiario[[#This Row],[Fecha]],Compras[Monto])</f>
        <v>0</v>
      </c>
      <c r="K8" s="7">
        <f>SUMIF(TGastos[Fecha],Rdiario[[#This Row],[Fecha]],TGastos[Monto])</f>
        <v>0</v>
      </c>
      <c r="L8" s="7">
        <f>Rdiario[[#This Row],[Ingresos Brutos]]-Rdiario[[#This Row],[Compras]]-Rdiario[[#This Row],[Gastos]]</f>
        <v>16100</v>
      </c>
      <c r="M8" s="7">
        <f>Rdiario[[#This Row],[Ganancia]]-Rdiario[[#This Row],[Compras]]-Rdiario[[#This Row],[Gastos]]</f>
        <v>7681</v>
      </c>
      <c r="P8" s="16"/>
    </row>
    <row r="9" spans="1:16">
      <c r="B9" s="9">
        <v>44932</v>
      </c>
      <c r="C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9" s="6" t="s">
        <v>109</v>
      </c>
      <c r="E9" s="7">
        <f>SUMIF(Ventas[Fecha],Rdiario[[#This Row],[Fecha]],Ventas[Total])</f>
        <v>1150</v>
      </c>
      <c r="F9" s="66">
        <f>SUMIF(Ventas[Fecha],Rdiario[[#This Row],[Fecha]],Ventas[Total 4])</f>
        <v>0</v>
      </c>
      <c r="G9" s="66">
        <f>Rdiario[[#This Row],[Ingresos Brutos]]-Rdiario[[#This Row],[Transferencia]]</f>
        <v>1150</v>
      </c>
      <c r="H9" s="7">
        <f>Rdiario[[#This Row],[Ingresos Brutos]]-Rdiario[[#This Row],[Ganancia]]</f>
        <v>745</v>
      </c>
      <c r="I9" s="7">
        <f>SUMIF(Ventas[Fecha],Rdiario[[#This Row],[Fecha]],Ventas[Total 2])</f>
        <v>405</v>
      </c>
      <c r="J9" s="7">
        <f>SUMIF(Compras[Fecha],Rdiario[[#This Row],[Fecha]],Compras[Monto])</f>
        <v>0</v>
      </c>
      <c r="K9" s="7">
        <f>SUMIF(TGastos[Fecha],Rdiario[[#This Row],[Fecha]],TGastos[Monto])</f>
        <v>0</v>
      </c>
      <c r="L9" s="7">
        <f>Rdiario[[#This Row],[Ingresos Brutos]]-Rdiario[[#This Row],[Compras]]-Rdiario[[#This Row],[Gastos]]</f>
        <v>1150</v>
      </c>
      <c r="M9" s="7">
        <f>Rdiario[[#This Row],[Ganancia]]-Rdiario[[#This Row],[Compras]]-Rdiario[[#This Row],[Gastos]]</f>
        <v>405</v>
      </c>
      <c r="P9" s="16"/>
    </row>
    <row r="10" spans="1:16">
      <c r="B10" s="9">
        <v>44933</v>
      </c>
      <c r="C1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0" s="6" t="s">
        <v>110</v>
      </c>
      <c r="E10" s="7">
        <f>SUMIF(Ventas[Fecha],Rdiario[[#This Row],[Fecha]],Ventas[Total])</f>
        <v>8350</v>
      </c>
      <c r="F10" s="66">
        <f>SUMIF(Ventas[Fecha],Rdiario[[#This Row],[Fecha]],Ventas[Total 4])</f>
        <v>0</v>
      </c>
      <c r="G10" s="66">
        <f>Rdiario[[#This Row],[Ingresos Brutos]]-Rdiario[[#This Row],[Transferencia]]</f>
        <v>8350</v>
      </c>
      <c r="H10" s="7">
        <f>Rdiario[[#This Row],[Ingresos Brutos]]-Rdiario[[#This Row],[Ganancia]]</f>
        <v>4311</v>
      </c>
      <c r="I10" s="7">
        <f>SUMIF(Ventas[Fecha],Rdiario[[#This Row],[Fecha]],Ventas[Total 2])</f>
        <v>4039</v>
      </c>
      <c r="J10" s="7">
        <f>SUMIF(Compras[Fecha],Rdiario[[#This Row],[Fecha]],Compras[Monto])</f>
        <v>0</v>
      </c>
      <c r="K10" s="7">
        <f>SUMIF(TGastos[Fecha],Rdiario[[#This Row],[Fecha]],TGastos[Monto])</f>
        <v>0</v>
      </c>
      <c r="L10" s="7">
        <f>Rdiario[[#This Row],[Ingresos Brutos]]-Rdiario[[#This Row],[Compras]]-Rdiario[[#This Row],[Gastos]]</f>
        <v>8350</v>
      </c>
      <c r="M10" s="7">
        <f>Rdiario[[#This Row],[Ganancia]]-Rdiario[[#This Row],[Compras]]-Rdiario[[#This Row],[Gastos]]</f>
        <v>4039</v>
      </c>
      <c r="P10" s="16"/>
    </row>
    <row r="11" spans="1:16">
      <c r="B11" s="9">
        <v>44934</v>
      </c>
      <c r="C1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1" s="6" t="s">
        <v>104</v>
      </c>
      <c r="E11" s="7">
        <f>SUMIF(Ventas[Fecha],Rdiario[[#This Row],[Fecha]],Ventas[Total])</f>
        <v>15550</v>
      </c>
      <c r="F11" s="66">
        <f>SUMIF(Ventas[Fecha],Rdiario[[#This Row],[Fecha]],Ventas[Total 4])</f>
        <v>0</v>
      </c>
      <c r="G11" s="66">
        <f>Rdiario[[#This Row],[Ingresos Brutos]]-Rdiario[[#This Row],[Transferencia]]</f>
        <v>15550</v>
      </c>
      <c r="H11" s="7">
        <f>Rdiario[[#This Row],[Ingresos Brutos]]-Rdiario[[#This Row],[Ganancia]]</f>
        <v>7686</v>
      </c>
      <c r="I11" s="7">
        <f>SUMIF(Ventas[Fecha],Rdiario[[#This Row],[Fecha]],Ventas[Total 2])</f>
        <v>7864</v>
      </c>
      <c r="J11" s="7">
        <f>SUMIF(Compras[Fecha],Rdiario[[#This Row],[Fecha]],Compras[Monto])</f>
        <v>0</v>
      </c>
      <c r="K11" s="7">
        <f>SUMIF(TGastos[Fecha],Rdiario[[#This Row],[Fecha]],TGastos[Monto])</f>
        <v>0</v>
      </c>
      <c r="L11" s="7">
        <f>Rdiario[[#This Row],[Ingresos Brutos]]-Rdiario[[#This Row],[Compras]]-Rdiario[[#This Row],[Gastos]]</f>
        <v>15550</v>
      </c>
      <c r="M11" s="7">
        <f>Rdiario[[#This Row],[Ganancia]]-Rdiario[[#This Row],[Compras]]-Rdiario[[#This Row],[Gastos]]</f>
        <v>7864</v>
      </c>
      <c r="P11" s="16"/>
    </row>
    <row r="12" spans="1:16">
      <c r="B12" s="9">
        <v>44935</v>
      </c>
      <c r="C1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2" s="6" t="s">
        <v>105</v>
      </c>
      <c r="E12" s="7">
        <f>SUMIF(Ventas[Fecha],Rdiario[[#This Row],[Fecha]],Ventas[Total])</f>
        <v>6800</v>
      </c>
      <c r="F12" s="66">
        <f>SUMIF(Ventas[Fecha],Rdiario[[#This Row],[Fecha]],Ventas[Total 4])</f>
        <v>0</v>
      </c>
      <c r="G12" s="66">
        <f>Rdiario[[#This Row],[Ingresos Brutos]]-Rdiario[[#This Row],[Transferencia]]</f>
        <v>6800</v>
      </c>
      <c r="H12" s="7">
        <f>Rdiario[[#This Row],[Ingresos Brutos]]-Rdiario[[#This Row],[Ganancia]]</f>
        <v>3418</v>
      </c>
      <c r="I12" s="7">
        <f>SUMIF(Ventas[Fecha],Rdiario[[#This Row],[Fecha]],Ventas[Total 2])</f>
        <v>3382</v>
      </c>
      <c r="J12" s="7">
        <f>SUMIF(Compras[Fecha],Rdiario[[#This Row],[Fecha]],Compras[Monto])</f>
        <v>19307</v>
      </c>
      <c r="K12" s="7">
        <f>SUMIF(TGastos[Fecha],Rdiario[[#This Row],[Fecha]],TGastos[Monto])</f>
        <v>0</v>
      </c>
      <c r="L12" s="7">
        <f>Rdiario[[#This Row],[Ingresos Brutos]]-Rdiario[[#This Row],[Compras]]-Rdiario[[#This Row],[Gastos]]</f>
        <v>-12507</v>
      </c>
      <c r="M12" s="7">
        <f>Rdiario[[#This Row],[Ganancia]]-Rdiario[[#This Row],[Compras]]-Rdiario[[#This Row],[Gastos]]</f>
        <v>-15925</v>
      </c>
      <c r="P12" s="16"/>
    </row>
    <row r="13" spans="1:16">
      <c r="B13" s="9">
        <v>44936</v>
      </c>
      <c r="C1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3" s="6" t="s">
        <v>106</v>
      </c>
      <c r="E13" s="7">
        <f>SUMIF(Ventas[Fecha],Rdiario[[#This Row],[Fecha]],Ventas[Total])</f>
        <v>16750</v>
      </c>
      <c r="F13" s="66">
        <f>SUMIF(Ventas[Fecha],Rdiario[[#This Row],[Fecha]],Ventas[Total 4])</f>
        <v>0</v>
      </c>
      <c r="G13" s="66">
        <f>Rdiario[[#This Row],[Ingresos Brutos]]-Rdiario[[#This Row],[Transferencia]]</f>
        <v>16750</v>
      </c>
      <c r="H13" s="7">
        <f>Rdiario[[#This Row],[Ingresos Brutos]]-Rdiario[[#This Row],[Ganancia]]</f>
        <v>9239</v>
      </c>
      <c r="I13" s="7">
        <f>SUMIF(Ventas[Fecha],Rdiario[[#This Row],[Fecha]],Ventas[Total 2])</f>
        <v>7511</v>
      </c>
      <c r="J13" s="7">
        <f>SUMIF(Compras[Fecha],Rdiario[[#This Row],[Fecha]],Compras[Monto])</f>
        <v>8998</v>
      </c>
      <c r="K13" s="7">
        <f>SUMIF(TGastos[Fecha],Rdiario[[#This Row],[Fecha]],TGastos[Monto])</f>
        <v>2200</v>
      </c>
      <c r="L13" s="7">
        <f>Rdiario[[#This Row],[Ingresos Brutos]]-Rdiario[[#This Row],[Compras]]-Rdiario[[#This Row],[Gastos]]</f>
        <v>5552</v>
      </c>
      <c r="M13" s="7">
        <f>Rdiario[[#This Row],[Ganancia]]-Rdiario[[#This Row],[Compras]]-Rdiario[[#This Row],[Gastos]]</f>
        <v>-3687</v>
      </c>
      <c r="P13" s="16"/>
    </row>
    <row r="14" spans="1:16">
      <c r="B14" s="9">
        <v>44937</v>
      </c>
      <c r="C1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4" s="6" t="s">
        <v>107</v>
      </c>
      <c r="E14" s="7">
        <f>SUMIF(Ventas[Fecha],Rdiario[[#This Row],[Fecha]],Ventas[Total])</f>
        <v>31050</v>
      </c>
      <c r="F14" s="66">
        <f>SUMIF(Ventas[Fecha],Rdiario[[#This Row],[Fecha]],Ventas[Total 4])</f>
        <v>0</v>
      </c>
      <c r="G14" s="66">
        <f>Rdiario[[#This Row],[Ingresos Brutos]]-Rdiario[[#This Row],[Transferencia]]</f>
        <v>31050</v>
      </c>
      <c r="H14" s="7">
        <f>Rdiario[[#This Row],[Ingresos Brutos]]-Rdiario[[#This Row],[Ganancia]]</f>
        <v>14456</v>
      </c>
      <c r="I14" s="7">
        <f>SUMIF(Ventas[Fecha],Rdiario[[#This Row],[Fecha]],Ventas[Total 2])</f>
        <v>16594</v>
      </c>
      <c r="J14" s="7">
        <f>SUMIF(Compras[Fecha],Rdiario[[#This Row],[Fecha]],Compras[Monto])</f>
        <v>56780</v>
      </c>
      <c r="K14" s="7">
        <f>SUMIF(TGastos[Fecha],Rdiario[[#This Row],[Fecha]],TGastos[Monto])</f>
        <v>23900</v>
      </c>
      <c r="L14" s="7">
        <f>Rdiario[[#This Row],[Ingresos Brutos]]-Rdiario[[#This Row],[Compras]]-Rdiario[[#This Row],[Gastos]]</f>
        <v>-49630</v>
      </c>
      <c r="M14" s="7">
        <f>Rdiario[[#This Row],[Ganancia]]-Rdiario[[#This Row],[Compras]]-Rdiario[[#This Row],[Gastos]]</f>
        <v>-64086</v>
      </c>
      <c r="P14" s="16"/>
    </row>
    <row r="15" spans="1:16">
      <c r="B15" s="9">
        <v>44938</v>
      </c>
      <c r="C1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5" s="6" t="s">
        <v>108</v>
      </c>
      <c r="E15" s="7">
        <f>SUMIF(Ventas[Fecha],Rdiario[[#This Row],[Fecha]],Ventas[Total])</f>
        <v>9650</v>
      </c>
      <c r="F15" s="66">
        <f>SUMIF(Ventas[Fecha],Rdiario[[#This Row],[Fecha]],Ventas[Total 4])</f>
        <v>0</v>
      </c>
      <c r="G15" s="66">
        <f>Rdiario[[#This Row],[Ingresos Brutos]]-Rdiario[[#This Row],[Transferencia]]</f>
        <v>9650</v>
      </c>
      <c r="H15" s="7">
        <f>Rdiario[[#This Row],[Ingresos Brutos]]-Rdiario[[#This Row],[Ganancia]]</f>
        <v>4876</v>
      </c>
      <c r="I15" s="7">
        <f>SUMIF(Ventas[Fecha],Rdiario[[#This Row],[Fecha]],Ventas[Total 2])</f>
        <v>4774</v>
      </c>
      <c r="J15" s="7">
        <f>SUMIF(Compras[Fecha],Rdiario[[#This Row],[Fecha]],Compras[Monto])</f>
        <v>0</v>
      </c>
      <c r="K15" s="7">
        <f>SUMIF(TGastos[Fecha],Rdiario[[#This Row],[Fecha]],TGastos[Monto])</f>
        <v>0</v>
      </c>
      <c r="L15" s="7">
        <f>Rdiario[[#This Row],[Ingresos Brutos]]-Rdiario[[#This Row],[Compras]]-Rdiario[[#This Row],[Gastos]]</f>
        <v>9650</v>
      </c>
      <c r="M15" s="7">
        <f>Rdiario[[#This Row],[Ganancia]]-Rdiario[[#This Row],[Compras]]-Rdiario[[#This Row],[Gastos]]</f>
        <v>4774</v>
      </c>
      <c r="P15" s="16"/>
    </row>
    <row r="16" spans="1:16">
      <c r="B16" s="9">
        <v>44939</v>
      </c>
      <c r="C1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6" s="6" t="s">
        <v>109</v>
      </c>
      <c r="E16" s="7">
        <f>SUMIF(Ventas[Fecha],Rdiario[[#This Row],[Fecha]],Ventas[Total])</f>
        <v>2100</v>
      </c>
      <c r="F16" s="66">
        <f>SUMIF(Ventas[Fecha],Rdiario[[#This Row],[Fecha]],Ventas[Total 4])</f>
        <v>0</v>
      </c>
      <c r="G16" s="66">
        <f>Rdiario[[#This Row],[Ingresos Brutos]]-Rdiario[[#This Row],[Transferencia]]</f>
        <v>2100</v>
      </c>
      <c r="H16" s="7">
        <f>Rdiario[[#This Row],[Ingresos Brutos]]-Rdiario[[#This Row],[Ganancia]]</f>
        <v>1040</v>
      </c>
      <c r="I16" s="7">
        <f>SUMIF(Ventas[Fecha],Rdiario[[#This Row],[Fecha]],Ventas[Total 2])</f>
        <v>1060</v>
      </c>
      <c r="J16" s="7">
        <f>SUMIF(Compras[Fecha],Rdiario[[#This Row],[Fecha]],Compras[Monto])</f>
        <v>61929</v>
      </c>
      <c r="K16" s="7">
        <f>SUMIF(TGastos[Fecha],Rdiario[[#This Row],[Fecha]],TGastos[Monto])</f>
        <v>0</v>
      </c>
      <c r="L16" s="7">
        <f>Rdiario[[#This Row],[Ingresos Brutos]]-Rdiario[[#This Row],[Compras]]-Rdiario[[#This Row],[Gastos]]</f>
        <v>-59829</v>
      </c>
      <c r="M16" s="7">
        <f>Rdiario[[#This Row],[Ganancia]]-Rdiario[[#This Row],[Compras]]-Rdiario[[#This Row],[Gastos]]</f>
        <v>-60869</v>
      </c>
      <c r="P16" s="16"/>
    </row>
    <row r="17" spans="2:16">
      <c r="B17" s="9">
        <v>44940</v>
      </c>
      <c r="C1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7" s="6" t="s">
        <v>110</v>
      </c>
      <c r="E17" s="7">
        <f>SUMIF(Ventas[Fecha],Rdiario[[#This Row],[Fecha]],Ventas[Total])</f>
        <v>24150</v>
      </c>
      <c r="F17" s="66">
        <f>SUMIF(Ventas[Fecha],Rdiario[[#This Row],[Fecha]],Ventas[Total 4])</f>
        <v>0</v>
      </c>
      <c r="G17" s="66">
        <f>Rdiario[[#This Row],[Ingresos Brutos]]-Rdiario[[#This Row],[Transferencia]]</f>
        <v>24150</v>
      </c>
      <c r="H17" s="7">
        <f>Rdiario[[#This Row],[Ingresos Brutos]]-Rdiario[[#This Row],[Ganancia]]</f>
        <v>12116</v>
      </c>
      <c r="I17" s="7">
        <f>SUMIF(Ventas[Fecha],Rdiario[[#This Row],[Fecha]],Ventas[Total 2])</f>
        <v>12034</v>
      </c>
      <c r="J17" s="7">
        <f>SUMIF(Compras[Fecha],Rdiario[[#This Row],[Fecha]],Compras[Monto])</f>
        <v>0</v>
      </c>
      <c r="K17" s="7">
        <f>SUMIF(TGastos[Fecha],Rdiario[[#This Row],[Fecha]],TGastos[Monto])</f>
        <v>0</v>
      </c>
      <c r="L17" s="7">
        <f>Rdiario[[#This Row],[Ingresos Brutos]]-Rdiario[[#This Row],[Compras]]-Rdiario[[#This Row],[Gastos]]</f>
        <v>24150</v>
      </c>
      <c r="M17" s="7">
        <f>Rdiario[[#This Row],[Ganancia]]-Rdiario[[#This Row],[Compras]]-Rdiario[[#This Row],[Gastos]]</f>
        <v>12034</v>
      </c>
      <c r="P17" s="16"/>
    </row>
    <row r="18" spans="2:16">
      <c r="B18" s="9">
        <v>44941</v>
      </c>
      <c r="C1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8" s="6" t="s">
        <v>104</v>
      </c>
      <c r="E18" s="7">
        <f>SUMIF(Ventas[Fecha],Rdiario[[#This Row],[Fecha]],Ventas[Total])</f>
        <v>0</v>
      </c>
      <c r="F18" s="66">
        <f>SUMIF(Ventas[Fecha],Rdiario[[#This Row],[Fecha]],Ventas[Total 4])</f>
        <v>0</v>
      </c>
      <c r="G18" s="66">
        <f>Rdiario[[#This Row],[Ingresos Brutos]]-Rdiario[[#This Row],[Transferencia]]</f>
        <v>0</v>
      </c>
      <c r="H18" s="7">
        <f>Rdiario[[#This Row],[Ingresos Brutos]]-Rdiario[[#This Row],[Ganancia]]</f>
        <v>0</v>
      </c>
      <c r="I18" s="7">
        <f>SUMIF(Ventas[Fecha],Rdiario[[#This Row],[Fecha]],Ventas[Total 2])</f>
        <v>0</v>
      </c>
      <c r="J18" s="7">
        <f>SUMIF(Compras[Fecha],Rdiario[[#This Row],[Fecha]],Compras[Monto])</f>
        <v>0</v>
      </c>
      <c r="K18" s="7">
        <f>SUMIF(TGastos[Fecha],Rdiario[[#This Row],[Fecha]],TGastos[Monto])</f>
        <v>0</v>
      </c>
      <c r="L18" s="7">
        <f>Rdiario[[#This Row],[Ingresos Brutos]]-Rdiario[[#This Row],[Compras]]-Rdiario[[#This Row],[Gastos]]</f>
        <v>0</v>
      </c>
      <c r="M18" s="7">
        <f>Rdiario[[#This Row],[Ganancia]]-Rdiario[[#This Row],[Compras]]-Rdiario[[#This Row],[Gastos]]</f>
        <v>0</v>
      </c>
      <c r="P18" s="16"/>
    </row>
    <row r="19" spans="2:16">
      <c r="B19" s="9">
        <v>44942</v>
      </c>
      <c r="C1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9" s="6" t="s">
        <v>105</v>
      </c>
      <c r="E19" s="7">
        <f>SUMIF(Ventas[Fecha],Rdiario[[#This Row],[Fecha]],Ventas[Total])</f>
        <v>30500</v>
      </c>
      <c r="F19" s="66">
        <f>SUMIF(Ventas[Fecha],Rdiario[[#This Row],[Fecha]],Ventas[Total 4])</f>
        <v>0</v>
      </c>
      <c r="G19" s="66">
        <f>Rdiario[[#This Row],[Ingresos Brutos]]-Rdiario[[#This Row],[Transferencia]]</f>
        <v>30500</v>
      </c>
      <c r="H19" s="7">
        <f>Rdiario[[#This Row],[Ingresos Brutos]]-Rdiario[[#This Row],[Ganancia]]</f>
        <v>16358</v>
      </c>
      <c r="I19" s="7">
        <f>SUMIF(Ventas[Fecha],Rdiario[[#This Row],[Fecha]],Ventas[Total 2])</f>
        <v>14142</v>
      </c>
      <c r="J19" s="7">
        <f>SUMIF(Compras[Fecha],Rdiario[[#This Row],[Fecha]],Compras[Monto])</f>
        <v>0</v>
      </c>
      <c r="K19" s="7">
        <f>SUMIF(TGastos[Fecha],Rdiario[[#This Row],[Fecha]],TGastos[Monto])</f>
        <v>0</v>
      </c>
      <c r="L19" s="7">
        <f>Rdiario[[#This Row],[Ingresos Brutos]]-Rdiario[[#This Row],[Compras]]-Rdiario[[#This Row],[Gastos]]</f>
        <v>30500</v>
      </c>
      <c r="M19" s="7">
        <f>Rdiario[[#This Row],[Ganancia]]-Rdiario[[#This Row],[Compras]]-Rdiario[[#This Row],[Gastos]]</f>
        <v>14142</v>
      </c>
      <c r="P19" s="16"/>
    </row>
    <row r="20" spans="2:16">
      <c r="B20" s="9">
        <v>44943</v>
      </c>
      <c r="C2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0" s="6" t="s">
        <v>106</v>
      </c>
      <c r="E20" s="7">
        <f>SUMIF(Ventas[Fecha],Rdiario[[#This Row],[Fecha]],Ventas[Total])</f>
        <v>14350</v>
      </c>
      <c r="F20" s="66">
        <f>SUMIF(Ventas[Fecha],Rdiario[[#This Row],[Fecha]],Ventas[Total 4])</f>
        <v>0</v>
      </c>
      <c r="G20" s="66">
        <f>Rdiario[[#This Row],[Ingresos Brutos]]-Rdiario[[#This Row],[Transferencia]]</f>
        <v>14350</v>
      </c>
      <c r="H20" s="7">
        <f>Rdiario[[#This Row],[Ingresos Brutos]]-Rdiario[[#This Row],[Ganancia]]</f>
        <v>6944</v>
      </c>
      <c r="I20" s="7">
        <f>SUMIF(Ventas[Fecha],Rdiario[[#This Row],[Fecha]],Ventas[Total 2])</f>
        <v>7406</v>
      </c>
      <c r="J20" s="7">
        <f>SUMIF(Compras[Fecha],Rdiario[[#This Row],[Fecha]],Compras[Monto])</f>
        <v>0</v>
      </c>
      <c r="K20" s="7">
        <f>SUMIF(TGastos[Fecha],Rdiario[[#This Row],[Fecha]],TGastos[Monto])</f>
        <v>0</v>
      </c>
      <c r="L20" s="7">
        <f>Rdiario[[#This Row],[Ingresos Brutos]]-Rdiario[[#This Row],[Compras]]-Rdiario[[#This Row],[Gastos]]</f>
        <v>14350</v>
      </c>
      <c r="M20" s="7">
        <f>Rdiario[[#This Row],[Ganancia]]-Rdiario[[#This Row],[Compras]]-Rdiario[[#This Row],[Gastos]]</f>
        <v>7406</v>
      </c>
      <c r="P20" s="16"/>
    </row>
    <row r="21" spans="2:16">
      <c r="B21" s="9">
        <v>44944</v>
      </c>
      <c r="C2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1" s="6" t="s">
        <v>107</v>
      </c>
      <c r="E21" s="7">
        <f>SUMIF(Ventas[Fecha],Rdiario[[#This Row],[Fecha]],Ventas[Total])</f>
        <v>26300</v>
      </c>
      <c r="F21" s="66">
        <f>SUMIF(Ventas[Fecha],Rdiario[[#This Row],[Fecha]],Ventas[Total 4])</f>
        <v>0</v>
      </c>
      <c r="G21" s="66">
        <f>Rdiario[[#This Row],[Ingresos Brutos]]-Rdiario[[#This Row],[Transferencia]]</f>
        <v>26300</v>
      </c>
      <c r="H21" s="7">
        <f>Rdiario[[#This Row],[Ingresos Brutos]]-Rdiario[[#This Row],[Ganancia]]</f>
        <v>14078</v>
      </c>
      <c r="I21" s="7">
        <f>SUMIF(Ventas[Fecha],Rdiario[[#This Row],[Fecha]],Ventas[Total 2])</f>
        <v>12222</v>
      </c>
      <c r="J21" s="7">
        <f>SUMIF(Compras[Fecha],Rdiario[[#This Row],[Fecha]],Compras[Monto])</f>
        <v>0</v>
      </c>
      <c r="K21" s="7">
        <f>SUMIF(TGastos[Fecha],Rdiario[[#This Row],[Fecha]],TGastos[Monto])</f>
        <v>10700</v>
      </c>
      <c r="L21" s="7">
        <f>Rdiario[[#This Row],[Ingresos Brutos]]-Rdiario[[#This Row],[Compras]]-Rdiario[[#This Row],[Gastos]]</f>
        <v>15600</v>
      </c>
      <c r="M21" s="7">
        <f>Rdiario[[#This Row],[Ganancia]]-Rdiario[[#This Row],[Compras]]-Rdiario[[#This Row],[Gastos]]</f>
        <v>1522</v>
      </c>
      <c r="P21" s="16"/>
    </row>
    <row r="22" spans="2:16">
      <c r="B22" s="9">
        <v>44945</v>
      </c>
      <c r="C2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2" s="6" t="s">
        <v>108</v>
      </c>
      <c r="E22" s="7">
        <f>SUMIF(Ventas[Fecha],Rdiario[[#This Row],[Fecha]],Ventas[Total])</f>
        <v>11750</v>
      </c>
      <c r="F22" s="66">
        <f>SUMIF(Ventas[Fecha],Rdiario[[#This Row],[Fecha]],Ventas[Total 4])</f>
        <v>0</v>
      </c>
      <c r="G22" s="66">
        <f>Rdiario[[#This Row],[Ingresos Brutos]]-Rdiario[[#This Row],[Transferencia]]</f>
        <v>11750</v>
      </c>
      <c r="H22" s="7">
        <f>Rdiario[[#This Row],[Ingresos Brutos]]-Rdiario[[#This Row],[Ganancia]]</f>
        <v>5827</v>
      </c>
      <c r="I22" s="7">
        <f>SUMIF(Ventas[Fecha],Rdiario[[#This Row],[Fecha]],Ventas[Total 2])</f>
        <v>5923</v>
      </c>
      <c r="J22" s="7">
        <f>SUMIF(Compras[Fecha],Rdiario[[#This Row],[Fecha]],Compras[Monto])</f>
        <v>5800</v>
      </c>
      <c r="K22" s="7">
        <f>SUMIF(TGastos[Fecha],Rdiario[[#This Row],[Fecha]],TGastos[Monto])</f>
        <v>4000</v>
      </c>
      <c r="L22" s="7">
        <f>Rdiario[[#This Row],[Ingresos Brutos]]-Rdiario[[#This Row],[Compras]]-Rdiario[[#This Row],[Gastos]]</f>
        <v>1950</v>
      </c>
      <c r="M22" s="7">
        <f>Rdiario[[#This Row],[Ganancia]]-Rdiario[[#This Row],[Compras]]-Rdiario[[#This Row],[Gastos]]</f>
        <v>-3877</v>
      </c>
      <c r="P22" s="16"/>
    </row>
    <row r="23" spans="2:16">
      <c r="B23" s="9">
        <v>44946</v>
      </c>
      <c r="C2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3" s="6" t="s">
        <v>109</v>
      </c>
      <c r="E23" s="7">
        <f>SUMIF(Ventas[Fecha],Rdiario[[#This Row],[Fecha]],Ventas[Total])</f>
        <v>9600</v>
      </c>
      <c r="F23" s="66">
        <f>SUMIF(Ventas[Fecha],Rdiario[[#This Row],[Fecha]],Ventas[Total 4])</f>
        <v>0</v>
      </c>
      <c r="G23" s="66">
        <f>Rdiario[[#This Row],[Ingresos Brutos]]-Rdiario[[#This Row],[Transferencia]]</f>
        <v>9600</v>
      </c>
      <c r="H23" s="7">
        <f>Rdiario[[#This Row],[Ingresos Brutos]]-Rdiario[[#This Row],[Ganancia]]</f>
        <v>5291</v>
      </c>
      <c r="I23" s="7">
        <f>SUMIF(Ventas[Fecha],Rdiario[[#This Row],[Fecha]],Ventas[Total 2])</f>
        <v>4309</v>
      </c>
      <c r="J23" s="7">
        <f>SUMIF(Compras[Fecha],Rdiario[[#This Row],[Fecha]],Compras[Monto])</f>
        <v>36922</v>
      </c>
      <c r="K23" s="7">
        <f>SUMIF(TGastos[Fecha],Rdiario[[#This Row],[Fecha]],TGastos[Monto])</f>
        <v>7550</v>
      </c>
      <c r="L23" s="7">
        <f>Rdiario[[#This Row],[Ingresos Brutos]]-Rdiario[[#This Row],[Compras]]-Rdiario[[#This Row],[Gastos]]</f>
        <v>-34872</v>
      </c>
      <c r="M23" s="7">
        <f>Rdiario[[#This Row],[Ganancia]]-Rdiario[[#This Row],[Compras]]-Rdiario[[#This Row],[Gastos]]</f>
        <v>-40163</v>
      </c>
      <c r="P23" s="16"/>
    </row>
    <row r="24" spans="2:16">
      <c r="B24" s="9">
        <v>44947</v>
      </c>
      <c r="C2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4" s="6" t="s">
        <v>110</v>
      </c>
      <c r="E24" s="7">
        <f>SUMIF(Ventas[Fecha],Rdiario[[#This Row],[Fecha]],Ventas[Total])</f>
        <v>0</v>
      </c>
      <c r="F24" s="66">
        <f>SUMIF(Ventas[Fecha],Rdiario[[#This Row],[Fecha]],Ventas[Total 4])</f>
        <v>0</v>
      </c>
      <c r="G24" s="66">
        <f>Rdiario[[#This Row],[Ingresos Brutos]]-Rdiario[[#This Row],[Transferencia]]</f>
        <v>0</v>
      </c>
      <c r="H24" s="7">
        <f>Rdiario[[#This Row],[Ingresos Brutos]]-Rdiario[[#This Row],[Ganancia]]</f>
        <v>0</v>
      </c>
      <c r="I24" s="7">
        <f>SUMIF(Ventas[Fecha],Rdiario[[#This Row],[Fecha]],Ventas[Total 2])</f>
        <v>0</v>
      </c>
      <c r="J24" s="7">
        <f>SUMIF(Compras[Fecha],Rdiario[[#This Row],[Fecha]],Compras[Monto])</f>
        <v>0</v>
      </c>
      <c r="K24" s="7">
        <f>SUMIF(TGastos[Fecha],Rdiario[[#This Row],[Fecha]],TGastos[Monto])</f>
        <v>0</v>
      </c>
      <c r="L24" s="7">
        <f>Rdiario[[#This Row],[Ingresos Brutos]]-Rdiario[[#This Row],[Compras]]-Rdiario[[#This Row],[Gastos]]</f>
        <v>0</v>
      </c>
      <c r="M24" s="7">
        <f>Rdiario[[#This Row],[Ganancia]]-Rdiario[[#This Row],[Compras]]-Rdiario[[#This Row],[Gastos]]</f>
        <v>0</v>
      </c>
      <c r="P24" s="16"/>
    </row>
    <row r="25" spans="2:16">
      <c r="B25" s="9">
        <v>44948</v>
      </c>
      <c r="C2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5" s="6" t="s">
        <v>104</v>
      </c>
      <c r="E25" s="7">
        <f>SUMIF(Ventas[Fecha],Rdiario[[#This Row],[Fecha]],Ventas[Total])</f>
        <v>0</v>
      </c>
      <c r="F25" s="66">
        <f>SUMIF(Ventas[Fecha],Rdiario[[#This Row],[Fecha]],Ventas[Total 4])</f>
        <v>0</v>
      </c>
      <c r="G25" s="66">
        <f>Rdiario[[#This Row],[Ingresos Brutos]]-Rdiario[[#This Row],[Transferencia]]</f>
        <v>0</v>
      </c>
      <c r="H25" s="7">
        <f>Rdiario[[#This Row],[Ingresos Brutos]]-Rdiario[[#This Row],[Ganancia]]</f>
        <v>0</v>
      </c>
      <c r="I25" s="7">
        <f>SUMIF(Ventas[Fecha],Rdiario[[#This Row],[Fecha]],Ventas[Total 2])</f>
        <v>0</v>
      </c>
      <c r="J25" s="7">
        <f>SUMIF(Compras[Fecha],Rdiario[[#This Row],[Fecha]],Compras[Monto])</f>
        <v>0</v>
      </c>
      <c r="K25" s="7">
        <f>SUMIF(TGastos[Fecha],Rdiario[[#This Row],[Fecha]],TGastos[Monto])</f>
        <v>0</v>
      </c>
      <c r="L25" s="7">
        <f>Rdiario[[#This Row],[Ingresos Brutos]]-Rdiario[[#This Row],[Compras]]-Rdiario[[#This Row],[Gastos]]</f>
        <v>0</v>
      </c>
      <c r="M25" s="7">
        <f>Rdiario[[#This Row],[Ganancia]]-Rdiario[[#This Row],[Compras]]-Rdiario[[#This Row],[Gastos]]</f>
        <v>0</v>
      </c>
      <c r="P25" s="16"/>
    </row>
    <row r="26" spans="2:16">
      <c r="B26" s="9">
        <v>44949</v>
      </c>
      <c r="C2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6" s="6" t="s">
        <v>105</v>
      </c>
      <c r="E26" s="7">
        <f>SUMIF(Ventas[Fecha],Rdiario[[#This Row],[Fecha]],Ventas[Total])</f>
        <v>20250</v>
      </c>
      <c r="F26" s="66">
        <f>SUMIF(Ventas[Fecha],Rdiario[[#This Row],[Fecha]],Ventas[Total 4])</f>
        <v>0</v>
      </c>
      <c r="G26" s="66">
        <f>Rdiario[[#This Row],[Ingresos Brutos]]-Rdiario[[#This Row],[Transferencia]]</f>
        <v>20250</v>
      </c>
      <c r="H26" s="7">
        <f>Rdiario[[#This Row],[Ingresos Brutos]]-Rdiario[[#This Row],[Ganancia]]</f>
        <v>10406</v>
      </c>
      <c r="I26" s="7">
        <f>SUMIF(Ventas[Fecha],Rdiario[[#This Row],[Fecha]],Ventas[Total 2])</f>
        <v>9844</v>
      </c>
      <c r="J26" s="7">
        <f>SUMIF(Compras[Fecha],Rdiario[[#This Row],[Fecha]],Compras[Monto])</f>
        <v>1574</v>
      </c>
      <c r="K26" s="7">
        <f>SUMIF(TGastos[Fecha],Rdiario[[#This Row],[Fecha]],TGastos[Monto])</f>
        <v>0</v>
      </c>
      <c r="L26" s="7">
        <f>Rdiario[[#This Row],[Ingresos Brutos]]-Rdiario[[#This Row],[Compras]]-Rdiario[[#This Row],[Gastos]]</f>
        <v>18676</v>
      </c>
      <c r="M26" s="7">
        <f>Rdiario[[#This Row],[Ganancia]]-Rdiario[[#This Row],[Compras]]-Rdiario[[#This Row],[Gastos]]</f>
        <v>8270</v>
      </c>
      <c r="P26" s="16"/>
    </row>
    <row r="27" spans="2:16">
      <c r="B27" s="9">
        <v>44950</v>
      </c>
      <c r="C2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7" s="6" t="s">
        <v>106</v>
      </c>
      <c r="E27" s="7">
        <f>SUMIF(Ventas[Fecha],Rdiario[[#This Row],[Fecha]],Ventas[Total])</f>
        <v>13050</v>
      </c>
      <c r="F27" s="66">
        <f>SUMIF(Ventas[Fecha],Rdiario[[#This Row],[Fecha]],Ventas[Total 4])</f>
        <v>0</v>
      </c>
      <c r="G27" s="66">
        <f>Rdiario[[#This Row],[Ingresos Brutos]]-Rdiario[[#This Row],[Transferencia]]</f>
        <v>13050</v>
      </c>
      <c r="H27" s="7">
        <f>Rdiario[[#This Row],[Ingresos Brutos]]-Rdiario[[#This Row],[Ganancia]]</f>
        <v>6461</v>
      </c>
      <c r="I27" s="7">
        <f>SUMIF(Ventas[Fecha],Rdiario[[#This Row],[Fecha]],Ventas[Total 2])</f>
        <v>6589</v>
      </c>
      <c r="J27" s="7">
        <f>SUMIF(Compras[Fecha],Rdiario[[#This Row],[Fecha]],Compras[Monto])</f>
        <v>0</v>
      </c>
      <c r="K27" s="7">
        <f>SUMIF(TGastos[Fecha],Rdiario[[#This Row],[Fecha]],TGastos[Monto])</f>
        <v>0</v>
      </c>
      <c r="L27" s="7">
        <f>Rdiario[[#This Row],[Ingresos Brutos]]-Rdiario[[#This Row],[Compras]]-Rdiario[[#This Row],[Gastos]]</f>
        <v>13050</v>
      </c>
      <c r="M27" s="7">
        <f>Rdiario[[#This Row],[Ganancia]]-Rdiario[[#This Row],[Compras]]-Rdiario[[#This Row],[Gastos]]</f>
        <v>6589</v>
      </c>
      <c r="P27" s="16"/>
    </row>
    <row r="28" spans="2:16">
      <c r="B28" s="9">
        <v>44951</v>
      </c>
      <c r="C2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8" s="6" t="s">
        <v>107</v>
      </c>
      <c r="E28" s="7">
        <f>SUMIF(Ventas[Fecha],Rdiario[[#This Row],[Fecha]],Ventas[Total])</f>
        <v>16100</v>
      </c>
      <c r="F28" s="66">
        <f>SUMIF(Ventas[Fecha],Rdiario[[#This Row],[Fecha]],Ventas[Total 4])</f>
        <v>0</v>
      </c>
      <c r="G28" s="66">
        <f>Rdiario[[#This Row],[Ingresos Brutos]]-Rdiario[[#This Row],[Transferencia]]</f>
        <v>16100</v>
      </c>
      <c r="H28" s="7">
        <f>Rdiario[[#This Row],[Ingresos Brutos]]-Rdiario[[#This Row],[Ganancia]]</f>
        <v>8389</v>
      </c>
      <c r="I28" s="7">
        <f>SUMIF(Ventas[Fecha],Rdiario[[#This Row],[Fecha]],Ventas[Total 2])</f>
        <v>7711</v>
      </c>
      <c r="J28" s="7">
        <f>SUMIF(Compras[Fecha],Rdiario[[#This Row],[Fecha]],Compras[Monto])</f>
        <v>0</v>
      </c>
      <c r="K28" s="7">
        <f>SUMIF(TGastos[Fecha],Rdiario[[#This Row],[Fecha]],TGastos[Monto])</f>
        <v>0</v>
      </c>
      <c r="L28" s="7">
        <f>Rdiario[[#This Row],[Ingresos Brutos]]-Rdiario[[#This Row],[Compras]]-Rdiario[[#This Row],[Gastos]]</f>
        <v>16100</v>
      </c>
      <c r="M28" s="7">
        <f>Rdiario[[#This Row],[Ganancia]]-Rdiario[[#This Row],[Compras]]-Rdiario[[#This Row],[Gastos]]</f>
        <v>7711</v>
      </c>
      <c r="P28" s="16"/>
    </row>
    <row r="29" spans="2:16">
      <c r="B29" s="9">
        <v>44952</v>
      </c>
      <c r="C2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9" s="6" t="s">
        <v>108</v>
      </c>
      <c r="E29" s="7">
        <f>SUMIF(Ventas[Fecha],Rdiario[[#This Row],[Fecha]],Ventas[Total])</f>
        <v>2600</v>
      </c>
      <c r="F29" s="66">
        <f>SUMIF(Ventas[Fecha],Rdiario[[#This Row],[Fecha]],Ventas[Total 4])</f>
        <v>0</v>
      </c>
      <c r="G29" s="66">
        <f>Rdiario[[#This Row],[Ingresos Brutos]]-Rdiario[[#This Row],[Transferencia]]</f>
        <v>2600</v>
      </c>
      <c r="H29" s="7">
        <f>Rdiario[[#This Row],[Ingresos Brutos]]-Rdiario[[#This Row],[Ganancia]]</f>
        <v>1510</v>
      </c>
      <c r="I29" s="7">
        <f>SUMIF(Ventas[Fecha],Rdiario[[#This Row],[Fecha]],Ventas[Total 2])</f>
        <v>1090</v>
      </c>
      <c r="J29" s="7">
        <f>SUMIF(Compras[Fecha],Rdiario[[#This Row],[Fecha]],Compras[Monto])</f>
        <v>0</v>
      </c>
      <c r="K29" s="7">
        <f>SUMIF(TGastos[Fecha],Rdiario[[#This Row],[Fecha]],TGastos[Monto])</f>
        <v>0</v>
      </c>
      <c r="L29" s="7">
        <f>Rdiario[[#This Row],[Ingresos Brutos]]-Rdiario[[#This Row],[Compras]]-Rdiario[[#This Row],[Gastos]]</f>
        <v>2600</v>
      </c>
      <c r="M29" s="7">
        <f>Rdiario[[#This Row],[Ganancia]]-Rdiario[[#This Row],[Compras]]-Rdiario[[#This Row],[Gastos]]</f>
        <v>1090</v>
      </c>
      <c r="P29" s="16"/>
    </row>
    <row r="30" spans="2:16">
      <c r="B30" s="9">
        <v>44953</v>
      </c>
      <c r="C3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0" s="6" t="s">
        <v>109</v>
      </c>
      <c r="E30" s="7">
        <f>SUMIF(Ventas[Fecha],Rdiario[[#This Row],[Fecha]],Ventas[Total])</f>
        <v>25050</v>
      </c>
      <c r="F30" s="66">
        <f>SUMIF(Ventas[Fecha],Rdiario[[#This Row],[Fecha]],Ventas[Total 4])</f>
        <v>0</v>
      </c>
      <c r="G30" s="66">
        <f>Rdiario[[#This Row],[Ingresos Brutos]]-Rdiario[[#This Row],[Transferencia]]</f>
        <v>25050</v>
      </c>
      <c r="H30" s="7">
        <f>Rdiario[[#This Row],[Ingresos Brutos]]-Rdiario[[#This Row],[Ganancia]]</f>
        <v>15062</v>
      </c>
      <c r="I30" s="7">
        <f>SUMIF(Ventas[Fecha],Rdiario[[#This Row],[Fecha]],Ventas[Total 2])</f>
        <v>9988</v>
      </c>
      <c r="J30" s="7">
        <f>SUMIF(Compras[Fecha],Rdiario[[#This Row],[Fecha]],Compras[Monto])</f>
        <v>0</v>
      </c>
      <c r="K30" s="7">
        <f>SUMIF(TGastos[Fecha],Rdiario[[#This Row],[Fecha]],TGastos[Monto])</f>
        <v>1000</v>
      </c>
      <c r="L30" s="7">
        <f>Rdiario[[#This Row],[Ingresos Brutos]]-Rdiario[[#This Row],[Compras]]-Rdiario[[#This Row],[Gastos]]</f>
        <v>24050</v>
      </c>
      <c r="M30" s="7">
        <f>Rdiario[[#This Row],[Ganancia]]-Rdiario[[#This Row],[Compras]]-Rdiario[[#This Row],[Gastos]]</f>
        <v>8988</v>
      </c>
      <c r="P30" s="16"/>
    </row>
    <row r="31" spans="2:16">
      <c r="B31" s="9">
        <v>44954</v>
      </c>
      <c r="C3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1" s="6" t="s">
        <v>110</v>
      </c>
      <c r="E31" s="7">
        <f>SUMIF(Ventas[Fecha],Rdiario[[#This Row],[Fecha]],Ventas[Total])</f>
        <v>15350</v>
      </c>
      <c r="F31" s="66">
        <f>SUMIF(Ventas[Fecha],Rdiario[[#This Row],[Fecha]],Ventas[Total 4])</f>
        <v>0</v>
      </c>
      <c r="G31" s="66">
        <f>Rdiario[[#This Row],[Ingresos Brutos]]-Rdiario[[#This Row],[Transferencia]]</f>
        <v>15350</v>
      </c>
      <c r="H31" s="7">
        <f>Rdiario[[#This Row],[Ingresos Brutos]]-Rdiario[[#This Row],[Ganancia]]</f>
        <v>7935</v>
      </c>
      <c r="I31" s="7">
        <f>SUMIF(Ventas[Fecha],Rdiario[[#This Row],[Fecha]],Ventas[Total 2])</f>
        <v>7415</v>
      </c>
      <c r="J31" s="7">
        <f>SUMIF(Compras[Fecha],Rdiario[[#This Row],[Fecha]],Compras[Monto])</f>
        <v>0</v>
      </c>
      <c r="K31" s="7">
        <f>SUMIF(TGastos[Fecha],Rdiario[[#This Row],[Fecha]],TGastos[Monto])</f>
        <v>6500</v>
      </c>
      <c r="L31" s="7">
        <f>Rdiario[[#This Row],[Ingresos Brutos]]-Rdiario[[#This Row],[Compras]]-Rdiario[[#This Row],[Gastos]]</f>
        <v>8850</v>
      </c>
      <c r="M31" s="7">
        <f>Rdiario[[#This Row],[Ganancia]]-Rdiario[[#This Row],[Compras]]-Rdiario[[#This Row],[Gastos]]</f>
        <v>915</v>
      </c>
      <c r="P31" s="16"/>
    </row>
    <row r="32" spans="2:16">
      <c r="B32" s="9">
        <v>44955</v>
      </c>
      <c r="C3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2" s="6" t="s">
        <v>104</v>
      </c>
      <c r="E32" s="7">
        <f>SUMIF(Ventas[Fecha],Rdiario[[#This Row],[Fecha]],Ventas[Total])</f>
        <v>0</v>
      </c>
      <c r="F32" s="66">
        <f>SUMIF(Ventas[Fecha],Rdiario[[#This Row],[Fecha]],Ventas[Total 4])</f>
        <v>0</v>
      </c>
      <c r="G32" s="66">
        <f>Rdiario[[#This Row],[Ingresos Brutos]]-Rdiario[[#This Row],[Transferencia]]</f>
        <v>0</v>
      </c>
      <c r="H32" s="7">
        <f>Rdiario[[#This Row],[Ingresos Brutos]]-Rdiario[[#This Row],[Ganancia]]</f>
        <v>0</v>
      </c>
      <c r="I32" s="7">
        <f>SUMIF(Ventas[Fecha],Rdiario[[#This Row],[Fecha]],Ventas[Total 2])</f>
        <v>0</v>
      </c>
      <c r="J32" s="7">
        <f>SUMIF(Compras[Fecha],Rdiario[[#This Row],[Fecha]],Compras[Monto])</f>
        <v>0</v>
      </c>
      <c r="K32" s="7">
        <f>SUMIF(TGastos[Fecha],Rdiario[[#This Row],[Fecha]],TGastos[Monto])</f>
        <v>0</v>
      </c>
      <c r="L32" s="7">
        <f>Rdiario[[#This Row],[Ingresos Brutos]]-Rdiario[[#This Row],[Compras]]-Rdiario[[#This Row],[Gastos]]</f>
        <v>0</v>
      </c>
      <c r="M32" s="7">
        <f>Rdiario[[#This Row],[Ganancia]]-Rdiario[[#This Row],[Compras]]-Rdiario[[#This Row],[Gastos]]</f>
        <v>0</v>
      </c>
      <c r="P32" s="16"/>
    </row>
    <row r="33" spans="2:16">
      <c r="B33" s="9">
        <v>44956</v>
      </c>
      <c r="C3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3" s="6" t="s">
        <v>105</v>
      </c>
      <c r="E33" s="7">
        <f>SUMIF(Ventas[Fecha],Rdiario[[#This Row],[Fecha]],Ventas[Total])</f>
        <v>37350</v>
      </c>
      <c r="F33" s="66">
        <f>SUMIF(Ventas[Fecha],Rdiario[[#This Row],[Fecha]],Ventas[Total 4])</f>
        <v>0</v>
      </c>
      <c r="G33" s="66">
        <f>Rdiario[[#This Row],[Ingresos Brutos]]-Rdiario[[#This Row],[Transferencia]]</f>
        <v>37350</v>
      </c>
      <c r="H33" s="7">
        <f>Rdiario[[#This Row],[Ingresos Brutos]]-Rdiario[[#This Row],[Ganancia]]</f>
        <v>19103</v>
      </c>
      <c r="I33" s="7">
        <f>SUMIF(Ventas[Fecha],Rdiario[[#This Row],[Fecha]],Ventas[Total 2])</f>
        <v>18247</v>
      </c>
      <c r="J33" s="7">
        <f>SUMIF(Compras[Fecha],Rdiario[[#This Row],[Fecha]],Compras[Monto])</f>
        <v>30041</v>
      </c>
      <c r="K33" s="7">
        <f>SUMIF(TGastos[Fecha],Rdiario[[#This Row],[Fecha]],TGastos[Monto])</f>
        <v>0</v>
      </c>
      <c r="L33" s="7">
        <f>Rdiario[[#This Row],[Ingresos Brutos]]-Rdiario[[#This Row],[Compras]]-Rdiario[[#This Row],[Gastos]]</f>
        <v>7309</v>
      </c>
      <c r="M33" s="7">
        <f>Rdiario[[#This Row],[Ganancia]]-Rdiario[[#This Row],[Compras]]-Rdiario[[#This Row],[Gastos]]</f>
        <v>-11794</v>
      </c>
      <c r="P33" s="16"/>
    </row>
    <row r="34" spans="2:16">
      <c r="B34" s="9">
        <v>44957</v>
      </c>
      <c r="C3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4" s="6" t="s">
        <v>106</v>
      </c>
      <c r="E34" s="7">
        <f>SUMIF(Ventas[Fecha],Rdiario[[#This Row],[Fecha]],Ventas[Total])</f>
        <v>57550</v>
      </c>
      <c r="F34" s="66">
        <f>SUMIF(Ventas[Fecha],Rdiario[[#This Row],[Fecha]],Ventas[Total 4])</f>
        <v>0</v>
      </c>
      <c r="G34" s="66">
        <f>Rdiario[[#This Row],[Ingresos Brutos]]-Rdiario[[#This Row],[Transferencia]]</f>
        <v>57550</v>
      </c>
      <c r="H34" s="7">
        <f>Rdiario[[#This Row],[Ingresos Brutos]]-Rdiario[[#This Row],[Ganancia]]</f>
        <v>28861</v>
      </c>
      <c r="I34" s="7">
        <f>SUMIF(Ventas[Fecha],Rdiario[[#This Row],[Fecha]],Ventas[Total 2])</f>
        <v>28689</v>
      </c>
      <c r="J34" s="7">
        <f>SUMIF(Compras[Fecha],Rdiario[[#This Row],[Fecha]],Compras[Monto])</f>
        <v>0</v>
      </c>
      <c r="K34" s="7">
        <f>SUMIF(TGastos[Fecha],Rdiario[[#This Row],[Fecha]],TGastos[Monto])</f>
        <v>13000</v>
      </c>
      <c r="L34" s="7">
        <f>Rdiario[[#This Row],[Ingresos Brutos]]-Rdiario[[#This Row],[Compras]]-Rdiario[[#This Row],[Gastos]]</f>
        <v>44550</v>
      </c>
      <c r="M34" s="7">
        <f>Rdiario[[#This Row],[Ganancia]]-Rdiario[[#This Row],[Compras]]-Rdiario[[#This Row],[Gastos]]</f>
        <v>15689</v>
      </c>
      <c r="P34" s="16"/>
    </row>
    <row r="35" spans="2:16">
      <c r="B35" s="9">
        <v>44958</v>
      </c>
      <c r="C3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5" s="6" t="s">
        <v>107</v>
      </c>
      <c r="E35" s="7">
        <f>SUMIF(Ventas[Fecha],Rdiario[[#This Row],[Fecha]],Ventas[Total])</f>
        <v>18000</v>
      </c>
      <c r="F35" s="66">
        <f>SUMIF(Ventas[Fecha],Rdiario[[#This Row],[Fecha]],Ventas[Total 4])</f>
        <v>0</v>
      </c>
      <c r="G35" s="66">
        <f>Rdiario[[#This Row],[Ingresos Brutos]]-Rdiario[[#This Row],[Transferencia]]</f>
        <v>18000</v>
      </c>
      <c r="H35" s="7">
        <f>Rdiario[[#This Row],[Ingresos Brutos]]-Rdiario[[#This Row],[Ganancia]]</f>
        <v>8784</v>
      </c>
      <c r="I35" s="7">
        <f>SUMIF(Ventas[Fecha],Rdiario[[#This Row],[Fecha]],Ventas[Total 2])</f>
        <v>9216</v>
      </c>
      <c r="J35" s="7">
        <f>SUMIF(Compras[Fecha],Rdiario[[#This Row],[Fecha]],Compras[Monto])</f>
        <v>7500</v>
      </c>
      <c r="K35" s="7">
        <f>SUMIF(TGastos[Fecha],Rdiario[[#This Row],[Fecha]],TGastos[Monto])</f>
        <v>0</v>
      </c>
      <c r="L35" s="7">
        <f>Rdiario[[#This Row],[Ingresos Brutos]]-Rdiario[[#This Row],[Compras]]-Rdiario[[#This Row],[Gastos]]</f>
        <v>10500</v>
      </c>
      <c r="M35" s="7">
        <f>Rdiario[[#This Row],[Ganancia]]-Rdiario[[#This Row],[Compras]]-Rdiario[[#This Row],[Gastos]]</f>
        <v>1716</v>
      </c>
      <c r="P35" s="16"/>
    </row>
    <row r="36" spans="2:16">
      <c r="B36" s="9">
        <v>44959</v>
      </c>
      <c r="C3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6" s="6" t="s">
        <v>108</v>
      </c>
      <c r="E36" s="7">
        <f>SUMIF(Ventas[Fecha],Rdiario[[#This Row],[Fecha]],Ventas[Total])</f>
        <v>34800</v>
      </c>
      <c r="F36" s="66">
        <f>SUMIF(Ventas[Fecha],Rdiario[[#This Row],[Fecha]],Ventas[Total 4])</f>
        <v>0</v>
      </c>
      <c r="G36" s="66">
        <f>Rdiario[[#This Row],[Ingresos Brutos]]-Rdiario[[#This Row],[Transferencia]]</f>
        <v>34800</v>
      </c>
      <c r="H36" s="7">
        <f>Rdiario[[#This Row],[Ingresos Brutos]]-Rdiario[[#This Row],[Ganancia]]</f>
        <v>19466</v>
      </c>
      <c r="I36" s="7">
        <f>SUMIF(Ventas[Fecha],Rdiario[[#This Row],[Fecha]],Ventas[Total 2])</f>
        <v>15334</v>
      </c>
      <c r="J36" s="7">
        <f>SUMIF(Compras[Fecha],Rdiario[[#This Row],[Fecha]],Compras[Monto])</f>
        <v>37028</v>
      </c>
      <c r="K36" s="7">
        <f>SUMIF(TGastos[Fecha],Rdiario[[#This Row],[Fecha]],TGastos[Monto])</f>
        <v>0</v>
      </c>
      <c r="L36" s="7">
        <f>Rdiario[[#This Row],[Ingresos Brutos]]-Rdiario[[#This Row],[Compras]]-Rdiario[[#This Row],[Gastos]]</f>
        <v>-2228</v>
      </c>
      <c r="M36" s="7">
        <f>Rdiario[[#This Row],[Ganancia]]-Rdiario[[#This Row],[Compras]]-Rdiario[[#This Row],[Gastos]]</f>
        <v>-21694</v>
      </c>
      <c r="P36" s="16"/>
    </row>
    <row r="37" spans="2:16">
      <c r="B37" s="9">
        <v>44960</v>
      </c>
      <c r="C3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7" s="6" t="s">
        <v>109</v>
      </c>
      <c r="E37" s="7">
        <f>SUMIF(Ventas[Fecha],Rdiario[[#This Row],[Fecha]],Ventas[Total])</f>
        <v>20300</v>
      </c>
      <c r="F37" s="66">
        <f>SUMIF(Ventas[Fecha],Rdiario[[#This Row],[Fecha]],Ventas[Total 4])</f>
        <v>0</v>
      </c>
      <c r="G37" s="66">
        <f>Rdiario[[#This Row],[Ingresos Brutos]]-Rdiario[[#This Row],[Transferencia]]</f>
        <v>20300</v>
      </c>
      <c r="H37" s="7">
        <f>Rdiario[[#This Row],[Ingresos Brutos]]-Rdiario[[#This Row],[Ganancia]]</f>
        <v>10388</v>
      </c>
      <c r="I37" s="7">
        <f>SUMIF(Ventas[Fecha],Rdiario[[#This Row],[Fecha]],Ventas[Total 2])</f>
        <v>9912</v>
      </c>
      <c r="J37" s="7">
        <f>SUMIF(Compras[Fecha],Rdiario[[#This Row],[Fecha]],Compras[Monto])</f>
        <v>0</v>
      </c>
      <c r="K37" s="7">
        <f>SUMIF(TGastos[Fecha],Rdiario[[#This Row],[Fecha]],TGastos[Monto])</f>
        <v>0</v>
      </c>
      <c r="L37" s="7">
        <f>Rdiario[[#This Row],[Ingresos Brutos]]-Rdiario[[#This Row],[Compras]]-Rdiario[[#This Row],[Gastos]]</f>
        <v>20300</v>
      </c>
      <c r="M37" s="7">
        <f>Rdiario[[#This Row],[Ganancia]]-Rdiario[[#This Row],[Compras]]-Rdiario[[#This Row],[Gastos]]</f>
        <v>9912</v>
      </c>
      <c r="P37" s="16"/>
    </row>
    <row r="38" spans="2:16">
      <c r="B38" s="9">
        <v>44961</v>
      </c>
      <c r="C3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8" s="6" t="s">
        <v>110</v>
      </c>
      <c r="E38" s="7">
        <f>SUMIF(Ventas[Fecha],Rdiario[[#This Row],[Fecha]],Ventas[Total])</f>
        <v>28550</v>
      </c>
      <c r="F38" s="66">
        <f>SUMIF(Ventas[Fecha],Rdiario[[#This Row],[Fecha]],Ventas[Total 4])</f>
        <v>0</v>
      </c>
      <c r="G38" s="66">
        <f>Rdiario[[#This Row],[Ingresos Brutos]]-Rdiario[[#This Row],[Transferencia]]</f>
        <v>28550</v>
      </c>
      <c r="H38" s="7">
        <f>Rdiario[[#This Row],[Ingresos Brutos]]-Rdiario[[#This Row],[Ganancia]]</f>
        <v>14254</v>
      </c>
      <c r="I38" s="7">
        <f>SUMIF(Ventas[Fecha],Rdiario[[#This Row],[Fecha]],Ventas[Total 2])</f>
        <v>14296</v>
      </c>
      <c r="J38" s="7">
        <f>SUMIF(Compras[Fecha],Rdiario[[#This Row],[Fecha]],Compras[Monto])</f>
        <v>76010</v>
      </c>
      <c r="K38" s="7">
        <f>SUMIF(TGastos[Fecha],Rdiario[[#This Row],[Fecha]],TGastos[Monto])</f>
        <v>10000</v>
      </c>
      <c r="L38" s="7">
        <f>Rdiario[[#This Row],[Ingresos Brutos]]-Rdiario[[#This Row],[Compras]]-Rdiario[[#This Row],[Gastos]]</f>
        <v>-57460</v>
      </c>
      <c r="M38" s="7">
        <f>Rdiario[[#This Row],[Ganancia]]-Rdiario[[#This Row],[Compras]]-Rdiario[[#This Row],[Gastos]]</f>
        <v>-71714</v>
      </c>
      <c r="P38" s="16"/>
    </row>
    <row r="39" spans="2:16">
      <c r="B39" s="9">
        <v>44962</v>
      </c>
      <c r="C3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9" s="6" t="s">
        <v>104</v>
      </c>
      <c r="E39" s="7">
        <f>SUMIF(Ventas[Fecha],Rdiario[[#This Row],[Fecha]],Ventas[Total])</f>
        <v>0</v>
      </c>
      <c r="F39" s="66">
        <f>SUMIF(Ventas[Fecha],Rdiario[[#This Row],[Fecha]],Ventas[Total 4])</f>
        <v>0</v>
      </c>
      <c r="G39" s="66">
        <f>Rdiario[[#This Row],[Ingresos Brutos]]-Rdiario[[#This Row],[Transferencia]]</f>
        <v>0</v>
      </c>
      <c r="H39" s="7">
        <f>Rdiario[[#This Row],[Ingresos Brutos]]-Rdiario[[#This Row],[Ganancia]]</f>
        <v>0</v>
      </c>
      <c r="I39" s="7">
        <f>SUMIF(Ventas[Fecha],Rdiario[[#This Row],[Fecha]],Ventas[Total 2])</f>
        <v>0</v>
      </c>
      <c r="J39" s="7">
        <f>SUMIF(Compras[Fecha],Rdiario[[#This Row],[Fecha]],Compras[Monto])</f>
        <v>0</v>
      </c>
      <c r="K39" s="7">
        <f>SUMIF(TGastos[Fecha],Rdiario[[#This Row],[Fecha]],TGastos[Monto])</f>
        <v>0</v>
      </c>
      <c r="L39" s="7">
        <f>Rdiario[[#This Row],[Ingresos Brutos]]-Rdiario[[#This Row],[Compras]]-Rdiario[[#This Row],[Gastos]]</f>
        <v>0</v>
      </c>
      <c r="M39" s="7">
        <f>Rdiario[[#This Row],[Ganancia]]-Rdiario[[#This Row],[Compras]]-Rdiario[[#This Row],[Gastos]]</f>
        <v>0</v>
      </c>
      <c r="P39" s="16"/>
    </row>
    <row r="40" spans="2:16">
      <c r="B40" s="9">
        <v>44963</v>
      </c>
      <c r="C4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0" s="6" t="s">
        <v>105</v>
      </c>
      <c r="E40" s="7">
        <f>SUMIF(Ventas[Fecha],Rdiario[[#This Row],[Fecha]],Ventas[Total])</f>
        <v>20100</v>
      </c>
      <c r="F40" s="66">
        <f>SUMIF(Ventas[Fecha],Rdiario[[#This Row],[Fecha]],Ventas[Total 4])</f>
        <v>0</v>
      </c>
      <c r="G40" s="66">
        <f>Rdiario[[#This Row],[Ingresos Brutos]]-Rdiario[[#This Row],[Transferencia]]</f>
        <v>20100</v>
      </c>
      <c r="H40" s="7">
        <f>Rdiario[[#This Row],[Ingresos Brutos]]-Rdiario[[#This Row],[Ganancia]]</f>
        <v>10110</v>
      </c>
      <c r="I40" s="7">
        <f>SUMIF(Ventas[Fecha],Rdiario[[#This Row],[Fecha]],Ventas[Total 2])</f>
        <v>9990</v>
      </c>
      <c r="J40" s="7">
        <f>SUMIF(Compras[Fecha],Rdiario[[#This Row],[Fecha]],Compras[Monto])</f>
        <v>15500</v>
      </c>
      <c r="K40" s="7">
        <f>SUMIF(TGastos[Fecha],Rdiario[[#This Row],[Fecha]],TGastos[Monto])</f>
        <v>0</v>
      </c>
      <c r="L40" s="7">
        <f>Rdiario[[#This Row],[Ingresos Brutos]]-Rdiario[[#This Row],[Compras]]-Rdiario[[#This Row],[Gastos]]</f>
        <v>4600</v>
      </c>
      <c r="M40" s="7">
        <f>Rdiario[[#This Row],[Ganancia]]-Rdiario[[#This Row],[Compras]]-Rdiario[[#This Row],[Gastos]]</f>
        <v>-5510</v>
      </c>
      <c r="P40" s="16"/>
    </row>
    <row r="41" spans="2:16">
      <c r="B41" s="9">
        <v>44964</v>
      </c>
      <c r="C4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1" s="6" t="s">
        <v>106</v>
      </c>
      <c r="E41" s="7">
        <f>SUMIF(Ventas[Fecha],Rdiario[[#This Row],[Fecha]],Ventas[Total])</f>
        <v>31850</v>
      </c>
      <c r="F41" s="66">
        <f>SUMIF(Ventas[Fecha],Rdiario[[#This Row],[Fecha]],Ventas[Total 4])</f>
        <v>0</v>
      </c>
      <c r="G41" s="66">
        <f>Rdiario[[#This Row],[Ingresos Brutos]]-Rdiario[[#This Row],[Transferencia]]</f>
        <v>31850</v>
      </c>
      <c r="H41" s="7">
        <f>Rdiario[[#This Row],[Ingresos Brutos]]-Rdiario[[#This Row],[Ganancia]]</f>
        <v>15933</v>
      </c>
      <c r="I41" s="7">
        <f>SUMIF(Ventas[Fecha],Rdiario[[#This Row],[Fecha]],Ventas[Total 2])</f>
        <v>15917</v>
      </c>
      <c r="J41" s="7">
        <f>SUMIF(Compras[Fecha],Rdiario[[#This Row],[Fecha]],Compras[Monto])</f>
        <v>0</v>
      </c>
      <c r="K41" s="7">
        <f>SUMIF(TGastos[Fecha],Rdiario[[#This Row],[Fecha]],TGastos[Monto])</f>
        <v>3000</v>
      </c>
      <c r="L41" s="7">
        <f>Rdiario[[#This Row],[Ingresos Brutos]]-Rdiario[[#This Row],[Compras]]-Rdiario[[#This Row],[Gastos]]</f>
        <v>28850</v>
      </c>
      <c r="M41" s="7">
        <f>Rdiario[[#This Row],[Ganancia]]-Rdiario[[#This Row],[Compras]]-Rdiario[[#This Row],[Gastos]]</f>
        <v>12917</v>
      </c>
      <c r="P41" s="16"/>
    </row>
    <row r="42" spans="2:16">
      <c r="B42" s="9">
        <v>44965</v>
      </c>
      <c r="C4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2" s="6" t="s">
        <v>107</v>
      </c>
      <c r="E42" s="7">
        <f>SUMIF(Ventas[Fecha],Rdiario[[#This Row],[Fecha]],Ventas[Total])</f>
        <v>8350</v>
      </c>
      <c r="F42" s="66">
        <f>SUMIF(Ventas[Fecha],Rdiario[[#This Row],[Fecha]],Ventas[Total 4])</f>
        <v>0</v>
      </c>
      <c r="G42" s="66">
        <f>Rdiario[[#This Row],[Ingresos Brutos]]-Rdiario[[#This Row],[Transferencia]]</f>
        <v>8350</v>
      </c>
      <c r="H42" s="7">
        <f>Rdiario[[#This Row],[Ingresos Brutos]]-Rdiario[[#This Row],[Ganancia]]</f>
        <v>4168</v>
      </c>
      <c r="I42" s="7">
        <f>SUMIF(Ventas[Fecha],Rdiario[[#This Row],[Fecha]],Ventas[Total 2])</f>
        <v>4182</v>
      </c>
      <c r="J42" s="7">
        <f>SUMIF(Compras[Fecha],Rdiario[[#This Row],[Fecha]],Compras[Monto])</f>
        <v>14000</v>
      </c>
      <c r="K42" s="7">
        <f>SUMIF(TGastos[Fecha],Rdiario[[#This Row],[Fecha]],TGastos[Monto])</f>
        <v>0</v>
      </c>
      <c r="L42" s="7">
        <f>Rdiario[[#This Row],[Ingresos Brutos]]-Rdiario[[#This Row],[Compras]]-Rdiario[[#This Row],[Gastos]]</f>
        <v>-5650</v>
      </c>
      <c r="M42" s="7">
        <f>Rdiario[[#This Row],[Ganancia]]-Rdiario[[#This Row],[Compras]]-Rdiario[[#This Row],[Gastos]]</f>
        <v>-9818</v>
      </c>
      <c r="P42" s="16"/>
    </row>
    <row r="43" spans="2:16">
      <c r="B43" s="9">
        <v>44966</v>
      </c>
      <c r="C4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3" s="6" t="s">
        <v>108</v>
      </c>
      <c r="E43" s="7">
        <f>SUMIF(Ventas[Fecha],Rdiario[[#This Row],[Fecha]],Ventas[Total])</f>
        <v>19000</v>
      </c>
      <c r="F43" s="66">
        <f>SUMIF(Ventas[Fecha],Rdiario[[#This Row],[Fecha]],Ventas[Total 4])</f>
        <v>0</v>
      </c>
      <c r="G43" s="66">
        <f>Rdiario[[#This Row],[Ingresos Brutos]]-Rdiario[[#This Row],[Transferencia]]</f>
        <v>19000</v>
      </c>
      <c r="H43" s="7">
        <f>Rdiario[[#This Row],[Ingresos Brutos]]-Rdiario[[#This Row],[Ganancia]]</f>
        <v>9339</v>
      </c>
      <c r="I43" s="7">
        <f>SUMIF(Ventas[Fecha],Rdiario[[#This Row],[Fecha]],Ventas[Total 2])</f>
        <v>9661</v>
      </c>
      <c r="J43" s="7">
        <f>SUMIF(Compras[Fecha],Rdiario[[#This Row],[Fecha]],Compras[Monto])</f>
        <v>0</v>
      </c>
      <c r="K43" s="7">
        <f>SUMIF(TGastos[Fecha],Rdiario[[#This Row],[Fecha]],TGastos[Monto])</f>
        <v>0</v>
      </c>
      <c r="L43" s="7">
        <f>Rdiario[[#This Row],[Ingresos Brutos]]-Rdiario[[#This Row],[Compras]]-Rdiario[[#This Row],[Gastos]]</f>
        <v>19000</v>
      </c>
      <c r="M43" s="7">
        <f>Rdiario[[#This Row],[Ganancia]]-Rdiario[[#This Row],[Compras]]-Rdiario[[#This Row],[Gastos]]</f>
        <v>9661</v>
      </c>
      <c r="P43" s="16"/>
    </row>
    <row r="44" spans="2:16">
      <c r="B44" s="9">
        <v>44967</v>
      </c>
      <c r="C4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4" s="6" t="s">
        <v>109</v>
      </c>
      <c r="E44" s="7">
        <f>SUMIF(Ventas[Fecha],Rdiario[[#This Row],[Fecha]],Ventas[Total])</f>
        <v>23200</v>
      </c>
      <c r="F44" s="66">
        <f>SUMIF(Ventas[Fecha],Rdiario[[#This Row],[Fecha]],Ventas[Total 4])</f>
        <v>0</v>
      </c>
      <c r="G44" s="66">
        <f>Rdiario[[#This Row],[Ingresos Brutos]]-Rdiario[[#This Row],[Transferencia]]</f>
        <v>23200</v>
      </c>
      <c r="H44" s="7">
        <f>Rdiario[[#This Row],[Ingresos Brutos]]-Rdiario[[#This Row],[Ganancia]]</f>
        <v>11970</v>
      </c>
      <c r="I44" s="7">
        <f>SUMIF(Ventas[Fecha],Rdiario[[#This Row],[Fecha]],Ventas[Total 2])</f>
        <v>11230</v>
      </c>
      <c r="J44" s="7">
        <f>SUMIF(Compras[Fecha],Rdiario[[#This Row],[Fecha]],Compras[Monto])</f>
        <v>0</v>
      </c>
      <c r="K44" s="7">
        <f>SUMIF(TGastos[Fecha],Rdiario[[#This Row],[Fecha]],TGastos[Monto])</f>
        <v>11000</v>
      </c>
      <c r="L44" s="7">
        <f>Rdiario[[#This Row],[Ingresos Brutos]]-Rdiario[[#This Row],[Compras]]-Rdiario[[#This Row],[Gastos]]</f>
        <v>12200</v>
      </c>
      <c r="M44" s="7">
        <f>Rdiario[[#This Row],[Ganancia]]-Rdiario[[#This Row],[Compras]]-Rdiario[[#This Row],[Gastos]]</f>
        <v>230</v>
      </c>
      <c r="P44" s="16"/>
    </row>
    <row r="45" spans="2:16">
      <c r="B45" s="9">
        <v>44968</v>
      </c>
      <c r="C4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5" s="6" t="s">
        <v>110</v>
      </c>
      <c r="E45" s="7">
        <f>SUMIF(Ventas[Fecha],Rdiario[[#This Row],[Fecha]],Ventas[Total])</f>
        <v>6550</v>
      </c>
      <c r="F45" s="66">
        <f>SUMIF(Ventas[Fecha],Rdiario[[#This Row],[Fecha]],Ventas[Total 4])</f>
        <v>0</v>
      </c>
      <c r="G45" s="66">
        <f>Rdiario[[#This Row],[Ingresos Brutos]]-Rdiario[[#This Row],[Transferencia]]</f>
        <v>6550</v>
      </c>
      <c r="H45" s="7">
        <f>Rdiario[[#This Row],[Ingresos Brutos]]-Rdiario[[#This Row],[Ganancia]]</f>
        <v>3250</v>
      </c>
      <c r="I45" s="7">
        <f>SUMIF(Ventas[Fecha],Rdiario[[#This Row],[Fecha]],Ventas[Total 2])</f>
        <v>3300</v>
      </c>
      <c r="J45" s="7">
        <f>SUMIF(Compras[Fecha],Rdiario[[#This Row],[Fecha]],Compras[Monto])</f>
        <v>0</v>
      </c>
      <c r="K45" s="7">
        <f>SUMIF(TGastos[Fecha],Rdiario[[#This Row],[Fecha]],TGastos[Monto])</f>
        <v>0</v>
      </c>
      <c r="L45" s="7">
        <f>Rdiario[[#This Row],[Ingresos Brutos]]-Rdiario[[#This Row],[Compras]]-Rdiario[[#This Row],[Gastos]]</f>
        <v>6550</v>
      </c>
      <c r="M45" s="7">
        <f>Rdiario[[#This Row],[Ganancia]]-Rdiario[[#This Row],[Compras]]-Rdiario[[#This Row],[Gastos]]</f>
        <v>3300</v>
      </c>
      <c r="P45" s="16"/>
    </row>
    <row r="46" spans="2:16">
      <c r="B46" s="9">
        <v>44969</v>
      </c>
      <c r="C4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6" s="6" t="s">
        <v>104</v>
      </c>
      <c r="E46" s="7">
        <f>SUMIF(Ventas[Fecha],Rdiario[[#This Row],[Fecha]],Ventas[Total])</f>
        <v>0</v>
      </c>
      <c r="F46" s="66">
        <f>SUMIF(Ventas[Fecha],Rdiario[[#This Row],[Fecha]],Ventas[Total 4])</f>
        <v>0</v>
      </c>
      <c r="G46" s="66">
        <f>Rdiario[[#This Row],[Ingresos Brutos]]-Rdiario[[#This Row],[Transferencia]]</f>
        <v>0</v>
      </c>
      <c r="H46" s="7">
        <f>Rdiario[[#This Row],[Ingresos Brutos]]-Rdiario[[#This Row],[Ganancia]]</f>
        <v>0</v>
      </c>
      <c r="I46" s="7">
        <f>SUMIF(Ventas[Fecha],Rdiario[[#This Row],[Fecha]],Ventas[Total 2])</f>
        <v>0</v>
      </c>
      <c r="J46" s="7">
        <f>SUMIF(Compras[Fecha],Rdiario[[#This Row],[Fecha]],Compras[Monto])</f>
        <v>0</v>
      </c>
      <c r="K46" s="7">
        <f>SUMIF(TGastos[Fecha],Rdiario[[#This Row],[Fecha]],TGastos[Monto])</f>
        <v>0</v>
      </c>
      <c r="L46" s="7">
        <f>Rdiario[[#This Row],[Ingresos Brutos]]-Rdiario[[#This Row],[Compras]]-Rdiario[[#This Row],[Gastos]]</f>
        <v>0</v>
      </c>
      <c r="M46" s="7">
        <f>Rdiario[[#This Row],[Ganancia]]-Rdiario[[#This Row],[Compras]]-Rdiario[[#This Row],[Gastos]]</f>
        <v>0</v>
      </c>
      <c r="P46" s="16"/>
    </row>
    <row r="47" spans="2:16">
      <c r="B47" s="9">
        <v>44970</v>
      </c>
      <c r="C4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7" s="6" t="s">
        <v>105</v>
      </c>
      <c r="E47" s="7">
        <f>SUMIF(Ventas[Fecha],Rdiario[[#This Row],[Fecha]],Ventas[Total])</f>
        <v>40600</v>
      </c>
      <c r="F47" s="66">
        <f>SUMIF(Ventas[Fecha],Rdiario[[#This Row],[Fecha]],Ventas[Total 4])</f>
        <v>0</v>
      </c>
      <c r="G47" s="66">
        <f>Rdiario[[#This Row],[Ingresos Brutos]]-Rdiario[[#This Row],[Transferencia]]</f>
        <v>40600</v>
      </c>
      <c r="H47" s="7">
        <f>Rdiario[[#This Row],[Ingresos Brutos]]-Rdiario[[#This Row],[Ganancia]]</f>
        <v>20873</v>
      </c>
      <c r="I47" s="7">
        <f>SUMIF(Ventas[Fecha],Rdiario[[#This Row],[Fecha]],Ventas[Total 2])</f>
        <v>19727</v>
      </c>
      <c r="J47" s="7">
        <f>SUMIF(Compras[Fecha],Rdiario[[#This Row],[Fecha]],Compras[Monto])</f>
        <v>16000</v>
      </c>
      <c r="K47" s="7">
        <f>SUMIF(TGastos[Fecha],Rdiario[[#This Row],[Fecha]],TGastos[Monto])</f>
        <v>3000</v>
      </c>
      <c r="L47" s="7">
        <f>Rdiario[[#This Row],[Ingresos Brutos]]-Rdiario[[#This Row],[Compras]]-Rdiario[[#This Row],[Gastos]]</f>
        <v>21600</v>
      </c>
      <c r="M47" s="7">
        <f>Rdiario[[#This Row],[Ganancia]]-Rdiario[[#This Row],[Compras]]-Rdiario[[#This Row],[Gastos]]</f>
        <v>727</v>
      </c>
      <c r="P47" s="16"/>
    </row>
    <row r="48" spans="2:16">
      <c r="B48" s="9">
        <v>44971</v>
      </c>
      <c r="C4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8" s="6" t="s">
        <v>106</v>
      </c>
      <c r="E48" s="7">
        <f>SUMIF(Ventas[Fecha],Rdiario[[#This Row],[Fecha]],Ventas[Total])</f>
        <v>36900</v>
      </c>
      <c r="F48" s="66">
        <f>SUMIF(Ventas[Fecha],Rdiario[[#This Row],[Fecha]],Ventas[Total 4])</f>
        <v>0</v>
      </c>
      <c r="G48" s="66">
        <f>Rdiario[[#This Row],[Ingresos Brutos]]-Rdiario[[#This Row],[Transferencia]]</f>
        <v>36900</v>
      </c>
      <c r="H48" s="7">
        <f>Rdiario[[#This Row],[Ingresos Brutos]]-Rdiario[[#This Row],[Ganancia]]</f>
        <v>19216</v>
      </c>
      <c r="I48" s="7">
        <f>SUMIF(Ventas[Fecha],Rdiario[[#This Row],[Fecha]],Ventas[Total 2])</f>
        <v>17684</v>
      </c>
      <c r="J48" s="7">
        <f>SUMIF(Compras[Fecha],Rdiario[[#This Row],[Fecha]],Compras[Monto])</f>
        <v>0</v>
      </c>
      <c r="K48" s="7">
        <f>SUMIF(TGastos[Fecha],Rdiario[[#This Row],[Fecha]],TGastos[Monto])</f>
        <v>0</v>
      </c>
      <c r="L48" s="7">
        <f>Rdiario[[#This Row],[Ingresos Brutos]]-Rdiario[[#This Row],[Compras]]-Rdiario[[#This Row],[Gastos]]</f>
        <v>36900</v>
      </c>
      <c r="M48" s="7">
        <f>Rdiario[[#This Row],[Ganancia]]-Rdiario[[#This Row],[Compras]]-Rdiario[[#This Row],[Gastos]]</f>
        <v>17684</v>
      </c>
      <c r="P48" s="16"/>
    </row>
    <row r="49" spans="2:16">
      <c r="B49" s="9">
        <v>44972</v>
      </c>
      <c r="C4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9" s="6" t="s">
        <v>107</v>
      </c>
      <c r="E49" s="7">
        <f>SUMIF(Ventas[Fecha],Rdiario[[#This Row],[Fecha]],Ventas[Total])</f>
        <v>20350</v>
      </c>
      <c r="F49" s="66">
        <f>SUMIF(Ventas[Fecha],Rdiario[[#This Row],[Fecha]],Ventas[Total 4])</f>
        <v>0</v>
      </c>
      <c r="G49" s="66">
        <f>Rdiario[[#This Row],[Ingresos Brutos]]-Rdiario[[#This Row],[Transferencia]]</f>
        <v>20350</v>
      </c>
      <c r="H49" s="7">
        <f>Rdiario[[#This Row],[Ingresos Brutos]]-Rdiario[[#This Row],[Ganancia]]</f>
        <v>10594</v>
      </c>
      <c r="I49" s="7">
        <f>SUMIF(Ventas[Fecha],Rdiario[[#This Row],[Fecha]],Ventas[Total 2])</f>
        <v>9756</v>
      </c>
      <c r="J49" s="7">
        <f>SUMIF(Compras[Fecha],Rdiario[[#This Row],[Fecha]],Compras[Monto])</f>
        <v>83014</v>
      </c>
      <c r="K49" s="7">
        <f>SUMIF(TGastos[Fecha],Rdiario[[#This Row],[Fecha]],TGastos[Monto])</f>
        <v>0</v>
      </c>
      <c r="L49" s="7">
        <f>Rdiario[[#This Row],[Ingresos Brutos]]-Rdiario[[#This Row],[Compras]]-Rdiario[[#This Row],[Gastos]]</f>
        <v>-62664</v>
      </c>
      <c r="M49" s="7">
        <f>Rdiario[[#This Row],[Ganancia]]-Rdiario[[#This Row],[Compras]]-Rdiario[[#This Row],[Gastos]]</f>
        <v>-73258</v>
      </c>
      <c r="P49" s="16"/>
    </row>
    <row r="50" spans="2:16">
      <c r="B50" s="9">
        <v>44973</v>
      </c>
      <c r="C5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0" s="6" t="s">
        <v>108</v>
      </c>
      <c r="E50" s="7">
        <f>SUMIF(Ventas[Fecha],Rdiario[[#This Row],[Fecha]],Ventas[Total])</f>
        <v>16700</v>
      </c>
      <c r="F50" s="66">
        <f>SUMIF(Ventas[Fecha],Rdiario[[#This Row],[Fecha]],Ventas[Total 4])</f>
        <v>0</v>
      </c>
      <c r="G50" s="66">
        <f>Rdiario[[#This Row],[Ingresos Brutos]]-Rdiario[[#This Row],[Transferencia]]</f>
        <v>16700</v>
      </c>
      <c r="H50" s="7">
        <f>Rdiario[[#This Row],[Ingresos Brutos]]-Rdiario[[#This Row],[Ganancia]]</f>
        <v>8975</v>
      </c>
      <c r="I50" s="7">
        <f>SUMIF(Ventas[Fecha],Rdiario[[#This Row],[Fecha]],Ventas[Total 2])</f>
        <v>7725</v>
      </c>
      <c r="J50" s="7">
        <f>SUMIF(Compras[Fecha],Rdiario[[#This Row],[Fecha]],Compras[Monto])</f>
        <v>0</v>
      </c>
      <c r="K50" s="7">
        <f>SUMIF(TGastos[Fecha],Rdiario[[#This Row],[Fecha]],TGastos[Monto])</f>
        <v>0</v>
      </c>
      <c r="L50" s="7">
        <f>Rdiario[[#This Row],[Ingresos Brutos]]-Rdiario[[#This Row],[Compras]]-Rdiario[[#This Row],[Gastos]]</f>
        <v>16700</v>
      </c>
      <c r="M50" s="7">
        <f>Rdiario[[#This Row],[Ganancia]]-Rdiario[[#This Row],[Compras]]-Rdiario[[#This Row],[Gastos]]</f>
        <v>7725</v>
      </c>
      <c r="P50" s="16"/>
    </row>
    <row r="51" spans="2:16">
      <c r="B51" s="9">
        <v>44974</v>
      </c>
      <c r="C5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1" s="6" t="s">
        <v>109</v>
      </c>
      <c r="E51" s="7">
        <f>SUMIF(Ventas[Fecha],Rdiario[[#This Row],[Fecha]],Ventas[Total])</f>
        <v>13800</v>
      </c>
      <c r="F51" s="66">
        <f>SUMIF(Ventas[Fecha],Rdiario[[#This Row],[Fecha]],Ventas[Total 4])</f>
        <v>0</v>
      </c>
      <c r="G51" s="66">
        <f>Rdiario[[#This Row],[Ingresos Brutos]]-Rdiario[[#This Row],[Transferencia]]</f>
        <v>13800</v>
      </c>
      <c r="H51" s="7">
        <f>Rdiario[[#This Row],[Ingresos Brutos]]-Rdiario[[#This Row],[Ganancia]]</f>
        <v>7051</v>
      </c>
      <c r="I51" s="7">
        <f>SUMIF(Ventas[Fecha],Rdiario[[#This Row],[Fecha]],Ventas[Total 2])</f>
        <v>6749</v>
      </c>
      <c r="J51" s="7">
        <f>SUMIF(Compras[Fecha],Rdiario[[#This Row],[Fecha]],Compras[Monto])</f>
        <v>0</v>
      </c>
      <c r="K51" s="7">
        <f>SUMIF(TGastos[Fecha],Rdiario[[#This Row],[Fecha]],TGastos[Monto])</f>
        <v>0</v>
      </c>
      <c r="L51" s="7">
        <f>Rdiario[[#This Row],[Ingresos Brutos]]-Rdiario[[#This Row],[Compras]]-Rdiario[[#This Row],[Gastos]]</f>
        <v>13800</v>
      </c>
      <c r="M51" s="7">
        <f>Rdiario[[#This Row],[Ganancia]]-Rdiario[[#This Row],[Compras]]-Rdiario[[#This Row],[Gastos]]</f>
        <v>6749</v>
      </c>
      <c r="P51" s="16"/>
    </row>
    <row r="52" spans="2:16">
      <c r="B52" s="9">
        <v>44975</v>
      </c>
      <c r="C5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2" s="6" t="s">
        <v>110</v>
      </c>
      <c r="E52" s="7">
        <f>SUMIF(Ventas[Fecha],Rdiario[[#This Row],[Fecha]],Ventas[Total])</f>
        <v>22000</v>
      </c>
      <c r="F52" s="66">
        <f>SUMIF(Ventas[Fecha],Rdiario[[#This Row],[Fecha]],Ventas[Total 4])</f>
        <v>0</v>
      </c>
      <c r="G52" s="66">
        <f>Rdiario[[#This Row],[Ingresos Brutos]]-Rdiario[[#This Row],[Transferencia]]</f>
        <v>22000</v>
      </c>
      <c r="H52" s="7">
        <f>Rdiario[[#This Row],[Ingresos Brutos]]-Rdiario[[#This Row],[Ganancia]]</f>
        <v>11630</v>
      </c>
      <c r="I52" s="7">
        <f>SUMIF(Ventas[Fecha],Rdiario[[#This Row],[Fecha]],Ventas[Total 2])</f>
        <v>10370</v>
      </c>
      <c r="J52" s="7">
        <f>SUMIF(Compras[Fecha],Rdiario[[#This Row],[Fecha]],Compras[Monto])</f>
        <v>0</v>
      </c>
      <c r="K52" s="7">
        <f>SUMIF(TGastos[Fecha],Rdiario[[#This Row],[Fecha]],TGastos[Monto])</f>
        <v>4400</v>
      </c>
      <c r="L52" s="7">
        <f>Rdiario[[#This Row],[Ingresos Brutos]]-Rdiario[[#This Row],[Compras]]-Rdiario[[#This Row],[Gastos]]</f>
        <v>17600</v>
      </c>
      <c r="M52" s="7">
        <f>Rdiario[[#This Row],[Ganancia]]-Rdiario[[#This Row],[Compras]]-Rdiario[[#This Row],[Gastos]]</f>
        <v>5970</v>
      </c>
      <c r="P52" s="16"/>
    </row>
    <row r="53" spans="2:16">
      <c r="B53" s="9">
        <v>44976</v>
      </c>
      <c r="C5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3" s="6" t="s">
        <v>104</v>
      </c>
      <c r="E53" s="7">
        <f>SUMIF(Ventas[Fecha],Rdiario[[#This Row],[Fecha]],Ventas[Total])</f>
        <v>0</v>
      </c>
      <c r="F53" s="66">
        <f>SUMIF(Ventas[Fecha],Rdiario[[#This Row],[Fecha]],Ventas[Total 4])</f>
        <v>0</v>
      </c>
      <c r="G53" s="66">
        <f>Rdiario[[#This Row],[Ingresos Brutos]]-Rdiario[[#This Row],[Transferencia]]</f>
        <v>0</v>
      </c>
      <c r="H53" s="7">
        <f>Rdiario[[#This Row],[Ingresos Brutos]]-Rdiario[[#This Row],[Ganancia]]</f>
        <v>0</v>
      </c>
      <c r="I53" s="7">
        <f>SUMIF(Ventas[Fecha],Rdiario[[#This Row],[Fecha]],Ventas[Total 2])</f>
        <v>0</v>
      </c>
      <c r="J53" s="7">
        <f>SUMIF(Compras[Fecha],Rdiario[[#This Row],[Fecha]],Compras[Monto])</f>
        <v>0</v>
      </c>
      <c r="K53" s="7">
        <f>SUMIF(TGastos[Fecha],Rdiario[[#This Row],[Fecha]],TGastos[Monto])</f>
        <v>0</v>
      </c>
      <c r="L53" s="7">
        <f>Rdiario[[#This Row],[Ingresos Brutos]]-Rdiario[[#This Row],[Compras]]-Rdiario[[#This Row],[Gastos]]</f>
        <v>0</v>
      </c>
      <c r="M53" s="7">
        <f>Rdiario[[#This Row],[Ganancia]]-Rdiario[[#This Row],[Compras]]-Rdiario[[#This Row],[Gastos]]</f>
        <v>0</v>
      </c>
      <c r="P53" s="16"/>
    </row>
    <row r="54" spans="2:16">
      <c r="B54" s="9">
        <v>44977</v>
      </c>
      <c r="C5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4" s="6" t="s">
        <v>105</v>
      </c>
      <c r="E54" s="7">
        <f>SUMIF(Ventas[Fecha],Rdiario[[#This Row],[Fecha]],Ventas[Total])</f>
        <v>4900</v>
      </c>
      <c r="F54" s="66">
        <f>SUMIF(Ventas[Fecha],Rdiario[[#This Row],[Fecha]],Ventas[Total 4])</f>
        <v>0</v>
      </c>
      <c r="G54" s="66">
        <f>Rdiario[[#This Row],[Ingresos Brutos]]-Rdiario[[#This Row],[Transferencia]]</f>
        <v>4900</v>
      </c>
      <c r="H54" s="7">
        <f>Rdiario[[#This Row],[Ingresos Brutos]]-Rdiario[[#This Row],[Ganancia]]</f>
        <v>2380</v>
      </c>
      <c r="I54" s="7">
        <f>SUMIF(Ventas[Fecha],Rdiario[[#This Row],[Fecha]],Ventas[Total 2])</f>
        <v>2520</v>
      </c>
      <c r="J54" s="7">
        <f>SUMIF(Compras[Fecha],Rdiario[[#This Row],[Fecha]],Compras[Monto])</f>
        <v>0</v>
      </c>
      <c r="K54" s="7">
        <f>SUMIF(TGastos[Fecha],Rdiario[[#This Row],[Fecha]],TGastos[Monto])</f>
        <v>11000</v>
      </c>
      <c r="L54" s="7">
        <f>Rdiario[[#This Row],[Ingresos Brutos]]-Rdiario[[#This Row],[Compras]]-Rdiario[[#This Row],[Gastos]]</f>
        <v>-6100</v>
      </c>
      <c r="M54" s="7">
        <f>Rdiario[[#This Row],[Ganancia]]-Rdiario[[#This Row],[Compras]]-Rdiario[[#This Row],[Gastos]]</f>
        <v>-8480</v>
      </c>
      <c r="P54" s="16"/>
    </row>
    <row r="55" spans="2:16">
      <c r="B55" s="9">
        <v>44978</v>
      </c>
      <c r="C5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5" s="6" t="s">
        <v>106</v>
      </c>
      <c r="E55" s="7">
        <f>SUMIF(Ventas[Fecha],Rdiario[[#This Row],[Fecha]],Ventas[Total])</f>
        <v>11100</v>
      </c>
      <c r="F55" s="66">
        <f>SUMIF(Ventas[Fecha],Rdiario[[#This Row],[Fecha]],Ventas[Total 4])</f>
        <v>0</v>
      </c>
      <c r="G55" s="66">
        <f>Rdiario[[#This Row],[Ingresos Brutos]]-Rdiario[[#This Row],[Transferencia]]</f>
        <v>11100</v>
      </c>
      <c r="H55" s="7">
        <f>Rdiario[[#This Row],[Ingresos Brutos]]-Rdiario[[#This Row],[Ganancia]]</f>
        <v>5390</v>
      </c>
      <c r="I55" s="7">
        <f>SUMIF(Ventas[Fecha],Rdiario[[#This Row],[Fecha]],Ventas[Total 2])</f>
        <v>5710</v>
      </c>
      <c r="J55" s="7">
        <f>SUMIF(Compras[Fecha],Rdiario[[#This Row],[Fecha]],Compras[Monto])</f>
        <v>0</v>
      </c>
      <c r="K55" s="7">
        <f>SUMIF(TGastos[Fecha],Rdiario[[#This Row],[Fecha]],TGastos[Monto])</f>
        <v>16260</v>
      </c>
      <c r="L55" s="7">
        <f>Rdiario[[#This Row],[Ingresos Brutos]]-Rdiario[[#This Row],[Compras]]-Rdiario[[#This Row],[Gastos]]</f>
        <v>-5160</v>
      </c>
      <c r="M55" s="7">
        <f>Rdiario[[#This Row],[Ganancia]]-Rdiario[[#This Row],[Compras]]-Rdiario[[#This Row],[Gastos]]</f>
        <v>-10550</v>
      </c>
      <c r="P55" s="16"/>
    </row>
    <row r="56" spans="2:16">
      <c r="B56" s="9">
        <v>44979</v>
      </c>
      <c r="C5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6" s="6" t="s">
        <v>107</v>
      </c>
      <c r="E56" s="7">
        <f>SUMIF(Ventas[Fecha],Rdiario[[#This Row],[Fecha]],Ventas[Total])</f>
        <v>5200</v>
      </c>
      <c r="F56" s="66">
        <f>SUMIF(Ventas[Fecha],Rdiario[[#This Row],[Fecha]],Ventas[Total 4])</f>
        <v>0</v>
      </c>
      <c r="G56" s="66">
        <f>Rdiario[[#This Row],[Ingresos Brutos]]-Rdiario[[#This Row],[Transferencia]]</f>
        <v>5200</v>
      </c>
      <c r="H56" s="7">
        <f>Rdiario[[#This Row],[Ingresos Brutos]]-Rdiario[[#This Row],[Ganancia]]</f>
        <v>2603</v>
      </c>
      <c r="I56" s="7">
        <f>SUMIF(Ventas[Fecha],Rdiario[[#This Row],[Fecha]],Ventas[Total 2])</f>
        <v>2597</v>
      </c>
      <c r="J56" s="7">
        <f>SUMIF(Compras[Fecha],Rdiario[[#This Row],[Fecha]],Compras[Monto])</f>
        <v>0</v>
      </c>
      <c r="K56" s="7">
        <f>SUMIF(TGastos[Fecha],Rdiario[[#This Row],[Fecha]],TGastos[Monto])</f>
        <v>0</v>
      </c>
      <c r="L56" s="7">
        <f>Rdiario[[#This Row],[Ingresos Brutos]]-Rdiario[[#This Row],[Compras]]-Rdiario[[#This Row],[Gastos]]</f>
        <v>5200</v>
      </c>
      <c r="M56" s="7">
        <f>Rdiario[[#This Row],[Ganancia]]-Rdiario[[#This Row],[Compras]]-Rdiario[[#This Row],[Gastos]]</f>
        <v>2597</v>
      </c>
      <c r="P56" s="16"/>
    </row>
    <row r="57" spans="2:16">
      <c r="B57" s="9">
        <v>44980</v>
      </c>
      <c r="C5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7" s="6" t="s">
        <v>108</v>
      </c>
      <c r="E57" s="7">
        <f>SUMIF(Ventas[Fecha],Rdiario[[#This Row],[Fecha]],Ventas[Total])</f>
        <v>12200</v>
      </c>
      <c r="F57" s="66">
        <f>SUMIF(Ventas[Fecha],Rdiario[[#This Row],[Fecha]],Ventas[Total 4])</f>
        <v>0</v>
      </c>
      <c r="G57" s="66">
        <f>Rdiario[[#This Row],[Ingresos Brutos]]-Rdiario[[#This Row],[Transferencia]]</f>
        <v>12200</v>
      </c>
      <c r="H57" s="7">
        <f>Rdiario[[#This Row],[Ingresos Brutos]]-Rdiario[[#This Row],[Ganancia]]</f>
        <v>6299</v>
      </c>
      <c r="I57" s="7">
        <f>SUMIF(Ventas[Fecha],Rdiario[[#This Row],[Fecha]],Ventas[Total 2])</f>
        <v>5901</v>
      </c>
      <c r="J57" s="7">
        <f>SUMIF(Compras[Fecha],Rdiario[[#This Row],[Fecha]],Compras[Monto])</f>
        <v>69180</v>
      </c>
      <c r="K57" s="7">
        <f>SUMIF(TGastos[Fecha],Rdiario[[#This Row],[Fecha]],TGastos[Monto])</f>
        <v>8300</v>
      </c>
      <c r="L57" s="7">
        <f>Rdiario[[#This Row],[Ingresos Brutos]]-Rdiario[[#This Row],[Compras]]-Rdiario[[#This Row],[Gastos]]</f>
        <v>-65280</v>
      </c>
      <c r="M57" s="7">
        <f>Rdiario[[#This Row],[Ganancia]]-Rdiario[[#This Row],[Compras]]-Rdiario[[#This Row],[Gastos]]</f>
        <v>-71579</v>
      </c>
      <c r="P57" s="16"/>
    </row>
    <row r="58" spans="2:16">
      <c r="B58" s="9">
        <v>44981</v>
      </c>
      <c r="C5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8" s="6" t="s">
        <v>109</v>
      </c>
      <c r="E58" s="7">
        <f>SUMIF(Ventas[Fecha],Rdiario[[#This Row],[Fecha]],Ventas[Total])</f>
        <v>30650</v>
      </c>
      <c r="F58" s="66">
        <f>SUMIF(Ventas[Fecha],Rdiario[[#This Row],[Fecha]],Ventas[Total 4])</f>
        <v>0</v>
      </c>
      <c r="G58" s="66">
        <f>Rdiario[[#This Row],[Ingresos Brutos]]-Rdiario[[#This Row],[Transferencia]]</f>
        <v>30650</v>
      </c>
      <c r="H58" s="7">
        <f>Rdiario[[#This Row],[Ingresos Brutos]]-Rdiario[[#This Row],[Ganancia]]</f>
        <v>14932</v>
      </c>
      <c r="I58" s="7">
        <f>SUMIF(Ventas[Fecha],Rdiario[[#This Row],[Fecha]],Ventas[Total 2])</f>
        <v>15718</v>
      </c>
      <c r="J58" s="7">
        <f>SUMIF(Compras[Fecha],Rdiario[[#This Row],[Fecha]],Compras[Monto])</f>
        <v>69060</v>
      </c>
      <c r="K58" s="7">
        <f>SUMIF(TGastos[Fecha],Rdiario[[#This Row],[Fecha]],TGastos[Monto])</f>
        <v>2300</v>
      </c>
      <c r="L58" s="7">
        <f>Rdiario[[#This Row],[Ingresos Brutos]]-Rdiario[[#This Row],[Compras]]-Rdiario[[#This Row],[Gastos]]</f>
        <v>-40710</v>
      </c>
      <c r="M58" s="7">
        <f>Rdiario[[#This Row],[Ganancia]]-Rdiario[[#This Row],[Compras]]-Rdiario[[#This Row],[Gastos]]</f>
        <v>-55642</v>
      </c>
      <c r="P58" s="16"/>
    </row>
    <row r="59" spans="2:16">
      <c r="B59" s="9">
        <v>44982</v>
      </c>
      <c r="C5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9" s="6" t="s">
        <v>110</v>
      </c>
      <c r="E59" s="7">
        <f>SUMIF(Ventas[Fecha],Rdiario[[#This Row],[Fecha]],Ventas[Total])</f>
        <v>106050</v>
      </c>
      <c r="F59" s="66">
        <f>SUMIF(Ventas[Fecha],Rdiario[[#This Row],[Fecha]],Ventas[Total 4])</f>
        <v>0</v>
      </c>
      <c r="G59" s="66">
        <f>Rdiario[[#This Row],[Ingresos Brutos]]-Rdiario[[#This Row],[Transferencia]]</f>
        <v>106050</v>
      </c>
      <c r="H59" s="7">
        <f>Rdiario[[#This Row],[Ingresos Brutos]]-Rdiario[[#This Row],[Ganancia]]</f>
        <v>65532</v>
      </c>
      <c r="I59" s="7">
        <f>SUMIF(Ventas[Fecha],Rdiario[[#This Row],[Fecha]],Ventas[Total 2])</f>
        <v>40518</v>
      </c>
      <c r="J59" s="7">
        <f>SUMIF(Compras[Fecha],Rdiario[[#This Row],[Fecha]],Compras[Monto])</f>
        <v>92838</v>
      </c>
      <c r="K59" s="7">
        <f>SUMIF(TGastos[Fecha],Rdiario[[#This Row],[Fecha]],TGastos[Monto])</f>
        <v>0</v>
      </c>
      <c r="L59" s="7">
        <f>Rdiario[[#This Row],[Ingresos Brutos]]-Rdiario[[#This Row],[Compras]]-Rdiario[[#This Row],[Gastos]]</f>
        <v>13212</v>
      </c>
      <c r="M59" s="7">
        <f>Rdiario[[#This Row],[Ganancia]]-Rdiario[[#This Row],[Compras]]-Rdiario[[#This Row],[Gastos]]</f>
        <v>-52320</v>
      </c>
      <c r="P59" s="16"/>
    </row>
    <row r="60" spans="2:16">
      <c r="B60" s="9">
        <v>44983</v>
      </c>
      <c r="C6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60" s="6" t="s">
        <v>104</v>
      </c>
      <c r="E60" s="7">
        <f>SUMIF(Ventas[Fecha],Rdiario[[#This Row],[Fecha]],Ventas[Total])</f>
        <v>108150</v>
      </c>
      <c r="F60" s="66">
        <f>SUMIF(Ventas[Fecha],Rdiario[[#This Row],[Fecha]],Ventas[Total 4])</f>
        <v>0</v>
      </c>
      <c r="G60" s="66">
        <f>Rdiario[[#This Row],[Ingresos Brutos]]-Rdiario[[#This Row],[Transferencia]]</f>
        <v>108150</v>
      </c>
      <c r="H60" s="7">
        <f>Rdiario[[#This Row],[Ingresos Brutos]]-Rdiario[[#This Row],[Ganancia]]</f>
        <v>69598</v>
      </c>
      <c r="I60" s="7">
        <f>SUMIF(Ventas[Fecha],Rdiario[[#This Row],[Fecha]],Ventas[Total 2])</f>
        <v>38552</v>
      </c>
      <c r="J60" s="7">
        <f>SUMIF(Compras[Fecha],Rdiario[[#This Row],[Fecha]],Compras[Monto])</f>
        <v>0</v>
      </c>
      <c r="K60" s="7">
        <f>SUMIF(TGastos[Fecha],Rdiario[[#This Row],[Fecha]],TGastos[Monto])</f>
        <v>0</v>
      </c>
      <c r="L60" s="7">
        <f>Rdiario[[#This Row],[Ingresos Brutos]]-Rdiario[[#This Row],[Compras]]-Rdiario[[#This Row],[Gastos]]</f>
        <v>108150</v>
      </c>
      <c r="M60" s="7">
        <f>Rdiario[[#This Row],[Ganancia]]-Rdiario[[#This Row],[Compras]]-Rdiario[[#This Row],[Gastos]]</f>
        <v>38552</v>
      </c>
      <c r="P60" s="16"/>
    </row>
    <row r="61" spans="2:16">
      <c r="B61" s="9">
        <v>44984</v>
      </c>
      <c r="C6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61" s="6" t="s">
        <v>105</v>
      </c>
      <c r="E61" s="7">
        <f>SUMIF(Ventas[Fecha],Rdiario[[#This Row],[Fecha]],Ventas[Total])</f>
        <v>22600</v>
      </c>
      <c r="F61" s="66">
        <f>SUMIF(Ventas[Fecha],Rdiario[[#This Row],[Fecha]],Ventas[Total 4])</f>
        <v>0</v>
      </c>
      <c r="G61" s="66">
        <f>Rdiario[[#This Row],[Ingresos Brutos]]-Rdiario[[#This Row],[Transferencia]]</f>
        <v>22600</v>
      </c>
      <c r="H61" s="7">
        <f>Rdiario[[#This Row],[Ingresos Brutos]]-Rdiario[[#This Row],[Ganancia]]</f>
        <v>11179</v>
      </c>
      <c r="I61" s="7">
        <f>SUMIF(Ventas[Fecha],Rdiario[[#This Row],[Fecha]],Ventas[Total 2])</f>
        <v>11421</v>
      </c>
      <c r="J61" s="7">
        <f>SUMIF(Compras[Fecha],Rdiario[[#This Row],[Fecha]],Compras[Monto])</f>
        <v>0</v>
      </c>
      <c r="K61" s="7">
        <f>SUMIF(TGastos[Fecha],Rdiario[[#This Row],[Fecha]],TGastos[Monto])</f>
        <v>0</v>
      </c>
      <c r="L61" s="7">
        <f>Rdiario[[#This Row],[Ingresos Brutos]]-Rdiario[[#This Row],[Compras]]-Rdiario[[#This Row],[Gastos]]</f>
        <v>22600</v>
      </c>
      <c r="M61" s="7">
        <f>Rdiario[[#This Row],[Ganancia]]-Rdiario[[#This Row],[Compras]]-Rdiario[[#This Row],[Gastos]]</f>
        <v>11421</v>
      </c>
      <c r="P61" s="16"/>
    </row>
    <row r="62" spans="2:16">
      <c r="B62" s="9">
        <v>44985</v>
      </c>
      <c r="C6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62" s="6" t="s">
        <v>106</v>
      </c>
      <c r="E62" s="7">
        <f>SUMIF(Ventas[Fecha],Rdiario[[#This Row],[Fecha]],Ventas[Total])</f>
        <v>30200</v>
      </c>
      <c r="F62" s="66">
        <f>SUMIF(Ventas[Fecha],Rdiario[[#This Row],[Fecha]],Ventas[Total 4])</f>
        <v>0</v>
      </c>
      <c r="G62" s="66">
        <f>Rdiario[[#This Row],[Ingresos Brutos]]-Rdiario[[#This Row],[Transferencia]]</f>
        <v>30200</v>
      </c>
      <c r="H62" s="7">
        <f>Rdiario[[#This Row],[Ingresos Brutos]]-Rdiario[[#This Row],[Ganancia]]</f>
        <v>15034</v>
      </c>
      <c r="I62" s="7">
        <f>SUMIF(Ventas[Fecha],Rdiario[[#This Row],[Fecha]],Ventas[Total 2])</f>
        <v>15166</v>
      </c>
      <c r="J62" s="7">
        <f>SUMIF(Compras[Fecha],Rdiario[[#This Row],[Fecha]],Compras[Monto])</f>
        <v>16000</v>
      </c>
      <c r="K62" s="7">
        <f>SUMIF(TGastos[Fecha],Rdiario[[#This Row],[Fecha]],TGastos[Monto])</f>
        <v>22000</v>
      </c>
      <c r="L62" s="7">
        <f>Rdiario[[#This Row],[Ingresos Brutos]]-Rdiario[[#This Row],[Compras]]-Rdiario[[#This Row],[Gastos]]</f>
        <v>-7800</v>
      </c>
      <c r="M62" s="7">
        <f>Rdiario[[#This Row],[Ganancia]]-Rdiario[[#This Row],[Compras]]-Rdiario[[#This Row],[Gastos]]</f>
        <v>-22834</v>
      </c>
      <c r="P62" s="16"/>
    </row>
    <row r="63" spans="2:16">
      <c r="B63" s="9">
        <v>44986</v>
      </c>
      <c r="C6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3" s="6" t="s">
        <v>107</v>
      </c>
      <c r="E63" s="7">
        <f>SUMIF(Ventas[Fecha],Rdiario[[#This Row],[Fecha]],Ventas[Total])</f>
        <v>152650</v>
      </c>
      <c r="F63" s="66">
        <f>SUMIF(Ventas[Fecha],Rdiario[[#This Row],[Fecha]],Ventas[Total 4])</f>
        <v>0</v>
      </c>
      <c r="G63" s="66">
        <f>Rdiario[[#This Row],[Ingresos Brutos]]-Rdiario[[#This Row],[Transferencia]]</f>
        <v>152650</v>
      </c>
      <c r="H63" s="7">
        <f>Rdiario[[#This Row],[Ingresos Brutos]]-Rdiario[[#This Row],[Ganancia]]</f>
        <v>91339</v>
      </c>
      <c r="I63" s="7">
        <f>SUMIF(Ventas[Fecha],Rdiario[[#This Row],[Fecha]],Ventas[Total 2])</f>
        <v>61311</v>
      </c>
      <c r="J63" s="7">
        <f>SUMIF(Compras[Fecha],Rdiario[[#This Row],[Fecha]],Compras[Monto])</f>
        <v>0</v>
      </c>
      <c r="K63" s="7">
        <f>SUMIF(TGastos[Fecha],Rdiario[[#This Row],[Fecha]],TGastos[Monto])</f>
        <v>0</v>
      </c>
      <c r="L63" s="7">
        <f>Rdiario[[#This Row],[Ingresos Brutos]]-Rdiario[[#This Row],[Compras]]-Rdiario[[#This Row],[Gastos]]</f>
        <v>152650</v>
      </c>
      <c r="M63" s="7">
        <f>Rdiario[[#This Row],[Ganancia]]-Rdiario[[#This Row],[Compras]]-Rdiario[[#This Row],[Gastos]]</f>
        <v>61311</v>
      </c>
      <c r="P63" s="16"/>
    </row>
    <row r="64" spans="2:16">
      <c r="B64" s="9">
        <v>44987</v>
      </c>
      <c r="C6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4" s="6" t="s">
        <v>108</v>
      </c>
      <c r="E64" s="7">
        <f>SUMIF(Ventas[Fecha],Rdiario[[#This Row],[Fecha]],Ventas[Total])</f>
        <v>32700</v>
      </c>
      <c r="F64" s="66">
        <f>SUMIF(Ventas[Fecha],Rdiario[[#This Row],[Fecha]],Ventas[Total 4])</f>
        <v>0</v>
      </c>
      <c r="G64" s="66">
        <f>Rdiario[[#This Row],[Ingresos Brutos]]-Rdiario[[#This Row],[Transferencia]]</f>
        <v>32700</v>
      </c>
      <c r="H64" s="7">
        <f>Rdiario[[#This Row],[Ingresos Brutos]]-Rdiario[[#This Row],[Ganancia]]</f>
        <v>16761</v>
      </c>
      <c r="I64" s="7">
        <f>SUMIF(Ventas[Fecha],Rdiario[[#This Row],[Fecha]],Ventas[Total 2])</f>
        <v>15939</v>
      </c>
      <c r="J64" s="7">
        <f>SUMIF(Compras[Fecha],Rdiario[[#This Row],[Fecha]],Compras[Monto])</f>
        <v>0</v>
      </c>
      <c r="K64" s="7">
        <f>SUMIF(TGastos[Fecha],Rdiario[[#This Row],[Fecha]],TGastos[Monto])</f>
        <v>2000</v>
      </c>
      <c r="L64" s="7">
        <f>Rdiario[[#This Row],[Ingresos Brutos]]-Rdiario[[#This Row],[Compras]]-Rdiario[[#This Row],[Gastos]]</f>
        <v>30700</v>
      </c>
      <c r="M64" s="7">
        <f>Rdiario[[#This Row],[Ganancia]]-Rdiario[[#This Row],[Compras]]-Rdiario[[#This Row],[Gastos]]</f>
        <v>13939</v>
      </c>
      <c r="P64" s="16"/>
    </row>
    <row r="65" spans="2:16">
      <c r="B65" s="9">
        <v>44988</v>
      </c>
      <c r="C6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5" s="6" t="s">
        <v>109</v>
      </c>
      <c r="E65" s="7">
        <f>SUMIF(Ventas[Fecha],Rdiario[[#This Row],[Fecha]],Ventas[Total])</f>
        <v>7400</v>
      </c>
      <c r="F65" s="66">
        <f>SUMIF(Ventas[Fecha],Rdiario[[#This Row],[Fecha]],Ventas[Total 4])</f>
        <v>0</v>
      </c>
      <c r="G65" s="66">
        <f>Rdiario[[#This Row],[Ingresos Brutos]]-Rdiario[[#This Row],[Transferencia]]</f>
        <v>7400</v>
      </c>
      <c r="H65" s="7">
        <f>Rdiario[[#This Row],[Ingresos Brutos]]-Rdiario[[#This Row],[Ganancia]]</f>
        <v>3604</v>
      </c>
      <c r="I65" s="7">
        <f>SUMIF(Ventas[Fecha],Rdiario[[#This Row],[Fecha]],Ventas[Total 2])</f>
        <v>3796</v>
      </c>
      <c r="J65" s="7">
        <f>SUMIF(Compras[Fecha],Rdiario[[#This Row],[Fecha]],Compras[Monto])</f>
        <v>0</v>
      </c>
      <c r="K65" s="7">
        <f>SUMIF(TGastos[Fecha],Rdiario[[#This Row],[Fecha]],TGastos[Monto])</f>
        <v>0</v>
      </c>
      <c r="L65" s="7">
        <f>Rdiario[[#This Row],[Ingresos Brutos]]-Rdiario[[#This Row],[Compras]]-Rdiario[[#This Row],[Gastos]]</f>
        <v>7400</v>
      </c>
      <c r="M65" s="7">
        <f>Rdiario[[#This Row],[Ganancia]]-Rdiario[[#This Row],[Compras]]-Rdiario[[#This Row],[Gastos]]</f>
        <v>3796</v>
      </c>
      <c r="P65" s="16"/>
    </row>
    <row r="66" spans="2:16">
      <c r="B66" s="9">
        <v>44989</v>
      </c>
      <c r="C6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6" s="6" t="s">
        <v>110</v>
      </c>
      <c r="E66" s="7">
        <f>SUMIF(Ventas[Fecha],Rdiario[[#This Row],[Fecha]],Ventas[Total])</f>
        <v>0</v>
      </c>
      <c r="F66" s="66">
        <f>SUMIF(Ventas[Fecha],Rdiario[[#This Row],[Fecha]],Ventas[Total 4])</f>
        <v>0</v>
      </c>
      <c r="G66" s="66">
        <f>Rdiario[[#This Row],[Ingresos Brutos]]-Rdiario[[#This Row],[Transferencia]]</f>
        <v>0</v>
      </c>
      <c r="H66" s="7">
        <f>Rdiario[[#This Row],[Ingresos Brutos]]-Rdiario[[#This Row],[Ganancia]]</f>
        <v>0</v>
      </c>
      <c r="I66" s="7">
        <f>SUMIF(Ventas[Fecha],Rdiario[[#This Row],[Fecha]],Ventas[Total 2])</f>
        <v>0</v>
      </c>
      <c r="J66" s="7">
        <f>SUMIF(Compras[Fecha],Rdiario[[#This Row],[Fecha]],Compras[Monto])</f>
        <v>0</v>
      </c>
      <c r="K66" s="7">
        <f>SUMIF(TGastos[Fecha],Rdiario[[#This Row],[Fecha]],TGastos[Monto])</f>
        <v>0</v>
      </c>
      <c r="L66" s="7">
        <f>Rdiario[[#This Row],[Ingresos Brutos]]-Rdiario[[#This Row],[Compras]]-Rdiario[[#This Row],[Gastos]]</f>
        <v>0</v>
      </c>
      <c r="M66" s="7">
        <f>Rdiario[[#This Row],[Ganancia]]-Rdiario[[#This Row],[Compras]]-Rdiario[[#This Row],[Gastos]]</f>
        <v>0</v>
      </c>
      <c r="P66" s="16"/>
    </row>
    <row r="67" spans="2:16">
      <c r="B67" s="9">
        <v>44990</v>
      </c>
      <c r="C6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7" s="6" t="s">
        <v>104</v>
      </c>
      <c r="E67" s="7">
        <f>SUMIF(Ventas[Fecha],Rdiario[[#This Row],[Fecha]],Ventas[Total])</f>
        <v>0</v>
      </c>
      <c r="F67" s="66">
        <f>SUMIF(Ventas[Fecha],Rdiario[[#This Row],[Fecha]],Ventas[Total 4])</f>
        <v>0</v>
      </c>
      <c r="G67" s="66">
        <f>Rdiario[[#This Row],[Ingresos Brutos]]-Rdiario[[#This Row],[Transferencia]]</f>
        <v>0</v>
      </c>
      <c r="H67" s="7">
        <f>Rdiario[[#This Row],[Ingresos Brutos]]-Rdiario[[#This Row],[Ganancia]]</f>
        <v>0</v>
      </c>
      <c r="I67" s="7">
        <f>SUMIF(Ventas[Fecha],Rdiario[[#This Row],[Fecha]],Ventas[Total 2])</f>
        <v>0</v>
      </c>
      <c r="J67" s="7">
        <f>SUMIF(Compras[Fecha],Rdiario[[#This Row],[Fecha]],Compras[Monto])</f>
        <v>0</v>
      </c>
      <c r="K67" s="7">
        <f>SUMIF(TGastos[Fecha],Rdiario[[#This Row],[Fecha]],TGastos[Monto])</f>
        <v>0</v>
      </c>
      <c r="L67" s="7">
        <f>Rdiario[[#This Row],[Ingresos Brutos]]-Rdiario[[#This Row],[Compras]]-Rdiario[[#This Row],[Gastos]]</f>
        <v>0</v>
      </c>
      <c r="M67" s="7">
        <f>Rdiario[[#This Row],[Ganancia]]-Rdiario[[#This Row],[Compras]]-Rdiario[[#This Row],[Gastos]]</f>
        <v>0</v>
      </c>
      <c r="P67" s="16"/>
    </row>
    <row r="68" spans="2:16">
      <c r="B68" s="9">
        <v>44991</v>
      </c>
      <c r="C6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8" s="6" t="s">
        <v>105</v>
      </c>
      <c r="E68" s="7">
        <f>SUMIF(Ventas[Fecha],Rdiario[[#This Row],[Fecha]],Ventas[Total])</f>
        <v>5200</v>
      </c>
      <c r="F68" s="66">
        <f>SUMIF(Ventas[Fecha],Rdiario[[#This Row],[Fecha]],Ventas[Total 4])</f>
        <v>0</v>
      </c>
      <c r="G68" s="66">
        <f>Rdiario[[#This Row],[Ingresos Brutos]]-Rdiario[[#This Row],[Transferencia]]</f>
        <v>5200</v>
      </c>
      <c r="H68" s="7">
        <f>Rdiario[[#This Row],[Ingresos Brutos]]-Rdiario[[#This Row],[Ganancia]]</f>
        <v>2472</v>
      </c>
      <c r="I68" s="7">
        <f>SUMIF(Ventas[Fecha],Rdiario[[#This Row],[Fecha]],Ventas[Total 2])</f>
        <v>2728</v>
      </c>
      <c r="J68" s="7">
        <f>SUMIF(Compras[Fecha],Rdiario[[#This Row],[Fecha]],Compras[Monto])</f>
        <v>2828</v>
      </c>
      <c r="K68" s="7">
        <f>SUMIF(TGastos[Fecha],Rdiario[[#This Row],[Fecha]],TGastos[Monto])</f>
        <v>0</v>
      </c>
      <c r="L68" s="7">
        <f>Rdiario[[#This Row],[Ingresos Brutos]]-Rdiario[[#This Row],[Compras]]-Rdiario[[#This Row],[Gastos]]</f>
        <v>2372</v>
      </c>
      <c r="M68" s="7">
        <f>Rdiario[[#This Row],[Ganancia]]-Rdiario[[#This Row],[Compras]]-Rdiario[[#This Row],[Gastos]]</f>
        <v>-100</v>
      </c>
      <c r="P68" s="16"/>
    </row>
    <row r="69" spans="2:16">
      <c r="B69" s="9">
        <v>44992</v>
      </c>
      <c r="C6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9" s="6" t="s">
        <v>106</v>
      </c>
      <c r="E69" s="7">
        <f>SUMIF(Ventas[Fecha],Rdiario[[#This Row],[Fecha]],Ventas[Total])</f>
        <v>32900</v>
      </c>
      <c r="F69" s="66">
        <f>SUMIF(Ventas[Fecha],Rdiario[[#This Row],[Fecha]],Ventas[Total 4])</f>
        <v>0</v>
      </c>
      <c r="G69" s="66">
        <f>Rdiario[[#This Row],[Ingresos Brutos]]-Rdiario[[#This Row],[Transferencia]]</f>
        <v>32900</v>
      </c>
      <c r="H69" s="7">
        <f>Rdiario[[#This Row],[Ingresos Brutos]]-Rdiario[[#This Row],[Ganancia]]</f>
        <v>18729</v>
      </c>
      <c r="I69" s="7">
        <f>SUMIF(Ventas[Fecha],Rdiario[[#This Row],[Fecha]],Ventas[Total 2])</f>
        <v>14171</v>
      </c>
      <c r="J69" s="7">
        <f>SUMIF(Compras[Fecha],Rdiario[[#This Row],[Fecha]],Compras[Monto])</f>
        <v>34712</v>
      </c>
      <c r="K69" s="7">
        <f>SUMIF(TGastos[Fecha],Rdiario[[#This Row],[Fecha]],TGastos[Monto])</f>
        <v>0</v>
      </c>
      <c r="L69" s="7">
        <f>Rdiario[[#This Row],[Ingresos Brutos]]-Rdiario[[#This Row],[Compras]]-Rdiario[[#This Row],[Gastos]]</f>
        <v>-1812</v>
      </c>
      <c r="M69" s="7">
        <f>Rdiario[[#This Row],[Ganancia]]-Rdiario[[#This Row],[Compras]]-Rdiario[[#This Row],[Gastos]]</f>
        <v>-20541</v>
      </c>
      <c r="P69" s="16"/>
    </row>
    <row r="70" spans="2:16">
      <c r="B70" s="9">
        <v>44993</v>
      </c>
      <c r="C7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0" s="6" t="s">
        <v>107</v>
      </c>
      <c r="E70" s="7">
        <f>SUMIF(Ventas[Fecha],Rdiario[[#This Row],[Fecha]],Ventas[Total])</f>
        <v>47900</v>
      </c>
      <c r="F70" s="66">
        <f>SUMIF(Ventas[Fecha],Rdiario[[#This Row],[Fecha]],Ventas[Total 4])</f>
        <v>0</v>
      </c>
      <c r="G70" s="66">
        <f>Rdiario[[#This Row],[Ingresos Brutos]]-Rdiario[[#This Row],[Transferencia]]</f>
        <v>47900</v>
      </c>
      <c r="H70" s="7">
        <f>Rdiario[[#This Row],[Ingresos Brutos]]-Rdiario[[#This Row],[Ganancia]]</f>
        <v>26036</v>
      </c>
      <c r="I70" s="7">
        <f>SUMIF(Ventas[Fecha],Rdiario[[#This Row],[Fecha]],Ventas[Total 2])</f>
        <v>21864</v>
      </c>
      <c r="J70" s="7">
        <f>SUMIF(Compras[Fecha],Rdiario[[#This Row],[Fecha]],Compras[Monto])</f>
        <v>47532</v>
      </c>
      <c r="K70" s="7">
        <f>SUMIF(TGastos[Fecha],Rdiario[[#This Row],[Fecha]],TGastos[Monto])</f>
        <v>0</v>
      </c>
      <c r="L70" s="7">
        <f>Rdiario[[#This Row],[Ingresos Brutos]]-Rdiario[[#This Row],[Compras]]-Rdiario[[#This Row],[Gastos]]</f>
        <v>368</v>
      </c>
      <c r="M70" s="7">
        <f>Rdiario[[#This Row],[Ganancia]]-Rdiario[[#This Row],[Compras]]-Rdiario[[#This Row],[Gastos]]</f>
        <v>-25668</v>
      </c>
      <c r="P70" s="16"/>
    </row>
    <row r="71" spans="2:16">
      <c r="B71" s="9">
        <v>44994</v>
      </c>
      <c r="C7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1" s="6" t="s">
        <v>108</v>
      </c>
      <c r="E71" s="7">
        <f>SUMIF(Ventas[Fecha],Rdiario[[#This Row],[Fecha]],Ventas[Total])</f>
        <v>11200</v>
      </c>
      <c r="F71" s="66">
        <f>SUMIF(Ventas[Fecha],Rdiario[[#This Row],[Fecha]],Ventas[Total 4])</f>
        <v>0</v>
      </c>
      <c r="G71" s="66">
        <f>Rdiario[[#This Row],[Ingresos Brutos]]-Rdiario[[#This Row],[Transferencia]]</f>
        <v>11200</v>
      </c>
      <c r="H71" s="7">
        <f>Rdiario[[#This Row],[Ingresos Brutos]]-Rdiario[[#This Row],[Ganancia]]</f>
        <v>5594</v>
      </c>
      <c r="I71" s="7">
        <f>SUMIF(Ventas[Fecha],Rdiario[[#This Row],[Fecha]],Ventas[Total 2])</f>
        <v>5606</v>
      </c>
      <c r="J71" s="7">
        <f>SUMIF(Compras[Fecha],Rdiario[[#This Row],[Fecha]],Compras[Monto])</f>
        <v>28400</v>
      </c>
      <c r="K71" s="7">
        <f>SUMIF(TGastos[Fecha],Rdiario[[#This Row],[Fecha]],TGastos[Monto])</f>
        <v>9500</v>
      </c>
      <c r="L71" s="7">
        <f>Rdiario[[#This Row],[Ingresos Brutos]]-Rdiario[[#This Row],[Compras]]-Rdiario[[#This Row],[Gastos]]</f>
        <v>-26700</v>
      </c>
      <c r="M71" s="7">
        <f>Rdiario[[#This Row],[Ganancia]]-Rdiario[[#This Row],[Compras]]-Rdiario[[#This Row],[Gastos]]</f>
        <v>-32294</v>
      </c>
      <c r="P71" s="16"/>
    </row>
    <row r="72" spans="2:16">
      <c r="B72" s="9">
        <v>44995</v>
      </c>
      <c r="C7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2" s="6" t="s">
        <v>109</v>
      </c>
      <c r="E72" s="7">
        <f>SUMIF(Ventas[Fecha],Rdiario[[#This Row],[Fecha]],Ventas[Total])</f>
        <v>12500</v>
      </c>
      <c r="F72" s="66">
        <f>SUMIF(Ventas[Fecha],Rdiario[[#This Row],[Fecha]],Ventas[Total 4])</f>
        <v>0</v>
      </c>
      <c r="G72" s="66">
        <f>Rdiario[[#This Row],[Ingresos Brutos]]-Rdiario[[#This Row],[Transferencia]]</f>
        <v>12500</v>
      </c>
      <c r="H72" s="7">
        <f>Rdiario[[#This Row],[Ingresos Brutos]]-Rdiario[[#This Row],[Ganancia]]</f>
        <v>6681</v>
      </c>
      <c r="I72" s="7">
        <f>SUMIF(Ventas[Fecha],Rdiario[[#This Row],[Fecha]],Ventas[Total 2])</f>
        <v>5819</v>
      </c>
      <c r="J72" s="7">
        <f>SUMIF(Compras[Fecha],Rdiario[[#This Row],[Fecha]],Compras[Monto])</f>
        <v>0</v>
      </c>
      <c r="K72" s="7">
        <f>SUMIF(TGastos[Fecha],Rdiario[[#This Row],[Fecha]],TGastos[Monto])</f>
        <v>32180</v>
      </c>
      <c r="L72" s="7">
        <f>Rdiario[[#This Row],[Ingresos Brutos]]-Rdiario[[#This Row],[Compras]]-Rdiario[[#This Row],[Gastos]]</f>
        <v>-19680</v>
      </c>
      <c r="M72" s="7">
        <f>Rdiario[[#This Row],[Ganancia]]-Rdiario[[#This Row],[Compras]]-Rdiario[[#This Row],[Gastos]]</f>
        <v>-26361</v>
      </c>
      <c r="P72" s="16"/>
    </row>
    <row r="73" spans="2:16">
      <c r="B73" s="9">
        <v>44996</v>
      </c>
      <c r="C7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3" s="6" t="s">
        <v>110</v>
      </c>
      <c r="E73" s="7">
        <f>SUMIF(Ventas[Fecha],Rdiario[[#This Row],[Fecha]],Ventas[Total])</f>
        <v>11050</v>
      </c>
      <c r="F73" s="66">
        <f>SUMIF(Ventas[Fecha],Rdiario[[#This Row],[Fecha]],Ventas[Total 4])</f>
        <v>0</v>
      </c>
      <c r="G73" s="66">
        <f>Rdiario[[#This Row],[Ingresos Brutos]]-Rdiario[[#This Row],[Transferencia]]</f>
        <v>11050</v>
      </c>
      <c r="H73" s="7">
        <f>Rdiario[[#This Row],[Ingresos Brutos]]-Rdiario[[#This Row],[Ganancia]]</f>
        <v>5662</v>
      </c>
      <c r="I73" s="7">
        <f>SUMIF(Ventas[Fecha],Rdiario[[#This Row],[Fecha]],Ventas[Total 2])</f>
        <v>5388</v>
      </c>
      <c r="J73" s="7">
        <f>SUMIF(Compras[Fecha],Rdiario[[#This Row],[Fecha]],Compras[Monto])</f>
        <v>66808</v>
      </c>
      <c r="K73" s="7">
        <f>SUMIF(TGastos[Fecha],Rdiario[[#This Row],[Fecha]],TGastos[Monto])</f>
        <v>13200</v>
      </c>
      <c r="L73" s="7">
        <f>Rdiario[[#This Row],[Ingresos Brutos]]-Rdiario[[#This Row],[Compras]]-Rdiario[[#This Row],[Gastos]]</f>
        <v>-68958</v>
      </c>
      <c r="M73" s="7">
        <f>Rdiario[[#This Row],[Ganancia]]-Rdiario[[#This Row],[Compras]]-Rdiario[[#This Row],[Gastos]]</f>
        <v>-74620</v>
      </c>
      <c r="P73" s="16"/>
    </row>
    <row r="74" spans="2:16">
      <c r="B74" s="9">
        <v>44997</v>
      </c>
      <c r="C7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4" s="6" t="s">
        <v>104</v>
      </c>
      <c r="E74" s="7">
        <f>SUMIF(Ventas[Fecha],Rdiario[[#This Row],[Fecha]],Ventas[Total])</f>
        <v>0</v>
      </c>
      <c r="F74" s="66">
        <f>SUMIF(Ventas[Fecha],Rdiario[[#This Row],[Fecha]],Ventas[Total 4])</f>
        <v>0</v>
      </c>
      <c r="G74" s="66">
        <f>Rdiario[[#This Row],[Ingresos Brutos]]-Rdiario[[#This Row],[Transferencia]]</f>
        <v>0</v>
      </c>
      <c r="H74" s="7">
        <f>Rdiario[[#This Row],[Ingresos Brutos]]-Rdiario[[#This Row],[Ganancia]]</f>
        <v>0</v>
      </c>
      <c r="I74" s="7">
        <f>SUMIF(Ventas[Fecha],Rdiario[[#This Row],[Fecha]],Ventas[Total 2])</f>
        <v>0</v>
      </c>
      <c r="J74" s="7">
        <f>SUMIF(Compras[Fecha],Rdiario[[#This Row],[Fecha]],Compras[Monto])</f>
        <v>0</v>
      </c>
      <c r="K74" s="7">
        <f>SUMIF(TGastos[Fecha],Rdiario[[#This Row],[Fecha]],TGastos[Monto])</f>
        <v>0</v>
      </c>
      <c r="L74" s="7">
        <f>Rdiario[[#This Row],[Ingresos Brutos]]-Rdiario[[#This Row],[Compras]]-Rdiario[[#This Row],[Gastos]]</f>
        <v>0</v>
      </c>
      <c r="M74" s="7">
        <f>Rdiario[[#This Row],[Ganancia]]-Rdiario[[#This Row],[Compras]]-Rdiario[[#This Row],[Gastos]]</f>
        <v>0</v>
      </c>
      <c r="P74" s="16"/>
    </row>
    <row r="75" spans="2:16">
      <c r="B75" s="9">
        <v>44998</v>
      </c>
      <c r="C7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5" s="6" t="s">
        <v>105</v>
      </c>
      <c r="E75" s="7">
        <f>SUMIF(Ventas[Fecha],Rdiario[[#This Row],[Fecha]],Ventas[Total])</f>
        <v>65500</v>
      </c>
      <c r="F75" s="66">
        <f>SUMIF(Ventas[Fecha],Rdiario[[#This Row],[Fecha]],Ventas[Total 4])</f>
        <v>0</v>
      </c>
      <c r="G75" s="66">
        <f>Rdiario[[#This Row],[Ingresos Brutos]]-Rdiario[[#This Row],[Transferencia]]</f>
        <v>65500</v>
      </c>
      <c r="H75" s="7">
        <f>Rdiario[[#This Row],[Ingresos Brutos]]-Rdiario[[#This Row],[Ganancia]]</f>
        <v>42111</v>
      </c>
      <c r="I75" s="7">
        <f>SUMIF(Ventas[Fecha],Rdiario[[#This Row],[Fecha]],Ventas[Total 2])</f>
        <v>23389</v>
      </c>
      <c r="J75" s="7">
        <f>SUMIF(Compras[Fecha],Rdiario[[#This Row],[Fecha]],Compras[Monto])</f>
        <v>0</v>
      </c>
      <c r="K75" s="7">
        <f>SUMIF(TGastos[Fecha],Rdiario[[#This Row],[Fecha]],TGastos[Monto])</f>
        <v>0</v>
      </c>
      <c r="L75" s="7">
        <f>Rdiario[[#This Row],[Ingresos Brutos]]-Rdiario[[#This Row],[Compras]]-Rdiario[[#This Row],[Gastos]]</f>
        <v>65500</v>
      </c>
      <c r="M75" s="7">
        <f>Rdiario[[#This Row],[Ganancia]]-Rdiario[[#This Row],[Compras]]-Rdiario[[#This Row],[Gastos]]</f>
        <v>23389</v>
      </c>
      <c r="P75" s="16"/>
    </row>
    <row r="76" spans="2:16">
      <c r="B76" s="9">
        <v>44999</v>
      </c>
      <c r="C7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6" s="6" t="s">
        <v>106</v>
      </c>
      <c r="E76" s="7">
        <f>SUMIF(Ventas[Fecha],Rdiario[[#This Row],[Fecha]],Ventas[Total])</f>
        <v>23450</v>
      </c>
      <c r="F76" s="66">
        <f>SUMIF(Ventas[Fecha],Rdiario[[#This Row],[Fecha]],Ventas[Total 4])</f>
        <v>0</v>
      </c>
      <c r="G76" s="66">
        <f>Rdiario[[#This Row],[Ingresos Brutos]]-Rdiario[[#This Row],[Transferencia]]</f>
        <v>23450</v>
      </c>
      <c r="H76" s="7">
        <f>Rdiario[[#This Row],[Ingresos Brutos]]-Rdiario[[#This Row],[Ganancia]]</f>
        <v>11462</v>
      </c>
      <c r="I76" s="7">
        <f>SUMIF(Ventas[Fecha],Rdiario[[#This Row],[Fecha]],Ventas[Total 2])</f>
        <v>11988</v>
      </c>
      <c r="J76" s="7">
        <f>SUMIF(Compras[Fecha],Rdiario[[#This Row],[Fecha]],Compras[Monto])</f>
        <v>0</v>
      </c>
      <c r="K76" s="7">
        <f>SUMIF(TGastos[Fecha],Rdiario[[#This Row],[Fecha]],TGastos[Monto])</f>
        <v>0</v>
      </c>
      <c r="L76" s="7">
        <f>Rdiario[[#This Row],[Ingresos Brutos]]-Rdiario[[#This Row],[Compras]]-Rdiario[[#This Row],[Gastos]]</f>
        <v>23450</v>
      </c>
      <c r="M76" s="7">
        <f>Rdiario[[#This Row],[Ganancia]]-Rdiario[[#This Row],[Compras]]-Rdiario[[#This Row],[Gastos]]</f>
        <v>11988</v>
      </c>
      <c r="P76" s="16"/>
    </row>
    <row r="77" spans="2:16">
      <c r="B77" s="9">
        <v>45000</v>
      </c>
      <c r="C7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7" s="6" t="s">
        <v>107</v>
      </c>
      <c r="E77" s="7">
        <f>SUMIF(Ventas[Fecha],Rdiario[[#This Row],[Fecha]],Ventas[Total])</f>
        <v>11900</v>
      </c>
      <c r="F77" s="66">
        <f>SUMIF(Ventas[Fecha],Rdiario[[#This Row],[Fecha]],Ventas[Total 4])</f>
        <v>0</v>
      </c>
      <c r="G77" s="66">
        <f>Rdiario[[#This Row],[Ingresos Brutos]]-Rdiario[[#This Row],[Transferencia]]</f>
        <v>11900</v>
      </c>
      <c r="H77" s="7">
        <f>Rdiario[[#This Row],[Ingresos Brutos]]-Rdiario[[#This Row],[Ganancia]]</f>
        <v>7728</v>
      </c>
      <c r="I77" s="7">
        <f>SUMIF(Ventas[Fecha],Rdiario[[#This Row],[Fecha]],Ventas[Total 2])</f>
        <v>4172</v>
      </c>
      <c r="J77" s="7">
        <f>SUMIF(Compras[Fecha],Rdiario[[#This Row],[Fecha]],Compras[Monto])</f>
        <v>0</v>
      </c>
      <c r="K77" s="7">
        <f>SUMIF(TGastos[Fecha],Rdiario[[#This Row],[Fecha]],TGastos[Monto])</f>
        <v>0</v>
      </c>
      <c r="L77" s="7">
        <f>Rdiario[[#This Row],[Ingresos Brutos]]-Rdiario[[#This Row],[Compras]]-Rdiario[[#This Row],[Gastos]]</f>
        <v>11900</v>
      </c>
      <c r="M77" s="7">
        <f>Rdiario[[#This Row],[Ganancia]]-Rdiario[[#This Row],[Compras]]-Rdiario[[#This Row],[Gastos]]</f>
        <v>4172</v>
      </c>
      <c r="P77" s="16"/>
    </row>
    <row r="78" spans="2:16">
      <c r="B78" s="9">
        <v>45001</v>
      </c>
      <c r="C7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8" s="6" t="s">
        <v>108</v>
      </c>
      <c r="E78" s="7">
        <f>SUMIF(Ventas[Fecha],Rdiario[[#This Row],[Fecha]],Ventas[Total])</f>
        <v>71150</v>
      </c>
      <c r="F78" s="66">
        <f>SUMIF(Ventas[Fecha],Rdiario[[#This Row],[Fecha]],Ventas[Total 4])</f>
        <v>0</v>
      </c>
      <c r="G78" s="66">
        <f>Rdiario[[#This Row],[Ingresos Brutos]]-Rdiario[[#This Row],[Transferencia]]</f>
        <v>71150</v>
      </c>
      <c r="H78" s="7">
        <f>Rdiario[[#This Row],[Ingresos Brutos]]-Rdiario[[#This Row],[Ganancia]]</f>
        <v>52492</v>
      </c>
      <c r="I78" s="7">
        <f>SUMIF(Ventas[Fecha],Rdiario[[#This Row],[Fecha]],Ventas[Total 2])</f>
        <v>18658</v>
      </c>
      <c r="J78" s="7">
        <f>SUMIF(Compras[Fecha],Rdiario[[#This Row],[Fecha]],Compras[Monto])</f>
        <v>0</v>
      </c>
      <c r="K78" s="7">
        <f>SUMIF(TGastos[Fecha],Rdiario[[#This Row],[Fecha]],TGastos[Monto])</f>
        <v>3600</v>
      </c>
      <c r="L78" s="7">
        <f>Rdiario[[#This Row],[Ingresos Brutos]]-Rdiario[[#This Row],[Compras]]-Rdiario[[#This Row],[Gastos]]</f>
        <v>67550</v>
      </c>
      <c r="M78" s="7">
        <f>Rdiario[[#This Row],[Ganancia]]-Rdiario[[#This Row],[Compras]]-Rdiario[[#This Row],[Gastos]]</f>
        <v>15058</v>
      </c>
      <c r="P78" s="16"/>
    </row>
    <row r="79" spans="2:16">
      <c r="B79" s="9">
        <v>45002</v>
      </c>
      <c r="C7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9" s="6" t="s">
        <v>109</v>
      </c>
      <c r="E79" s="7">
        <f>SUMIF(Ventas[Fecha],Rdiario[[#This Row],[Fecha]],Ventas[Total])</f>
        <v>25450</v>
      </c>
      <c r="F79" s="66">
        <f>SUMIF(Ventas[Fecha],Rdiario[[#This Row],[Fecha]],Ventas[Total 4])</f>
        <v>0</v>
      </c>
      <c r="G79" s="66">
        <f>Rdiario[[#This Row],[Ingresos Brutos]]-Rdiario[[#This Row],[Transferencia]]</f>
        <v>25450</v>
      </c>
      <c r="H79" s="7">
        <f>Rdiario[[#This Row],[Ingresos Brutos]]-Rdiario[[#This Row],[Ganancia]]</f>
        <v>12968</v>
      </c>
      <c r="I79" s="7">
        <f>SUMIF(Ventas[Fecha],Rdiario[[#This Row],[Fecha]],Ventas[Total 2])</f>
        <v>12482</v>
      </c>
      <c r="J79" s="7">
        <f>SUMIF(Compras[Fecha],Rdiario[[#This Row],[Fecha]],Compras[Monto])</f>
        <v>0</v>
      </c>
      <c r="K79" s="7">
        <f>SUMIF(TGastos[Fecha],Rdiario[[#This Row],[Fecha]],TGastos[Monto])</f>
        <v>0</v>
      </c>
      <c r="L79" s="7">
        <f>Rdiario[[#This Row],[Ingresos Brutos]]-Rdiario[[#This Row],[Compras]]-Rdiario[[#This Row],[Gastos]]</f>
        <v>25450</v>
      </c>
      <c r="M79" s="7">
        <f>Rdiario[[#This Row],[Ganancia]]-Rdiario[[#This Row],[Compras]]-Rdiario[[#This Row],[Gastos]]</f>
        <v>12482</v>
      </c>
      <c r="P79" s="16"/>
    </row>
    <row r="80" spans="2:16">
      <c r="B80" s="9">
        <v>45003</v>
      </c>
      <c r="C8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0" s="6" t="s">
        <v>110</v>
      </c>
      <c r="E80" s="7">
        <f>SUMIF(Ventas[Fecha],Rdiario[[#This Row],[Fecha]],Ventas[Total])</f>
        <v>13700</v>
      </c>
      <c r="F80" s="66">
        <f>SUMIF(Ventas[Fecha],Rdiario[[#This Row],[Fecha]],Ventas[Total 4])</f>
        <v>0</v>
      </c>
      <c r="G80" s="66">
        <f>Rdiario[[#This Row],[Ingresos Brutos]]-Rdiario[[#This Row],[Transferencia]]</f>
        <v>13700</v>
      </c>
      <c r="H80" s="7">
        <f>Rdiario[[#This Row],[Ingresos Brutos]]-Rdiario[[#This Row],[Ganancia]]</f>
        <v>6709</v>
      </c>
      <c r="I80" s="7">
        <f>SUMIF(Ventas[Fecha],Rdiario[[#This Row],[Fecha]],Ventas[Total 2])</f>
        <v>6991</v>
      </c>
      <c r="J80" s="7">
        <f>SUMIF(Compras[Fecha],Rdiario[[#This Row],[Fecha]],Compras[Monto])</f>
        <v>0</v>
      </c>
      <c r="K80" s="7">
        <f>SUMIF(TGastos[Fecha],Rdiario[[#This Row],[Fecha]],TGastos[Monto])</f>
        <v>22000</v>
      </c>
      <c r="L80" s="7">
        <f>Rdiario[[#This Row],[Ingresos Brutos]]-Rdiario[[#This Row],[Compras]]-Rdiario[[#This Row],[Gastos]]</f>
        <v>-8300</v>
      </c>
      <c r="M80" s="7">
        <f>Rdiario[[#This Row],[Ganancia]]-Rdiario[[#This Row],[Compras]]-Rdiario[[#This Row],[Gastos]]</f>
        <v>-15009</v>
      </c>
      <c r="P80" s="16"/>
    </row>
    <row r="81" spans="2:16">
      <c r="B81" s="9">
        <v>45004</v>
      </c>
      <c r="C8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1" s="6" t="s">
        <v>104</v>
      </c>
      <c r="E81" s="7">
        <f>SUMIF(Ventas[Fecha],Rdiario[[#This Row],[Fecha]],Ventas[Total])</f>
        <v>0</v>
      </c>
      <c r="F81" s="66">
        <f>SUMIF(Ventas[Fecha],Rdiario[[#This Row],[Fecha]],Ventas[Total 4])</f>
        <v>0</v>
      </c>
      <c r="G81" s="66">
        <f>Rdiario[[#This Row],[Ingresos Brutos]]-Rdiario[[#This Row],[Transferencia]]</f>
        <v>0</v>
      </c>
      <c r="H81" s="7">
        <f>Rdiario[[#This Row],[Ingresos Brutos]]-Rdiario[[#This Row],[Ganancia]]</f>
        <v>0</v>
      </c>
      <c r="I81" s="7">
        <f>SUMIF(Ventas[Fecha],Rdiario[[#This Row],[Fecha]],Ventas[Total 2])</f>
        <v>0</v>
      </c>
      <c r="J81" s="7">
        <f>SUMIF(Compras[Fecha],Rdiario[[#This Row],[Fecha]],Compras[Monto])</f>
        <v>0</v>
      </c>
      <c r="K81" s="7">
        <f>SUMIF(TGastos[Fecha],Rdiario[[#This Row],[Fecha]],TGastos[Monto])</f>
        <v>0</v>
      </c>
      <c r="L81" s="7">
        <f>Rdiario[[#This Row],[Ingresos Brutos]]-Rdiario[[#This Row],[Compras]]-Rdiario[[#This Row],[Gastos]]</f>
        <v>0</v>
      </c>
      <c r="M81" s="7">
        <f>Rdiario[[#This Row],[Ganancia]]-Rdiario[[#This Row],[Compras]]-Rdiario[[#This Row],[Gastos]]</f>
        <v>0</v>
      </c>
      <c r="P81" s="16"/>
    </row>
    <row r="82" spans="2:16">
      <c r="B82" s="9">
        <v>45005</v>
      </c>
      <c r="C8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2" s="6" t="s">
        <v>105</v>
      </c>
      <c r="E82" s="7">
        <f>SUMIF(Ventas[Fecha],Rdiario[[#This Row],[Fecha]],Ventas[Total])</f>
        <v>30000</v>
      </c>
      <c r="F82" s="66">
        <f>SUMIF(Ventas[Fecha],Rdiario[[#This Row],[Fecha]],Ventas[Total 4])</f>
        <v>0</v>
      </c>
      <c r="G82" s="66">
        <f>Rdiario[[#This Row],[Ingresos Brutos]]-Rdiario[[#This Row],[Transferencia]]</f>
        <v>30000</v>
      </c>
      <c r="H82" s="7">
        <f>Rdiario[[#This Row],[Ingresos Brutos]]-Rdiario[[#This Row],[Ganancia]]</f>
        <v>14292</v>
      </c>
      <c r="I82" s="7">
        <f>SUMIF(Ventas[Fecha],Rdiario[[#This Row],[Fecha]],Ventas[Total 2])</f>
        <v>15708</v>
      </c>
      <c r="J82" s="7">
        <f>SUMIF(Compras[Fecha],Rdiario[[#This Row],[Fecha]],Compras[Monto])</f>
        <v>0</v>
      </c>
      <c r="K82" s="7">
        <f>SUMIF(TGastos[Fecha],Rdiario[[#This Row],[Fecha]],TGastos[Monto])</f>
        <v>0</v>
      </c>
      <c r="L82" s="7">
        <f>Rdiario[[#This Row],[Ingresos Brutos]]-Rdiario[[#This Row],[Compras]]-Rdiario[[#This Row],[Gastos]]</f>
        <v>30000</v>
      </c>
      <c r="M82" s="7">
        <f>Rdiario[[#This Row],[Ganancia]]-Rdiario[[#This Row],[Compras]]-Rdiario[[#This Row],[Gastos]]</f>
        <v>15708</v>
      </c>
      <c r="P82" s="16"/>
    </row>
    <row r="83" spans="2:16">
      <c r="B83" s="9">
        <v>45006</v>
      </c>
      <c r="C8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3" s="6" t="s">
        <v>106</v>
      </c>
      <c r="E83" s="7">
        <f>SUMIF(Ventas[Fecha],Rdiario[[#This Row],[Fecha]],Ventas[Total])</f>
        <v>36100</v>
      </c>
      <c r="F83" s="66">
        <f>SUMIF(Ventas[Fecha],Rdiario[[#This Row],[Fecha]],Ventas[Total 4])</f>
        <v>0</v>
      </c>
      <c r="G83" s="66">
        <f>Rdiario[[#This Row],[Ingresos Brutos]]-Rdiario[[#This Row],[Transferencia]]</f>
        <v>36100</v>
      </c>
      <c r="H83" s="7">
        <f>Rdiario[[#This Row],[Ingresos Brutos]]-Rdiario[[#This Row],[Ganancia]]</f>
        <v>19871</v>
      </c>
      <c r="I83" s="7">
        <f>SUMIF(Ventas[Fecha],Rdiario[[#This Row],[Fecha]],Ventas[Total 2])</f>
        <v>16229</v>
      </c>
      <c r="J83" s="7">
        <f>SUMIF(Compras[Fecha],Rdiario[[#This Row],[Fecha]],Compras[Monto])</f>
        <v>80717</v>
      </c>
      <c r="K83" s="7">
        <f>SUMIF(TGastos[Fecha],Rdiario[[#This Row],[Fecha]],TGastos[Monto])</f>
        <v>0</v>
      </c>
      <c r="L83" s="7">
        <f>Rdiario[[#This Row],[Ingresos Brutos]]-Rdiario[[#This Row],[Compras]]-Rdiario[[#This Row],[Gastos]]</f>
        <v>-44617</v>
      </c>
      <c r="M83" s="7">
        <f>Rdiario[[#This Row],[Ganancia]]-Rdiario[[#This Row],[Compras]]-Rdiario[[#This Row],[Gastos]]</f>
        <v>-64488</v>
      </c>
      <c r="P83" s="16"/>
    </row>
    <row r="84" spans="2:16">
      <c r="B84" s="9">
        <v>45007</v>
      </c>
      <c r="C8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4" s="6" t="s">
        <v>107</v>
      </c>
      <c r="E84" s="7">
        <f>SUMIF(Ventas[Fecha],Rdiario[[#This Row],[Fecha]],Ventas[Total])</f>
        <v>15600</v>
      </c>
      <c r="F84" s="66">
        <f>SUMIF(Ventas[Fecha],Rdiario[[#This Row],[Fecha]],Ventas[Total 4])</f>
        <v>0</v>
      </c>
      <c r="G84" s="66">
        <f>Rdiario[[#This Row],[Ingresos Brutos]]-Rdiario[[#This Row],[Transferencia]]</f>
        <v>15600</v>
      </c>
      <c r="H84" s="7">
        <f>Rdiario[[#This Row],[Ingresos Brutos]]-Rdiario[[#This Row],[Ganancia]]</f>
        <v>8157</v>
      </c>
      <c r="I84" s="7">
        <f>SUMIF(Ventas[Fecha],Rdiario[[#This Row],[Fecha]],Ventas[Total 2])</f>
        <v>7443</v>
      </c>
      <c r="J84" s="7">
        <f>SUMIF(Compras[Fecha],Rdiario[[#This Row],[Fecha]],Compras[Monto])</f>
        <v>50260</v>
      </c>
      <c r="K84" s="7">
        <f>SUMIF(TGastos[Fecha],Rdiario[[#This Row],[Fecha]],TGastos[Monto])</f>
        <v>0</v>
      </c>
      <c r="L84" s="7">
        <f>Rdiario[[#This Row],[Ingresos Brutos]]-Rdiario[[#This Row],[Compras]]-Rdiario[[#This Row],[Gastos]]</f>
        <v>-34660</v>
      </c>
      <c r="M84" s="7">
        <f>Rdiario[[#This Row],[Ganancia]]-Rdiario[[#This Row],[Compras]]-Rdiario[[#This Row],[Gastos]]</f>
        <v>-42817</v>
      </c>
      <c r="P84" s="16"/>
    </row>
    <row r="85" spans="2:16">
      <c r="B85" s="9">
        <v>45008</v>
      </c>
      <c r="C8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5" s="6" t="s">
        <v>108</v>
      </c>
      <c r="E85" s="7">
        <f>SUMIF(Ventas[Fecha],Rdiario[[#This Row],[Fecha]],Ventas[Total])</f>
        <v>0</v>
      </c>
      <c r="F85" s="66">
        <f>SUMIF(Ventas[Fecha],Rdiario[[#This Row],[Fecha]],Ventas[Total 4])</f>
        <v>0</v>
      </c>
      <c r="G85" s="66">
        <f>Rdiario[[#This Row],[Ingresos Brutos]]-Rdiario[[#This Row],[Transferencia]]</f>
        <v>0</v>
      </c>
      <c r="H85" s="7">
        <f>Rdiario[[#This Row],[Ingresos Brutos]]-Rdiario[[#This Row],[Ganancia]]</f>
        <v>0</v>
      </c>
      <c r="I85" s="7">
        <f>SUMIF(Ventas[Fecha],Rdiario[[#This Row],[Fecha]],Ventas[Total 2])</f>
        <v>0</v>
      </c>
      <c r="J85" s="7">
        <f>SUMIF(Compras[Fecha],Rdiario[[#This Row],[Fecha]],Compras[Monto])</f>
        <v>0</v>
      </c>
      <c r="K85" s="7">
        <f>SUMIF(TGastos[Fecha],Rdiario[[#This Row],[Fecha]],TGastos[Monto])</f>
        <v>0</v>
      </c>
      <c r="L85" s="7">
        <f>Rdiario[[#This Row],[Ingresos Brutos]]-Rdiario[[#This Row],[Compras]]-Rdiario[[#This Row],[Gastos]]</f>
        <v>0</v>
      </c>
      <c r="M85" s="7">
        <f>Rdiario[[#This Row],[Ganancia]]-Rdiario[[#This Row],[Compras]]-Rdiario[[#This Row],[Gastos]]</f>
        <v>0</v>
      </c>
      <c r="P85" s="16"/>
    </row>
    <row r="86" spans="2:16">
      <c r="B86" s="9">
        <v>45009</v>
      </c>
      <c r="C8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6" s="6" t="s">
        <v>109</v>
      </c>
      <c r="E86" s="7">
        <f>SUMIF(Ventas[Fecha],Rdiario[[#This Row],[Fecha]],Ventas[Total])</f>
        <v>28550</v>
      </c>
      <c r="F86" s="66">
        <f>SUMIF(Ventas[Fecha],Rdiario[[#This Row],[Fecha]],Ventas[Total 4])</f>
        <v>0</v>
      </c>
      <c r="G86" s="66">
        <f>Rdiario[[#This Row],[Ingresos Brutos]]-Rdiario[[#This Row],[Transferencia]]</f>
        <v>28550</v>
      </c>
      <c r="H86" s="7">
        <f>Rdiario[[#This Row],[Ingresos Brutos]]-Rdiario[[#This Row],[Ganancia]]</f>
        <v>14561</v>
      </c>
      <c r="I86" s="7">
        <f>SUMIF(Ventas[Fecha],Rdiario[[#This Row],[Fecha]],Ventas[Total 2])</f>
        <v>13989</v>
      </c>
      <c r="J86" s="7">
        <f>SUMIF(Compras[Fecha],Rdiario[[#This Row],[Fecha]],Compras[Monto])</f>
        <v>0</v>
      </c>
      <c r="K86" s="7">
        <f>SUMIF(TGastos[Fecha],Rdiario[[#This Row],[Fecha]],TGastos[Monto])</f>
        <v>4500</v>
      </c>
      <c r="L86" s="7">
        <f>Rdiario[[#This Row],[Ingresos Brutos]]-Rdiario[[#This Row],[Compras]]-Rdiario[[#This Row],[Gastos]]</f>
        <v>24050</v>
      </c>
      <c r="M86" s="7">
        <f>Rdiario[[#This Row],[Ganancia]]-Rdiario[[#This Row],[Compras]]-Rdiario[[#This Row],[Gastos]]</f>
        <v>9489</v>
      </c>
      <c r="P86" s="16"/>
    </row>
    <row r="87" spans="2:16">
      <c r="B87" s="9">
        <v>45010</v>
      </c>
      <c r="C8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7" s="6" t="s">
        <v>110</v>
      </c>
      <c r="E87" s="7">
        <f>SUMIF(Ventas[Fecha],Rdiario[[#This Row],[Fecha]],Ventas[Total])</f>
        <v>39050</v>
      </c>
      <c r="F87" s="66">
        <f>SUMIF(Ventas[Fecha],Rdiario[[#This Row],[Fecha]],Ventas[Total 4])</f>
        <v>0</v>
      </c>
      <c r="G87" s="66">
        <f>Rdiario[[#This Row],[Ingresos Brutos]]-Rdiario[[#This Row],[Transferencia]]</f>
        <v>39050</v>
      </c>
      <c r="H87" s="7">
        <f>Rdiario[[#This Row],[Ingresos Brutos]]-Rdiario[[#This Row],[Ganancia]]</f>
        <v>18833</v>
      </c>
      <c r="I87" s="7">
        <f>SUMIF(Ventas[Fecha],Rdiario[[#This Row],[Fecha]],Ventas[Total 2])</f>
        <v>20217</v>
      </c>
      <c r="J87" s="7">
        <f>SUMIF(Compras[Fecha],Rdiario[[#This Row],[Fecha]],Compras[Monto])</f>
        <v>0</v>
      </c>
      <c r="K87" s="7">
        <f>SUMIF(TGastos[Fecha],Rdiario[[#This Row],[Fecha]],TGastos[Monto])</f>
        <v>0</v>
      </c>
      <c r="L87" s="7">
        <f>Rdiario[[#This Row],[Ingresos Brutos]]-Rdiario[[#This Row],[Compras]]-Rdiario[[#This Row],[Gastos]]</f>
        <v>39050</v>
      </c>
      <c r="M87" s="7">
        <f>Rdiario[[#This Row],[Ganancia]]-Rdiario[[#This Row],[Compras]]-Rdiario[[#This Row],[Gastos]]</f>
        <v>20217</v>
      </c>
      <c r="P87" s="16"/>
    </row>
    <row r="88" spans="2:16">
      <c r="B88" s="9">
        <v>45011</v>
      </c>
      <c r="C8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8" s="6" t="s">
        <v>104</v>
      </c>
      <c r="E88" s="7">
        <f>SUMIF(Ventas[Fecha],Rdiario[[#This Row],[Fecha]],Ventas[Total])</f>
        <v>0</v>
      </c>
      <c r="F88" s="66">
        <f>SUMIF(Ventas[Fecha],Rdiario[[#This Row],[Fecha]],Ventas[Total 4])</f>
        <v>0</v>
      </c>
      <c r="G88" s="66">
        <f>Rdiario[[#This Row],[Ingresos Brutos]]-Rdiario[[#This Row],[Transferencia]]</f>
        <v>0</v>
      </c>
      <c r="H88" s="7">
        <f>Rdiario[[#This Row],[Ingresos Brutos]]-Rdiario[[#This Row],[Ganancia]]</f>
        <v>0</v>
      </c>
      <c r="I88" s="7">
        <f>SUMIF(Ventas[Fecha],Rdiario[[#This Row],[Fecha]],Ventas[Total 2])</f>
        <v>0</v>
      </c>
      <c r="J88" s="7">
        <f>SUMIF(Compras[Fecha],Rdiario[[#This Row],[Fecha]],Compras[Monto])</f>
        <v>0</v>
      </c>
      <c r="K88" s="7">
        <f>SUMIF(TGastos[Fecha],Rdiario[[#This Row],[Fecha]],TGastos[Monto])</f>
        <v>0</v>
      </c>
      <c r="L88" s="7">
        <f>Rdiario[[#This Row],[Ingresos Brutos]]-Rdiario[[#This Row],[Compras]]-Rdiario[[#This Row],[Gastos]]</f>
        <v>0</v>
      </c>
      <c r="M88" s="7">
        <f>Rdiario[[#This Row],[Ganancia]]-Rdiario[[#This Row],[Compras]]-Rdiario[[#This Row],[Gastos]]</f>
        <v>0</v>
      </c>
      <c r="P88" s="16"/>
    </row>
    <row r="89" spans="2:16">
      <c r="B89" s="9">
        <v>45012</v>
      </c>
      <c r="C8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9" s="6" t="s">
        <v>105</v>
      </c>
      <c r="E89" s="7">
        <f>SUMIF(Ventas[Fecha],Rdiario[[#This Row],[Fecha]],Ventas[Total])</f>
        <v>20610</v>
      </c>
      <c r="F89" s="66">
        <f>SUMIF(Ventas[Fecha],Rdiario[[#This Row],[Fecha]],Ventas[Total 4])</f>
        <v>0</v>
      </c>
      <c r="G89" s="66">
        <f>Rdiario[[#This Row],[Ingresos Brutos]]-Rdiario[[#This Row],[Transferencia]]</f>
        <v>20610</v>
      </c>
      <c r="H89" s="7">
        <f>Rdiario[[#This Row],[Ingresos Brutos]]-Rdiario[[#This Row],[Ganancia]]</f>
        <v>10543</v>
      </c>
      <c r="I89" s="7">
        <f>SUMIF(Ventas[Fecha],Rdiario[[#This Row],[Fecha]],Ventas[Total 2])</f>
        <v>10067</v>
      </c>
      <c r="J89" s="7">
        <f>SUMIF(Compras[Fecha],Rdiario[[#This Row],[Fecha]],Compras[Monto])</f>
        <v>12376</v>
      </c>
      <c r="K89" s="7">
        <f>SUMIF(TGastos[Fecha],Rdiario[[#This Row],[Fecha]],TGastos[Monto])</f>
        <v>24750</v>
      </c>
      <c r="L89" s="7">
        <f>Rdiario[[#This Row],[Ingresos Brutos]]-Rdiario[[#This Row],[Compras]]-Rdiario[[#This Row],[Gastos]]</f>
        <v>-16516</v>
      </c>
      <c r="M89" s="7">
        <f>Rdiario[[#This Row],[Ganancia]]-Rdiario[[#This Row],[Compras]]-Rdiario[[#This Row],[Gastos]]</f>
        <v>-27059</v>
      </c>
      <c r="P89" s="16"/>
    </row>
    <row r="90" spans="2:16">
      <c r="B90" s="9">
        <v>45013</v>
      </c>
      <c r="C9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90" s="6" t="s">
        <v>106</v>
      </c>
      <c r="E90" s="7">
        <f>SUMIF(Ventas[Fecha],Rdiario[[#This Row],[Fecha]],Ventas[Total])</f>
        <v>12200</v>
      </c>
      <c r="F90" s="66">
        <f>SUMIF(Ventas[Fecha],Rdiario[[#This Row],[Fecha]],Ventas[Total 4])</f>
        <v>0</v>
      </c>
      <c r="G90" s="66">
        <f>Rdiario[[#This Row],[Ingresos Brutos]]-Rdiario[[#This Row],[Transferencia]]</f>
        <v>12200</v>
      </c>
      <c r="H90" s="7">
        <f>Rdiario[[#This Row],[Ingresos Brutos]]-Rdiario[[#This Row],[Ganancia]]</f>
        <v>6392</v>
      </c>
      <c r="I90" s="7">
        <f>SUMIF(Ventas[Fecha],Rdiario[[#This Row],[Fecha]],Ventas[Total 2])</f>
        <v>5808</v>
      </c>
      <c r="J90" s="7">
        <f>SUMIF(Compras[Fecha],Rdiario[[#This Row],[Fecha]],Compras[Monto])</f>
        <v>0</v>
      </c>
      <c r="K90" s="7">
        <f>SUMIF(TGastos[Fecha],Rdiario[[#This Row],[Fecha]],TGastos[Monto])</f>
        <v>0</v>
      </c>
      <c r="L90" s="7">
        <f>Rdiario[[#This Row],[Ingresos Brutos]]-Rdiario[[#This Row],[Compras]]-Rdiario[[#This Row],[Gastos]]</f>
        <v>12200</v>
      </c>
      <c r="M90" s="7">
        <f>Rdiario[[#This Row],[Ganancia]]-Rdiario[[#This Row],[Compras]]-Rdiario[[#This Row],[Gastos]]</f>
        <v>5808</v>
      </c>
      <c r="P90" s="16"/>
    </row>
    <row r="91" spans="2:16">
      <c r="B91" s="9">
        <v>45014</v>
      </c>
      <c r="C9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91" s="6" t="s">
        <v>107</v>
      </c>
      <c r="E91" s="7">
        <f>SUMIF(Ventas[Fecha],Rdiario[[#This Row],[Fecha]],Ventas[Total])</f>
        <v>19250</v>
      </c>
      <c r="F91" s="66">
        <f>SUMIF(Ventas[Fecha],Rdiario[[#This Row],[Fecha]],Ventas[Total 4])</f>
        <v>2650</v>
      </c>
      <c r="G91" s="66">
        <f>Rdiario[[#This Row],[Ingresos Brutos]]-Rdiario[[#This Row],[Transferencia]]</f>
        <v>16600</v>
      </c>
      <c r="H91" s="7">
        <f>Rdiario[[#This Row],[Ingresos Brutos]]-Rdiario[[#This Row],[Ganancia]]</f>
        <v>10048</v>
      </c>
      <c r="I91" s="7">
        <f>SUMIF(Ventas[Fecha],Rdiario[[#This Row],[Fecha]],Ventas[Total 2])</f>
        <v>9202</v>
      </c>
      <c r="J91" s="7">
        <f>SUMIF(Compras[Fecha],Rdiario[[#This Row],[Fecha]],Compras[Monto])</f>
        <v>0</v>
      </c>
      <c r="K91" s="7">
        <f>SUMIF(TGastos[Fecha],Rdiario[[#This Row],[Fecha]],TGastos[Monto])</f>
        <v>0</v>
      </c>
      <c r="L91" s="7">
        <f>Rdiario[[#This Row],[Ingresos Brutos]]-Rdiario[[#This Row],[Compras]]-Rdiario[[#This Row],[Gastos]]</f>
        <v>19250</v>
      </c>
      <c r="M91" s="7">
        <f>Rdiario[[#This Row],[Ganancia]]-Rdiario[[#This Row],[Compras]]-Rdiario[[#This Row],[Gastos]]</f>
        <v>9202</v>
      </c>
      <c r="P91" s="16"/>
    </row>
    <row r="92" spans="2:16">
      <c r="B92" s="9">
        <v>45015</v>
      </c>
      <c r="C9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92" s="6" t="s">
        <v>108</v>
      </c>
      <c r="E92" s="7">
        <f>SUMIF(Ventas[Fecha],Rdiario[[#This Row],[Fecha]],Ventas[Total])</f>
        <v>13250</v>
      </c>
      <c r="F92" s="66">
        <f>SUMIF(Ventas[Fecha],Rdiario[[#This Row],[Fecha]],Ventas[Total 4])</f>
        <v>8650</v>
      </c>
      <c r="G92" s="66">
        <f>Rdiario[[#This Row],[Ingresos Brutos]]-Rdiario[[#This Row],[Transferencia]]</f>
        <v>4600</v>
      </c>
      <c r="H92" s="7">
        <f>Rdiario[[#This Row],[Ingresos Brutos]]-Rdiario[[#This Row],[Ganancia]]</f>
        <v>6777</v>
      </c>
      <c r="I92" s="7">
        <f>SUMIF(Ventas[Fecha],Rdiario[[#This Row],[Fecha]],Ventas[Total 2])</f>
        <v>6473</v>
      </c>
      <c r="J92" s="7">
        <f>SUMIF(Compras[Fecha],Rdiario[[#This Row],[Fecha]],Compras[Monto])</f>
        <v>0</v>
      </c>
      <c r="K92" s="7">
        <f>SUMIF(TGastos[Fecha],Rdiario[[#This Row],[Fecha]],TGastos[Monto])</f>
        <v>0</v>
      </c>
      <c r="L92" s="7">
        <f>Rdiario[[#This Row],[Ingresos Brutos]]-Rdiario[[#This Row],[Compras]]-Rdiario[[#This Row],[Gastos]]</f>
        <v>13250</v>
      </c>
      <c r="M92" s="7">
        <f>Rdiario[[#This Row],[Ganancia]]-Rdiario[[#This Row],[Compras]]-Rdiario[[#This Row],[Gastos]]</f>
        <v>6473</v>
      </c>
      <c r="P92" s="16"/>
    </row>
    <row r="93" spans="2:16">
      <c r="B93" s="9">
        <v>45016</v>
      </c>
      <c r="C9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93" s="6" t="s">
        <v>109</v>
      </c>
      <c r="E93" s="7">
        <f>SUMIF(Ventas[Fecha],Rdiario[[#This Row],[Fecha]],Ventas[Total])</f>
        <v>10700</v>
      </c>
      <c r="F93" s="66">
        <f>SUMIF(Ventas[Fecha],Rdiario[[#This Row],[Fecha]],Ventas[Total 4])</f>
        <v>4000</v>
      </c>
      <c r="G93" s="66">
        <f>Rdiario[[#This Row],[Ingresos Brutos]]-Rdiario[[#This Row],[Transferencia]]</f>
        <v>6700</v>
      </c>
      <c r="H93" s="7">
        <f>Rdiario[[#This Row],[Ingresos Brutos]]-Rdiario[[#This Row],[Ganancia]]</f>
        <v>5163</v>
      </c>
      <c r="I93" s="7">
        <f>SUMIF(Ventas[Fecha],Rdiario[[#This Row],[Fecha]],Ventas[Total 2])</f>
        <v>5537</v>
      </c>
      <c r="J93" s="7">
        <f>SUMIF(Compras[Fecha],Rdiario[[#This Row],[Fecha]],Compras[Monto])</f>
        <v>2520</v>
      </c>
      <c r="K93" s="7">
        <f>SUMIF(TGastos[Fecha],Rdiario[[#This Row],[Fecha]],TGastos[Monto])</f>
        <v>0</v>
      </c>
      <c r="L93" s="7">
        <f>Rdiario[[#This Row],[Ingresos Brutos]]-Rdiario[[#This Row],[Compras]]-Rdiario[[#This Row],[Gastos]]</f>
        <v>8180</v>
      </c>
      <c r="M93" s="7">
        <f>Rdiario[[#This Row],[Ganancia]]-Rdiario[[#This Row],[Compras]]-Rdiario[[#This Row],[Gastos]]</f>
        <v>3017</v>
      </c>
      <c r="P93" s="16"/>
    </row>
    <row r="94" spans="2:16">
      <c r="B94" s="9">
        <v>45017</v>
      </c>
      <c r="C9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4" s="6" t="s">
        <v>110</v>
      </c>
      <c r="E94" s="7">
        <f>SUMIF(Ventas[Fecha],Rdiario[[#This Row],[Fecha]],Ventas[Total])</f>
        <v>5800</v>
      </c>
      <c r="F94" s="66">
        <f>SUMIF(Ventas[Fecha],Rdiario[[#This Row],[Fecha]],Ventas[Total 4])</f>
        <v>0</v>
      </c>
      <c r="G94" s="66">
        <f>Rdiario[[#This Row],[Ingresos Brutos]]-Rdiario[[#This Row],[Transferencia]]</f>
        <v>5800</v>
      </c>
      <c r="H94" s="7">
        <f>Rdiario[[#This Row],[Ingresos Brutos]]-Rdiario[[#This Row],[Ganancia]]</f>
        <v>2800</v>
      </c>
      <c r="I94" s="7">
        <f>SUMIF(Ventas[Fecha],Rdiario[[#This Row],[Fecha]],Ventas[Total 2])</f>
        <v>3000</v>
      </c>
      <c r="J94" s="7">
        <f>SUMIF(Compras[Fecha],Rdiario[[#This Row],[Fecha]],Compras[Monto])</f>
        <v>0</v>
      </c>
      <c r="K94" s="7">
        <f>SUMIF(TGastos[Fecha],Rdiario[[#This Row],[Fecha]],TGastos[Monto])</f>
        <v>43200</v>
      </c>
      <c r="L94" s="7">
        <f>Rdiario[[#This Row],[Ingresos Brutos]]-Rdiario[[#This Row],[Compras]]-Rdiario[[#This Row],[Gastos]]</f>
        <v>-37400</v>
      </c>
      <c r="M94" s="7">
        <f>Rdiario[[#This Row],[Ganancia]]-Rdiario[[#This Row],[Compras]]-Rdiario[[#This Row],[Gastos]]</f>
        <v>-40200</v>
      </c>
      <c r="P94" s="16"/>
    </row>
    <row r="95" spans="2:16">
      <c r="B95" s="9">
        <v>45018</v>
      </c>
      <c r="C9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5" s="6" t="s">
        <v>104</v>
      </c>
      <c r="E95" s="7">
        <f>SUMIF(Ventas[Fecha],Rdiario[[#This Row],[Fecha]],Ventas[Total])</f>
        <v>0</v>
      </c>
      <c r="F95" s="66">
        <f>SUMIF(Ventas[Fecha],Rdiario[[#This Row],[Fecha]],Ventas[Total 4])</f>
        <v>0</v>
      </c>
      <c r="G95" s="66">
        <f>Rdiario[[#This Row],[Ingresos Brutos]]-Rdiario[[#This Row],[Transferencia]]</f>
        <v>0</v>
      </c>
      <c r="H95" s="7">
        <f>Rdiario[[#This Row],[Ingresos Brutos]]-Rdiario[[#This Row],[Ganancia]]</f>
        <v>0</v>
      </c>
      <c r="I95" s="7">
        <f>SUMIF(Ventas[Fecha],Rdiario[[#This Row],[Fecha]],Ventas[Total 2])</f>
        <v>0</v>
      </c>
      <c r="J95" s="7">
        <f>SUMIF(Compras[Fecha],Rdiario[[#This Row],[Fecha]],Compras[Monto])</f>
        <v>0</v>
      </c>
      <c r="K95" s="7">
        <f>SUMIF(TGastos[Fecha],Rdiario[[#This Row],[Fecha]],TGastos[Monto])</f>
        <v>0</v>
      </c>
      <c r="L95" s="7">
        <f>Rdiario[[#This Row],[Ingresos Brutos]]-Rdiario[[#This Row],[Compras]]-Rdiario[[#This Row],[Gastos]]</f>
        <v>0</v>
      </c>
      <c r="M95" s="7">
        <f>Rdiario[[#This Row],[Ganancia]]-Rdiario[[#This Row],[Compras]]-Rdiario[[#This Row],[Gastos]]</f>
        <v>0</v>
      </c>
      <c r="P95" s="16"/>
    </row>
    <row r="96" spans="2:16">
      <c r="B96" s="9">
        <v>45019</v>
      </c>
      <c r="C9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6" s="6" t="s">
        <v>105</v>
      </c>
      <c r="E96" s="7">
        <f>SUMIF(Ventas[Fecha],Rdiario[[#This Row],[Fecha]],Ventas[Total])</f>
        <v>27800</v>
      </c>
      <c r="F96" s="66">
        <f>SUMIF(Ventas[Fecha],Rdiario[[#This Row],[Fecha]],Ventas[Total 4])</f>
        <v>17950</v>
      </c>
      <c r="G96" s="66">
        <f>Rdiario[[#This Row],[Ingresos Brutos]]-Rdiario[[#This Row],[Transferencia]]</f>
        <v>9850</v>
      </c>
      <c r="H96" s="7">
        <f>Rdiario[[#This Row],[Ingresos Brutos]]-Rdiario[[#This Row],[Ganancia]]</f>
        <v>15793</v>
      </c>
      <c r="I96" s="7">
        <f>SUMIF(Ventas[Fecha],Rdiario[[#This Row],[Fecha]],Ventas[Total 2])</f>
        <v>12007</v>
      </c>
      <c r="J96" s="7">
        <f>SUMIF(Compras[Fecha],Rdiario[[#This Row],[Fecha]],Compras[Monto])</f>
        <v>0</v>
      </c>
      <c r="K96" s="7">
        <f>SUMIF(TGastos[Fecha],Rdiario[[#This Row],[Fecha]],TGastos[Monto])</f>
        <v>1620</v>
      </c>
      <c r="L96" s="7">
        <f>Rdiario[[#This Row],[Ingresos Brutos]]-Rdiario[[#This Row],[Compras]]-Rdiario[[#This Row],[Gastos]]</f>
        <v>26180</v>
      </c>
      <c r="M96" s="7">
        <f>Rdiario[[#This Row],[Ganancia]]-Rdiario[[#This Row],[Compras]]-Rdiario[[#This Row],[Gastos]]</f>
        <v>10387</v>
      </c>
      <c r="P96" s="16"/>
    </row>
    <row r="97" spans="2:16">
      <c r="B97" s="9">
        <v>45020</v>
      </c>
      <c r="C9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7" s="6" t="s">
        <v>106</v>
      </c>
      <c r="E97" s="7">
        <f>SUMIF(Ventas[Fecha],Rdiario[[#This Row],[Fecha]],Ventas[Total])</f>
        <v>27150</v>
      </c>
      <c r="F97" s="66">
        <f>SUMIF(Ventas[Fecha],Rdiario[[#This Row],[Fecha]],Ventas[Total 4])</f>
        <v>750</v>
      </c>
      <c r="G97" s="66">
        <f>Rdiario[[#This Row],[Ingresos Brutos]]-Rdiario[[#This Row],[Transferencia]]</f>
        <v>26400</v>
      </c>
      <c r="H97" s="7">
        <f>Rdiario[[#This Row],[Ingresos Brutos]]-Rdiario[[#This Row],[Ganancia]]</f>
        <v>15663</v>
      </c>
      <c r="I97" s="7">
        <f>SUMIF(Ventas[Fecha],Rdiario[[#This Row],[Fecha]],Ventas[Total 2])</f>
        <v>11487</v>
      </c>
      <c r="J97" s="7">
        <f>SUMIF(Compras[Fecha],Rdiario[[#This Row],[Fecha]],Compras[Monto])</f>
        <v>0</v>
      </c>
      <c r="K97" s="7">
        <f>SUMIF(TGastos[Fecha],Rdiario[[#This Row],[Fecha]],TGastos[Monto])</f>
        <v>0</v>
      </c>
      <c r="L97" s="7">
        <f>Rdiario[[#This Row],[Ingresos Brutos]]-Rdiario[[#This Row],[Compras]]-Rdiario[[#This Row],[Gastos]]</f>
        <v>27150</v>
      </c>
      <c r="M97" s="7">
        <f>Rdiario[[#This Row],[Ganancia]]-Rdiario[[#This Row],[Compras]]-Rdiario[[#This Row],[Gastos]]</f>
        <v>11487</v>
      </c>
      <c r="P97" s="16"/>
    </row>
    <row r="98" spans="2:16">
      <c r="B98" s="9">
        <v>45021</v>
      </c>
      <c r="C9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8" s="6" t="s">
        <v>107</v>
      </c>
      <c r="E98" s="7">
        <f>SUMIF(Ventas[Fecha],Rdiario[[#This Row],[Fecha]],Ventas[Total])</f>
        <v>23450</v>
      </c>
      <c r="F98" s="66">
        <f>SUMIF(Ventas[Fecha],Rdiario[[#This Row],[Fecha]],Ventas[Total 4])</f>
        <v>1650</v>
      </c>
      <c r="G98" s="66">
        <f>Rdiario[[#This Row],[Ingresos Brutos]]-Rdiario[[#This Row],[Transferencia]]</f>
        <v>21800</v>
      </c>
      <c r="H98" s="7">
        <f>Rdiario[[#This Row],[Ingresos Brutos]]-Rdiario[[#This Row],[Ganancia]]</f>
        <v>11543</v>
      </c>
      <c r="I98" s="7">
        <f>SUMIF(Ventas[Fecha],Rdiario[[#This Row],[Fecha]],Ventas[Total 2])</f>
        <v>11907</v>
      </c>
      <c r="J98" s="7">
        <f>SUMIF(Compras[Fecha],Rdiario[[#This Row],[Fecha]],Compras[Monto])</f>
        <v>0</v>
      </c>
      <c r="K98" s="7">
        <f>SUMIF(TGastos[Fecha],Rdiario[[#This Row],[Fecha]],TGastos[Monto])</f>
        <v>0</v>
      </c>
      <c r="L98" s="7">
        <f>Rdiario[[#This Row],[Ingresos Brutos]]-Rdiario[[#This Row],[Compras]]-Rdiario[[#This Row],[Gastos]]</f>
        <v>23450</v>
      </c>
      <c r="M98" s="7">
        <f>Rdiario[[#This Row],[Ganancia]]-Rdiario[[#This Row],[Compras]]-Rdiario[[#This Row],[Gastos]]</f>
        <v>11907</v>
      </c>
      <c r="P98" s="16"/>
    </row>
    <row r="99" spans="2:16">
      <c r="B99" s="9">
        <v>45022</v>
      </c>
      <c r="C9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9" s="6" t="s">
        <v>108</v>
      </c>
      <c r="E99" s="7">
        <f>SUMIF(Ventas[Fecha],Rdiario[[#This Row],[Fecha]],Ventas[Total])</f>
        <v>22750</v>
      </c>
      <c r="F99" s="66">
        <f>SUMIF(Ventas[Fecha],Rdiario[[#This Row],[Fecha]],Ventas[Total 4])</f>
        <v>0</v>
      </c>
      <c r="G99" s="66">
        <f>Rdiario[[#This Row],[Ingresos Brutos]]-Rdiario[[#This Row],[Transferencia]]</f>
        <v>22750</v>
      </c>
      <c r="H99" s="7">
        <f>Rdiario[[#This Row],[Ingresos Brutos]]-Rdiario[[#This Row],[Ganancia]]</f>
        <v>13508</v>
      </c>
      <c r="I99" s="7">
        <f>SUMIF(Ventas[Fecha],Rdiario[[#This Row],[Fecha]],Ventas[Total 2])</f>
        <v>9242</v>
      </c>
      <c r="J99" s="7">
        <f>SUMIF(Compras[Fecha],Rdiario[[#This Row],[Fecha]],Compras[Monto])</f>
        <v>0</v>
      </c>
      <c r="K99" s="7">
        <f>SUMIF(TGastos[Fecha],Rdiario[[#This Row],[Fecha]],TGastos[Monto])</f>
        <v>0</v>
      </c>
      <c r="L99" s="7">
        <f>Rdiario[[#This Row],[Ingresos Brutos]]-Rdiario[[#This Row],[Compras]]-Rdiario[[#This Row],[Gastos]]</f>
        <v>22750</v>
      </c>
      <c r="M99" s="7">
        <f>Rdiario[[#This Row],[Ganancia]]-Rdiario[[#This Row],[Compras]]-Rdiario[[#This Row],[Gastos]]</f>
        <v>9242</v>
      </c>
      <c r="P99" s="16"/>
    </row>
    <row r="100" spans="2:16">
      <c r="B100" s="9">
        <v>45023</v>
      </c>
      <c r="C10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0" s="6" t="s">
        <v>109</v>
      </c>
      <c r="E100" s="7">
        <f>SUMIF(Ventas[Fecha],Rdiario[[#This Row],[Fecha]],Ventas[Total])</f>
        <v>5600</v>
      </c>
      <c r="F100" s="66">
        <f>SUMIF(Ventas[Fecha],Rdiario[[#This Row],[Fecha]],Ventas[Total 4])</f>
        <v>5600</v>
      </c>
      <c r="G100" s="66">
        <f>Rdiario[[#This Row],[Ingresos Brutos]]-Rdiario[[#This Row],[Transferencia]]</f>
        <v>0</v>
      </c>
      <c r="H100" s="7">
        <f>Rdiario[[#This Row],[Ingresos Brutos]]-Rdiario[[#This Row],[Ganancia]]</f>
        <v>2782</v>
      </c>
      <c r="I100" s="7">
        <f>SUMIF(Ventas[Fecha],Rdiario[[#This Row],[Fecha]],Ventas[Total 2])</f>
        <v>2818</v>
      </c>
      <c r="J100" s="7">
        <f>SUMIF(Compras[Fecha],Rdiario[[#This Row],[Fecha]],Compras[Monto])</f>
        <v>0</v>
      </c>
      <c r="K100" s="7">
        <f>SUMIF(TGastos[Fecha],Rdiario[[#This Row],[Fecha]],TGastos[Monto])</f>
        <v>0</v>
      </c>
      <c r="L100" s="7">
        <f>Rdiario[[#This Row],[Ingresos Brutos]]-Rdiario[[#This Row],[Compras]]-Rdiario[[#This Row],[Gastos]]</f>
        <v>5600</v>
      </c>
      <c r="M100" s="7">
        <f>Rdiario[[#This Row],[Ganancia]]-Rdiario[[#This Row],[Compras]]-Rdiario[[#This Row],[Gastos]]</f>
        <v>2818</v>
      </c>
      <c r="P100" s="16"/>
    </row>
    <row r="101" spans="2:16">
      <c r="B101" s="9">
        <v>45024</v>
      </c>
      <c r="C10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1" s="6" t="s">
        <v>110</v>
      </c>
      <c r="E101" s="7">
        <f>SUMIF(Ventas[Fecha],Rdiario[[#This Row],[Fecha]],Ventas[Total])</f>
        <v>3900</v>
      </c>
      <c r="F101" s="66">
        <f>SUMIF(Ventas[Fecha],Rdiario[[#This Row],[Fecha]],Ventas[Total 4])</f>
        <v>0</v>
      </c>
      <c r="G101" s="66">
        <f>Rdiario[[#This Row],[Ingresos Brutos]]-Rdiario[[#This Row],[Transferencia]]</f>
        <v>3900</v>
      </c>
      <c r="H101" s="7">
        <f>Rdiario[[#This Row],[Ingresos Brutos]]-Rdiario[[#This Row],[Ganancia]]</f>
        <v>1950</v>
      </c>
      <c r="I101" s="7">
        <f>SUMIF(Ventas[Fecha],Rdiario[[#This Row],[Fecha]],Ventas[Total 2])</f>
        <v>1950</v>
      </c>
      <c r="J101" s="7">
        <f>SUMIF(Compras[Fecha],Rdiario[[#This Row],[Fecha]],Compras[Monto])</f>
        <v>36440</v>
      </c>
      <c r="K101" s="7">
        <f>SUMIF(TGastos[Fecha],Rdiario[[#This Row],[Fecha]],TGastos[Monto])</f>
        <v>0</v>
      </c>
      <c r="L101" s="7">
        <f>Rdiario[[#This Row],[Ingresos Brutos]]-Rdiario[[#This Row],[Compras]]-Rdiario[[#This Row],[Gastos]]</f>
        <v>-32540</v>
      </c>
      <c r="M101" s="7">
        <f>Rdiario[[#This Row],[Ganancia]]-Rdiario[[#This Row],[Compras]]-Rdiario[[#This Row],[Gastos]]</f>
        <v>-34490</v>
      </c>
      <c r="P101" s="16"/>
    </row>
    <row r="102" spans="2:16">
      <c r="B102" s="9">
        <v>45025</v>
      </c>
      <c r="C10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2" s="6" t="s">
        <v>104</v>
      </c>
      <c r="E102" s="7">
        <f>SUMIF(Ventas[Fecha],Rdiario[[#This Row],[Fecha]],Ventas[Total])</f>
        <v>0</v>
      </c>
      <c r="F102" s="66">
        <f>SUMIF(Ventas[Fecha],Rdiario[[#This Row],[Fecha]],Ventas[Total 4])</f>
        <v>0</v>
      </c>
      <c r="G102" s="66">
        <f>Rdiario[[#This Row],[Ingresos Brutos]]-Rdiario[[#This Row],[Transferencia]]</f>
        <v>0</v>
      </c>
      <c r="H102" s="7">
        <f>Rdiario[[#This Row],[Ingresos Brutos]]-Rdiario[[#This Row],[Ganancia]]</f>
        <v>0</v>
      </c>
      <c r="I102" s="7">
        <f>SUMIF(Ventas[Fecha],Rdiario[[#This Row],[Fecha]],Ventas[Total 2])</f>
        <v>0</v>
      </c>
      <c r="J102" s="7">
        <f>SUMIF(Compras[Fecha],Rdiario[[#This Row],[Fecha]],Compras[Monto])</f>
        <v>0</v>
      </c>
      <c r="K102" s="7">
        <f>SUMIF(TGastos[Fecha],Rdiario[[#This Row],[Fecha]],TGastos[Monto])</f>
        <v>0</v>
      </c>
      <c r="L102" s="7">
        <f>Rdiario[[#This Row],[Ingresos Brutos]]-Rdiario[[#This Row],[Compras]]-Rdiario[[#This Row],[Gastos]]</f>
        <v>0</v>
      </c>
      <c r="M102" s="7">
        <f>Rdiario[[#This Row],[Ganancia]]-Rdiario[[#This Row],[Compras]]-Rdiario[[#This Row],[Gastos]]</f>
        <v>0</v>
      </c>
      <c r="P102" s="16"/>
    </row>
    <row r="103" spans="2:16">
      <c r="B103" s="9">
        <v>45026</v>
      </c>
      <c r="C10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3" s="6" t="s">
        <v>105</v>
      </c>
      <c r="E103" s="7">
        <f>SUMIF(Ventas[Fecha],Rdiario[[#This Row],[Fecha]],Ventas[Total])</f>
        <v>1000</v>
      </c>
      <c r="F103" s="66">
        <f>SUMIF(Ventas[Fecha],Rdiario[[#This Row],[Fecha]],Ventas[Total 4])</f>
        <v>0</v>
      </c>
      <c r="G103" s="66">
        <f>Rdiario[[#This Row],[Ingresos Brutos]]-Rdiario[[#This Row],[Transferencia]]</f>
        <v>1000</v>
      </c>
      <c r="H103" s="7">
        <f>Rdiario[[#This Row],[Ingresos Brutos]]-Rdiario[[#This Row],[Ganancia]]</f>
        <v>510</v>
      </c>
      <c r="I103" s="7">
        <f>SUMIF(Ventas[Fecha],Rdiario[[#This Row],[Fecha]],Ventas[Total 2])</f>
        <v>490</v>
      </c>
      <c r="J103" s="7">
        <f>SUMIF(Compras[Fecha],Rdiario[[#This Row],[Fecha]],Compras[Monto])</f>
        <v>0</v>
      </c>
      <c r="K103" s="7">
        <f>SUMIF(TGastos[Fecha],Rdiario[[#This Row],[Fecha]],TGastos[Monto])</f>
        <v>0</v>
      </c>
      <c r="L103" s="7">
        <f>Rdiario[[#This Row],[Ingresos Brutos]]-Rdiario[[#This Row],[Compras]]-Rdiario[[#This Row],[Gastos]]</f>
        <v>1000</v>
      </c>
      <c r="M103" s="7">
        <f>Rdiario[[#This Row],[Ganancia]]-Rdiario[[#This Row],[Compras]]-Rdiario[[#This Row],[Gastos]]</f>
        <v>490</v>
      </c>
      <c r="P103" s="16"/>
    </row>
    <row r="104" spans="2:16">
      <c r="B104" s="9">
        <v>45027</v>
      </c>
      <c r="C10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4" s="6" t="s">
        <v>106</v>
      </c>
      <c r="E104" s="7">
        <f>SUMIF(Ventas[Fecha],Rdiario[[#This Row],[Fecha]],Ventas[Total])</f>
        <v>26550</v>
      </c>
      <c r="F104" s="66">
        <f>SUMIF(Ventas[Fecha],Rdiario[[#This Row],[Fecha]],Ventas[Total 4])</f>
        <v>0</v>
      </c>
      <c r="G104" s="66">
        <f>Rdiario[[#This Row],[Ingresos Brutos]]-Rdiario[[#This Row],[Transferencia]]</f>
        <v>26550</v>
      </c>
      <c r="H104" s="7">
        <f>Rdiario[[#This Row],[Ingresos Brutos]]-Rdiario[[#This Row],[Ganancia]]</f>
        <v>12515</v>
      </c>
      <c r="I104" s="7">
        <f>SUMIF(Ventas[Fecha],Rdiario[[#This Row],[Fecha]],Ventas[Total 2])</f>
        <v>14035</v>
      </c>
      <c r="J104" s="7">
        <f>SUMIF(Compras[Fecha],Rdiario[[#This Row],[Fecha]],Compras[Monto])</f>
        <v>8000</v>
      </c>
      <c r="K104" s="7">
        <f>SUMIF(TGastos[Fecha],Rdiario[[#This Row],[Fecha]],TGastos[Monto])</f>
        <v>18500</v>
      </c>
      <c r="L104" s="7">
        <f>Rdiario[[#This Row],[Ingresos Brutos]]-Rdiario[[#This Row],[Compras]]-Rdiario[[#This Row],[Gastos]]</f>
        <v>50</v>
      </c>
      <c r="M104" s="7">
        <f>Rdiario[[#This Row],[Ganancia]]-Rdiario[[#This Row],[Compras]]-Rdiario[[#This Row],[Gastos]]</f>
        <v>-12465</v>
      </c>
      <c r="P104" s="16"/>
    </row>
    <row r="105" spans="2:16">
      <c r="B105" s="9">
        <v>45028</v>
      </c>
      <c r="C10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5" s="6" t="s">
        <v>107</v>
      </c>
      <c r="E105" s="7">
        <f>SUMIF(Ventas[Fecha],Rdiario[[#This Row],[Fecha]],Ventas[Total])</f>
        <v>32000</v>
      </c>
      <c r="F105" s="66">
        <f>SUMIF(Ventas[Fecha],Rdiario[[#This Row],[Fecha]],Ventas[Total 4])</f>
        <v>9600</v>
      </c>
      <c r="G105" s="66">
        <f>Rdiario[[#This Row],[Ingresos Brutos]]-Rdiario[[#This Row],[Transferencia]]</f>
        <v>22400</v>
      </c>
      <c r="H105" s="7">
        <f>Rdiario[[#This Row],[Ingresos Brutos]]-Rdiario[[#This Row],[Ganancia]]</f>
        <v>15680</v>
      </c>
      <c r="I105" s="7">
        <f>SUMIF(Ventas[Fecha],Rdiario[[#This Row],[Fecha]],Ventas[Total 2])</f>
        <v>16320</v>
      </c>
      <c r="J105" s="7">
        <f>SUMIF(Compras[Fecha],Rdiario[[#This Row],[Fecha]],Compras[Monto])</f>
        <v>0</v>
      </c>
      <c r="K105" s="7">
        <f>SUMIF(TGastos[Fecha],Rdiario[[#This Row],[Fecha]],TGastos[Monto])</f>
        <v>0</v>
      </c>
      <c r="L105" s="7">
        <f>Rdiario[[#This Row],[Ingresos Brutos]]-Rdiario[[#This Row],[Compras]]-Rdiario[[#This Row],[Gastos]]</f>
        <v>32000</v>
      </c>
      <c r="M105" s="7">
        <f>Rdiario[[#This Row],[Ganancia]]-Rdiario[[#This Row],[Compras]]-Rdiario[[#This Row],[Gastos]]</f>
        <v>16320</v>
      </c>
      <c r="P105" s="16"/>
    </row>
    <row r="106" spans="2:16">
      <c r="B106" s="9">
        <v>45029</v>
      </c>
      <c r="C10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6" s="6" t="s">
        <v>108</v>
      </c>
      <c r="E106" s="7">
        <f>SUMIF(Ventas[Fecha],Rdiario[[#This Row],[Fecha]],Ventas[Total])</f>
        <v>2980</v>
      </c>
      <c r="F106" s="66">
        <f>SUMIF(Ventas[Fecha],Rdiario[[#This Row],[Fecha]],Ventas[Total 4])</f>
        <v>1430</v>
      </c>
      <c r="G106" s="66">
        <f>Rdiario[[#This Row],[Ingresos Brutos]]-Rdiario[[#This Row],[Transferencia]]</f>
        <v>1550</v>
      </c>
      <c r="H106" s="7">
        <f>Rdiario[[#This Row],[Ingresos Brutos]]-Rdiario[[#This Row],[Ganancia]]</f>
        <v>1702</v>
      </c>
      <c r="I106" s="7">
        <f>SUMIF(Ventas[Fecha],Rdiario[[#This Row],[Fecha]],Ventas[Total 2])</f>
        <v>1278</v>
      </c>
      <c r="J106" s="7">
        <f>SUMIF(Compras[Fecha],Rdiario[[#This Row],[Fecha]],Compras[Monto])</f>
        <v>0</v>
      </c>
      <c r="K106" s="7">
        <f>SUMIF(TGastos[Fecha],Rdiario[[#This Row],[Fecha]],TGastos[Monto])</f>
        <v>0</v>
      </c>
      <c r="L106" s="7">
        <f>Rdiario[[#This Row],[Ingresos Brutos]]-Rdiario[[#This Row],[Compras]]-Rdiario[[#This Row],[Gastos]]</f>
        <v>2980</v>
      </c>
      <c r="M106" s="7">
        <f>Rdiario[[#This Row],[Ganancia]]-Rdiario[[#This Row],[Compras]]-Rdiario[[#This Row],[Gastos]]</f>
        <v>1278</v>
      </c>
      <c r="P106" s="16"/>
    </row>
    <row r="107" spans="2:16">
      <c r="B107" s="9">
        <v>45030</v>
      </c>
      <c r="C10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7" s="6" t="s">
        <v>109</v>
      </c>
      <c r="E107" s="7">
        <f>SUMIF(Ventas[Fecha],Rdiario[[#This Row],[Fecha]],Ventas[Total])</f>
        <v>26050</v>
      </c>
      <c r="F107" s="66">
        <f>SUMIF(Ventas[Fecha],Rdiario[[#This Row],[Fecha]],Ventas[Total 4])</f>
        <v>2050</v>
      </c>
      <c r="G107" s="66">
        <f>Rdiario[[#This Row],[Ingresos Brutos]]-Rdiario[[#This Row],[Transferencia]]</f>
        <v>24000</v>
      </c>
      <c r="H107" s="7">
        <f>Rdiario[[#This Row],[Ingresos Brutos]]-Rdiario[[#This Row],[Ganancia]]</f>
        <v>13357</v>
      </c>
      <c r="I107" s="7">
        <f>SUMIF(Ventas[Fecha],Rdiario[[#This Row],[Fecha]],Ventas[Total 2])</f>
        <v>12693</v>
      </c>
      <c r="J107" s="7">
        <f>SUMIF(Compras[Fecha],Rdiario[[#This Row],[Fecha]],Compras[Monto])</f>
        <v>0</v>
      </c>
      <c r="K107" s="7">
        <f>SUMIF(TGastos[Fecha],Rdiario[[#This Row],[Fecha]],TGastos[Monto])</f>
        <v>0</v>
      </c>
      <c r="L107" s="7">
        <f>Rdiario[[#This Row],[Ingresos Brutos]]-Rdiario[[#This Row],[Compras]]-Rdiario[[#This Row],[Gastos]]</f>
        <v>26050</v>
      </c>
      <c r="M107" s="7">
        <f>Rdiario[[#This Row],[Ganancia]]-Rdiario[[#This Row],[Compras]]-Rdiario[[#This Row],[Gastos]]</f>
        <v>12693</v>
      </c>
      <c r="P107" s="16"/>
    </row>
    <row r="108" spans="2:16">
      <c r="B108" s="9">
        <v>45031</v>
      </c>
      <c r="C10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8" s="6" t="s">
        <v>110</v>
      </c>
      <c r="E108" s="7">
        <f>SUMIF(Ventas[Fecha],Rdiario[[#This Row],[Fecha]],Ventas[Total])</f>
        <v>9250</v>
      </c>
      <c r="F108" s="66">
        <f>SUMIF(Ventas[Fecha],Rdiario[[#This Row],[Fecha]],Ventas[Total 4])</f>
        <v>1800</v>
      </c>
      <c r="G108" s="66">
        <f>Rdiario[[#This Row],[Ingresos Brutos]]-Rdiario[[#This Row],[Transferencia]]</f>
        <v>7450</v>
      </c>
      <c r="H108" s="7">
        <f>Rdiario[[#This Row],[Ingresos Brutos]]-Rdiario[[#This Row],[Ganancia]]</f>
        <v>4719</v>
      </c>
      <c r="I108" s="7">
        <f>SUMIF(Ventas[Fecha],Rdiario[[#This Row],[Fecha]],Ventas[Total 2])</f>
        <v>4531</v>
      </c>
      <c r="J108" s="7">
        <f>SUMIF(Compras[Fecha],Rdiario[[#This Row],[Fecha]],Compras[Monto])</f>
        <v>0</v>
      </c>
      <c r="K108" s="7">
        <f>SUMIF(TGastos[Fecha],Rdiario[[#This Row],[Fecha]],TGastos[Monto])</f>
        <v>0</v>
      </c>
      <c r="L108" s="7">
        <f>Rdiario[[#This Row],[Ingresos Brutos]]-Rdiario[[#This Row],[Compras]]-Rdiario[[#This Row],[Gastos]]</f>
        <v>9250</v>
      </c>
      <c r="M108" s="7">
        <f>Rdiario[[#This Row],[Ganancia]]-Rdiario[[#This Row],[Compras]]-Rdiario[[#This Row],[Gastos]]</f>
        <v>4531</v>
      </c>
      <c r="P108" s="16"/>
    </row>
    <row r="109" spans="2:16">
      <c r="B109" s="9">
        <v>45032</v>
      </c>
      <c r="C10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9" s="6" t="s">
        <v>104</v>
      </c>
      <c r="E109" s="7">
        <f>SUMIF(Ventas[Fecha],Rdiario[[#This Row],[Fecha]],Ventas[Total])</f>
        <v>0</v>
      </c>
      <c r="F109" s="66">
        <f>SUMIF(Ventas[Fecha],Rdiario[[#This Row],[Fecha]],Ventas[Total 4])</f>
        <v>0</v>
      </c>
      <c r="G109" s="66">
        <f>Rdiario[[#This Row],[Ingresos Brutos]]-Rdiario[[#This Row],[Transferencia]]</f>
        <v>0</v>
      </c>
      <c r="H109" s="7">
        <f>Rdiario[[#This Row],[Ingresos Brutos]]-Rdiario[[#This Row],[Ganancia]]</f>
        <v>0</v>
      </c>
      <c r="I109" s="7">
        <f>SUMIF(Ventas[Fecha],Rdiario[[#This Row],[Fecha]],Ventas[Total 2])</f>
        <v>0</v>
      </c>
      <c r="J109" s="7">
        <f>SUMIF(Compras[Fecha],Rdiario[[#This Row],[Fecha]],Compras[Monto])</f>
        <v>0</v>
      </c>
      <c r="K109" s="7">
        <f>SUMIF(TGastos[Fecha],Rdiario[[#This Row],[Fecha]],TGastos[Monto])</f>
        <v>0</v>
      </c>
      <c r="L109" s="7">
        <f>Rdiario[[#This Row],[Ingresos Brutos]]-Rdiario[[#This Row],[Compras]]-Rdiario[[#This Row],[Gastos]]</f>
        <v>0</v>
      </c>
      <c r="M109" s="7">
        <f>Rdiario[[#This Row],[Ganancia]]-Rdiario[[#This Row],[Compras]]-Rdiario[[#This Row],[Gastos]]</f>
        <v>0</v>
      </c>
      <c r="P109" s="16"/>
    </row>
    <row r="110" spans="2:16">
      <c r="B110" s="9">
        <v>45033</v>
      </c>
      <c r="C11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0" s="6" t="s">
        <v>105</v>
      </c>
      <c r="E110" s="7">
        <f>SUMIF(Ventas[Fecha],Rdiario[[#This Row],[Fecha]],Ventas[Total])</f>
        <v>4800</v>
      </c>
      <c r="F110" s="66">
        <f>SUMIF(Ventas[Fecha],Rdiario[[#This Row],[Fecha]],Ventas[Total 4])</f>
        <v>1500</v>
      </c>
      <c r="G110" s="66">
        <f>Rdiario[[#This Row],[Ingresos Brutos]]-Rdiario[[#This Row],[Transferencia]]</f>
        <v>3300</v>
      </c>
      <c r="H110" s="7">
        <f>Rdiario[[#This Row],[Ingresos Brutos]]-Rdiario[[#This Row],[Ganancia]]</f>
        <v>2591</v>
      </c>
      <c r="I110" s="7">
        <f>SUMIF(Ventas[Fecha],Rdiario[[#This Row],[Fecha]],Ventas[Total 2])</f>
        <v>2209</v>
      </c>
      <c r="J110" s="7">
        <f>SUMIF(Compras[Fecha],Rdiario[[#This Row],[Fecha]],Compras[Monto])</f>
        <v>0</v>
      </c>
      <c r="K110" s="7">
        <f>SUMIF(TGastos[Fecha],Rdiario[[#This Row],[Fecha]],TGastos[Monto])</f>
        <v>13200</v>
      </c>
      <c r="L110" s="7">
        <f>Rdiario[[#This Row],[Ingresos Brutos]]-Rdiario[[#This Row],[Compras]]-Rdiario[[#This Row],[Gastos]]</f>
        <v>-8400</v>
      </c>
      <c r="M110" s="7">
        <f>Rdiario[[#This Row],[Ganancia]]-Rdiario[[#This Row],[Compras]]-Rdiario[[#This Row],[Gastos]]</f>
        <v>-10991</v>
      </c>
      <c r="P110" s="16"/>
    </row>
    <row r="111" spans="2:16">
      <c r="B111" s="9">
        <v>45034</v>
      </c>
      <c r="C11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1" s="6" t="s">
        <v>106</v>
      </c>
      <c r="E111" s="7">
        <f>SUMIF(Ventas[Fecha],Rdiario[[#This Row],[Fecha]],Ventas[Total])</f>
        <v>16150</v>
      </c>
      <c r="F111" s="66">
        <f>SUMIF(Ventas[Fecha],Rdiario[[#This Row],[Fecha]],Ventas[Total 4])</f>
        <v>5400</v>
      </c>
      <c r="G111" s="66">
        <f>Rdiario[[#This Row],[Ingresos Brutos]]-Rdiario[[#This Row],[Transferencia]]</f>
        <v>10750</v>
      </c>
      <c r="H111" s="7">
        <f>Rdiario[[#This Row],[Ingresos Brutos]]-Rdiario[[#This Row],[Ganancia]]</f>
        <v>9837</v>
      </c>
      <c r="I111" s="7">
        <f>SUMIF(Ventas[Fecha],Rdiario[[#This Row],[Fecha]],Ventas[Total 2])</f>
        <v>6313</v>
      </c>
      <c r="J111" s="7">
        <f>SUMIF(Compras[Fecha],Rdiario[[#This Row],[Fecha]],Compras[Monto])</f>
        <v>11000</v>
      </c>
      <c r="K111" s="7">
        <f>SUMIF(TGastos[Fecha],Rdiario[[#This Row],[Fecha]],TGastos[Monto])</f>
        <v>0</v>
      </c>
      <c r="L111" s="7">
        <f>Rdiario[[#This Row],[Ingresos Brutos]]-Rdiario[[#This Row],[Compras]]-Rdiario[[#This Row],[Gastos]]</f>
        <v>5150</v>
      </c>
      <c r="M111" s="7">
        <f>Rdiario[[#This Row],[Ganancia]]-Rdiario[[#This Row],[Compras]]-Rdiario[[#This Row],[Gastos]]</f>
        <v>-4687</v>
      </c>
      <c r="P111" s="16"/>
    </row>
    <row r="112" spans="2:16">
      <c r="B112" s="9">
        <v>45035</v>
      </c>
      <c r="C11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2" s="6" t="s">
        <v>107</v>
      </c>
      <c r="E112" s="7">
        <f>SUMIF(Ventas[Fecha],Rdiario[[#This Row],[Fecha]],Ventas[Total])</f>
        <v>950</v>
      </c>
      <c r="F112" s="66">
        <f>SUMIF(Ventas[Fecha],Rdiario[[#This Row],[Fecha]],Ventas[Total 4])</f>
        <v>0</v>
      </c>
      <c r="G112" s="66">
        <f>Rdiario[[#This Row],[Ingresos Brutos]]-Rdiario[[#This Row],[Transferencia]]</f>
        <v>950</v>
      </c>
      <c r="H112" s="7">
        <f>Rdiario[[#This Row],[Ingresos Brutos]]-Rdiario[[#This Row],[Ganancia]]</f>
        <v>476</v>
      </c>
      <c r="I112" s="7">
        <f>SUMIF(Ventas[Fecha],Rdiario[[#This Row],[Fecha]],Ventas[Total 2])</f>
        <v>474</v>
      </c>
      <c r="J112" s="7">
        <f>SUMIF(Compras[Fecha],Rdiario[[#This Row],[Fecha]],Compras[Monto])</f>
        <v>0</v>
      </c>
      <c r="K112" s="7">
        <f>SUMIF(TGastos[Fecha],Rdiario[[#This Row],[Fecha]],TGastos[Monto])</f>
        <v>0</v>
      </c>
      <c r="L112" s="7">
        <f>Rdiario[[#This Row],[Ingresos Brutos]]-Rdiario[[#This Row],[Compras]]-Rdiario[[#This Row],[Gastos]]</f>
        <v>950</v>
      </c>
      <c r="M112" s="7">
        <f>Rdiario[[#This Row],[Ganancia]]-Rdiario[[#This Row],[Compras]]-Rdiario[[#This Row],[Gastos]]</f>
        <v>474</v>
      </c>
      <c r="P112" s="16"/>
    </row>
    <row r="113" spans="2:16">
      <c r="B113" s="9">
        <v>45036</v>
      </c>
      <c r="C11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3" s="6" t="s">
        <v>108</v>
      </c>
      <c r="E113" s="7">
        <f>SUMIF(Ventas[Fecha],Rdiario[[#This Row],[Fecha]],Ventas[Total])</f>
        <v>5000</v>
      </c>
      <c r="F113" s="66">
        <f>SUMIF(Ventas[Fecha],Rdiario[[#This Row],[Fecha]],Ventas[Total 4])</f>
        <v>600</v>
      </c>
      <c r="G113" s="66">
        <f>Rdiario[[#This Row],[Ingresos Brutos]]-Rdiario[[#This Row],[Transferencia]]</f>
        <v>4400</v>
      </c>
      <c r="H113" s="7">
        <f>Rdiario[[#This Row],[Ingresos Brutos]]-Rdiario[[#This Row],[Ganancia]]</f>
        <v>2461</v>
      </c>
      <c r="I113" s="7">
        <f>SUMIF(Ventas[Fecha],Rdiario[[#This Row],[Fecha]],Ventas[Total 2])</f>
        <v>2539</v>
      </c>
      <c r="J113" s="7">
        <f>SUMIF(Compras[Fecha],Rdiario[[#This Row],[Fecha]],Compras[Monto])</f>
        <v>0</v>
      </c>
      <c r="K113" s="7">
        <f>SUMIF(TGastos[Fecha],Rdiario[[#This Row],[Fecha]],TGastos[Monto])</f>
        <v>0</v>
      </c>
      <c r="L113" s="7">
        <f>Rdiario[[#This Row],[Ingresos Brutos]]-Rdiario[[#This Row],[Compras]]-Rdiario[[#This Row],[Gastos]]</f>
        <v>5000</v>
      </c>
      <c r="M113" s="7">
        <f>Rdiario[[#This Row],[Ganancia]]-Rdiario[[#This Row],[Compras]]-Rdiario[[#This Row],[Gastos]]</f>
        <v>2539</v>
      </c>
      <c r="P113" s="16"/>
    </row>
    <row r="114" spans="2:16">
      <c r="B114" s="9">
        <v>45037</v>
      </c>
      <c r="C11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4" s="6" t="s">
        <v>109</v>
      </c>
      <c r="E114" s="7">
        <f>SUMIF(Ventas[Fecha],Rdiario[[#This Row],[Fecha]],Ventas[Total])</f>
        <v>6600</v>
      </c>
      <c r="F114" s="66">
        <f>SUMIF(Ventas[Fecha],Rdiario[[#This Row],[Fecha]],Ventas[Total 4])</f>
        <v>6600</v>
      </c>
      <c r="G114" s="66">
        <f>Rdiario[[#This Row],[Ingresos Brutos]]-Rdiario[[#This Row],[Transferencia]]</f>
        <v>0</v>
      </c>
      <c r="H114" s="7">
        <f>Rdiario[[#This Row],[Ingresos Brutos]]-Rdiario[[#This Row],[Ganancia]]</f>
        <v>3329</v>
      </c>
      <c r="I114" s="7">
        <f>SUMIF(Ventas[Fecha],Rdiario[[#This Row],[Fecha]],Ventas[Total 2])</f>
        <v>3271</v>
      </c>
      <c r="J114" s="7">
        <f>SUMIF(Compras[Fecha],Rdiario[[#This Row],[Fecha]],Compras[Monto])</f>
        <v>0</v>
      </c>
      <c r="K114" s="7">
        <f>SUMIF(TGastos[Fecha],Rdiario[[#This Row],[Fecha]],TGastos[Monto])</f>
        <v>0</v>
      </c>
      <c r="L114" s="7">
        <f>Rdiario[[#This Row],[Ingresos Brutos]]-Rdiario[[#This Row],[Compras]]-Rdiario[[#This Row],[Gastos]]</f>
        <v>6600</v>
      </c>
      <c r="M114" s="7">
        <f>Rdiario[[#This Row],[Ganancia]]-Rdiario[[#This Row],[Compras]]-Rdiario[[#This Row],[Gastos]]</f>
        <v>3271</v>
      </c>
      <c r="P114" s="16"/>
    </row>
    <row r="115" spans="2:16">
      <c r="B115" s="9">
        <v>45038</v>
      </c>
      <c r="C11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5" s="6" t="s">
        <v>110</v>
      </c>
      <c r="E115" s="7">
        <f>SUMIF(Ventas[Fecha],Rdiario[[#This Row],[Fecha]],Ventas[Total])</f>
        <v>15150</v>
      </c>
      <c r="F115" s="66">
        <f>SUMIF(Ventas[Fecha],Rdiario[[#This Row],[Fecha]],Ventas[Total 4])</f>
        <v>8950</v>
      </c>
      <c r="G115" s="66">
        <f>Rdiario[[#This Row],[Ingresos Brutos]]-Rdiario[[#This Row],[Transferencia]]</f>
        <v>6200</v>
      </c>
      <c r="H115" s="7">
        <f>Rdiario[[#This Row],[Ingresos Brutos]]-Rdiario[[#This Row],[Ganancia]]</f>
        <v>7714</v>
      </c>
      <c r="I115" s="7">
        <f>SUMIF(Ventas[Fecha],Rdiario[[#This Row],[Fecha]],Ventas[Total 2])</f>
        <v>7436</v>
      </c>
      <c r="J115" s="7">
        <f>SUMIF(Compras[Fecha],Rdiario[[#This Row],[Fecha]],Compras[Monto])</f>
        <v>0</v>
      </c>
      <c r="K115" s="7">
        <f>SUMIF(TGastos[Fecha],Rdiario[[#This Row],[Fecha]],TGastos[Monto])</f>
        <v>0</v>
      </c>
      <c r="L115" s="7">
        <f>Rdiario[[#This Row],[Ingresos Brutos]]-Rdiario[[#This Row],[Compras]]-Rdiario[[#This Row],[Gastos]]</f>
        <v>15150</v>
      </c>
      <c r="M115" s="7">
        <f>Rdiario[[#This Row],[Ganancia]]-Rdiario[[#This Row],[Compras]]-Rdiario[[#This Row],[Gastos]]</f>
        <v>7436</v>
      </c>
      <c r="P115" s="16"/>
    </row>
    <row r="116" spans="2:16">
      <c r="B116" s="9">
        <v>45039</v>
      </c>
      <c r="C11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6" s="6" t="s">
        <v>104</v>
      </c>
      <c r="E116" s="7">
        <f>SUMIF(Ventas[Fecha],Rdiario[[#This Row],[Fecha]],Ventas[Total])</f>
        <v>0</v>
      </c>
      <c r="F116" s="66">
        <f>SUMIF(Ventas[Fecha],Rdiario[[#This Row],[Fecha]],Ventas[Total 4])</f>
        <v>0</v>
      </c>
      <c r="G116" s="66">
        <f>Rdiario[[#This Row],[Ingresos Brutos]]-Rdiario[[#This Row],[Transferencia]]</f>
        <v>0</v>
      </c>
      <c r="H116" s="7">
        <f>Rdiario[[#This Row],[Ingresos Brutos]]-Rdiario[[#This Row],[Ganancia]]</f>
        <v>0</v>
      </c>
      <c r="I116" s="7">
        <f>SUMIF(Ventas[Fecha],Rdiario[[#This Row],[Fecha]],Ventas[Total 2])</f>
        <v>0</v>
      </c>
      <c r="J116" s="7">
        <f>SUMIF(Compras[Fecha],Rdiario[[#This Row],[Fecha]],Compras[Monto])</f>
        <v>0</v>
      </c>
      <c r="K116" s="7">
        <f>SUMIF(TGastos[Fecha],Rdiario[[#This Row],[Fecha]],TGastos[Monto])</f>
        <v>0</v>
      </c>
      <c r="L116" s="7">
        <f>Rdiario[[#This Row],[Ingresos Brutos]]-Rdiario[[#This Row],[Compras]]-Rdiario[[#This Row],[Gastos]]</f>
        <v>0</v>
      </c>
      <c r="M116" s="7">
        <f>Rdiario[[#This Row],[Ganancia]]-Rdiario[[#This Row],[Compras]]-Rdiario[[#This Row],[Gastos]]</f>
        <v>0</v>
      </c>
      <c r="P116" s="16"/>
    </row>
    <row r="117" spans="2:16">
      <c r="B117" s="9">
        <v>45040</v>
      </c>
      <c r="C11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7" s="6" t="s">
        <v>105</v>
      </c>
      <c r="E117" s="7">
        <f>SUMIF(Ventas[Fecha],Rdiario[[#This Row],[Fecha]],Ventas[Total])</f>
        <v>6850</v>
      </c>
      <c r="F117" s="66">
        <f>SUMIF(Ventas[Fecha],Rdiario[[#This Row],[Fecha]],Ventas[Total 4])</f>
        <v>2100</v>
      </c>
      <c r="G117" s="66">
        <f>Rdiario[[#This Row],[Ingresos Brutos]]-Rdiario[[#This Row],[Transferencia]]</f>
        <v>4750</v>
      </c>
      <c r="H117" s="7">
        <f>Rdiario[[#This Row],[Ingresos Brutos]]-Rdiario[[#This Row],[Ganancia]]</f>
        <v>3437</v>
      </c>
      <c r="I117" s="7">
        <f>SUMIF(Ventas[Fecha],Rdiario[[#This Row],[Fecha]],Ventas[Total 2])</f>
        <v>3413</v>
      </c>
      <c r="J117" s="7">
        <f>SUMIF(Compras[Fecha],Rdiario[[#This Row],[Fecha]],Compras[Monto])</f>
        <v>0</v>
      </c>
      <c r="K117" s="7">
        <f>SUMIF(TGastos[Fecha],Rdiario[[#This Row],[Fecha]],TGastos[Monto])</f>
        <v>13200</v>
      </c>
      <c r="L117" s="7">
        <f>Rdiario[[#This Row],[Ingresos Brutos]]-Rdiario[[#This Row],[Compras]]-Rdiario[[#This Row],[Gastos]]</f>
        <v>-6350</v>
      </c>
      <c r="M117" s="7">
        <f>Rdiario[[#This Row],[Ganancia]]-Rdiario[[#This Row],[Compras]]-Rdiario[[#This Row],[Gastos]]</f>
        <v>-9787</v>
      </c>
      <c r="P117" s="16"/>
    </row>
    <row r="118" spans="2:16">
      <c r="B118" s="9">
        <v>45041</v>
      </c>
      <c r="C11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8" s="6" t="s">
        <v>106</v>
      </c>
      <c r="E118" s="7">
        <f>SUMIF(Ventas[Fecha],Rdiario[[#This Row],[Fecha]],Ventas[Total])</f>
        <v>800</v>
      </c>
      <c r="F118" s="66">
        <f>SUMIF(Ventas[Fecha],Rdiario[[#This Row],[Fecha]],Ventas[Total 4])</f>
        <v>0</v>
      </c>
      <c r="G118" s="66">
        <f>Rdiario[[#This Row],[Ingresos Brutos]]-Rdiario[[#This Row],[Transferencia]]</f>
        <v>800</v>
      </c>
      <c r="H118" s="7">
        <f>Rdiario[[#This Row],[Ingresos Brutos]]-Rdiario[[#This Row],[Ganancia]]</f>
        <v>400</v>
      </c>
      <c r="I118" s="7">
        <f>SUMIF(Ventas[Fecha],Rdiario[[#This Row],[Fecha]],Ventas[Total 2])</f>
        <v>400</v>
      </c>
      <c r="J118" s="7">
        <f>SUMIF(Compras[Fecha],Rdiario[[#This Row],[Fecha]],Compras[Monto])</f>
        <v>0</v>
      </c>
      <c r="K118" s="7">
        <f>SUMIF(TGastos[Fecha],Rdiario[[#This Row],[Fecha]],TGastos[Monto])</f>
        <v>500</v>
      </c>
      <c r="L118" s="7">
        <f>Rdiario[[#This Row],[Ingresos Brutos]]-Rdiario[[#This Row],[Compras]]-Rdiario[[#This Row],[Gastos]]</f>
        <v>300</v>
      </c>
      <c r="M118" s="7">
        <f>Rdiario[[#This Row],[Ganancia]]-Rdiario[[#This Row],[Compras]]-Rdiario[[#This Row],[Gastos]]</f>
        <v>-100</v>
      </c>
      <c r="P118" s="16"/>
    </row>
    <row r="119" spans="2:16">
      <c r="B119" s="9">
        <v>45042</v>
      </c>
      <c r="C11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9" s="6" t="s">
        <v>107</v>
      </c>
      <c r="E119" s="7">
        <f>SUMIF(Ventas[Fecha],Rdiario[[#This Row],[Fecha]],Ventas[Total])</f>
        <v>1100</v>
      </c>
      <c r="F119" s="66">
        <f>SUMIF(Ventas[Fecha],Rdiario[[#This Row],[Fecha]],Ventas[Total 4])</f>
        <v>0</v>
      </c>
      <c r="G119" s="66">
        <f>Rdiario[[#This Row],[Ingresos Brutos]]-Rdiario[[#This Row],[Transferencia]]</f>
        <v>1100</v>
      </c>
      <c r="H119" s="7">
        <f>Rdiario[[#This Row],[Ingresos Brutos]]-Rdiario[[#This Row],[Ganancia]]</f>
        <v>550</v>
      </c>
      <c r="I119" s="7">
        <f>SUMIF(Ventas[Fecha],Rdiario[[#This Row],[Fecha]],Ventas[Total 2])</f>
        <v>550</v>
      </c>
      <c r="J119" s="7">
        <f>SUMIF(Compras[Fecha],Rdiario[[#This Row],[Fecha]],Compras[Monto])</f>
        <v>0</v>
      </c>
      <c r="K119" s="7">
        <f>SUMIF(TGastos[Fecha],Rdiario[[#This Row],[Fecha]],TGastos[Monto])</f>
        <v>0</v>
      </c>
      <c r="L119" s="7">
        <f>Rdiario[[#This Row],[Ingresos Brutos]]-Rdiario[[#This Row],[Compras]]-Rdiario[[#This Row],[Gastos]]</f>
        <v>1100</v>
      </c>
      <c r="M119" s="7">
        <f>Rdiario[[#This Row],[Ganancia]]-Rdiario[[#This Row],[Compras]]-Rdiario[[#This Row],[Gastos]]</f>
        <v>550</v>
      </c>
      <c r="P119" s="16"/>
    </row>
    <row r="120" spans="2:16">
      <c r="B120" s="9">
        <v>45043</v>
      </c>
      <c r="C12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20" s="6" t="s">
        <v>108</v>
      </c>
      <c r="E120" s="7">
        <f>SUMIF(Ventas[Fecha],Rdiario[[#This Row],[Fecha]],Ventas[Total])</f>
        <v>31900</v>
      </c>
      <c r="F120" s="66">
        <f>SUMIF(Ventas[Fecha],Rdiario[[#This Row],[Fecha]],Ventas[Total 4])</f>
        <v>10100</v>
      </c>
      <c r="G120" s="66">
        <f>Rdiario[[#This Row],[Ingresos Brutos]]-Rdiario[[#This Row],[Transferencia]]</f>
        <v>21800</v>
      </c>
      <c r="H120" s="7">
        <f>Rdiario[[#This Row],[Ingresos Brutos]]-Rdiario[[#This Row],[Ganancia]]</f>
        <v>17441</v>
      </c>
      <c r="I120" s="7">
        <f>SUMIF(Ventas[Fecha],Rdiario[[#This Row],[Fecha]],Ventas[Total 2])</f>
        <v>14459</v>
      </c>
      <c r="J120" s="7">
        <f>SUMIF(Compras[Fecha],Rdiario[[#This Row],[Fecha]],Compras[Monto])</f>
        <v>12000</v>
      </c>
      <c r="K120" s="7">
        <f>SUMIF(TGastos[Fecha],Rdiario[[#This Row],[Fecha]],TGastos[Monto])</f>
        <v>0</v>
      </c>
      <c r="L120" s="7">
        <f>Rdiario[[#This Row],[Ingresos Brutos]]-Rdiario[[#This Row],[Compras]]-Rdiario[[#This Row],[Gastos]]</f>
        <v>19900</v>
      </c>
      <c r="M120" s="7">
        <f>Rdiario[[#This Row],[Ganancia]]-Rdiario[[#This Row],[Compras]]-Rdiario[[#This Row],[Gastos]]</f>
        <v>2459</v>
      </c>
      <c r="P120" s="16"/>
    </row>
    <row r="121" spans="2:16">
      <c r="B121" s="9">
        <v>45044</v>
      </c>
      <c r="C12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21" s="6" t="s">
        <v>109</v>
      </c>
      <c r="E121" s="7">
        <f>SUMIF(Ventas[Fecha],Rdiario[[#This Row],[Fecha]],Ventas[Total])</f>
        <v>19300</v>
      </c>
      <c r="F121" s="66">
        <f>SUMIF(Ventas[Fecha],Rdiario[[#This Row],[Fecha]],Ventas[Total 4])</f>
        <v>13750</v>
      </c>
      <c r="G121" s="66">
        <f>Rdiario[[#This Row],[Ingresos Brutos]]-Rdiario[[#This Row],[Transferencia]]</f>
        <v>5550</v>
      </c>
      <c r="H121" s="7">
        <f>Rdiario[[#This Row],[Ingresos Brutos]]-Rdiario[[#This Row],[Ganancia]]</f>
        <v>9772</v>
      </c>
      <c r="I121" s="7">
        <f>SUMIF(Ventas[Fecha],Rdiario[[#This Row],[Fecha]],Ventas[Total 2])</f>
        <v>9528</v>
      </c>
      <c r="J121" s="7">
        <f>SUMIF(Compras[Fecha],Rdiario[[#This Row],[Fecha]],Compras[Monto])</f>
        <v>0</v>
      </c>
      <c r="K121" s="7">
        <f>SUMIF(TGastos[Fecha],Rdiario[[#This Row],[Fecha]],TGastos[Monto])</f>
        <v>0</v>
      </c>
      <c r="L121" s="7">
        <f>Rdiario[[#This Row],[Ingresos Brutos]]-Rdiario[[#This Row],[Compras]]-Rdiario[[#This Row],[Gastos]]</f>
        <v>19300</v>
      </c>
      <c r="M121" s="7">
        <f>Rdiario[[#This Row],[Ganancia]]-Rdiario[[#This Row],[Compras]]-Rdiario[[#This Row],[Gastos]]</f>
        <v>9528</v>
      </c>
      <c r="P121" s="16"/>
    </row>
    <row r="122" spans="2:16">
      <c r="B122" s="9">
        <v>45045</v>
      </c>
      <c r="C12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22" s="6" t="s">
        <v>110</v>
      </c>
      <c r="E122" s="7">
        <f>SUMIF(Ventas[Fecha],Rdiario[[#This Row],[Fecha]],Ventas[Total])</f>
        <v>8120</v>
      </c>
      <c r="F122" s="66">
        <f>SUMIF(Ventas[Fecha],Rdiario[[#This Row],[Fecha]],Ventas[Total 4])</f>
        <v>2670</v>
      </c>
      <c r="G122" s="66">
        <f>Rdiario[[#This Row],[Ingresos Brutos]]-Rdiario[[#This Row],[Transferencia]]</f>
        <v>5450</v>
      </c>
      <c r="H122" s="7">
        <f>Rdiario[[#This Row],[Ingresos Brutos]]-Rdiario[[#This Row],[Ganancia]]</f>
        <v>4052</v>
      </c>
      <c r="I122" s="7">
        <f>SUMIF(Ventas[Fecha],Rdiario[[#This Row],[Fecha]],Ventas[Total 2])</f>
        <v>4068</v>
      </c>
      <c r="J122" s="7">
        <f>SUMIF(Compras[Fecha],Rdiario[[#This Row],[Fecha]],Compras[Monto])</f>
        <v>0</v>
      </c>
      <c r="K122" s="7">
        <f>SUMIF(TGastos[Fecha],Rdiario[[#This Row],[Fecha]],TGastos[Monto])</f>
        <v>0</v>
      </c>
      <c r="L122" s="7">
        <f>Rdiario[[#This Row],[Ingresos Brutos]]-Rdiario[[#This Row],[Compras]]-Rdiario[[#This Row],[Gastos]]</f>
        <v>8120</v>
      </c>
      <c r="M122" s="7">
        <f>Rdiario[[#This Row],[Ganancia]]-Rdiario[[#This Row],[Compras]]-Rdiario[[#This Row],[Gastos]]</f>
        <v>4068</v>
      </c>
      <c r="P122" s="16"/>
    </row>
    <row r="123" spans="2:16">
      <c r="B123" s="9">
        <v>45046</v>
      </c>
      <c r="C12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23" s="6" t="s">
        <v>104</v>
      </c>
      <c r="E123" s="7">
        <f>SUMIF(Ventas[Fecha],Rdiario[[#This Row],[Fecha]],Ventas[Total])</f>
        <v>0</v>
      </c>
      <c r="F123" s="66">
        <f>SUMIF(Ventas[Fecha],Rdiario[[#This Row],[Fecha]],Ventas[Total 4])</f>
        <v>0</v>
      </c>
      <c r="G123" s="66">
        <f>Rdiario[[#This Row],[Ingresos Brutos]]-Rdiario[[#This Row],[Transferencia]]</f>
        <v>0</v>
      </c>
      <c r="H123" s="7">
        <f>Rdiario[[#This Row],[Ingresos Brutos]]-Rdiario[[#This Row],[Ganancia]]</f>
        <v>0</v>
      </c>
      <c r="I123" s="7">
        <f>SUMIF(Ventas[Fecha],Rdiario[[#This Row],[Fecha]],Ventas[Total 2])</f>
        <v>0</v>
      </c>
      <c r="J123" s="7">
        <f>SUMIF(Compras[Fecha],Rdiario[[#This Row],[Fecha]],Compras[Monto])</f>
        <v>0</v>
      </c>
      <c r="K123" s="7">
        <f>SUMIF(TGastos[Fecha],Rdiario[[#This Row],[Fecha]],TGastos[Monto])</f>
        <v>0</v>
      </c>
      <c r="L123" s="7">
        <f>Rdiario[[#This Row],[Ingresos Brutos]]-Rdiario[[#This Row],[Compras]]-Rdiario[[#This Row],[Gastos]]</f>
        <v>0</v>
      </c>
      <c r="M123" s="7">
        <f>Rdiario[[#This Row],[Ganancia]]-Rdiario[[#This Row],[Compras]]-Rdiario[[#This Row],[Gastos]]</f>
        <v>0</v>
      </c>
      <c r="P123" s="16"/>
    </row>
    <row r="124" spans="2:16">
      <c r="B124" s="9">
        <v>45047</v>
      </c>
      <c r="C12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4" s="6" t="s">
        <v>105</v>
      </c>
      <c r="E124" s="7">
        <f>SUMIF(Ventas[Fecha],Rdiario[[#This Row],[Fecha]],Ventas[Total])</f>
        <v>68150</v>
      </c>
      <c r="F124" s="66">
        <f>SUMIF(Ventas[Fecha],Rdiario[[#This Row],[Fecha]],Ventas[Total 4])</f>
        <v>0</v>
      </c>
      <c r="G124" s="66">
        <f>Rdiario[[#This Row],[Ingresos Brutos]]-Rdiario[[#This Row],[Transferencia]]</f>
        <v>68150</v>
      </c>
      <c r="H124" s="7">
        <f>Rdiario[[#This Row],[Ingresos Brutos]]-Rdiario[[#This Row],[Ganancia]]</f>
        <v>34509</v>
      </c>
      <c r="I124" s="7">
        <f>SUMIF(Ventas[Fecha],Rdiario[[#This Row],[Fecha]],Ventas[Total 2])</f>
        <v>33641</v>
      </c>
      <c r="J124" s="7">
        <f>SUMIF(Compras[Fecha],Rdiario[[#This Row],[Fecha]],Compras[Monto])</f>
        <v>0</v>
      </c>
      <c r="K124" s="7">
        <f>SUMIF(TGastos[Fecha],Rdiario[[#This Row],[Fecha]],TGastos[Monto])</f>
        <v>0</v>
      </c>
      <c r="L124" s="7">
        <f>Rdiario[[#This Row],[Ingresos Brutos]]-Rdiario[[#This Row],[Compras]]-Rdiario[[#This Row],[Gastos]]</f>
        <v>68150</v>
      </c>
      <c r="M124" s="7">
        <f>Rdiario[[#This Row],[Ganancia]]-Rdiario[[#This Row],[Compras]]-Rdiario[[#This Row],[Gastos]]</f>
        <v>33641</v>
      </c>
      <c r="P124" s="16"/>
    </row>
    <row r="125" spans="2:16">
      <c r="B125" s="9">
        <v>45048</v>
      </c>
      <c r="C12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5" s="6" t="s">
        <v>106</v>
      </c>
      <c r="E125" s="7">
        <f>SUMIF(Ventas[Fecha],Rdiario[[#This Row],[Fecha]],Ventas[Total])</f>
        <v>6200</v>
      </c>
      <c r="F125" s="66">
        <f>SUMIF(Ventas[Fecha],Rdiario[[#This Row],[Fecha]],Ventas[Total 4])</f>
        <v>0</v>
      </c>
      <c r="G125" s="66">
        <f>Rdiario[[#This Row],[Ingresos Brutos]]-Rdiario[[#This Row],[Transferencia]]</f>
        <v>6200</v>
      </c>
      <c r="H125" s="7">
        <f>Rdiario[[#This Row],[Ingresos Brutos]]-Rdiario[[#This Row],[Ganancia]]</f>
        <v>3330</v>
      </c>
      <c r="I125" s="7">
        <f>SUMIF(Ventas[Fecha],Rdiario[[#This Row],[Fecha]],Ventas[Total 2])</f>
        <v>2870</v>
      </c>
      <c r="J125" s="7">
        <f>SUMIF(Compras[Fecha],Rdiario[[#This Row],[Fecha]],Compras[Monto])</f>
        <v>0</v>
      </c>
      <c r="K125" s="7">
        <f>SUMIF(TGastos[Fecha],Rdiario[[#This Row],[Fecha]],TGastos[Monto])</f>
        <v>0</v>
      </c>
      <c r="L125" s="7">
        <f>Rdiario[[#This Row],[Ingresos Brutos]]-Rdiario[[#This Row],[Compras]]-Rdiario[[#This Row],[Gastos]]</f>
        <v>6200</v>
      </c>
      <c r="M125" s="7">
        <f>Rdiario[[#This Row],[Ganancia]]-Rdiario[[#This Row],[Compras]]-Rdiario[[#This Row],[Gastos]]</f>
        <v>2870</v>
      </c>
      <c r="P125" s="16"/>
    </row>
    <row r="126" spans="2:16">
      <c r="B126" s="9">
        <v>45049</v>
      </c>
      <c r="C12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6" s="6" t="s">
        <v>107</v>
      </c>
      <c r="E126" s="7">
        <f>SUMIF(Ventas[Fecha],Rdiario[[#This Row],[Fecha]],Ventas[Total])</f>
        <v>0</v>
      </c>
      <c r="F126" s="66">
        <f>SUMIF(Ventas[Fecha],Rdiario[[#This Row],[Fecha]],Ventas[Total 4])</f>
        <v>0</v>
      </c>
      <c r="G126" s="66">
        <f>Rdiario[[#This Row],[Ingresos Brutos]]-Rdiario[[#This Row],[Transferencia]]</f>
        <v>0</v>
      </c>
      <c r="H126" s="7">
        <f>Rdiario[[#This Row],[Ingresos Brutos]]-Rdiario[[#This Row],[Ganancia]]</f>
        <v>0</v>
      </c>
      <c r="I126" s="7">
        <f>SUMIF(Ventas[Fecha],Rdiario[[#This Row],[Fecha]],Ventas[Total 2])</f>
        <v>0</v>
      </c>
      <c r="J126" s="7">
        <f>SUMIF(Compras[Fecha],Rdiario[[#This Row],[Fecha]],Compras[Monto])</f>
        <v>0</v>
      </c>
      <c r="K126" s="7">
        <f>SUMIF(TGastos[Fecha],Rdiario[[#This Row],[Fecha]],TGastos[Monto])</f>
        <v>0</v>
      </c>
      <c r="L126" s="7">
        <f>Rdiario[[#This Row],[Ingresos Brutos]]-Rdiario[[#This Row],[Compras]]-Rdiario[[#This Row],[Gastos]]</f>
        <v>0</v>
      </c>
      <c r="M126" s="7">
        <f>Rdiario[[#This Row],[Ganancia]]-Rdiario[[#This Row],[Compras]]-Rdiario[[#This Row],[Gastos]]</f>
        <v>0</v>
      </c>
      <c r="P126" s="16"/>
    </row>
    <row r="127" spans="2:16">
      <c r="B127" s="9">
        <v>45050</v>
      </c>
      <c r="C12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7" s="6" t="s">
        <v>108</v>
      </c>
      <c r="E127" s="7">
        <f>SUMIF(Ventas[Fecha],Rdiario[[#This Row],[Fecha]],Ventas[Total])</f>
        <v>5600</v>
      </c>
      <c r="F127" s="66">
        <f>SUMIF(Ventas[Fecha],Rdiario[[#This Row],[Fecha]],Ventas[Total 4])</f>
        <v>5600</v>
      </c>
      <c r="G127" s="66">
        <f>Rdiario[[#This Row],[Ingresos Brutos]]-Rdiario[[#This Row],[Transferencia]]</f>
        <v>0</v>
      </c>
      <c r="H127" s="7">
        <f>Rdiario[[#This Row],[Ingresos Brutos]]-Rdiario[[#This Row],[Ganancia]]</f>
        <v>2767</v>
      </c>
      <c r="I127" s="7">
        <f>SUMIF(Ventas[Fecha],Rdiario[[#This Row],[Fecha]],Ventas[Total 2])</f>
        <v>2833</v>
      </c>
      <c r="J127" s="7">
        <f>SUMIF(Compras[Fecha],Rdiario[[#This Row],[Fecha]],Compras[Monto])</f>
        <v>0</v>
      </c>
      <c r="K127" s="7">
        <f>SUMIF(TGastos[Fecha],Rdiario[[#This Row],[Fecha]],TGastos[Monto])</f>
        <v>0</v>
      </c>
      <c r="L127" s="7">
        <f>Rdiario[[#This Row],[Ingresos Brutos]]-Rdiario[[#This Row],[Compras]]-Rdiario[[#This Row],[Gastos]]</f>
        <v>5600</v>
      </c>
      <c r="M127" s="7">
        <f>Rdiario[[#This Row],[Ganancia]]-Rdiario[[#This Row],[Compras]]-Rdiario[[#This Row],[Gastos]]</f>
        <v>2833</v>
      </c>
      <c r="P127" s="16"/>
    </row>
    <row r="128" spans="2:16">
      <c r="B128" s="9">
        <v>45051</v>
      </c>
      <c r="C12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8" s="6" t="s">
        <v>109</v>
      </c>
      <c r="E128" s="7">
        <f>SUMIF(Ventas[Fecha],Rdiario[[#This Row],[Fecha]],Ventas[Total])</f>
        <v>0</v>
      </c>
      <c r="F128" s="66">
        <f>SUMIF(Ventas[Fecha],Rdiario[[#This Row],[Fecha]],Ventas[Total 4])</f>
        <v>0</v>
      </c>
      <c r="G128" s="66">
        <f>Rdiario[[#This Row],[Ingresos Brutos]]-Rdiario[[#This Row],[Transferencia]]</f>
        <v>0</v>
      </c>
      <c r="H128" s="7">
        <f>Rdiario[[#This Row],[Ingresos Brutos]]-Rdiario[[#This Row],[Ganancia]]</f>
        <v>0</v>
      </c>
      <c r="I128" s="7">
        <f>SUMIF(Ventas[Fecha],Rdiario[[#This Row],[Fecha]],Ventas[Total 2])</f>
        <v>0</v>
      </c>
      <c r="J128" s="7">
        <f>SUMIF(Compras[Fecha],Rdiario[[#This Row],[Fecha]],Compras[Monto])</f>
        <v>0</v>
      </c>
      <c r="K128" s="7">
        <f>SUMIF(TGastos[Fecha],Rdiario[[#This Row],[Fecha]],TGastos[Monto])</f>
        <v>0</v>
      </c>
      <c r="L128" s="7">
        <f>Rdiario[[#This Row],[Ingresos Brutos]]-Rdiario[[#This Row],[Compras]]-Rdiario[[#This Row],[Gastos]]</f>
        <v>0</v>
      </c>
      <c r="M128" s="7">
        <f>Rdiario[[#This Row],[Ganancia]]-Rdiario[[#This Row],[Compras]]-Rdiario[[#This Row],[Gastos]]</f>
        <v>0</v>
      </c>
      <c r="P128" s="16"/>
    </row>
    <row r="129" spans="2:16">
      <c r="B129" s="9">
        <v>45052</v>
      </c>
      <c r="C12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9" s="6" t="s">
        <v>110</v>
      </c>
      <c r="E129" s="7">
        <f>SUMIF(Ventas[Fecha],Rdiario[[#This Row],[Fecha]],Ventas[Total])</f>
        <v>17800</v>
      </c>
      <c r="F129" s="66">
        <f>SUMIF(Ventas[Fecha],Rdiario[[#This Row],[Fecha]],Ventas[Total 4])</f>
        <v>0</v>
      </c>
      <c r="G129" s="66">
        <f>Rdiario[[#This Row],[Ingresos Brutos]]-Rdiario[[#This Row],[Transferencia]]</f>
        <v>17800</v>
      </c>
      <c r="H129" s="7">
        <f>Rdiario[[#This Row],[Ingresos Brutos]]-Rdiario[[#This Row],[Ganancia]]</f>
        <v>9190</v>
      </c>
      <c r="I129" s="7">
        <f>SUMIF(Ventas[Fecha],Rdiario[[#This Row],[Fecha]],Ventas[Total 2])</f>
        <v>8610</v>
      </c>
      <c r="J129" s="7">
        <f>SUMIF(Compras[Fecha],Rdiario[[#This Row],[Fecha]],Compras[Monto])</f>
        <v>1524031</v>
      </c>
      <c r="K129" s="7">
        <f>SUMIF(TGastos[Fecha],Rdiario[[#This Row],[Fecha]],TGastos[Monto])</f>
        <v>11000</v>
      </c>
      <c r="L129" s="7">
        <f>Rdiario[[#This Row],[Ingresos Brutos]]-Rdiario[[#This Row],[Compras]]-Rdiario[[#This Row],[Gastos]]</f>
        <v>-1517231</v>
      </c>
      <c r="M129" s="7">
        <f>Rdiario[[#This Row],[Ganancia]]-Rdiario[[#This Row],[Compras]]-Rdiario[[#This Row],[Gastos]]</f>
        <v>-1526421</v>
      </c>
      <c r="P129" s="16"/>
    </row>
    <row r="130" spans="2:16">
      <c r="B130" s="9">
        <v>45053</v>
      </c>
      <c r="C13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0" s="6" t="s">
        <v>104</v>
      </c>
      <c r="E130" s="7">
        <f>SUMIF(Ventas[Fecha],Rdiario[[#This Row],[Fecha]],Ventas[Total])</f>
        <v>0</v>
      </c>
      <c r="F130" s="66">
        <f>SUMIF(Ventas[Fecha],Rdiario[[#This Row],[Fecha]],Ventas[Total 4])</f>
        <v>0</v>
      </c>
      <c r="G130" s="66">
        <f>Rdiario[[#This Row],[Ingresos Brutos]]-Rdiario[[#This Row],[Transferencia]]</f>
        <v>0</v>
      </c>
      <c r="H130" s="7">
        <f>Rdiario[[#This Row],[Ingresos Brutos]]-Rdiario[[#This Row],[Ganancia]]</f>
        <v>0</v>
      </c>
      <c r="I130" s="7">
        <f>SUMIF(Ventas[Fecha],Rdiario[[#This Row],[Fecha]],Ventas[Total 2])</f>
        <v>0</v>
      </c>
      <c r="J130" s="7">
        <f>SUMIF(Compras[Fecha],Rdiario[[#This Row],[Fecha]],Compras[Monto])</f>
        <v>0</v>
      </c>
      <c r="K130" s="7">
        <f>SUMIF(TGastos[Fecha],Rdiario[[#This Row],[Fecha]],TGastos[Monto])</f>
        <v>0</v>
      </c>
      <c r="L130" s="7">
        <f>Rdiario[[#This Row],[Ingresos Brutos]]-Rdiario[[#This Row],[Compras]]-Rdiario[[#This Row],[Gastos]]</f>
        <v>0</v>
      </c>
      <c r="M130" s="7">
        <f>Rdiario[[#This Row],[Ganancia]]-Rdiario[[#This Row],[Compras]]-Rdiario[[#This Row],[Gastos]]</f>
        <v>0</v>
      </c>
      <c r="P130" s="16"/>
    </row>
    <row r="131" spans="2:16">
      <c r="B131" s="9">
        <v>45054</v>
      </c>
      <c r="C13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1" s="6" t="s">
        <v>105</v>
      </c>
      <c r="E131" s="7">
        <f>SUMIF(Ventas[Fecha],Rdiario[[#This Row],[Fecha]],Ventas[Total])</f>
        <v>38000</v>
      </c>
      <c r="F131" s="66">
        <f>SUMIF(Ventas[Fecha],Rdiario[[#This Row],[Fecha]],Ventas[Total 4])</f>
        <v>20000</v>
      </c>
      <c r="G131" s="66">
        <f>Rdiario[[#This Row],[Ingresos Brutos]]-Rdiario[[#This Row],[Transferencia]]</f>
        <v>18000</v>
      </c>
      <c r="H131" s="7">
        <f>Rdiario[[#This Row],[Ingresos Brutos]]-Rdiario[[#This Row],[Ganancia]]</f>
        <v>19696</v>
      </c>
      <c r="I131" s="7">
        <f>SUMIF(Ventas[Fecha],Rdiario[[#This Row],[Fecha]],Ventas[Total 2])</f>
        <v>18304</v>
      </c>
      <c r="J131" s="7">
        <f>SUMIF(Compras[Fecha],Rdiario[[#This Row],[Fecha]],Compras[Monto])</f>
        <v>25316</v>
      </c>
      <c r="K131" s="7">
        <f>SUMIF(TGastos[Fecha],Rdiario[[#This Row],[Fecha]],TGastos[Monto])</f>
        <v>0</v>
      </c>
      <c r="L131" s="7">
        <f>Rdiario[[#This Row],[Ingresos Brutos]]-Rdiario[[#This Row],[Compras]]-Rdiario[[#This Row],[Gastos]]</f>
        <v>12684</v>
      </c>
      <c r="M131" s="7">
        <f>Rdiario[[#This Row],[Ganancia]]-Rdiario[[#This Row],[Compras]]-Rdiario[[#This Row],[Gastos]]</f>
        <v>-7012</v>
      </c>
      <c r="P131" s="16"/>
    </row>
    <row r="132" spans="2:16">
      <c r="B132" s="9">
        <v>45055</v>
      </c>
      <c r="C13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2" s="6" t="s">
        <v>106</v>
      </c>
      <c r="E132" s="7">
        <f>SUMIF(Ventas[Fecha],Rdiario[[#This Row],[Fecha]],Ventas[Total])</f>
        <v>400</v>
      </c>
      <c r="F132" s="66">
        <f>SUMIF(Ventas[Fecha],Rdiario[[#This Row],[Fecha]],Ventas[Total 4])</f>
        <v>0</v>
      </c>
      <c r="G132" s="66">
        <f>Rdiario[[#This Row],[Ingresos Brutos]]-Rdiario[[#This Row],[Transferencia]]</f>
        <v>400</v>
      </c>
      <c r="H132" s="7">
        <f>Rdiario[[#This Row],[Ingresos Brutos]]-Rdiario[[#This Row],[Ganancia]]</f>
        <v>198</v>
      </c>
      <c r="I132" s="7">
        <f>SUMIF(Ventas[Fecha],Rdiario[[#This Row],[Fecha]],Ventas[Total 2])</f>
        <v>202</v>
      </c>
      <c r="J132" s="7">
        <f>SUMIF(Compras[Fecha],Rdiario[[#This Row],[Fecha]],Compras[Monto])</f>
        <v>0</v>
      </c>
      <c r="K132" s="7">
        <f>SUMIF(TGastos[Fecha],Rdiario[[#This Row],[Fecha]],TGastos[Monto])</f>
        <v>23680</v>
      </c>
      <c r="L132" s="7">
        <f>Rdiario[[#This Row],[Ingresos Brutos]]-Rdiario[[#This Row],[Compras]]-Rdiario[[#This Row],[Gastos]]</f>
        <v>-23280</v>
      </c>
      <c r="M132" s="7">
        <f>Rdiario[[#This Row],[Ganancia]]-Rdiario[[#This Row],[Compras]]-Rdiario[[#This Row],[Gastos]]</f>
        <v>-23478</v>
      </c>
      <c r="P132" s="16"/>
    </row>
    <row r="133" spans="2:16">
      <c r="B133" s="9">
        <v>45056</v>
      </c>
      <c r="C13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3" s="6" t="s">
        <v>107</v>
      </c>
      <c r="E133" s="7">
        <f>SUMIF(Ventas[Fecha],Rdiario[[#This Row],[Fecha]],Ventas[Total])</f>
        <v>0</v>
      </c>
      <c r="F133" s="66">
        <f>SUMIF(Ventas[Fecha],Rdiario[[#This Row],[Fecha]],Ventas[Total 4])</f>
        <v>0</v>
      </c>
      <c r="G133" s="66">
        <f>Rdiario[[#This Row],[Ingresos Brutos]]-Rdiario[[#This Row],[Transferencia]]</f>
        <v>0</v>
      </c>
      <c r="H133" s="7">
        <f>Rdiario[[#This Row],[Ingresos Brutos]]-Rdiario[[#This Row],[Ganancia]]</f>
        <v>0</v>
      </c>
      <c r="I133" s="7">
        <f>SUMIF(Ventas[Fecha],Rdiario[[#This Row],[Fecha]],Ventas[Total 2])</f>
        <v>0</v>
      </c>
      <c r="J133" s="7">
        <f>SUMIF(Compras[Fecha],Rdiario[[#This Row],[Fecha]],Compras[Monto])</f>
        <v>0</v>
      </c>
      <c r="K133" s="7">
        <f>SUMIF(TGastos[Fecha],Rdiario[[#This Row],[Fecha]],TGastos[Monto])</f>
        <v>0</v>
      </c>
      <c r="L133" s="7">
        <f>Rdiario[[#This Row],[Ingresos Brutos]]-Rdiario[[#This Row],[Compras]]-Rdiario[[#This Row],[Gastos]]</f>
        <v>0</v>
      </c>
      <c r="M133" s="7">
        <f>Rdiario[[#This Row],[Ganancia]]-Rdiario[[#This Row],[Compras]]-Rdiario[[#This Row],[Gastos]]</f>
        <v>0</v>
      </c>
      <c r="P133" s="16"/>
    </row>
    <row r="134" spans="2:16">
      <c r="B134" s="9">
        <v>45057</v>
      </c>
      <c r="C13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4" s="6" t="s">
        <v>108</v>
      </c>
      <c r="E134" s="7">
        <f>SUMIF(Ventas[Fecha],Rdiario[[#This Row],[Fecha]],Ventas[Total])</f>
        <v>5650</v>
      </c>
      <c r="F134" s="66">
        <f>SUMIF(Ventas[Fecha],Rdiario[[#This Row],[Fecha]],Ventas[Total 4])</f>
        <v>0</v>
      </c>
      <c r="G134" s="66">
        <f>Rdiario[[#This Row],[Ingresos Brutos]]-Rdiario[[#This Row],[Transferencia]]</f>
        <v>5650</v>
      </c>
      <c r="H134" s="7">
        <f>Rdiario[[#This Row],[Ingresos Brutos]]-Rdiario[[#This Row],[Ganancia]]</f>
        <v>2880</v>
      </c>
      <c r="I134" s="7">
        <f>SUMIF(Ventas[Fecha],Rdiario[[#This Row],[Fecha]],Ventas[Total 2])</f>
        <v>2770</v>
      </c>
      <c r="J134" s="7">
        <f>SUMIF(Compras[Fecha],Rdiario[[#This Row],[Fecha]],Compras[Monto])</f>
        <v>9016</v>
      </c>
      <c r="K134" s="7">
        <f>SUMIF(TGastos[Fecha],Rdiario[[#This Row],[Fecha]],TGastos[Monto])</f>
        <v>0</v>
      </c>
      <c r="L134" s="7">
        <f>Rdiario[[#This Row],[Ingresos Brutos]]-Rdiario[[#This Row],[Compras]]-Rdiario[[#This Row],[Gastos]]</f>
        <v>-3366</v>
      </c>
      <c r="M134" s="7">
        <f>Rdiario[[#This Row],[Ganancia]]-Rdiario[[#This Row],[Compras]]-Rdiario[[#This Row],[Gastos]]</f>
        <v>-6246</v>
      </c>
      <c r="P134" s="16"/>
    </row>
    <row r="135" spans="2:16">
      <c r="B135" s="9">
        <v>45058</v>
      </c>
      <c r="C13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5" s="6" t="s">
        <v>109</v>
      </c>
      <c r="E135" s="7">
        <f>SUMIF(Ventas[Fecha],Rdiario[[#This Row],[Fecha]],Ventas[Total])</f>
        <v>33100</v>
      </c>
      <c r="F135" s="66">
        <f>SUMIF(Ventas[Fecha],Rdiario[[#This Row],[Fecha]],Ventas[Total 4])</f>
        <v>24050</v>
      </c>
      <c r="G135" s="66">
        <f>Rdiario[[#This Row],[Ingresos Brutos]]-Rdiario[[#This Row],[Transferencia]]</f>
        <v>9050</v>
      </c>
      <c r="H135" s="7">
        <f>Rdiario[[#This Row],[Ingresos Brutos]]-Rdiario[[#This Row],[Ganancia]]</f>
        <v>12310</v>
      </c>
      <c r="I135" s="7">
        <f>SUMIF(Ventas[Fecha],Rdiario[[#This Row],[Fecha]],Ventas[Total 2])</f>
        <v>20790</v>
      </c>
      <c r="J135" s="7">
        <f>SUMIF(Compras[Fecha],Rdiario[[#This Row],[Fecha]],Compras[Monto])</f>
        <v>19665</v>
      </c>
      <c r="K135" s="7">
        <f>SUMIF(TGastos[Fecha],Rdiario[[#This Row],[Fecha]],TGastos[Monto])</f>
        <v>0</v>
      </c>
      <c r="L135" s="7">
        <f>Rdiario[[#This Row],[Ingresos Brutos]]-Rdiario[[#This Row],[Compras]]-Rdiario[[#This Row],[Gastos]]</f>
        <v>13435</v>
      </c>
      <c r="M135" s="7">
        <f>Rdiario[[#This Row],[Ganancia]]-Rdiario[[#This Row],[Compras]]-Rdiario[[#This Row],[Gastos]]</f>
        <v>1125</v>
      </c>
      <c r="P135" s="16"/>
    </row>
    <row r="136" spans="2:16">
      <c r="B136" s="9">
        <v>45059</v>
      </c>
      <c r="C13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6" s="6" t="s">
        <v>110</v>
      </c>
      <c r="E136" s="7">
        <f>SUMIF(Ventas[Fecha],Rdiario[[#This Row],[Fecha]],Ventas[Total])</f>
        <v>400</v>
      </c>
      <c r="F136" s="66">
        <f>SUMIF(Ventas[Fecha],Rdiario[[#This Row],[Fecha]],Ventas[Total 4])</f>
        <v>0</v>
      </c>
      <c r="G136" s="66">
        <f>Rdiario[[#This Row],[Ingresos Brutos]]-Rdiario[[#This Row],[Transferencia]]</f>
        <v>400</v>
      </c>
      <c r="H136" s="7">
        <f>Rdiario[[#This Row],[Ingresos Brutos]]-Rdiario[[#This Row],[Ganancia]]</f>
        <v>190</v>
      </c>
      <c r="I136" s="7">
        <f>SUMIF(Ventas[Fecha],Rdiario[[#This Row],[Fecha]],Ventas[Total 2])</f>
        <v>210</v>
      </c>
      <c r="J136" s="7">
        <f>SUMIF(Compras[Fecha],Rdiario[[#This Row],[Fecha]],Compras[Monto])</f>
        <v>0</v>
      </c>
      <c r="K136" s="7">
        <f>SUMIF(TGastos[Fecha],Rdiario[[#This Row],[Fecha]],TGastos[Monto])</f>
        <v>0</v>
      </c>
      <c r="L136" s="7">
        <f>Rdiario[[#This Row],[Ingresos Brutos]]-Rdiario[[#This Row],[Compras]]-Rdiario[[#This Row],[Gastos]]</f>
        <v>400</v>
      </c>
      <c r="M136" s="7">
        <f>Rdiario[[#This Row],[Ganancia]]-Rdiario[[#This Row],[Compras]]-Rdiario[[#This Row],[Gastos]]</f>
        <v>210</v>
      </c>
      <c r="P136" s="16"/>
    </row>
    <row r="137" spans="2:16">
      <c r="B137" s="9">
        <v>45060</v>
      </c>
      <c r="C13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7" s="6" t="s">
        <v>104</v>
      </c>
      <c r="E137" s="7">
        <f>SUMIF(Ventas[Fecha],Rdiario[[#This Row],[Fecha]],Ventas[Total])</f>
        <v>0</v>
      </c>
      <c r="F137" s="66">
        <f>SUMIF(Ventas[Fecha],Rdiario[[#This Row],[Fecha]],Ventas[Total 4])</f>
        <v>0</v>
      </c>
      <c r="G137" s="66">
        <f>Rdiario[[#This Row],[Ingresos Brutos]]-Rdiario[[#This Row],[Transferencia]]</f>
        <v>0</v>
      </c>
      <c r="H137" s="7">
        <f>Rdiario[[#This Row],[Ingresos Brutos]]-Rdiario[[#This Row],[Ganancia]]</f>
        <v>0</v>
      </c>
      <c r="I137" s="7">
        <f>SUMIF(Ventas[Fecha],Rdiario[[#This Row],[Fecha]],Ventas[Total 2])</f>
        <v>0</v>
      </c>
      <c r="J137" s="7">
        <f>SUMIF(Compras[Fecha],Rdiario[[#This Row],[Fecha]],Compras[Monto])</f>
        <v>0</v>
      </c>
      <c r="K137" s="7">
        <f>SUMIF(TGastos[Fecha],Rdiario[[#This Row],[Fecha]],TGastos[Monto])</f>
        <v>0</v>
      </c>
      <c r="L137" s="7">
        <f>Rdiario[[#This Row],[Ingresos Brutos]]-Rdiario[[#This Row],[Compras]]-Rdiario[[#This Row],[Gastos]]</f>
        <v>0</v>
      </c>
      <c r="M137" s="7">
        <f>Rdiario[[#This Row],[Ganancia]]-Rdiario[[#This Row],[Compras]]-Rdiario[[#This Row],[Gastos]]</f>
        <v>0</v>
      </c>
      <c r="P137" s="16"/>
    </row>
    <row r="138" spans="2:16">
      <c r="B138" s="9">
        <v>45061</v>
      </c>
      <c r="C13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8" s="6" t="s">
        <v>105</v>
      </c>
      <c r="E138" s="7">
        <f>SUMIF(Ventas[Fecha],Rdiario[[#This Row],[Fecha]],Ventas[Total])</f>
        <v>0</v>
      </c>
      <c r="F138" s="66">
        <f>SUMIF(Ventas[Fecha],Rdiario[[#This Row],[Fecha]],Ventas[Total 4])</f>
        <v>0</v>
      </c>
      <c r="G138" s="66">
        <f>Rdiario[[#This Row],[Ingresos Brutos]]-Rdiario[[#This Row],[Transferencia]]</f>
        <v>0</v>
      </c>
      <c r="H138" s="7">
        <f>Rdiario[[#This Row],[Ingresos Brutos]]-Rdiario[[#This Row],[Ganancia]]</f>
        <v>0</v>
      </c>
      <c r="I138" s="7">
        <f>SUMIF(Ventas[Fecha],Rdiario[[#This Row],[Fecha]],Ventas[Total 2])</f>
        <v>0</v>
      </c>
      <c r="J138" s="7">
        <f>SUMIF(Compras[Fecha],Rdiario[[#This Row],[Fecha]],Compras[Monto])</f>
        <v>0</v>
      </c>
      <c r="K138" s="7">
        <f>SUMIF(TGastos[Fecha],Rdiario[[#This Row],[Fecha]],TGastos[Monto])</f>
        <v>0</v>
      </c>
      <c r="L138" s="7">
        <f>Rdiario[[#This Row],[Ingresos Brutos]]-Rdiario[[#This Row],[Compras]]-Rdiario[[#This Row],[Gastos]]</f>
        <v>0</v>
      </c>
      <c r="M138" s="7">
        <f>Rdiario[[#This Row],[Ganancia]]-Rdiario[[#This Row],[Compras]]-Rdiario[[#This Row],[Gastos]]</f>
        <v>0</v>
      </c>
      <c r="P138" s="16"/>
    </row>
    <row r="139" spans="2:16">
      <c r="B139" s="9">
        <v>45062</v>
      </c>
      <c r="C13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9" s="6" t="s">
        <v>106</v>
      </c>
      <c r="E139" s="7">
        <f>SUMIF(Ventas[Fecha],Rdiario[[#This Row],[Fecha]],Ventas[Total])</f>
        <v>0</v>
      </c>
      <c r="F139" s="66">
        <f>SUMIF(Ventas[Fecha],Rdiario[[#This Row],[Fecha]],Ventas[Total 4])</f>
        <v>0</v>
      </c>
      <c r="G139" s="66">
        <f>Rdiario[[#This Row],[Ingresos Brutos]]-Rdiario[[#This Row],[Transferencia]]</f>
        <v>0</v>
      </c>
      <c r="H139" s="7">
        <f>Rdiario[[#This Row],[Ingresos Brutos]]-Rdiario[[#This Row],[Ganancia]]</f>
        <v>0</v>
      </c>
      <c r="I139" s="7">
        <f>SUMIF(Ventas[Fecha],Rdiario[[#This Row],[Fecha]],Ventas[Total 2])</f>
        <v>0</v>
      </c>
      <c r="J139" s="7">
        <f>SUMIF(Compras[Fecha],Rdiario[[#This Row],[Fecha]],Compras[Monto])</f>
        <v>0</v>
      </c>
      <c r="K139" s="7">
        <f>SUMIF(TGastos[Fecha],Rdiario[[#This Row],[Fecha]],TGastos[Monto])</f>
        <v>0</v>
      </c>
      <c r="L139" s="7">
        <f>Rdiario[[#This Row],[Ingresos Brutos]]-Rdiario[[#This Row],[Compras]]-Rdiario[[#This Row],[Gastos]]</f>
        <v>0</v>
      </c>
      <c r="M139" s="7">
        <f>Rdiario[[#This Row],[Ganancia]]-Rdiario[[#This Row],[Compras]]-Rdiario[[#This Row],[Gastos]]</f>
        <v>0</v>
      </c>
      <c r="P139" s="16"/>
    </row>
    <row r="140" spans="2:16">
      <c r="B140" s="9">
        <v>45063</v>
      </c>
      <c r="C14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0" s="6" t="s">
        <v>107</v>
      </c>
      <c r="E140" s="7">
        <f>SUMIF(Ventas[Fecha],Rdiario[[#This Row],[Fecha]],Ventas[Total])</f>
        <v>0</v>
      </c>
      <c r="F140" s="66">
        <f>SUMIF(Ventas[Fecha],Rdiario[[#This Row],[Fecha]],Ventas[Total 4])</f>
        <v>0</v>
      </c>
      <c r="G140" s="66">
        <f>Rdiario[[#This Row],[Ingresos Brutos]]-Rdiario[[#This Row],[Transferencia]]</f>
        <v>0</v>
      </c>
      <c r="H140" s="7">
        <f>Rdiario[[#This Row],[Ingresos Brutos]]-Rdiario[[#This Row],[Ganancia]]</f>
        <v>0</v>
      </c>
      <c r="I140" s="7">
        <f>SUMIF(Ventas[Fecha],Rdiario[[#This Row],[Fecha]],Ventas[Total 2])</f>
        <v>0</v>
      </c>
      <c r="J140" s="7">
        <f>SUMIF(Compras[Fecha],Rdiario[[#This Row],[Fecha]],Compras[Monto])</f>
        <v>0</v>
      </c>
      <c r="K140" s="7">
        <f>SUMIF(TGastos[Fecha],Rdiario[[#This Row],[Fecha]],TGastos[Monto])</f>
        <v>0</v>
      </c>
      <c r="L140" s="7">
        <f>Rdiario[[#This Row],[Ingresos Brutos]]-Rdiario[[#This Row],[Compras]]-Rdiario[[#This Row],[Gastos]]</f>
        <v>0</v>
      </c>
      <c r="M140" s="7">
        <f>Rdiario[[#This Row],[Ganancia]]-Rdiario[[#This Row],[Compras]]-Rdiario[[#This Row],[Gastos]]</f>
        <v>0</v>
      </c>
      <c r="P140" s="16"/>
    </row>
    <row r="141" spans="2:16">
      <c r="B141" s="9">
        <v>45064</v>
      </c>
      <c r="C14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1" s="6" t="s">
        <v>108</v>
      </c>
      <c r="E141" s="7">
        <f>SUMIF(Ventas[Fecha],Rdiario[[#This Row],[Fecha]],Ventas[Total])</f>
        <v>0</v>
      </c>
      <c r="F141" s="66">
        <f>SUMIF(Ventas[Fecha],Rdiario[[#This Row],[Fecha]],Ventas[Total 4])</f>
        <v>0</v>
      </c>
      <c r="G141" s="66">
        <f>Rdiario[[#This Row],[Ingresos Brutos]]-Rdiario[[#This Row],[Transferencia]]</f>
        <v>0</v>
      </c>
      <c r="H141" s="7">
        <f>Rdiario[[#This Row],[Ingresos Brutos]]-Rdiario[[#This Row],[Ganancia]]</f>
        <v>0</v>
      </c>
      <c r="I141" s="7">
        <f>SUMIF(Ventas[Fecha],Rdiario[[#This Row],[Fecha]],Ventas[Total 2])</f>
        <v>0</v>
      </c>
      <c r="J141" s="7">
        <f>SUMIF(Compras[Fecha],Rdiario[[#This Row],[Fecha]],Compras[Monto])</f>
        <v>0</v>
      </c>
      <c r="K141" s="7">
        <f>SUMIF(TGastos[Fecha],Rdiario[[#This Row],[Fecha]],TGastos[Monto])</f>
        <v>0</v>
      </c>
      <c r="L141" s="7">
        <f>Rdiario[[#This Row],[Ingresos Brutos]]-Rdiario[[#This Row],[Compras]]-Rdiario[[#This Row],[Gastos]]</f>
        <v>0</v>
      </c>
      <c r="M141" s="7">
        <f>Rdiario[[#This Row],[Ganancia]]-Rdiario[[#This Row],[Compras]]-Rdiario[[#This Row],[Gastos]]</f>
        <v>0</v>
      </c>
      <c r="P141" s="16"/>
    </row>
    <row r="142" spans="2:16">
      <c r="B142" s="9">
        <v>45065</v>
      </c>
      <c r="C14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2" s="6" t="s">
        <v>109</v>
      </c>
      <c r="E142" s="7">
        <f>SUMIF(Ventas[Fecha],Rdiario[[#This Row],[Fecha]],Ventas[Total])</f>
        <v>0</v>
      </c>
      <c r="F142" s="66">
        <f>SUMIF(Ventas[Fecha],Rdiario[[#This Row],[Fecha]],Ventas[Total 4])</f>
        <v>0</v>
      </c>
      <c r="G142" s="66">
        <f>Rdiario[[#This Row],[Ingresos Brutos]]-Rdiario[[#This Row],[Transferencia]]</f>
        <v>0</v>
      </c>
      <c r="H142" s="7">
        <f>Rdiario[[#This Row],[Ingresos Brutos]]-Rdiario[[#This Row],[Ganancia]]</f>
        <v>0</v>
      </c>
      <c r="I142" s="7">
        <f>SUMIF(Ventas[Fecha],Rdiario[[#This Row],[Fecha]],Ventas[Total 2])</f>
        <v>0</v>
      </c>
      <c r="J142" s="7">
        <f>SUMIF(Compras[Fecha],Rdiario[[#This Row],[Fecha]],Compras[Monto])</f>
        <v>0</v>
      </c>
      <c r="K142" s="7">
        <f>SUMIF(TGastos[Fecha],Rdiario[[#This Row],[Fecha]],TGastos[Monto])</f>
        <v>0</v>
      </c>
      <c r="L142" s="7">
        <f>Rdiario[[#This Row],[Ingresos Brutos]]-Rdiario[[#This Row],[Compras]]-Rdiario[[#This Row],[Gastos]]</f>
        <v>0</v>
      </c>
      <c r="M142" s="7">
        <f>Rdiario[[#This Row],[Ganancia]]-Rdiario[[#This Row],[Compras]]-Rdiario[[#This Row],[Gastos]]</f>
        <v>0</v>
      </c>
      <c r="P142" s="16"/>
    </row>
    <row r="143" spans="2:16">
      <c r="B143" s="9">
        <v>45066</v>
      </c>
      <c r="C14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3" s="6" t="s">
        <v>110</v>
      </c>
      <c r="E143" s="7">
        <f>SUMIF(Ventas[Fecha],Rdiario[[#This Row],[Fecha]],Ventas[Total])</f>
        <v>0</v>
      </c>
      <c r="F143" s="66">
        <f>SUMIF(Ventas[Fecha],Rdiario[[#This Row],[Fecha]],Ventas[Total 4])</f>
        <v>0</v>
      </c>
      <c r="G143" s="66">
        <f>Rdiario[[#This Row],[Ingresos Brutos]]-Rdiario[[#This Row],[Transferencia]]</f>
        <v>0</v>
      </c>
      <c r="H143" s="7">
        <f>Rdiario[[#This Row],[Ingresos Brutos]]-Rdiario[[#This Row],[Ganancia]]</f>
        <v>0</v>
      </c>
      <c r="I143" s="7">
        <f>SUMIF(Ventas[Fecha],Rdiario[[#This Row],[Fecha]],Ventas[Total 2])</f>
        <v>0</v>
      </c>
      <c r="J143" s="7">
        <f>SUMIF(Compras[Fecha],Rdiario[[#This Row],[Fecha]],Compras[Monto])</f>
        <v>0</v>
      </c>
      <c r="K143" s="7">
        <f>SUMIF(TGastos[Fecha],Rdiario[[#This Row],[Fecha]],TGastos[Monto])</f>
        <v>0</v>
      </c>
      <c r="L143" s="7">
        <f>Rdiario[[#This Row],[Ingresos Brutos]]-Rdiario[[#This Row],[Compras]]-Rdiario[[#This Row],[Gastos]]</f>
        <v>0</v>
      </c>
      <c r="M143" s="7">
        <f>Rdiario[[#This Row],[Ganancia]]-Rdiario[[#This Row],[Compras]]-Rdiario[[#This Row],[Gastos]]</f>
        <v>0</v>
      </c>
      <c r="P143" s="16"/>
    </row>
    <row r="144" spans="2:16">
      <c r="B144" s="9">
        <v>45067</v>
      </c>
      <c r="C14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4" s="6" t="s">
        <v>104</v>
      </c>
      <c r="E144" s="7">
        <f>SUMIF(Ventas[Fecha],Rdiario[[#This Row],[Fecha]],Ventas[Total])</f>
        <v>0</v>
      </c>
      <c r="F144" s="66">
        <f>SUMIF(Ventas[Fecha],Rdiario[[#This Row],[Fecha]],Ventas[Total 4])</f>
        <v>0</v>
      </c>
      <c r="G144" s="66">
        <f>Rdiario[[#This Row],[Ingresos Brutos]]-Rdiario[[#This Row],[Transferencia]]</f>
        <v>0</v>
      </c>
      <c r="H144" s="7">
        <f>Rdiario[[#This Row],[Ingresos Brutos]]-Rdiario[[#This Row],[Ganancia]]</f>
        <v>0</v>
      </c>
      <c r="I144" s="7">
        <f>SUMIF(Ventas[Fecha],Rdiario[[#This Row],[Fecha]],Ventas[Total 2])</f>
        <v>0</v>
      </c>
      <c r="J144" s="7">
        <f>SUMIF(Compras[Fecha],Rdiario[[#This Row],[Fecha]],Compras[Monto])</f>
        <v>0</v>
      </c>
      <c r="K144" s="7">
        <f>SUMIF(TGastos[Fecha],Rdiario[[#This Row],[Fecha]],TGastos[Monto])</f>
        <v>0</v>
      </c>
      <c r="L144" s="7">
        <f>Rdiario[[#This Row],[Ingresos Brutos]]-Rdiario[[#This Row],[Compras]]-Rdiario[[#This Row],[Gastos]]</f>
        <v>0</v>
      </c>
      <c r="M144" s="7">
        <f>Rdiario[[#This Row],[Ganancia]]-Rdiario[[#This Row],[Compras]]-Rdiario[[#This Row],[Gastos]]</f>
        <v>0</v>
      </c>
      <c r="P144" s="16"/>
    </row>
    <row r="145" spans="2:16">
      <c r="B145" s="9">
        <v>45068</v>
      </c>
      <c r="C14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5" s="6" t="s">
        <v>105</v>
      </c>
      <c r="E145" s="7">
        <f>SUMIF(Ventas[Fecha],Rdiario[[#This Row],[Fecha]],Ventas[Total])</f>
        <v>0</v>
      </c>
      <c r="F145" s="66">
        <f>SUMIF(Ventas[Fecha],Rdiario[[#This Row],[Fecha]],Ventas[Total 4])</f>
        <v>0</v>
      </c>
      <c r="G145" s="66">
        <f>Rdiario[[#This Row],[Ingresos Brutos]]-Rdiario[[#This Row],[Transferencia]]</f>
        <v>0</v>
      </c>
      <c r="H145" s="7">
        <f>Rdiario[[#This Row],[Ingresos Brutos]]-Rdiario[[#This Row],[Ganancia]]</f>
        <v>0</v>
      </c>
      <c r="I145" s="7">
        <f>SUMIF(Ventas[Fecha],Rdiario[[#This Row],[Fecha]],Ventas[Total 2])</f>
        <v>0</v>
      </c>
      <c r="J145" s="7">
        <f>SUMIF(Compras[Fecha],Rdiario[[#This Row],[Fecha]],Compras[Monto])</f>
        <v>0</v>
      </c>
      <c r="K145" s="7">
        <f>SUMIF(TGastos[Fecha],Rdiario[[#This Row],[Fecha]],TGastos[Monto])</f>
        <v>0</v>
      </c>
      <c r="L145" s="7">
        <f>Rdiario[[#This Row],[Ingresos Brutos]]-Rdiario[[#This Row],[Compras]]-Rdiario[[#This Row],[Gastos]]</f>
        <v>0</v>
      </c>
      <c r="M145" s="7">
        <f>Rdiario[[#This Row],[Ganancia]]-Rdiario[[#This Row],[Compras]]-Rdiario[[#This Row],[Gastos]]</f>
        <v>0</v>
      </c>
      <c r="P145" s="16"/>
    </row>
    <row r="146" spans="2:16">
      <c r="B146" s="9">
        <v>45069</v>
      </c>
      <c r="C14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6" s="6" t="s">
        <v>106</v>
      </c>
      <c r="E146" s="7">
        <f>SUMIF(Ventas[Fecha],Rdiario[[#This Row],[Fecha]],Ventas[Total])</f>
        <v>0</v>
      </c>
      <c r="F146" s="66">
        <f>SUMIF(Ventas[Fecha],Rdiario[[#This Row],[Fecha]],Ventas[Total 4])</f>
        <v>0</v>
      </c>
      <c r="G146" s="66">
        <f>Rdiario[[#This Row],[Ingresos Brutos]]-Rdiario[[#This Row],[Transferencia]]</f>
        <v>0</v>
      </c>
      <c r="H146" s="7">
        <f>Rdiario[[#This Row],[Ingresos Brutos]]-Rdiario[[#This Row],[Ganancia]]</f>
        <v>0</v>
      </c>
      <c r="I146" s="7">
        <f>SUMIF(Ventas[Fecha],Rdiario[[#This Row],[Fecha]],Ventas[Total 2])</f>
        <v>0</v>
      </c>
      <c r="J146" s="7">
        <f>SUMIF(Compras[Fecha],Rdiario[[#This Row],[Fecha]],Compras[Monto])</f>
        <v>0</v>
      </c>
      <c r="K146" s="7">
        <f>SUMIF(TGastos[Fecha],Rdiario[[#This Row],[Fecha]],TGastos[Monto])</f>
        <v>0</v>
      </c>
      <c r="L146" s="7">
        <f>Rdiario[[#This Row],[Ingresos Brutos]]-Rdiario[[#This Row],[Compras]]-Rdiario[[#This Row],[Gastos]]</f>
        <v>0</v>
      </c>
      <c r="M146" s="7">
        <f>Rdiario[[#This Row],[Ganancia]]-Rdiario[[#This Row],[Compras]]-Rdiario[[#This Row],[Gastos]]</f>
        <v>0</v>
      </c>
      <c r="P146" s="16"/>
    </row>
    <row r="147" spans="2:16">
      <c r="B147" s="9">
        <v>45070</v>
      </c>
      <c r="C14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7" s="6" t="s">
        <v>107</v>
      </c>
      <c r="E147" s="7">
        <f>SUMIF(Ventas[Fecha],Rdiario[[#This Row],[Fecha]],Ventas[Total])</f>
        <v>0</v>
      </c>
      <c r="F147" s="66">
        <f>SUMIF(Ventas[Fecha],Rdiario[[#This Row],[Fecha]],Ventas[Total 4])</f>
        <v>0</v>
      </c>
      <c r="G147" s="66">
        <f>Rdiario[[#This Row],[Ingresos Brutos]]-Rdiario[[#This Row],[Transferencia]]</f>
        <v>0</v>
      </c>
      <c r="H147" s="7">
        <f>Rdiario[[#This Row],[Ingresos Brutos]]-Rdiario[[#This Row],[Ganancia]]</f>
        <v>0</v>
      </c>
      <c r="I147" s="7">
        <f>SUMIF(Ventas[Fecha],Rdiario[[#This Row],[Fecha]],Ventas[Total 2])</f>
        <v>0</v>
      </c>
      <c r="J147" s="7">
        <f>SUMIF(Compras[Fecha],Rdiario[[#This Row],[Fecha]],Compras[Monto])</f>
        <v>0</v>
      </c>
      <c r="K147" s="7">
        <f>SUMIF(TGastos[Fecha],Rdiario[[#This Row],[Fecha]],TGastos[Monto])</f>
        <v>0</v>
      </c>
      <c r="L147" s="7">
        <f>Rdiario[[#This Row],[Ingresos Brutos]]-Rdiario[[#This Row],[Compras]]-Rdiario[[#This Row],[Gastos]]</f>
        <v>0</v>
      </c>
      <c r="M147" s="7">
        <f>Rdiario[[#This Row],[Ganancia]]-Rdiario[[#This Row],[Compras]]-Rdiario[[#This Row],[Gastos]]</f>
        <v>0</v>
      </c>
      <c r="P147" s="16"/>
    </row>
    <row r="148" spans="2:16">
      <c r="B148" s="9">
        <v>45071</v>
      </c>
      <c r="C14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8" s="6" t="s">
        <v>108</v>
      </c>
      <c r="E148" s="7">
        <f>SUMIF(Ventas[Fecha],Rdiario[[#This Row],[Fecha]],Ventas[Total])</f>
        <v>0</v>
      </c>
      <c r="F148" s="66">
        <f>SUMIF(Ventas[Fecha],Rdiario[[#This Row],[Fecha]],Ventas[Total 4])</f>
        <v>0</v>
      </c>
      <c r="G148" s="66">
        <f>Rdiario[[#This Row],[Ingresos Brutos]]-Rdiario[[#This Row],[Transferencia]]</f>
        <v>0</v>
      </c>
      <c r="H148" s="7">
        <f>Rdiario[[#This Row],[Ingresos Brutos]]-Rdiario[[#This Row],[Ganancia]]</f>
        <v>0</v>
      </c>
      <c r="I148" s="7">
        <f>SUMIF(Ventas[Fecha],Rdiario[[#This Row],[Fecha]],Ventas[Total 2])</f>
        <v>0</v>
      </c>
      <c r="J148" s="7">
        <f>SUMIF(Compras[Fecha],Rdiario[[#This Row],[Fecha]],Compras[Monto])</f>
        <v>0</v>
      </c>
      <c r="K148" s="7">
        <f>SUMIF(TGastos[Fecha],Rdiario[[#This Row],[Fecha]],TGastos[Monto])</f>
        <v>0</v>
      </c>
      <c r="L148" s="7">
        <f>Rdiario[[#This Row],[Ingresos Brutos]]-Rdiario[[#This Row],[Compras]]-Rdiario[[#This Row],[Gastos]]</f>
        <v>0</v>
      </c>
      <c r="M148" s="7">
        <f>Rdiario[[#This Row],[Ganancia]]-Rdiario[[#This Row],[Compras]]-Rdiario[[#This Row],[Gastos]]</f>
        <v>0</v>
      </c>
      <c r="P148" s="16"/>
    </row>
    <row r="149" spans="2:16">
      <c r="B149" s="9">
        <v>45072</v>
      </c>
      <c r="C14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9" s="6" t="s">
        <v>109</v>
      </c>
      <c r="E149" s="7">
        <f>SUMIF(Ventas[Fecha],Rdiario[[#This Row],[Fecha]],Ventas[Total])</f>
        <v>0</v>
      </c>
      <c r="F149" s="66">
        <f>SUMIF(Ventas[Fecha],Rdiario[[#This Row],[Fecha]],Ventas[Total 4])</f>
        <v>0</v>
      </c>
      <c r="G149" s="66">
        <f>Rdiario[[#This Row],[Ingresos Brutos]]-Rdiario[[#This Row],[Transferencia]]</f>
        <v>0</v>
      </c>
      <c r="H149" s="7">
        <f>Rdiario[[#This Row],[Ingresos Brutos]]-Rdiario[[#This Row],[Ganancia]]</f>
        <v>0</v>
      </c>
      <c r="I149" s="7">
        <f>SUMIF(Ventas[Fecha],Rdiario[[#This Row],[Fecha]],Ventas[Total 2])</f>
        <v>0</v>
      </c>
      <c r="J149" s="7">
        <f>SUMIF(Compras[Fecha],Rdiario[[#This Row],[Fecha]],Compras[Monto])</f>
        <v>0</v>
      </c>
      <c r="K149" s="7">
        <f>SUMIF(TGastos[Fecha],Rdiario[[#This Row],[Fecha]],TGastos[Monto])</f>
        <v>0</v>
      </c>
      <c r="L149" s="7">
        <f>Rdiario[[#This Row],[Ingresos Brutos]]-Rdiario[[#This Row],[Compras]]-Rdiario[[#This Row],[Gastos]]</f>
        <v>0</v>
      </c>
      <c r="M149" s="7">
        <f>Rdiario[[#This Row],[Ganancia]]-Rdiario[[#This Row],[Compras]]-Rdiario[[#This Row],[Gastos]]</f>
        <v>0</v>
      </c>
      <c r="P149" s="16"/>
    </row>
    <row r="150" spans="2:16">
      <c r="B150" s="9">
        <v>45073</v>
      </c>
      <c r="C15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0" s="6" t="s">
        <v>110</v>
      </c>
      <c r="E150" s="7">
        <f>SUMIF(Ventas[Fecha],Rdiario[[#This Row],[Fecha]],Ventas[Total])</f>
        <v>0</v>
      </c>
      <c r="F150" s="66">
        <f>SUMIF(Ventas[Fecha],Rdiario[[#This Row],[Fecha]],Ventas[Total 4])</f>
        <v>0</v>
      </c>
      <c r="G150" s="66">
        <f>Rdiario[[#This Row],[Ingresos Brutos]]-Rdiario[[#This Row],[Transferencia]]</f>
        <v>0</v>
      </c>
      <c r="H150" s="7">
        <f>Rdiario[[#This Row],[Ingresos Brutos]]-Rdiario[[#This Row],[Ganancia]]</f>
        <v>0</v>
      </c>
      <c r="I150" s="7">
        <f>SUMIF(Ventas[Fecha],Rdiario[[#This Row],[Fecha]],Ventas[Total 2])</f>
        <v>0</v>
      </c>
      <c r="J150" s="7">
        <f>SUMIF(Compras[Fecha],Rdiario[[#This Row],[Fecha]],Compras[Monto])</f>
        <v>0</v>
      </c>
      <c r="K150" s="7">
        <f>SUMIF(TGastos[Fecha],Rdiario[[#This Row],[Fecha]],TGastos[Monto])</f>
        <v>0</v>
      </c>
      <c r="L150" s="7">
        <f>Rdiario[[#This Row],[Ingresos Brutos]]-Rdiario[[#This Row],[Compras]]-Rdiario[[#This Row],[Gastos]]</f>
        <v>0</v>
      </c>
      <c r="M150" s="7">
        <f>Rdiario[[#This Row],[Ganancia]]-Rdiario[[#This Row],[Compras]]-Rdiario[[#This Row],[Gastos]]</f>
        <v>0</v>
      </c>
      <c r="P150" s="16"/>
    </row>
    <row r="151" spans="2:16">
      <c r="B151" s="9">
        <v>45074</v>
      </c>
      <c r="C15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1" s="6" t="s">
        <v>104</v>
      </c>
      <c r="E151" s="7">
        <f>SUMIF(Ventas[Fecha],Rdiario[[#This Row],[Fecha]],Ventas[Total])</f>
        <v>0</v>
      </c>
      <c r="F151" s="66">
        <f>SUMIF(Ventas[Fecha],Rdiario[[#This Row],[Fecha]],Ventas[Total 4])</f>
        <v>0</v>
      </c>
      <c r="G151" s="66">
        <f>Rdiario[[#This Row],[Ingresos Brutos]]-Rdiario[[#This Row],[Transferencia]]</f>
        <v>0</v>
      </c>
      <c r="H151" s="7">
        <f>Rdiario[[#This Row],[Ingresos Brutos]]-Rdiario[[#This Row],[Ganancia]]</f>
        <v>0</v>
      </c>
      <c r="I151" s="7">
        <f>SUMIF(Ventas[Fecha],Rdiario[[#This Row],[Fecha]],Ventas[Total 2])</f>
        <v>0</v>
      </c>
      <c r="J151" s="7">
        <f>SUMIF(Compras[Fecha],Rdiario[[#This Row],[Fecha]],Compras[Monto])</f>
        <v>0</v>
      </c>
      <c r="K151" s="7">
        <f>SUMIF(TGastos[Fecha],Rdiario[[#This Row],[Fecha]],TGastos[Monto])</f>
        <v>0</v>
      </c>
      <c r="L151" s="7">
        <f>Rdiario[[#This Row],[Ingresos Brutos]]-Rdiario[[#This Row],[Compras]]-Rdiario[[#This Row],[Gastos]]</f>
        <v>0</v>
      </c>
      <c r="M151" s="7">
        <f>Rdiario[[#This Row],[Ganancia]]-Rdiario[[#This Row],[Compras]]-Rdiario[[#This Row],[Gastos]]</f>
        <v>0</v>
      </c>
      <c r="P151" s="16"/>
    </row>
    <row r="152" spans="2:16">
      <c r="B152" s="9">
        <v>45075</v>
      </c>
      <c r="C15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2" s="6" t="s">
        <v>105</v>
      </c>
      <c r="E152" s="7">
        <f>SUMIF(Ventas[Fecha],Rdiario[[#This Row],[Fecha]],Ventas[Total])</f>
        <v>0</v>
      </c>
      <c r="F152" s="66">
        <f>SUMIF(Ventas[Fecha],Rdiario[[#This Row],[Fecha]],Ventas[Total 4])</f>
        <v>0</v>
      </c>
      <c r="G152" s="66">
        <f>Rdiario[[#This Row],[Ingresos Brutos]]-Rdiario[[#This Row],[Transferencia]]</f>
        <v>0</v>
      </c>
      <c r="H152" s="7">
        <f>Rdiario[[#This Row],[Ingresos Brutos]]-Rdiario[[#This Row],[Ganancia]]</f>
        <v>0</v>
      </c>
      <c r="I152" s="7">
        <f>SUMIF(Ventas[Fecha],Rdiario[[#This Row],[Fecha]],Ventas[Total 2])</f>
        <v>0</v>
      </c>
      <c r="J152" s="7">
        <f>SUMIF(Compras[Fecha],Rdiario[[#This Row],[Fecha]],Compras[Monto])</f>
        <v>0</v>
      </c>
      <c r="K152" s="7">
        <f>SUMIF(TGastos[Fecha],Rdiario[[#This Row],[Fecha]],TGastos[Monto])</f>
        <v>0</v>
      </c>
      <c r="L152" s="7">
        <f>Rdiario[[#This Row],[Ingresos Brutos]]-Rdiario[[#This Row],[Compras]]-Rdiario[[#This Row],[Gastos]]</f>
        <v>0</v>
      </c>
      <c r="M152" s="7">
        <f>Rdiario[[#This Row],[Ganancia]]-Rdiario[[#This Row],[Compras]]-Rdiario[[#This Row],[Gastos]]</f>
        <v>0</v>
      </c>
      <c r="P152" s="16"/>
    </row>
    <row r="153" spans="2:16">
      <c r="B153" s="9">
        <v>45076</v>
      </c>
      <c r="C15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3" s="6" t="s">
        <v>106</v>
      </c>
      <c r="E153" s="7">
        <f>SUMIF(Ventas[Fecha],Rdiario[[#This Row],[Fecha]],Ventas[Total])</f>
        <v>0</v>
      </c>
      <c r="F153" s="66">
        <f>SUMIF(Ventas[Fecha],Rdiario[[#This Row],[Fecha]],Ventas[Total 4])</f>
        <v>0</v>
      </c>
      <c r="G153" s="66">
        <f>Rdiario[[#This Row],[Ingresos Brutos]]-Rdiario[[#This Row],[Transferencia]]</f>
        <v>0</v>
      </c>
      <c r="H153" s="7">
        <f>Rdiario[[#This Row],[Ingresos Brutos]]-Rdiario[[#This Row],[Ganancia]]</f>
        <v>0</v>
      </c>
      <c r="I153" s="7">
        <f>SUMIF(Ventas[Fecha],Rdiario[[#This Row],[Fecha]],Ventas[Total 2])</f>
        <v>0</v>
      </c>
      <c r="J153" s="7">
        <f>SUMIF(Compras[Fecha],Rdiario[[#This Row],[Fecha]],Compras[Monto])</f>
        <v>0</v>
      </c>
      <c r="K153" s="7">
        <f>SUMIF(TGastos[Fecha],Rdiario[[#This Row],[Fecha]],TGastos[Monto])</f>
        <v>0</v>
      </c>
      <c r="L153" s="7">
        <f>Rdiario[[#This Row],[Ingresos Brutos]]-Rdiario[[#This Row],[Compras]]-Rdiario[[#This Row],[Gastos]]</f>
        <v>0</v>
      </c>
      <c r="M153" s="7">
        <f>Rdiario[[#This Row],[Ganancia]]-Rdiario[[#This Row],[Compras]]-Rdiario[[#This Row],[Gastos]]</f>
        <v>0</v>
      </c>
      <c r="P153" s="16"/>
    </row>
    <row r="154" spans="2:16">
      <c r="B154" s="9">
        <v>45077</v>
      </c>
      <c r="C15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4" s="6" t="s">
        <v>107</v>
      </c>
      <c r="E154" s="7">
        <f>SUMIF(Ventas[Fecha],Rdiario[[#This Row],[Fecha]],Ventas[Total])</f>
        <v>0</v>
      </c>
      <c r="F154" s="66">
        <f>SUMIF(Ventas[Fecha],Rdiario[[#This Row],[Fecha]],Ventas[Total 4])</f>
        <v>0</v>
      </c>
      <c r="G154" s="66">
        <f>Rdiario[[#This Row],[Ingresos Brutos]]-Rdiario[[#This Row],[Transferencia]]</f>
        <v>0</v>
      </c>
      <c r="H154" s="7">
        <f>Rdiario[[#This Row],[Ingresos Brutos]]-Rdiario[[#This Row],[Ganancia]]</f>
        <v>0</v>
      </c>
      <c r="I154" s="7">
        <f>SUMIF(Ventas[Fecha],Rdiario[[#This Row],[Fecha]],Ventas[Total 2])</f>
        <v>0</v>
      </c>
      <c r="J154" s="7">
        <f>SUMIF(Compras[Fecha],Rdiario[[#This Row],[Fecha]],Compras[Monto])</f>
        <v>0</v>
      </c>
      <c r="K154" s="7">
        <f>SUMIF(TGastos[Fecha],Rdiario[[#This Row],[Fecha]],TGastos[Monto])</f>
        <v>0</v>
      </c>
      <c r="L154" s="7">
        <f>Rdiario[[#This Row],[Ingresos Brutos]]-Rdiario[[#This Row],[Compras]]-Rdiario[[#This Row],[Gastos]]</f>
        <v>0</v>
      </c>
      <c r="M154" s="7">
        <f>Rdiario[[#This Row],[Ganancia]]-Rdiario[[#This Row],[Compras]]-Rdiario[[#This Row],[Gastos]]</f>
        <v>0</v>
      </c>
      <c r="P154" s="16"/>
    </row>
    <row r="155" spans="2:16">
      <c r="B155" s="9">
        <v>45078</v>
      </c>
      <c r="C15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55" s="6" t="s">
        <v>108</v>
      </c>
      <c r="E155" s="7">
        <f>SUMIF(Ventas[Fecha],Rdiario[[#This Row],[Fecha]],Ventas[Total])</f>
        <v>0</v>
      </c>
      <c r="F155" s="66">
        <f>SUMIF(Ventas[Fecha],Rdiario[[#This Row],[Fecha]],Ventas[Total 4])</f>
        <v>0</v>
      </c>
      <c r="G155" s="66">
        <f>Rdiario[[#This Row],[Ingresos Brutos]]-Rdiario[[#This Row],[Transferencia]]</f>
        <v>0</v>
      </c>
      <c r="H155" s="7">
        <f>Rdiario[[#This Row],[Ingresos Brutos]]-Rdiario[[#This Row],[Ganancia]]</f>
        <v>0</v>
      </c>
      <c r="I155" s="7">
        <f>SUMIF(Ventas[Fecha],Rdiario[[#This Row],[Fecha]],Ventas[Total 2])</f>
        <v>0</v>
      </c>
      <c r="J155" s="7">
        <f>SUMIF(Compras[Fecha],Rdiario[[#This Row],[Fecha]],Compras[Monto])</f>
        <v>0</v>
      </c>
      <c r="K155" s="7">
        <f>SUMIF(TGastos[Fecha],Rdiario[[#This Row],[Fecha]],TGastos[Monto])</f>
        <v>0</v>
      </c>
      <c r="L155" s="7">
        <f>Rdiario[[#This Row],[Ingresos Brutos]]-Rdiario[[#This Row],[Compras]]-Rdiario[[#This Row],[Gastos]]</f>
        <v>0</v>
      </c>
      <c r="M155" s="7">
        <f>Rdiario[[#This Row],[Ganancia]]-Rdiario[[#This Row],[Compras]]-Rdiario[[#This Row],[Gastos]]</f>
        <v>0</v>
      </c>
      <c r="P155" s="16"/>
    </row>
    <row r="156" spans="2:16">
      <c r="B156" s="9">
        <v>45079</v>
      </c>
      <c r="C15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56" s="6" t="s">
        <v>109</v>
      </c>
      <c r="E156" s="7">
        <f>SUMIF(Ventas[Fecha],Rdiario[[#This Row],[Fecha]],Ventas[Total])</f>
        <v>0</v>
      </c>
      <c r="F156" s="66">
        <f>SUMIF(Ventas[Fecha],Rdiario[[#This Row],[Fecha]],Ventas[Total 4])</f>
        <v>0</v>
      </c>
      <c r="G156" s="66">
        <f>Rdiario[[#This Row],[Ingresos Brutos]]-Rdiario[[#This Row],[Transferencia]]</f>
        <v>0</v>
      </c>
      <c r="H156" s="7">
        <f>Rdiario[[#This Row],[Ingresos Brutos]]-Rdiario[[#This Row],[Ganancia]]</f>
        <v>0</v>
      </c>
      <c r="I156" s="7">
        <f>SUMIF(Ventas[Fecha],Rdiario[[#This Row],[Fecha]],Ventas[Total 2])</f>
        <v>0</v>
      </c>
      <c r="J156" s="7">
        <f>SUMIF(Compras[Fecha],Rdiario[[#This Row],[Fecha]],Compras[Monto])</f>
        <v>0</v>
      </c>
      <c r="K156" s="7">
        <f>SUMIF(TGastos[Fecha],Rdiario[[#This Row],[Fecha]],TGastos[Monto])</f>
        <v>0</v>
      </c>
      <c r="L156" s="7">
        <f>Rdiario[[#This Row],[Ingresos Brutos]]-Rdiario[[#This Row],[Compras]]-Rdiario[[#This Row],[Gastos]]</f>
        <v>0</v>
      </c>
      <c r="M156" s="7">
        <f>Rdiario[[#This Row],[Ganancia]]-Rdiario[[#This Row],[Compras]]-Rdiario[[#This Row],[Gastos]]</f>
        <v>0</v>
      </c>
      <c r="P156" s="16"/>
    </row>
    <row r="157" spans="2:16">
      <c r="B157" s="9">
        <v>45080</v>
      </c>
      <c r="C15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57" s="6" t="s">
        <v>110</v>
      </c>
      <c r="E157" s="7">
        <f>SUMIF(Ventas[Fecha],Rdiario[[#This Row],[Fecha]],Ventas[Total])</f>
        <v>0</v>
      </c>
      <c r="F157" s="66">
        <f>SUMIF(Ventas[Fecha],Rdiario[[#This Row],[Fecha]],Ventas[Total 4])</f>
        <v>0</v>
      </c>
      <c r="G157" s="66">
        <f>Rdiario[[#This Row],[Ingresos Brutos]]-Rdiario[[#This Row],[Transferencia]]</f>
        <v>0</v>
      </c>
      <c r="H157" s="7">
        <f>Rdiario[[#This Row],[Ingresos Brutos]]-Rdiario[[#This Row],[Ganancia]]</f>
        <v>0</v>
      </c>
      <c r="I157" s="7">
        <f>SUMIF(Ventas[Fecha],Rdiario[[#This Row],[Fecha]],Ventas[Total 2])</f>
        <v>0</v>
      </c>
      <c r="J157" s="7">
        <f>SUMIF(Compras[Fecha],Rdiario[[#This Row],[Fecha]],Compras[Monto])</f>
        <v>0</v>
      </c>
      <c r="K157" s="7">
        <f>SUMIF(TGastos[Fecha],Rdiario[[#This Row],[Fecha]],TGastos[Monto])</f>
        <v>0</v>
      </c>
      <c r="L157" s="7">
        <f>Rdiario[[#This Row],[Ingresos Brutos]]-Rdiario[[#This Row],[Compras]]-Rdiario[[#This Row],[Gastos]]</f>
        <v>0</v>
      </c>
      <c r="M157" s="7">
        <f>Rdiario[[#This Row],[Ganancia]]-Rdiario[[#This Row],[Compras]]-Rdiario[[#This Row],[Gastos]]</f>
        <v>0</v>
      </c>
      <c r="P157" s="16"/>
    </row>
    <row r="158" spans="2:16">
      <c r="B158" s="9">
        <v>45081</v>
      </c>
      <c r="C15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58" s="6" t="s">
        <v>104</v>
      </c>
      <c r="E158" s="7">
        <f>SUMIF(Ventas[Fecha],Rdiario[[#This Row],[Fecha]],Ventas[Total])</f>
        <v>0</v>
      </c>
      <c r="F158" s="66">
        <f>SUMIF(Ventas[Fecha],Rdiario[[#This Row],[Fecha]],Ventas[Total 4])</f>
        <v>0</v>
      </c>
      <c r="G158" s="66">
        <f>Rdiario[[#This Row],[Ingresos Brutos]]-Rdiario[[#This Row],[Transferencia]]</f>
        <v>0</v>
      </c>
      <c r="H158" s="7">
        <f>Rdiario[[#This Row],[Ingresos Brutos]]-Rdiario[[#This Row],[Ganancia]]</f>
        <v>0</v>
      </c>
      <c r="I158" s="7">
        <f>SUMIF(Ventas[Fecha],Rdiario[[#This Row],[Fecha]],Ventas[Total 2])</f>
        <v>0</v>
      </c>
      <c r="J158" s="7">
        <f>SUMIF(Compras[Fecha],Rdiario[[#This Row],[Fecha]],Compras[Monto])</f>
        <v>0</v>
      </c>
      <c r="K158" s="7">
        <f>SUMIF(TGastos[Fecha],Rdiario[[#This Row],[Fecha]],TGastos[Monto])</f>
        <v>0</v>
      </c>
      <c r="L158" s="7">
        <f>Rdiario[[#This Row],[Ingresos Brutos]]-Rdiario[[#This Row],[Compras]]-Rdiario[[#This Row],[Gastos]]</f>
        <v>0</v>
      </c>
      <c r="M158" s="7">
        <f>Rdiario[[#This Row],[Ganancia]]-Rdiario[[#This Row],[Compras]]-Rdiario[[#This Row],[Gastos]]</f>
        <v>0</v>
      </c>
      <c r="P158" s="16"/>
    </row>
    <row r="159" spans="2:16">
      <c r="B159" s="9">
        <v>45082</v>
      </c>
      <c r="C15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59" s="6" t="s">
        <v>105</v>
      </c>
      <c r="E159" s="7">
        <f>SUMIF(Ventas[Fecha],Rdiario[[#This Row],[Fecha]],Ventas[Total])</f>
        <v>0</v>
      </c>
      <c r="F159" s="66">
        <f>SUMIF(Ventas[Fecha],Rdiario[[#This Row],[Fecha]],Ventas[Total 4])</f>
        <v>0</v>
      </c>
      <c r="G159" s="66">
        <f>Rdiario[[#This Row],[Ingresos Brutos]]-Rdiario[[#This Row],[Transferencia]]</f>
        <v>0</v>
      </c>
      <c r="H159" s="7">
        <f>Rdiario[[#This Row],[Ingresos Brutos]]-Rdiario[[#This Row],[Ganancia]]</f>
        <v>0</v>
      </c>
      <c r="I159" s="7">
        <f>SUMIF(Ventas[Fecha],Rdiario[[#This Row],[Fecha]],Ventas[Total 2])</f>
        <v>0</v>
      </c>
      <c r="J159" s="7">
        <f>SUMIF(Compras[Fecha],Rdiario[[#This Row],[Fecha]],Compras[Monto])</f>
        <v>0</v>
      </c>
      <c r="K159" s="7">
        <f>SUMIF(TGastos[Fecha],Rdiario[[#This Row],[Fecha]],TGastos[Monto])</f>
        <v>0</v>
      </c>
      <c r="L159" s="7">
        <f>Rdiario[[#This Row],[Ingresos Brutos]]-Rdiario[[#This Row],[Compras]]-Rdiario[[#This Row],[Gastos]]</f>
        <v>0</v>
      </c>
      <c r="M159" s="7">
        <f>Rdiario[[#This Row],[Ganancia]]-Rdiario[[#This Row],[Compras]]-Rdiario[[#This Row],[Gastos]]</f>
        <v>0</v>
      </c>
      <c r="P159" s="16"/>
    </row>
    <row r="160" spans="2:16">
      <c r="B160" s="9">
        <v>45083</v>
      </c>
      <c r="C16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0" s="6" t="s">
        <v>106</v>
      </c>
      <c r="E160" s="7">
        <f>SUMIF(Ventas[Fecha],Rdiario[[#This Row],[Fecha]],Ventas[Total])</f>
        <v>0</v>
      </c>
      <c r="F160" s="66">
        <f>SUMIF(Ventas[Fecha],Rdiario[[#This Row],[Fecha]],Ventas[Total 4])</f>
        <v>0</v>
      </c>
      <c r="G160" s="66">
        <f>Rdiario[[#This Row],[Ingresos Brutos]]-Rdiario[[#This Row],[Transferencia]]</f>
        <v>0</v>
      </c>
      <c r="H160" s="7">
        <f>Rdiario[[#This Row],[Ingresos Brutos]]-Rdiario[[#This Row],[Ganancia]]</f>
        <v>0</v>
      </c>
      <c r="I160" s="7">
        <f>SUMIF(Ventas[Fecha],Rdiario[[#This Row],[Fecha]],Ventas[Total 2])</f>
        <v>0</v>
      </c>
      <c r="J160" s="7">
        <f>SUMIF(Compras[Fecha],Rdiario[[#This Row],[Fecha]],Compras[Monto])</f>
        <v>0</v>
      </c>
      <c r="K160" s="7">
        <f>SUMIF(TGastos[Fecha],Rdiario[[#This Row],[Fecha]],TGastos[Monto])</f>
        <v>0</v>
      </c>
      <c r="L160" s="7">
        <f>Rdiario[[#This Row],[Ingresos Brutos]]-Rdiario[[#This Row],[Compras]]-Rdiario[[#This Row],[Gastos]]</f>
        <v>0</v>
      </c>
      <c r="M160" s="7">
        <f>Rdiario[[#This Row],[Ganancia]]-Rdiario[[#This Row],[Compras]]-Rdiario[[#This Row],[Gastos]]</f>
        <v>0</v>
      </c>
      <c r="P160" s="16"/>
    </row>
    <row r="161" spans="2:16">
      <c r="B161" s="9">
        <v>45084</v>
      </c>
      <c r="C16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1" s="6" t="s">
        <v>107</v>
      </c>
      <c r="E161" s="7">
        <f>SUMIF(Ventas[Fecha],Rdiario[[#This Row],[Fecha]],Ventas[Total])</f>
        <v>0</v>
      </c>
      <c r="F161" s="66">
        <f>SUMIF(Ventas[Fecha],Rdiario[[#This Row],[Fecha]],Ventas[Total 4])</f>
        <v>0</v>
      </c>
      <c r="G161" s="66">
        <f>Rdiario[[#This Row],[Ingresos Brutos]]-Rdiario[[#This Row],[Transferencia]]</f>
        <v>0</v>
      </c>
      <c r="H161" s="7">
        <f>Rdiario[[#This Row],[Ingresos Brutos]]-Rdiario[[#This Row],[Ganancia]]</f>
        <v>0</v>
      </c>
      <c r="I161" s="7">
        <f>SUMIF(Ventas[Fecha],Rdiario[[#This Row],[Fecha]],Ventas[Total 2])</f>
        <v>0</v>
      </c>
      <c r="J161" s="7">
        <f>SUMIF(Compras[Fecha],Rdiario[[#This Row],[Fecha]],Compras[Monto])</f>
        <v>0</v>
      </c>
      <c r="K161" s="7">
        <f>SUMIF(TGastos[Fecha],Rdiario[[#This Row],[Fecha]],TGastos[Monto])</f>
        <v>0</v>
      </c>
      <c r="L161" s="7">
        <f>Rdiario[[#This Row],[Ingresos Brutos]]-Rdiario[[#This Row],[Compras]]-Rdiario[[#This Row],[Gastos]]</f>
        <v>0</v>
      </c>
      <c r="M161" s="7">
        <f>Rdiario[[#This Row],[Ganancia]]-Rdiario[[#This Row],[Compras]]-Rdiario[[#This Row],[Gastos]]</f>
        <v>0</v>
      </c>
      <c r="P161" s="16"/>
    </row>
    <row r="162" spans="2:16">
      <c r="B162" s="9">
        <v>45085</v>
      </c>
      <c r="C16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2" s="6" t="s">
        <v>108</v>
      </c>
      <c r="E162" s="7">
        <f>SUMIF(Ventas[Fecha],Rdiario[[#This Row],[Fecha]],Ventas[Total])</f>
        <v>0</v>
      </c>
      <c r="F162" s="66">
        <f>SUMIF(Ventas[Fecha],Rdiario[[#This Row],[Fecha]],Ventas[Total 4])</f>
        <v>0</v>
      </c>
      <c r="G162" s="66">
        <f>Rdiario[[#This Row],[Ingresos Brutos]]-Rdiario[[#This Row],[Transferencia]]</f>
        <v>0</v>
      </c>
      <c r="H162" s="7">
        <f>Rdiario[[#This Row],[Ingresos Brutos]]-Rdiario[[#This Row],[Ganancia]]</f>
        <v>0</v>
      </c>
      <c r="I162" s="7">
        <f>SUMIF(Ventas[Fecha],Rdiario[[#This Row],[Fecha]],Ventas[Total 2])</f>
        <v>0</v>
      </c>
      <c r="J162" s="7">
        <f>SUMIF(Compras[Fecha],Rdiario[[#This Row],[Fecha]],Compras[Monto])</f>
        <v>0</v>
      </c>
      <c r="K162" s="7">
        <f>SUMIF(TGastos[Fecha],Rdiario[[#This Row],[Fecha]],TGastos[Monto])</f>
        <v>0</v>
      </c>
      <c r="L162" s="7">
        <f>Rdiario[[#This Row],[Ingresos Brutos]]-Rdiario[[#This Row],[Compras]]-Rdiario[[#This Row],[Gastos]]</f>
        <v>0</v>
      </c>
      <c r="M162" s="7">
        <f>Rdiario[[#This Row],[Ganancia]]-Rdiario[[#This Row],[Compras]]-Rdiario[[#This Row],[Gastos]]</f>
        <v>0</v>
      </c>
      <c r="P162" s="16"/>
    </row>
    <row r="163" spans="2:16">
      <c r="B163" s="9">
        <v>45086</v>
      </c>
      <c r="C16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3" s="6" t="s">
        <v>109</v>
      </c>
      <c r="E163" s="7">
        <f>SUMIF(Ventas[Fecha],Rdiario[[#This Row],[Fecha]],Ventas[Total])</f>
        <v>0</v>
      </c>
      <c r="F163" s="66">
        <f>SUMIF(Ventas[Fecha],Rdiario[[#This Row],[Fecha]],Ventas[Total 4])</f>
        <v>0</v>
      </c>
      <c r="G163" s="66">
        <f>Rdiario[[#This Row],[Ingresos Brutos]]-Rdiario[[#This Row],[Transferencia]]</f>
        <v>0</v>
      </c>
      <c r="H163" s="7">
        <f>Rdiario[[#This Row],[Ingresos Brutos]]-Rdiario[[#This Row],[Ganancia]]</f>
        <v>0</v>
      </c>
      <c r="I163" s="7">
        <f>SUMIF(Ventas[Fecha],Rdiario[[#This Row],[Fecha]],Ventas[Total 2])</f>
        <v>0</v>
      </c>
      <c r="J163" s="7">
        <f>SUMIF(Compras[Fecha],Rdiario[[#This Row],[Fecha]],Compras[Monto])</f>
        <v>0</v>
      </c>
      <c r="K163" s="7">
        <f>SUMIF(TGastos[Fecha],Rdiario[[#This Row],[Fecha]],TGastos[Monto])</f>
        <v>0</v>
      </c>
      <c r="L163" s="7">
        <f>Rdiario[[#This Row],[Ingresos Brutos]]-Rdiario[[#This Row],[Compras]]-Rdiario[[#This Row],[Gastos]]</f>
        <v>0</v>
      </c>
      <c r="M163" s="7">
        <f>Rdiario[[#This Row],[Ganancia]]-Rdiario[[#This Row],[Compras]]-Rdiario[[#This Row],[Gastos]]</f>
        <v>0</v>
      </c>
      <c r="P163" s="16"/>
    </row>
    <row r="164" spans="2:16">
      <c r="B164" s="9">
        <v>45087</v>
      </c>
      <c r="C16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4" s="6" t="s">
        <v>110</v>
      </c>
      <c r="E164" s="7">
        <f>SUMIF(Ventas[Fecha],Rdiario[[#This Row],[Fecha]],Ventas[Total])</f>
        <v>0</v>
      </c>
      <c r="F164" s="66">
        <f>SUMIF(Ventas[Fecha],Rdiario[[#This Row],[Fecha]],Ventas[Total 4])</f>
        <v>0</v>
      </c>
      <c r="G164" s="66">
        <f>Rdiario[[#This Row],[Ingresos Brutos]]-Rdiario[[#This Row],[Transferencia]]</f>
        <v>0</v>
      </c>
      <c r="H164" s="7">
        <f>Rdiario[[#This Row],[Ingresos Brutos]]-Rdiario[[#This Row],[Ganancia]]</f>
        <v>0</v>
      </c>
      <c r="I164" s="7">
        <f>SUMIF(Ventas[Fecha],Rdiario[[#This Row],[Fecha]],Ventas[Total 2])</f>
        <v>0</v>
      </c>
      <c r="J164" s="7">
        <f>SUMIF(Compras[Fecha],Rdiario[[#This Row],[Fecha]],Compras[Monto])</f>
        <v>0</v>
      </c>
      <c r="K164" s="7">
        <f>SUMIF(TGastos[Fecha],Rdiario[[#This Row],[Fecha]],TGastos[Monto])</f>
        <v>0</v>
      </c>
      <c r="L164" s="7">
        <f>Rdiario[[#This Row],[Ingresos Brutos]]-Rdiario[[#This Row],[Compras]]-Rdiario[[#This Row],[Gastos]]</f>
        <v>0</v>
      </c>
      <c r="M164" s="7">
        <f>Rdiario[[#This Row],[Ganancia]]-Rdiario[[#This Row],[Compras]]-Rdiario[[#This Row],[Gastos]]</f>
        <v>0</v>
      </c>
      <c r="P164" s="16"/>
    </row>
    <row r="165" spans="2:16">
      <c r="B165" s="9">
        <v>45088</v>
      </c>
      <c r="C16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5" s="6" t="s">
        <v>104</v>
      </c>
      <c r="E165" s="7">
        <f>SUMIF(Ventas[Fecha],Rdiario[[#This Row],[Fecha]],Ventas[Total])</f>
        <v>0</v>
      </c>
      <c r="F165" s="66">
        <f>SUMIF(Ventas[Fecha],Rdiario[[#This Row],[Fecha]],Ventas[Total 4])</f>
        <v>0</v>
      </c>
      <c r="G165" s="66">
        <f>Rdiario[[#This Row],[Ingresos Brutos]]-Rdiario[[#This Row],[Transferencia]]</f>
        <v>0</v>
      </c>
      <c r="H165" s="7">
        <f>Rdiario[[#This Row],[Ingresos Brutos]]-Rdiario[[#This Row],[Ganancia]]</f>
        <v>0</v>
      </c>
      <c r="I165" s="7">
        <f>SUMIF(Ventas[Fecha],Rdiario[[#This Row],[Fecha]],Ventas[Total 2])</f>
        <v>0</v>
      </c>
      <c r="J165" s="7">
        <f>SUMIF(Compras[Fecha],Rdiario[[#This Row],[Fecha]],Compras[Monto])</f>
        <v>0</v>
      </c>
      <c r="K165" s="7">
        <f>SUMIF(TGastos[Fecha],Rdiario[[#This Row],[Fecha]],TGastos[Monto])</f>
        <v>0</v>
      </c>
      <c r="L165" s="7">
        <f>Rdiario[[#This Row],[Ingresos Brutos]]-Rdiario[[#This Row],[Compras]]-Rdiario[[#This Row],[Gastos]]</f>
        <v>0</v>
      </c>
      <c r="M165" s="7">
        <f>Rdiario[[#This Row],[Ganancia]]-Rdiario[[#This Row],[Compras]]-Rdiario[[#This Row],[Gastos]]</f>
        <v>0</v>
      </c>
      <c r="P165" s="16"/>
    </row>
    <row r="166" spans="2:16">
      <c r="B166" s="9">
        <v>45089</v>
      </c>
      <c r="C16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6" s="6" t="s">
        <v>105</v>
      </c>
      <c r="E166" s="7">
        <f>SUMIF(Ventas[Fecha],Rdiario[[#This Row],[Fecha]],Ventas[Total])</f>
        <v>0</v>
      </c>
      <c r="F166" s="66">
        <f>SUMIF(Ventas[Fecha],Rdiario[[#This Row],[Fecha]],Ventas[Total 4])</f>
        <v>0</v>
      </c>
      <c r="G166" s="66">
        <f>Rdiario[[#This Row],[Ingresos Brutos]]-Rdiario[[#This Row],[Transferencia]]</f>
        <v>0</v>
      </c>
      <c r="H166" s="7">
        <f>Rdiario[[#This Row],[Ingresos Brutos]]-Rdiario[[#This Row],[Ganancia]]</f>
        <v>0</v>
      </c>
      <c r="I166" s="7">
        <f>SUMIF(Ventas[Fecha],Rdiario[[#This Row],[Fecha]],Ventas[Total 2])</f>
        <v>0</v>
      </c>
      <c r="J166" s="7">
        <f>SUMIF(Compras[Fecha],Rdiario[[#This Row],[Fecha]],Compras[Monto])</f>
        <v>0</v>
      </c>
      <c r="K166" s="7">
        <f>SUMIF(TGastos[Fecha],Rdiario[[#This Row],[Fecha]],TGastos[Monto])</f>
        <v>0</v>
      </c>
      <c r="L166" s="7">
        <f>Rdiario[[#This Row],[Ingresos Brutos]]-Rdiario[[#This Row],[Compras]]-Rdiario[[#This Row],[Gastos]]</f>
        <v>0</v>
      </c>
      <c r="M166" s="7">
        <f>Rdiario[[#This Row],[Ganancia]]-Rdiario[[#This Row],[Compras]]-Rdiario[[#This Row],[Gastos]]</f>
        <v>0</v>
      </c>
      <c r="P166" s="16"/>
    </row>
    <row r="167" spans="2:16">
      <c r="B167" s="9">
        <v>45090</v>
      </c>
      <c r="C16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7" s="6" t="s">
        <v>106</v>
      </c>
      <c r="E167" s="7">
        <f>SUMIF(Ventas[Fecha],Rdiario[[#This Row],[Fecha]],Ventas[Total])</f>
        <v>0</v>
      </c>
      <c r="F167" s="66">
        <f>SUMIF(Ventas[Fecha],Rdiario[[#This Row],[Fecha]],Ventas[Total 4])</f>
        <v>0</v>
      </c>
      <c r="G167" s="66">
        <f>Rdiario[[#This Row],[Ingresos Brutos]]-Rdiario[[#This Row],[Transferencia]]</f>
        <v>0</v>
      </c>
      <c r="H167" s="7">
        <f>Rdiario[[#This Row],[Ingresos Brutos]]-Rdiario[[#This Row],[Ganancia]]</f>
        <v>0</v>
      </c>
      <c r="I167" s="7">
        <f>SUMIF(Ventas[Fecha],Rdiario[[#This Row],[Fecha]],Ventas[Total 2])</f>
        <v>0</v>
      </c>
      <c r="J167" s="7">
        <f>SUMIF(Compras[Fecha],Rdiario[[#This Row],[Fecha]],Compras[Monto])</f>
        <v>0</v>
      </c>
      <c r="K167" s="7">
        <f>SUMIF(TGastos[Fecha],Rdiario[[#This Row],[Fecha]],TGastos[Monto])</f>
        <v>0</v>
      </c>
      <c r="L167" s="7">
        <f>Rdiario[[#This Row],[Ingresos Brutos]]-Rdiario[[#This Row],[Compras]]-Rdiario[[#This Row],[Gastos]]</f>
        <v>0</v>
      </c>
      <c r="M167" s="7">
        <f>Rdiario[[#This Row],[Ganancia]]-Rdiario[[#This Row],[Compras]]-Rdiario[[#This Row],[Gastos]]</f>
        <v>0</v>
      </c>
      <c r="P167" s="16"/>
    </row>
    <row r="168" spans="2:16">
      <c r="B168" s="9">
        <v>45091</v>
      </c>
      <c r="C16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8" s="6" t="s">
        <v>107</v>
      </c>
      <c r="E168" s="7">
        <f>SUMIF(Ventas[Fecha],Rdiario[[#This Row],[Fecha]],Ventas[Total])</f>
        <v>0</v>
      </c>
      <c r="F168" s="66">
        <f>SUMIF(Ventas[Fecha],Rdiario[[#This Row],[Fecha]],Ventas[Total 4])</f>
        <v>0</v>
      </c>
      <c r="G168" s="66">
        <f>Rdiario[[#This Row],[Ingresos Brutos]]-Rdiario[[#This Row],[Transferencia]]</f>
        <v>0</v>
      </c>
      <c r="H168" s="7">
        <f>Rdiario[[#This Row],[Ingresos Brutos]]-Rdiario[[#This Row],[Ganancia]]</f>
        <v>0</v>
      </c>
      <c r="I168" s="7">
        <f>SUMIF(Ventas[Fecha],Rdiario[[#This Row],[Fecha]],Ventas[Total 2])</f>
        <v>0</v>
      </c>
      <c r="J168" s="7">
        <f>SUMIF(Compras[Fecha],Rdiario[[#This Row],[Fecha]],Compras[Monto])</f>
        <v>0</v>
      </c>
      <c r="K168" s="7">
        <f>SUMIF(TGastos[Fecha],Rdiario[[#This Row],[Fecha]],TGastos[Monto])</f>
        <v>0</v>
      </c>
      <c r="L168" s="7">
        <f>Rdiario[[#This Row],[Ingresos Brutos]]-Rdiario[[#This Row],[Compras]]-Rdiario[[#This Row],[Gastos]]</f>
        <v>0</v>
      </c>
      <c r="M168" s="7">
        <f>Rdiario[[#This Row],[Ganancia]]-Rdiario[[#This Row],[Compras]]-Rdiario[[#This Row],[Gastos]]</f>
        <v>0</v>
      </c>
      <c r="P168" s="16"/>
    </row>
    <row r="169" spans="2:16">
      <c r="B169" s="9">
        <v>45092</v>
      </c>
      <c r="C16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9" s="6" t="s">
        <v>108</v>
      </c>
      <c r="E169" s="7">
        <f>SUMIF(Ventas[Fecha],Rdiario[[#This Row],[Fecha]],Ventas[Total])</f>
        <v>0</v>
      </c>
      <c r="F169" s="66">
        <f>SUMIF(Ventas[Fecha],Rdiario[[#This Row],[Fecha]],Ventas[Total 4])</f>
        <v>0</v>
      </c>
      <c r="G169" s="66">
        <f>Rdiario[[#This Row],[Ingresos Brutos]]-Rdiario[[#This Row],[Transferencia]]</f>
        <v>0</v>
      </c>
      <c r="H169" s="7">
        <f>Rdiario[[#This Row],[Ingresos Brutos]]-Rdiario[[#This Row],[Ganancia]]</f>
        <v>0</v>
      </c>
      <c r="I169" s="7">
        <f>SUMIF(Ventas[Fecha],Rdiario[[#This Row],[Fecha]],Ventas[Total 2])</f>
        <v>0</v>
      </c>
      <c r="J169" s="7">
        <f>SUMIF(Compras[Fecha],Rdiario[[#This Row],[Fecha]],Compras[Monto])</f>
        <v>0</v>
      </c>
      <c r="K169" s="7">
        <f>SUMIF(TGastos[Fecha],Rdiario[[#This Row],[Fecha]],TGastos[Monto])</f>
        <v>0</v>
      </c>
      <c r="L169" s="7">
        <f>Rdiario[[#This Row],[Ingresos Brutos]]-Rdiario[[#This Row],[Compras]]-Rdiario[[#This Row],[Gastos]]</f>
        <v>0</v>
      </c>
      <c r="M169" s="7">
        <f>Rdiario[[#This Row],[Ganancia]]-Rdiario[[#This Row],[Compras]]-Rdiario[[#This Row],[Gastos]]</f>
        <v>0</v>
      </c>
      <c r="P169" s="16"/>
    </row>
    <row r="170" spans="2:16">
      <c r="B170" s="9">
        <v>45093</v>
      </c>
      <c r="C17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0" s="6" t="s">
        <v>109</v>
      </c>
      <c r="E170" s="7">
        <f>SUMIF(Ventas[Fecha],Rdiario[[#This Row],[Fecha]],Ventas[Total])</f>
        <v>0</v>
      </c>
      <c r="F170" s="66">
        <f>SUMIF(Ventas[Fecha],Rdiario[[#This Row],[Fecha]],Ventas[Total 4])</f>
        <v>0</v>
      </c>
      <c r="G170" s="66">
        <f>Rdiario[[#This Row],[Ingresos Brutos]]-Rdiario[[#This Row],[Transferencia]]</f>
        <v>0</v>
      </c>
      <c r="H170" s="7">
        <f>Rdiario[[#This Row],[Ingresos Brutos]]-Rdiario[[#This Row],[Ganancia]]</f>
        <v>0</v>
      </c>
      <c r="I170" s="7">
        <f>SUMIF(Ventas[Fecha],Rdiario[[#This Row],[Fecha]],Ventas[Total 2])</f>
        <v>0</v>
      </c>
      <c r="J170" s="7">
        <f>SUMIF(Compras[Fecha],Rdiario[[#This Row],[Fecha]],Compras[Monto])</f>
        <v>0</v>
      </c>
      <c r="K170" s="7">
        <f>SUMIF(TGastos[Fecha],Rdiario[[#This Row],[Fecha]],TGastos[Monto])</f>
        <v>0</v>
      </c>
      <c r="L170" s="7">
        <f>Rdiario[[#This Row],[Ingresos Brutos]]-Rdiario[[#This Row],[Compras]]-Rdiario[[#This Row],[Gastos]]</f>
        <v>0</v>
      </c>
      <c r="M170" s="7">
        <f>Rdiario[[#This Row],[Ganancia]]-Rdiario[[#This Row],[Compras]]-Rdiario[[#This Row],[Gastos]]</f>
        <v>0</v>
      </c>
      <c r="P170" s="16"/>
    </row>
    <row r="171" spans="2:16">
      <c r="B171" s="9">
        <v>45094</v>
      </c>
      <c r="C17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1" s="6" t="s">
        <v>110</v>
      </c>
      <c r="E171" s="7">
        <f>SUMIF(Ventas[Fecha],Rdiario[[#This Row],[Fecha]],Ventas[Total])</f>
        <v>0</v>
      </c>
      <c r="F171" s="66">
        <f>SUMIF(Ventas[Fecha],Rdiario[[#This Row],[Fecha]],Ventas[Total 4])</f>
        <v>0</v>
      </c>
      <c r="G171" s="66">
        <f>Rdiario[[#This Row],[Ingresos Brutos]]-Rdiario[[#This Row],[Transferencia]]</f>
        <v>0</v>
      </c>
      <c r="H171" s="7">
        <f>Rdiario[[#This Row],[Ingresos Brutos]]-Rdiario[[#This Row],[Ganancia]]</f>
        <v>0</v>
      </c>
      <c r="I171" s="7">
        <f>SUMIF(Ventas[Fecha],Rdiario[[#This Row],[Fecha]],Ventas[Total 2])</f>
        <v>0</v>
      </c>
      <c r="J171" s="7">
        <f>SUMIF(Compras[Fecha],Rdiario[[#This Row],[Fecha]],Compras[Monto])</f>
        <v>0</v>
      </c>
      <c r="K171" s="7">
        <f>SUMIF(TGastos[Fecha],Rdiario[[#This Row],[Fecha]],TGastos[Monto])</f>
        <v>0</v>
      </c>
      <c r="L171" s="7">
        <f>Rdiario[[#This Row],[Ingresos Brutos]]-Rdiario[[#This Row],[Compras]]-Rdiario[[#This Row],[Gastos]]</f>
        <v>0</v>
      </c>
      <c r="M171" s="7">
        <f>Rdiario[[#This Row],[Ganancia]]-Rdiario[[#This Row],[Compras]]-Rdiario[[#This Row],[Gastos]]</f>
        <v>0</v>
      </c>
      <c r="P171" s="16"/>
    </row>
    <row r="172" spans="2:16">
      <c r="B172" s="9">
        <v>45095</v>
      </c>
      <c r="C17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2" s="6" t="s">
        <v>104</v>
      </c>
      <c r="E172" s="7">
        <f>SUMIF(Ventas[Fecha],Rdiario[[#This Row],[Fecha]],Ventas[Total])</f>
        <v>0</v>
      </c>
      <c r="F172" s="66">
        <f>SUMIF(Ventas[Fecha],Rdiario[[#This Row],[Fecha]],Ventas[Total 4])</f>
        <v>0</v>
      </c>
      <c r="G172" s="66">
        <f>Rdiario[[#This Row],[Ingresos Brutos]]-Rdiario[[#This Row],[Transferencia]]</f>
        <v>0</v>
      </c>
      <c r="H172" s="7">
        <f>Rdiario[[#This Row],[Ingresos Brutos]]-Rdiario[[#This Row],[Ganancia]]</f>
        <v>0</v>
      </c>
      <c r="I172" s="7">
        <f>SUMIF(Ventas[Fecha],Rdiario[[#This Row],[Fecha]],Ventas[Total 2])</f>
        <v>0</v>
      </c>
      <c r="J172" s="7">
        <f>SUMIF(Compras[Fecha],Rdiario[[#This Row],[Fecha]],Compras[Monto])</f>
        <v>0</v>
      </c>
      <c r="K172" s="7">
        <f>SUMIF(TGastos[Fecha],Rdiario[[#This Row],[Fecha]],TGastos[Monto])</f>
        <v>0</v>
      </c>
      <c r="L172" s="7">
        <f>Rdiario[[#This Row],[Ingresos Brutos]]-Rdiario[[#This Row],[Compras]]-Rdiario[[#This Row],[Gastos]]</f>
        <v>0</v>
      </c>
      <c r="M172" s="7">
        <f>Rdiario[[#This Row],[Ganancia]]-Rdiario[[#This Row],[Compras]]-Rdiario[[#This Row],[Gastos]]</f>
        <v>0</v>
      </c>
      <c r="P172" s="16"/>
    </row>
    <row r="173" spans="2:16">
      <c r="B173" s="9">
        <v>45096</v>
      </c>
      <c r="C17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3" s="6" t="s">
        <v>105</v>
      </c>
      <c r="E173" s="7">
        <f>SUMIF(Ventas[Fecha],Rdiario[[#This Row],[Fecha]],Ventas[Total])</f>
        <v>0</v>
      </c>
      <c r="F173" s="66">
        <f>SUMIF(Ventas[Fecha],Rdiario[[#This Row],[Fecha]],Ventas[Total 4])</f>
        <v>0</v>
      </c>
      <c r="G173" s="66">
        <f>Rdiario[[#This Row],[Ingresos Brutos]]-Rdiario[[#This Row],[Transferencia]]</f>
        <v>0</v>
      </c>
      <c r="H173" s="7">
        <f>Rdiario[[#This Row],[Ingresos Brutos]]-Rdiario[[#This Row],[Ganancia]]</f>
        <v>0</v>
      </c>
      <c r="I173" s="7">
        <f>SUMIF(Ventas[Fecha],Rdiario[[#This Row],[Fecha]],Ventas[Total 2])</f>
        <v>0</v>
      </c>
      <c r="J173" s="7">
        <f>SUMIF(Compras[Fecha],Rdiario[[#This Row],[Fecha]],Compras[Monto])</f>
        <v>0</v>
      </c>
      <c r="K173" s="7">
        <f>SUMIF(TGastos[Fecha],Rdiario[[#This Row],[Fecha]],TGastos[Monto])</f>
        <v>0</v>
      </c>
      <c r="L173" s="7">
        <f>Rdiario[[#This Row],[Ingresos Brutos]]-Rdiario[[#This Row],[Compras]]-Rdiario[[#This Row],[Gastos]]</f>
        <v>0</v>
      </c>
      <c r="M173" s="7">
        <f>Rdiario[[#This Row],[Ganancia]]-Rdiario[[#This Row],[Compras]]-Rdiario[[#This Row],[Gastos]]</f>
        <v>0</v>
      </c>
      <c r="P173" s="16"/>
    </row>
    <row r="174" spans="2:16">
      <c r="B174" s="9">
        <v>45097</v>
      </c>
      <c r="C17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4" s="6" t="s">
        <v>106</v>
      </c>
      <c r="E174" s="7">
        <f>SUMIF(Ventas[Fecha],Rdiario[[#This Row],[Fecha]],Ventas[Total])</f>
        <v>0</v>
      </c>
      <c r="F174" s="66">
        <f>SUMIF(Ventas[Fecha],Rdiario[[#This Row],[Fecha]],Ventas[Total 4])</f>
        <v>0</v>
      </c>
      <c r="G174" s="66">
        <f>Rdiario[[#This Row],[Ingresos Brutos]]-Rdiario[[#This Row],[Transferencia]]</f>
        <v>0</v>
      </c>
      <c r="H174" s="7">
        <f>Rdiario[[#This Row],[Ingresos Brutos]]-Rdiario[[#This Row],[Ganancia]]</f>
        <v>0</v>
      </c>
      <c r="I174" s="7">
        <f>SUMIF(Ventas[Fecha],Rdiario[[#This Row],[Fecha]],Ventas[Total 2])</f>
        <v>0</v>
      </c>
      <c r="J174" s="7">
        <f>SUMIF(Compras[Fecha],Rdiario[[#This Row],[Fecha]],Compras[Monto])</f>
        <v>0</v>
      </c>
      <c r="K174" s="7">
        <f>SUMIF(TGastos[Fecha],Rdiario[[#This Row],[Fecha]],TGastos[Monto])</f>
        <v>0</v>
      </c>
      <c r="L174" s="7">
        <f>Rdiario[[#This Row],[Ingresos Brutos]]-Rdiario[[#This Row],[Compras]]-Rdiario[[#This Row],[Gastos]]</f>
        <v>0</v>
      </c>
      <c r="M174" s="7">
        <f>Rdiario[[#This Row],[Ganancia]]-Rdiario[[#This Row],[Compras]]-Rdiario[[#This Row],[Gastos]]</f>
        <v>0</v>
      </c>
      <c r="P174" s="16"/>
    </row>
    <row r="175" spans="2:16">
      <c r="B175" s="9">
        <v>45098</v>
      </c>
      <c r="C17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5" s="6" t="s">
        <v>107</v>
      </c>
      <c r="E175" s="7">
        <f>SUMIF(Ventas[Fecha],Rdiario[[#This Row],[Fecha]],Ventas[Total])</f>
        <v>0</v>
      </c>
      <c r="F175" s="66">
        <f>SUMIF(Ventas[Fecha],Rdiario[[#This Row],[Fecha]],Ventas[Total 4])</f>
        <v>0</v>
      </c>
      <c r="G175" s="66">
        <f>Rdiario[[#This Row],[Ingresos Brutos]]-Rdiario[[#This Row],[Transferencia]]</f>
        <v>0</v>
      </c>
      <c r="H175" s="7">
        <f>Rdiario[[#This Row],[Ingresos Brutos]]-Rdiario[[#This Row],[Ganancia]]</f>
        <v>0</v>
      </c>
      <c r="I175" s="7">
        <f>SUMIF(Ventas[Fecha],Rdiario[[#This Row],[Fecha]],Ventas[Total 2])</f>
        <v>0</v>
      </c>
      <c r="J175" s="7">
        <f>SUMIF(Compras[Fecha],Rdiario[[#This Row],[Fecha]],Compras[Monto])</f>
        <v>0</v>
      </c>
      <c r="K175" s="7">
        <f>SUMIF(TGastos[Fecha],Rdiario[[#This Row],[Fecha]],TGastos[Monto])</f>
        <v>0</v>
      </c>
      <c r="L175" s="7">
        <f>Rdiario[[#This Row],[Ingresos Brutos]]-Rdiario[[#This Row],[Compras]]-Rdiario[[#This Row],[Gastos]]</f>
        <v>0</v>
      </c>
      <c r="M175" s="7">
        <f>Rdiario[[#This Row],[Ganancia]]-Rdiario[[#This Row],[Compras]]-Rdiario[[#This Row],[Gastos]]</f>
        <v>0</v>
      </c>
      <c r="P175" s="16"/>
    </row>
    <row r="176" spans="2:16">
      <c r="B176" s="9">
        <v>45099</v>
      </c>
      <c r="C17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6" s="6" t="s">
        <v>108</v>
      </c>
      <c r="E176" s="7">
        <f>SUMIF(Ventas[Fecha],Rdiario[[#This Row],[Fecha]],Ventas[Total])</f>
        <v>0</v>
      </c>
      <c r="F176" s="66">
        <f>SUMIF(Ventas[Fecha],Rdiario[[#This Row],[Fecha]],Ventas[Total 4])</f>
        <v>0</v>
      </c>
      <c r="G176" s="66">
        <f>Rdiario[[#This Row],[Ingresos Brutos]]-Rdiario[[#This Row],[Transferencia]]</f>
        <v>0</v>
      </c>
      <c r="H176" s="7">
        <f>Rdiario[[#This Row],[Ingresos Brutos]]-Rdiario[[#This Row],[Ganancia]]</f>
        <v>0</v>
      </c>
      <c r="I176" s="7">
        <f>SUMIF(Ventas[Fecha],Rdiario[[#This Row],[Fecha]],Ventas[Total 2])</f>
        <v>0</v>
      </c>
      <c r="J176" s="7">
        <f>SUMIF(Compras[Fecha],Rdiario[[#This Row],[Fecha]],Compras[Monto])</f>
        <v>0</v>
      </c>
      <c r="K176" s="7">
        <f>SUMIF(TGastos[Fecha],Rdiario[[#This Row],[Fecha]],TGastos[Monto])</f>
        <v>0</v>
      </c>
      <c r="L176" s="7">
        <f>Rdiario[[#This Row],[Ingresos Brutos]]-Rdiario[[#This Row],[Compras]]-Rdiario[[#This Row],[Gastos]]</f>
        <v>0</v>
      </c>
      <c r="M176" s="7">
        <f>Rdiario[[#This Row],[Ganancia]]-Rdiario[[#This Row],[Compras]]-Rdiario[[#This Row],[Gastos]]</f>
        <v>0</v>
      </c>
      <c r="P176" s="16"/>
    </row>
    <row r="177" spans="2:16">
      <c r="B177" s="9">
        <v>45100</v>
      </c>
      <c r="C17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7" s="6" t="s">
        <v>109</v>
      </c>
      <c r="E177" s="7">
        <f>SUMIF(Ventas[Fecha],Rdiario[[#This Row],[Fecha]],Ventas[Total])</f>
        <v>0</v>
      </c>
      <c r="F177" s="66">
        <f>SUMIF(Ventas[Fecha],Rdiario[[#This Row],[Fecha]],Ventas[Total 4])</f>
        <v>0</v>
      </c>
      <c r="G177" s="66">
        <f>Rdiario[[#This Row],[Ingresos Brutos]]-Rdiario[[#This Row],[Transferencia]]</f>
        <v>0</v>
      </c>
      <c r="H177" s="7">
        <f>Rdiario[[#This Row],[Ingresos Brutos]]-Rdiario[[#This Row],[Ganancia]]</f>
        <v>0</v>
      </c>
      <c r="I177" s="7">
        <f>SUMIF(Ventas[Fecha],Rdiario[[#This Row],[Fecha]],Ventas[Total 2])</f>
        <v>0</v>
      </c>
      <c r="J177" s="7">
        <f>SUMIF(Compras[Fecha],Rdiario[[#This Row],[Fecha]],Compras[Monto])</f>
        <v>0</v>
      </c>
      <c r="K177" s="7">
        <f>SUMIF(TGastos[Fecha],Rdiario[[#This Row],[Fecha]],TGastos[Monto])</f>
        <v>0</v>
      </c>
      <c r="L177" s="7">
        <f>Rdiario[[#This Row],[Ingresos Brutos]]-Rdiario[[#This Row],[Compras]]-Rdiario[[#This Row],[Gastos]]</f>
        <v>0</v>
      </c>
      <c r="M177" s="7">
        <f>Rdiario[[#This Row],[Ganancia]]-Rdiario[[#This Row],[Compras]]-Rdiario[[#This Row],[Gastos]]</f>
        <v>0</v>
      </c>
      <c r="P177" s="16"/>
    </row>
    <row r="178" spans="2:16">
      <c r="B178" s="9">
        <v>45101</v>
      </c>
      <c r="C17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8" s="6" t="s">
        <v>110</v>
      </c>
      <c r="E178" s="7">
        <f>SUMIF(Ventas[Fecha],Rdiario[[#This Row],[Fecha]],Ventas[Total])</f>
        <v>0</v>
      </c>
      <c r="F178" s="66">
        <f>SUMIF(Ventas[Fecha],Rdiario[[#This Row],[Fecha]],Ventas[Total 4])</f>
        <v>0</v>
      </c>
      <c r="G178" s="66">
        <f>Rdiario[[#This Row],[Ingresos Brutos]]-Rdiario[[#This Row],[Transferencia]]</f>
        <v>0</v>
      </c>
      <c r="H178" s="7">
        <f>Rdiario[[#This Row],[Ingresos Brutos]]-Rdiario[[#This Row],[Ganancia]]</f>
        <v>0</v>
      </c>
      <c r="I178" s="7">
        <f>SUMIF(Ventas[Fecha],Rdiario[[#This Row],[Fecha]],Ventas[Total 2])</f>
        <v>0</v>
      </c>
      <c r="J178" s="7">
        <f>SUMIF(Compras[Fecha],Rdiario[[#This Row],[Fecha]],Compras[Monto])</f>
        <v>0</v>
      </c>
      <c r="K178" s="7">
        <f>SUMIF(TGastos[Fecha],Rdiario[[#This Row],[Fecha]],TGastos[Monto])</f>
        <v>0</v>
      </c>
      <c r="L178" s="7">
        <f>Rdiario[[#This Row],[Ingresos Brutos]]-Rdiario[[#This Row],[Compras]]-Rdiario[[#This Row],[Gastos]]</f>
        <v>0</v>
      </c>
      <c r="M178" s="7">
        <f>Rdiario[[#This Row],[Ganancia]]-Rdiario[[#This Row],[Compras]]-Rdiario[[#This Row],[Gastos]]</f>
        <v>0</v>
      </c>
      <c r="P178" s="16"/>
    </row>
    <row r="179" spans="2:16">
      <c r="B179" s="9">
        <v>45102</v>
      </c>
      <c r="C17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9" s="6" t="s">
        <v>104</v>
      </c>
      <c r="E179" s="7">
        <f>SUMIF(Ventas[Fecha],Rdiario[[#This Row],[Fecha]],Ventas[Total])</f>
        <v>0</v>
      </c>
      <c r="F179" s="66">
        <f>SUMIF(Ventas[Fecha],Rdiario[[#This Row],[Fecha]],Ventas[Total 4])</f>
        <v>0</v>
      </c>
      <c r="G179" s="66">
        <f>Rdiario[[#This Row],[Ingresos Brutos]]-Rdiario[[#This Row],[Transferencia]]</f>
        <v>0</v>
      </c>
      <c r="H179" s="7">
        <f>Rdiario[[#This Row],[Ingresos Brutos]]-Rdiario[[#This Row],[Ganancia]]</f>
        <v>0</v>
      </c>
      <c r="I179" s="7">
        <f>SUMIF(Ventas[Fecha],Rdiario[[#This Row],[Fecha]],Ventas[Total 2])</f>
        <v>0</v>
      </c>
      <c r="J179" s="7">
        <f>SUMIF(Compras[Fecha],Rdiario[[#This Row],[Fecha]],Compras[Monto])</f>
        <v>0</v>
      </c>
      <c r="K179" s="7">
        <f>SUMIF(TGastos[Fecha],Rdiario[[#This Row],[Fecha]],TGastos[Monto])</f>
        <v>0</v>
      </c>
      <c r="L179" s="7">
        <f>Rdiario[[#This Row],[Ingresos Brutos]]-Rdiario[[#This Row],[Compras]]-Rdiario[[#This Row],[Gastos]]</f>
        <v>0</v>
      </c>
      <c r="M179" s="7">
        <f>Rdiario[[#This Row],[Ganancia]]-Rdiario[[#This Row],[Compras]]-Rdiario[[#This Row],[Gastos]]</f>
        <v>0</v>
      </c>
      <c r="P179" s="16"/>
    </row>
    <row r="180" spans="2:16">
      <c r="B180" s="9">
        <v>45103</v>
      </c>
      <c r="C18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0" s="6" t="s">
        <v>105</v>
      </c>
      <c r="E180" s="7">
        <f>SUMIF(Ventas[Fecha],Rdiario[[#This Row],[Fecha]],Ventas[Total])</f>
        <v>0</v>
      </c>
      <c r="F180" s="66">
        <f>SUMIF(Ventas[Fecha],Rdiario[[#This Row],[Fecha]],Ventas[Total 4])</f>
        <v>0</v>
      </c>
      <c r="G180" s="66">
        <f>Rdiario[[#This Row],[Ingresos Brutos]]-Rdiario[[#This Row],[Transferencia]]</f>
        <v>0</v>
      </c>
      <c r="H180" s="7">
        <f>Rdiario[[#This Row],[Ingresos Brutos]]-Rdiario[[#This Row],[Ganancia]]</f>
        <v>0</v>
      </c>
      <c r="I180" s="7">
        <f>SUMIF(Ventas[Fecha],Rdiario[[#This Row],[Fecha]],Ventas[Total 2])</f>
        <v>0</v>
      </c>
      <c r="J180" s="7">
        <f>SUMIF(Compras[Fecha],Rdiario[[#This Row],[Fecha]],Compras[Monto])</f>
        <v>0</v>
      </c>
      <c r="K180" s="7">
        <f>SUMIF(TGastos[Fecha],Rdiario[[#This Row],[Fecha]],TGastos[Monto])</f>
        <v>0</v>
      </c>
      <c r="L180" s="7">
        <f>Rdiario[[#This Row],[Ingresos Brutos]]-Rdiario[[#This Row],[Compras]]-Rdiario[[#This Row],[Gastos]]</f>
        <v>0</v>
      </c>
      <c r="M180" s="7">
        <f>Rdiario[[#This Row],[Ganancia]]-Rdiario[[#This Row],[Compras]]-Rdiario[[#This Row],[Gastos]]</f>
        <v>0</v>
      </c>
      <c r="P180" s="16"/>
    </row>
    <row r="181" spans="2:16">
      <c r="B181" s="9">
        <v>45104</v>
      </c>
      <c r="C18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1" s="6" t="s">
        <v>106</v>
      </c>
      <c r="E181" s="7">
        <f>SUMIF(Ventas[Fecha],Rdiario[[#This Row],[Fecha]],Ventas[Total])</f>
        <v>0</v>
      </c>
      <c r="F181" s="66">
        <f>SUMIF(Ventas[Fecha],Rdiario[[#This Row],[Fecha]],Ventas[Total 4])</f>
        <v>0</v>
      </c>
      <c r="G181" s="66">
        <f>Rdiario[[#This Row],[Ingresos Brutos]]-Rdiario[[#This Row],[Transferencia]]</f>
        <v>0</v>
      </c>
      <c r="H181" s="7">
        <f>Rdiario[[#This Row],[Ingresos Brutos]]-Rdiario[[#This Row],[Ganancia]]</f>
        <v>0</v>
      </c>
      <c r="I181" s="7">
        <f>SUMIF(Ventas[Fecha],Rdiario[[#This Row],[Fecha]],Ventas[Total 2])</f>
        <v>0</v>
      </c>
      <c r="J181" s="7">
        <f>SUMIF(Compras[Fecha],Rdiario[[#This Row],[Fecha]],Compras[Monto])</f>
        <v>0</v>
      </c>
      <c r="K181" s="7">
        <f>SUMIF(TGastos[Fecha],Rdiario[[#This Row],[Fecha]],TGastos[Monto])</f>
        <v>0</v>
      </c>
      <c r="L181" s="7">
        <f>Rdiario[[#This Row],[Ingresos Brutos]]-Rdiario[[#This Row],[Compras]]-Rdiario[[#This Row],[Gastos]]</f>
        <v>0</v>
      </c>
      <c r="M181" s="7">
        <f>Rdiario[[#This Row],[Ganancia]]-Rdiario[[#This Row],[Compras]]-Rdiario[[#This Row],[Gastos]]</f>
        <v>0</v>
      </c>
      <c r="P181" s="16"/>
    </row>
    <row r="182" spans="2:16">
      <c r="B182" s="9">
        <v>45105</v>
      </c>
      <c r="C18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2" s="6" t="s">
        <v>107</v>
      </c>
      <c r="E182" s="7">
        <f>SUMIF(Ventas[Fecha],Rdiario[[#This Row],[Fecha]],Ventas[Total])</f>
        <v>0</v>
      </c>
      <c r="F182" s="66">
        <f>SUMIF(Ventas[Fecha],Rdiario[[#This Row],[Fecha]],Ventas[Total 4])</f>
        <v>0</v>
      </c>
      <c r="G182" s="66">
        <f>Rdiario[[#This Row],[Ingresos Brutos]]-Rdiario[[#This Row],[Transferencia]]</f>
        <v>0</v>
      </c>
      <c r="H182" s="7">
        <f>Rdiario[[#This Row],[Ingresos Brutos]]-Rdiario[[#This Row],[Ganancia]]</f>
        <v>0</v>
      </c>
      <c r="I182" s="7">
        <f>SUMIF(Ventas[Fecha],Rdiario[[#This Row],[Fecha]],Ventas[Total 2])</f>
        <v>0</v>
      </c>
      <c r="J182" s="7">
        <f>SUMIF(Compras[Fecha],Rdiario[[#This Row],[Fecha]],Compras[Monto])</f>
        <v>0</v>
      </c>
      <c r="K182" s="7">
        <f>SUMIF(TGastos[Fecha],Rdiario[[#This Row],[Fecha]],TGastos[Monto])</f>
        <v>0</v>
      </c>
      <c r="L182" s="7">
        <f>Rdiario[[#This Row],[Ingresos Brutos]]-Rdiario[[#This Row],[Compras]]-Rdiario[[#This Row],[Gastos]]</f>
        <v>0</v>
      </c>
      <c r="M182" s="7">
        <f>Rdiario[[#This Row],[Ganancia]]-Rdiario[[#This Row],[Compras]]-Rdiario[[#This Row],[Gastos]]</f>
        <v>0</v>
      </c>
      <c r="P182" s="16"/>
    </row>
    <row r="183" spans="2:16">
      <c r="B183" s="9">
        <v>45106</v>
      </c>
      <c r="C18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3" s="6" t="s">
        <v>108</v>
      </c>
      <c r="E183" s="7">
        <f>SUMIF(Ventas[Fecha],Rdiario[[#This Row],[Fecha]],Ventas[Total])</f>
        <v>0</v>
      </c>
      <c r="F183" s="66">
        <f>SUMIF(Ventas[Fecha],Rdiario[[#This Row],[Fecha]],Ventas[Total 4])</f>
        <v>0</v>
      </c>
      <c r="G183" s="66">
        <f>Rdiario[[#This Row],[Ingresos Brutos]]-Rdiario[[#This Row],[Transferencia]]</f>
        <v>0</v>
      </c>
      <c r="H183" s="7">
        <f>Rdiario[[#This Row],[Ingresos Brutos]]-Rdiario[[#This Row],[Ganancia]]</f>
        <v>0</v>
      </c>
      <c r="I183" s="7">
        <f>SUMIF(Ventas[Fecha],Rdiario[[#This Row],[Fecha]],Ventas[Total 2])</f>
        <v>0</v>
      </c>
      <c r="J183" s="7">
        <f>SUMIF(Compras[Fecha],Rdiario[[#This Row],[Fecha]],Compras[Monto])</f>
        <v>0</v>
      </c>
      <c r="K183" s="7">
        <f>SUMIF(TGastos[Fecha],Rdiario[[#This Row],[Fecha]],TGastos[Monto])</f>
        <v>0</v>
      </c>
      <c r="L183" s="7">
        <f>Rdiario[[#This Row],[Ingresos Brutos]]-Rdiario[[#This Row],[Compras]]-Rdiario[[#This Row],[Gastos]]</f>
        <v>0</v>
      </c>
      <c r="M183" s="7">
        <f>Rdiario[[#This Row],[Ganancia]]-Rdiario[[#This Row],[Compras]]-Rdiario[[#This Row],[Gastos]]</f>
        <v>0</v>
      </c>
      <c r="P183" s="16"/>
    </row>
    <row r="184" spans="2:16">
      <c r="B184" s="9">
        <v>45107</v>
      </c>
      <c r="C18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4" s="6" t="s">
        <v>109</v>
      </c>
      <c r="E184" s="7">
        <f>SUMIF(Ventas[Fecha],Rdiario[[#This Row],[Fecha]],Ventas[Total])</f>
        <v>0</v>
      </c>
      <c r="F184" s="66">
        <f>SUMIF(Ventas[Fecha],Rdiario[[#This Row],[Fecha]],Ventas[Total 4])</f>
        <v>0</v>
      </c>
      <c r="G184" s="66">
        <f>Rdiario[[#This Row],[Ingresos Brutos]]-Rdiario[[#This Row],[Transferencia]]</f>
        <v>0</v>
      </c>
      <c r="H184" s="7">
        <f>Rdiario[[#This Row],[Ingresos Brutos]]-Rdiario[[#This Row],[Ganancia]]</f>
        <v>0</v>
      </c>
      <c r="I184" s="7">
        <f>SUMIF(Ventas[Fecha],Rdiario[[#This Row],[Fecha]],Ventas[Total 2])</f>
        <v>0</v>
      </c>
      <c r="J184" s="7">
        <f>SUMIF(Compras[Fecha],Rdiario[[#This Row],[Fecha]],Compras[Monto])</f>
        <v>0</v>
      </c>
      <c r="K184" s="7">
        <f>SUMIF(TGastos[Fecha],Rdiario[[#This Row],[Fecha]],TGastos[Monto])</f>
        <v>0</v>
      </c>
      <c r="L184" s="7">
        <f>Rdiario[[#This Row],[Ingresos Brutos]]-Rdiario[[#This Row],[Compras]]-Rdiario[[#This Row],[Gastos]]</f>
        <v>0</v>
      </c>
      <c r="M184" s="7">
        <f>Rdiario[[#This Row],[Ganancia]]-Rdiario[[#This Row],[Compras]]-Rdiario[[#This Row],[Gastos]]</f>
        <v>0</v>
      </c>
      <c r="P184" s="16"/>
    </row>
    <row r="185" spans="2:16">
      <c r="B185" s="9">
        <v>45108</v>
      </c>
      <c r="C18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85" s="6" t="s">
        <v>110</v>
      </c>
      <c r="E185" s="7">
        <f>SUMIF(Ventas[Fecha],Rdiario[[#This Row],[Fecha]],Ventas[Total])</f>
        <v>0</v>
      </c>
      <c r="F185" s="66">
        <f>SUMIF(Ventas[Fecha],Rdiario[[#This Row],[Fecha]],Ventas[Total 4])</f>
        <v>0</v>
      </c>
      <c r="G185" s="66">
        <f>Rdiario[[#This Row],[Ingresos Brutos]]-Rdiario[[#This Row],[Transferencia]]</f>
        <v>0</v>
      </c>
      <c r="H185" s="7">
        <f>Rdiario[[#This Row],[Ingresos Brutos]]-Rdiario[[#This Row],[Ganancia]]</f>
        <v>0</v>
      </c>
      <c r="I185" s="7">
        <f>SUMIF(Ventas[Fecha],Rdiario[[#This Row],[Fecha]],Ventas[Total 2])</f>
        <v>0</v>
      </c>
      <c r="J185" s="7">
        <f>SUMIF(Compras[Fecha],Rdiario[[#This Row],[Fecha]],Compras[Monto])</f>
        <v>0</v>
      </c>
      <c r="K185" s="7">
        <f>SUMIF(TGastos[Fecha],Rdiario[[#This Row],[Fecha]],TGastos[Monto])</f>
        <v>0</v>
      </c>
      <c r="L185" s="7">
        <f>Rdiario[[#This Row],[Ingresos Brutos]]-Rdiario[[#This Row],[Compras]]-Rdiario[[#This Row],[Gastos]]</f>
        <v>0</v>
      </c>
      <c r="M185" s="7">
        <f>Rdiario[[#This Row],[Ganancia]]-Rdiario[[#This Row],[Compras]]-Rdiario[[#This Row],[Gastos]]</f>
        <v>0</v>
      </c>
      <c r="P185" s="16"/>
    </row>
    <row r="186" spans="2:16">
      <c r="B186" s="9">
        <v>45109</v>
      </c>
      <c r="C18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86" s="6" t="s">
        <v>104</v>
      </c>
      <c r="E186" s="7">
        <f>SUMIF(Ventas[Fecha],Rdiario[[#This Row],[Fecha]],Ventas[Total])</f>
        <v>0</v>
      </c>
      <c r="F186" s="66">
        <f>SUMIF(Ventas[Fecha],Rdiario[[#This Row],[Fecha]],Ventas[Total 4])</f>
        <v>0</v>
      </c>
      <c r="G186" s="66">
        <f>Rdiario[[#This Row],[Ingresos Brutos]]-Rdiario[[#This Row],[Transferencia]]</f>
        <v>0</v>
      </c>
      <c r="H186" s="7">
        <f>Rdiario[[#This Row],[Ingresos Brutos]]-Rdiario[[#This Row],[Ganancia]]</f>
        <v>0</v>
      </c>
      <c r="I186" s="7">
        <f>SUMIF(Ventas[Fecha],Rdiario[[#This Row],[Fecha]],Ventas[Total 2])</f>
        <v>0</v>
      </c>
      <c r="J186" s="7">
        <f>SUMIF(Compras[Fecha],Rdiario[[#This Row],[Fecha]],Compras[Monto])</f>
        <v>0</v>
      </c>
      <c r="K186" s="7">
        <f>SUMIF(TGastos[Fecha],Rdiario[[#This Row],[Fecha]],TGastos[Monto])</f>
        <v>0</v>
      </c>
      <c r="L186" s="7">
        <f>Rdiario[[#This Row],[Ingresos Brutos]]-Rdiario[[#This Row],[Compras]]-Rdiario[[#This Row],[Gastos]]</f>
        <v>0</v>
      </c>
      <c r="M186" s="7">
        <f>Rdiario[[#This Row],[Ganancia]]-Rdiario[[#This Row],[Compras]]-Rdiario[[#This Row],[Gastos]]</f>
        <v>0</v>
      </c>
      <c r="P186" s="16"/>
    </row>
    <row r="187" spans="2:16">
      <c r="B187" s="9">
        <v>45110</v>
      </c>
      <c r="C18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87" s="6" t="s">
        <v>105</v>
      </c>
      <c r="E187" s="7">
        <f>SUMIF(Ventas[Fecha],Rdiario[[#This Row],[Fecha]],Ventas[Total])</f>
        <v>0</v>
      </c>
      <c r="F187" s="66">
        <f>SUMIF(Ventas[Fecha],Rdiario[[#This Row],[Fecha]],Ventas[Total 4])</f>
        <v>0</v>
      </c>
      <c r="G187" s="66">
        <f>Rdiario[[#This Row],[Ingresos Brutos]]-Rdiario[[#This Row],[Transferencia]]</f>
        <v>0</v>
      </c>
      <c r="H187" s="7">
        <f>Rdiario[[#This Row],[Ingresos Brutos]]-Rdiario[[#This Row],[Ganancia]]</f>
        <v>0</v>
      </c>
      <c r="I187" s="7">
        <f>SUMIF(Ventas[Fecha],Rdiario[[#This Row],[Fecha]],Ventas[Total 2])</f>
        <v>0</v>
      </c>
      <c r="J187" s="7">
        <f>SUMIF(Compras[Fecha],Rdiario[[#This Row],[Fecha]],Compras[Monto])</f>
        <v>0</v>
      </c>
      <c r="K187" s="7">
        <f>SUMIF(TGastos[Fecha],Rdiario[[#This Row],[Fecha]],TGastos[Monto])</f>
        <v>0</v>
      </c>
      <c r="L187" s="7">
        <f>Rdiario[[#This Row],[Ingresos Brutos]]-Rdiario[[#This Row],[Compras]]-Rdiario[[#This Row],[Gastos]]</f>
        <v>0</v>
      </c>
      <c r="M187" s="7">
        <f>Rdiario[[#This Row],[Ganancia]]-Rdiario[[#This Row],[Compras]]-Rdiario[[#This Row],[Gastos]]</f>
        <v>0</v>
      </c>
      <c r="P187" s="16"/>
    </row>
    <row r="188" spans="2:16">
      <c r="B188" s="9">
        <v>45111</v>
      </c>
      <c r="C18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88" s="6" t="s">
        <v>106</v>
      </c>
      <c r="E188" s="7">
        <f>SUMIF(Ventas[Fecha],Rdiario[[#This Row],[Fecha]],Ventas[Total])</f>
        <v>0</v>
      </c>
      <c r="F188" s="66">
        <f>SUMIF(Ventas[Fecha],Rdiario[[#This Row],[Fecha]],Ventas[Total 4])</f>
        <v>0</v>
      </c>
      <c r="G188" s="66">
        <f>Rdiario[[#This Row],[Ingresos Brutos]]-Rdiario[[#This Row],[Transferencia]]</f>
        <v>0</v>
      </c>
      <c r="H188" s="7">
        <f>Rdiario[[#This Row],[Ingresos Brutos]]-Rdiario[[#This Row],[Ganancia]]</f>
        <v>0</v>
      </c>
      <c r="I188" s="7">
        <f>SUMIF(Ventas[Fecha],Rdiario[[#This Row],[Fecha]],Ventas[Total 2])</f>
        <v>0</v>
      </c>
      <c r="J188" s="7">
        <f>SUMIF(Compras[Fecha],Rdiario[[#This Row],[Fecha]],Compras[Monto])</f>
        <v>0</v>
      </c>
      <c r="K188" s="7">
        <f>SUMIF(TGastos[Fecha],Rdiario[[#This Row],[Fecha]],TGastos[Monto])</f>
        <v>0</v>
      </c>
      <c r="L188" s="7">
        <f>Rdiario[[#This Row],[Ingresos Brutos]]-Rdiario[[#This Row],[Compras]]-Rdiario[[#This Row],[Gastos]]</f>
        <v>0</v>
      </c>
      <c r="M188" s="7">
        <f>Rdiario[[#This Row],[Ganancia]]-Rdiario[[#This Row],[Compras]]-Rdiario[[#This Row],[Gastos]]</f>
        <v>0</v>
      </c>
      <c r="P188" s="16"/>
    </row>
    <row r="189" spans="2:16">
      <c r="B189" s="9">
        <v>45112</v>
      </c>
      <c r="C18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89" s="6" t="s">
        <v>107</v>
      </c>
      <c r="E189" s="7">
        <f>SUMIF(Ventas[Fecha],Rdiario[[#This Row],[Fecha]],Ventas[Total])</f>
        <v>0</v>
      </c>
      <c r="F189" s="66">
        <f>SUMIF(Ventas[Fecha],Rdiario[[#This Row],[Fecha]],Ventas[Total 4])</f>
        <v>0</v>
      </c>
      <c r="G189" s="66">
        <f>Rdiario[[#This Row],[Ingresos Brutos]]-Rdiario[[#This Row],[Transferencia]]</f>
        <v>0</v>
      </c>
      <c r="H189" s="7">
        <f>Rdiario[[#This Row],[Ingresos Brutos]]-Rdiario[[#This Row],[Ganancia]]</f>
        <v>0</v>
      </c>
      <c r="I189" s="7">
        <f>SUMIF(Ventas[Fecha],Rdiario[[#This Row],[Fecha]],Ventas[Total 2])</f>
        <v>0</v>
      </c>
      <c r="J189" s="7">
        <f>SUMIF(Compras[Fecha],Rdiario[[#This Row],[Fecha]],Compras[Monto])</f>
        <v>0</v>
      </c>
      <c r="K189" s="7">
        <f>SUMIF(TGastos[Fecha],Rdiario[[#This Row],[Fecha]],TGastos[Monto])</f>
        <v>0</v>
      </c>
      <c r="L189" s="7">
        <f>Rdiario[[#This Row],[Ingresos Brutos]]-Rdiario[[#This Row],[Compras]]-Rdiario[[#This Row],[Gastos]]</f>
        <v>0</v>
      </c>
      <c r="M189" s="7">
        <f>Rdiario[[#This Row],[Ganancia]]-Rdiario[[#This Row],[Compras]]-Rdiario[[#This Row],[Gastos]]</f>
        <v>0</v>
      </c>
      <c r="P189" s="16"/>
    </row>
    <row r="190" spans="2:16">
      <c r="B190" s="9">
        <v>45113</v>
      </c>
      <c r="C19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0" s="6" t="s">
        <v>108</v>
      </c>
      <c r="E190" s="7">
        <f>SUMIF(Ventas[Fecha],Rdiario[[#This Row],[Fecha]],Ventas[Total])</f>
        <v>0</v>
      </c>
      <c r="F190" s="66">
        <f>SUMIF(Ventas[Fecha],Rdiario[[#This Row],[Fecha]],Ventas[Total 4])</f>
        <v>0</v>
      </c>
      <c r="G190" s="66">
        <f>Rdiario[[#This Row],[Ingresos Brutos]]-Rdiario[[#This Row],[Transferencia]]</f>
        <v>0</v>
      </c>
      <c r="H190" s="7">
        <f>Rdiario[[#This Row],[Ingresos Brutos]]-Rdiario[[#This Row],[Ganancia]]</f>
        <v>0</v>
      </c>
      <c r="I190" s="7">
        <f>SUMIF(Ventas[Fecha],Rdiario[[#This Row],[Fecha]],Ventas[Total 2])</f>
        <v>0</v>
      </c>
      <c r="J190" s="7">
        <f>SUMIF(Compras[Fecha],Rdiario[[#This Row],[Fecha]],Compras[Monto])</f>
        <v>0</v>
      </c>
      <c r="K190" s="7">
        <f>SUMIF(TGastos[Fecha],Rdiario[[#This Row],[Fecha]],TGastos[Monto])</f>
        <v>0</v>
      </c>
      <c r="L190" s="7">
        <f>Rdiario[[#This Row],[Ingresos Brutos]]-Rdiario[[#This Row],[Compras]]-Rdiario[[#This Row],[Gastos]]</f>
        <v>0</v>
      </c>
      <c r="M190" s="7">
        <f>Rdiario[[#This Row],[Ganancia]]-Rdiario[[#This Row],[Compras]]-Rdiario[[#This Row],[Gastos]]</f>
        <v>0</v>
      </c>
      <c r="P190" s="16"/>
    </row>
    <row r="191" spans="2:16">
      <c r="B191" s="9">
        <v>45114</v>
      </c>
      <c r="C19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1" s="6" t="s">
        <v>109</v>
      </c>
      <c r="E191" s="7">
        <f>SUMIF(Ventas[Fecha],Rdiario[[#This Row],[Fecha]],Ventas[Total])</f>
        <v>0</v>
      </c>
      <c r="F191" s="66">
        <f>SUMIF(Ventas[Fecha],Rdiario[[#This Row],[Fecha]],Ventas[Total 4])</f>
        <v>0</v>
      </c>
      <c r="G191" s="66">
        <f>Rdiario[[#This Row],[Ingresos Brutos]]-Rdiario[[#This Row],[Transferencia]]</f>
        <v>0</v>
      </c>
      <c r="H191" s="7">
        <f>Rdiario[[#This Row],[Ingresos Brutos]]-Rdiario[[#This Row],[Ganancia]]</f>
        <v>0</v>
      </c>
      <c r="I191" s="7">
        <f>SUMIF(Ventas[Fecha],Rdiario[[#This Row],[Fecha]],Ventas[Total 2])</f>
        <v>0</v>
      </c>
      <c r="J191" s="7">
        <f>SUMIF(Compras[Fecha],Rdiario[[#This Row],[Fecha]],Compras[Monto])</f>
        <v>0</v>
      </c>
      <c r="K191" s="7">
        <f>SUMIF(TGastos[Fecha],Rdiario[[#This Row],[Fecha]],TGastos[Monto])</f>
        <v>0</v>
      </c>
      <c r="L191" s="7">
        <f>Rdiario[[#This Row],[Ingresos Brutos]]-Rdiario[[#This Row],[Compras]]-Rdiario[[#This Row],[Gastos]]</f>
        <v>0</v>
      </c>
      <c r="M191" s="7">
        <f>Rdiario[[#This Row],[Ganancia]]-Rdiario[[#This Row],[Compras]]-Rdiario[[#This Row],[Gastos]]</f>
        <v>0</v>
      </c>
      <c r="P191" s="16"/>
    </row>
    <row r="192" spans="2:16">
      <c r="B192" s="9">
        <v>45115</v>
      </c>
      <c r="C19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2" s="6" t="s">
        <v>110</v>
      </c>
      <c r="E192" s="7">
        <f>SUMIF(Ventas[Fecha],Rdiario[[#This Row],[Fecha]],Ventas[Total])</f>
        <v>0</v>
      </c>
      <c r="F192" s="66">
        <f>SUMIF(Ventas[Fecha],Rdiario[[#This Row],[Fecha]],Ventas[Total 4])</f>
        <v>0</v>
      </c>
      <c r="G192" s="66">
        <f>Rdiario[[#This Row],[Ingresos Brutos]]-Rdiario[[#This Row],[Transferencia]]</f>
        <v>0</v>
      </c>
      <c r="H192" s="7">
        <f>Rdiario[[#This Row],[Ingresos Brutos]]-Rdiario[[#This Row],[Ganancia]]</f>
        <v>0</v>
      </c>
      <c r="I192" s="7">
        <f>SUMIF(Ventas[Fecha],Rdiario[[#This Row],[Fecha]],Ventas[Total 2])</f>
        <v>0</v>
      </c>
      <c r="J192" s="7">
        <f>SUMIF(Compras[Fecha],Rdiario[[#This Row],[Fecha]],Compras[Monto])</f>
        <v>0</v>
      </c>
      <c r="K192" s="7">
        <f>SUMIF(TGastos[Fecha],Rdiario[[#This Row],[Fecha]],TGastos[Monto])</f>
        <v>0</v>
      </c>
      <c r="L192" s="7">
        <f>Rdiario[[#This Row],[Ingresos Brutos]]-Rdiario[[#This Row],[Compras]]-Rdiario[[#This Row],[Gastos]]</f>
        <v>0</v>
      </c>
      <c r="M192" s="7">
        <f>Rdiario[[#This Row],[Ganancia]]-Rdiario[[#This Row],[Compras]]-Rdiario[[#This Row],[Gastos]]</f>
        <v>0</v>
      </c>
      <c r="P192" s="16"/>
    </row>
    <row r="193" spans="2:16">
      <c r="B193" s="9">
        <v>45116</v>
      </c>
      <c r="C19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3" s="6" t="s">
        <v>104</v>
      </c>
      <c r="E193" s="7">
        <f>SUMIF(Ventas[Fecha],Rdiario[[#This Row],[Fecha]],Ventas[Total])</f>
        <v>0</v>
      </c>
      <c r="F193" s="66">
        <f>SUMIF(Ventas[Fecha],Rdiario[[#This Row],[Fecha]],Ventas[Total 4])</f>
        <v>0</v>
      </c>
      <c r="G193" s="66">
        <f>Rdiario[[#This Row],[Ingresos Brutos]]-Rdiario[[#This Row],[Transferencia]]</f>
        <v>0</v>
      </c>
      <c r="H193" s="7">
        <f>Rdiario[[#This Row],[Ingresos Brutos]]-Rdiario[[#This Row],[Ganancia]]</f>
        <v>0</v>
      </c>
      <c r="I193" s="7">
        <f>SUMIF(Ventas[Fecha],Rdiario[[#This Row],[Fecha]],Ventas[Total 2])</f>
        <v>0</v>
      </c>
      <c r="J193" s="7">
        <f>SUMIF(Compras[Fecha],Rdiario[[#This Row],[Fecha]],Compras[Monto])</f>
        <v>0</v>
      </c>
      <c r="K193" s="7">
        <f>SUMIF(TGastos[Fecha],Rdiario[[#This Row],[Fecha]],TGastos[Monto])</f>
        <v>0</v>
      </c>
      <c r="L193" s="7">
        <f>Rdiario[[#This Row],[Ingresos Brutos]]-Rdiario[[#This Row],[Compras]]-Rdiario[[#This Row],[Gastos]]</f>
        <v>0</v>
      </c>
      <c r="M193" s="7">
        <f>Rdiario[[#This Row],[Ganancia]]-Rdiario[[#This Row],[Compras]]-Rdiario[[#This Row],[Gastos]]</f>
        <v>0</v>
      </c>
      <c r="P193" s="16"/>
    </row>
    <row r="194" spans="2:16">
      <c r="B194" s="9">
        <v>45117</v>
      </c>
      <c r="C19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4" s="6" t="s">
        <v>105</v>
      </c>
      <c r="E194" s="7">
        <f>SUMIF(Ventas[Fecha],Rdiario[[#This Row],[Fecha]],Ventas[Total])</f>
        <v>0</v>
      </c>
      <c r="F194" s="66">
        <f>SUMIF(Ventas[Fecha],Rdiario[[#This Row],[Fecha]],Ventas[Total 4])</f>
        <v>0</v>
      </c>
      <c r="G194" s="66">
        <f>Rdiario[[#This Row],[Ingresos Brutos]]-Rdiario[[#This Row],[Transferencia]]</f>
        <v>0</v>
      </c>
      <c r="H194" s="7">
        <f>Rdiario[[#This Row],[Ingresos Brutos]]-Rdiario[[#This Row],[Ganancia]]</f>
        <v>0</v>
      </c>
      <c r="I194" s="7">
        <f>SUMIF(Ventas[Fecha],Rdiario[[#This Row],[Fecha]],Ventas[Total 2])</f>
        <v>0</v>
      </c>
      <c r="J194" s="7">
        <f>SUMIF(Compras[Fecha],Rdiario[[#This Row],[Fecha]],Compras[Monto])</f>
        <v>0</v>
      </c>
      <c r="K194" s="7">
        <f>SUMIF(TGastos[Fecha],Rdiario[[#This Row],[Fecha]],TGastos[Monto])</f>
        <v>0</v>
      </c>
      <c r="L194" s="7">
        <f>Rdiario[[#This Row],[Ingresos Brutos]]-Rdiario[[#This Row],[Compras]]-Rdiario[[#This Row],[Gastos]]</f>
        <v>0</v>
      </c>
      <c r="M194" s="7">
        <f>Rdiario[[#This Row],[Ganancia]]-Rdiario[[#This Row],[Compras]]-Rdiario[[#This Row],[Gastos]]</f>
        <v>0</v>
      </c>
      <c r="P194" s="16"/>
    </row>
    <row r="195" spans="2:16">
      <c r="B195" s="9">
        <v>45118</v>
      </c>
      <c r="C19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5" s="6" t="s">
        <v>106</v>
      </c>
      <c r="E195" s="7">
        <f>SUMIF(Ventas[Fecha],Rdiario[[#This Row],[Fecha]],Ventas[Total])</f>
        <v>0</v>
      </c>
      <c r="F195" s="66">
        <f>SUMIF(Ventas[Fecha],Rdiario[[#This Row],[Fecha]],Ventas[Total 4])</f>
        <v>0</v>
      </c>
      <c r="G195" s="66">
        <f>Rdiario[[#This Row],[Ingresos Brutos]]-Rdiario[[#This Row],[Transferencia]]</f>
        <v>0</v>
      </c>
      <c r="H195" s="7">
        <f>Rdiario[[#This Row],[Ingresos Brutos]]-Rdiario[[#This Row],[Ganancia]]</f>
        <v>0</v>
      </c>
      <c r="I195" s="7">
        <f>SUMIF(Ventas[Fecha],Rdiario[[#This Row],[Fecha]],Ventas[Total 2])</f>
        <v>0</v>
      </c>
      <c r="J195" s="7">
        <f>SUMIF(Compras[Fecha],Rdiario[[#This Row],[Fecha]],Compras[Monto])</f>
        <v>0</v>
      </c>
      <c r="K195" s="7">
        <f>SUMIF(TGastos[Fecha],Rdiario[[#This Row],[Fecha]],TGastos[Monto])</f>
        <v>0</v>
      </c>
      <c r="L195" s="7">
        <f>Rdiario[[#This Row],[Ingresos Brutos]]-Rdiario[[#This Row],[Compras]]-Rdiario[[#This Row],[Gastos]]</f>
        <v>0</v>
      </c>
      <c r="M195" s="7">
        <f>Rdiario[[#This Row],[Ganancia]]-Rdiario[[#This Row],[Compras]]-Rdiario[[#This Row],[Gastos]]</f>
        <v>0</v>
      </c>
      <c r="P195" s="16"/>
    </row>
    <row r="196" spans="2:16">
      <c r="B196" s="9">
        <v>45119</v>
      </c>
      <c r="C19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6" s="6" t="s">
        <v>107</v>
      </c>
      <c r="E196" s="7">
        <f>SUMIF(Ventas[Fecha],Rdiario[[#This Row],[Fecha]],Ventas[Total])</f>
        <v>0</v>
      </c>
      <c r="F196" s="66">
        <f>SUMIF(Ventas[Fecha],Rdiario[[#This Row],[Fecha]],Ventas[Total 4])</f>
        <v>0</v>
      </c>
      <c r="G196" s="66">
        <f>Rdiario[[#This Row],[Ingresos Brutos]]-Rdiario[[#This Row],[Transferencia]]</f>
        <v>0</v>
      </c>
      <c r="H196" s="7">
        <f>Rdiario[[#This Row],[Ingresos Brutos]]-Rdiario[[#This Row],[Ganancia]]</f>
        <v>0</v>
      </c>
      <c r="I196" s="7">
        <f>SUMIF(Ventas[Fecha],Rdiario[[#This Row],[Fecha]],Ventas[Total 2])</f>
        <v>0</v>
      </c>
      <c r="J196" s="7">
        <f>SUMIF(Compras[Fecha],Rdiario[[#This Row],[Fecha]],Compras[Monto])</f>
        <v>0</v>
      </c>
      <c r="K196" s="7">
        <f>SUMIF(TGastos[Fecha],Rdiario[[#This Row],[Fecha]],TGastos[Monto])</f>
        <v>0</v>
      </c>
      <c r="L196" s="7">
        <f>Rdiario[[#This Row],[Ingresos Brutos]]-Rdiario[[#This Row],[Compras]]-Rdiario[[#This Row],[Gastos]]</f>
        <v>0</v>
      </c>
      <c r="M196" s="7">
        <f>Rdiario[[#This Row],[Ganancia]]-Rdiario[[#This Row],[Compras]]-Rdiario[[#This Row],[Gastos]]</f>
        <v>0</v>
      </c>
      <c r="P196" s="16"/>
    </row>
    <row r="197" spans="2:16">
      <c r="B197" s="9">
        <v>45120</v>
      </c>
      <c r="C19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7" s="6" t="s">
        <v>108</v>
      </c>
      <c r="E197" s="7">
        <f>SUMIF(Ventas[Fecha],Rdiario[[#This Row],[Fecha]],Ventas[Total])</f>
        <v>0</v>
      </c>
      <c r="F197" s="66">
        <f>SUMIF(Ventas[Fecha],Rdiario[[#This Row],[Fecha]],Ventas[Total 4])</f>
        <v>0</v>
      </c>
      <c r="G197" s="66">
        <f>Rdiario[[#This Row],[Ingresos Brutos]]-Rdiario[[#This Row],[Transferencia]]</f>
        <v>0</v>
      </c>
      <c r="H197" s="7">
        <f>Rdiario[[#This Row],[Ingresos Brutos]]-Rdiario[[#This Row],[Ganancia]]</f>
        <v>0</v>
      </c>
      <c r="I197" s="7">
        <f>SUMIF(Ventas[Fecha],Rdiario[[#This Row],[Fecha]],Ventas[Total 2])</f>
        <v>0</v>
      </c>
      <c r="J197" s="7">
        <f>SUMIF(Compras[Fecha],Rdiario[[#This Row],[Fecha]],Compras[Monto])</f>
        <v>0</v>
      </c>
      <c r="K197" s="7">
        <f>SUMIF(TGastos[Fecha],Rdiario[[#This Row],[Fecha]],TGastos[Monto])</f>
        <v>0</v>
      </c>
      <c r="L197" s="7">
        <f>Rdiario[[#This Row],[Ingresos Brutos]]-Rdiario[[#This Row],[Compras]]-Rdiario[[#This Row],[Gastos]]</f>
        <v>0</v>
      </c>
      <c r="M197" s="7">
        <f>Rdiario[[#This Row],[Ganancia]]-Rdiario[[#This Row],[Compras]]-Rdiario[[#This Row],[Gastos]]</f>
        <v>0</v>
      </c>
      <c r="P197" s="16"/>
    </row>
    <row r="198" spans="2:16">
      <c r="B198" s="9">
        <v>45121</v>
      </c>
      <c r="C19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8" s="6" t="s">
        <v>109</v>
      </c>
      <c r="E198" s="7">
        <f>SUMIF(Ventas[Fecha],Rdiario[[#This Row],[Fecha]],Ventas[Total])</f>
        <v>0</v>
      </c>
      <c r="F198" s="66">
        <f>SUMIF(Ventas[Fecha],Rdiario[[#This Row],[Fecha]],Ventas[Total 4])</f>
        <v>0</v>
      </c>
      <c r="G198" s="66">
        <f>Rdiario[[#This Row],[Ingresos Brutos]]-Rdiario[[#This Row],[Transferencia]]</f>
        <v>0</v>
      </c>
      <c r="H198" s="7">
        <f>Rdiario[[#This Row],[Ingresos Brutos]]-Rdiario[[#This Row],[Ganancia]]</f>
        <v>0</v>
      </c>
      <c r="I198" s="7">
        <f>SUMIF(Ventas[Fecha],Rdiario[[#This Row],[Fecha]],Ventas[Total 2])</f>
        <v>0</v>
      </c>
      <c r="J198" s="7">
        <f>SUMIF(Compras[Fecha],Rdiario[[#This Row],[Fecha]],Compras[Monto])</f>
        <v>0</v>
      </c>
      <c r="K198" s="7">
        <f>SUMIF(TGastos[Fecha],Rdiario[[#This Row],[Fecha]],TGastos[Monto])</f>
        <v>0</v>
      </c>
      <c r="L198" s="7">
        <f>Rdiario[[#This Row],[Ingresos Brutos]]-Rdiario[[#This Row],[Compras]]-Rdiario[[#This Row],[Gastos]]</f>
        <v>0</v>
      </c>
      <c r="M198" s="7">
        <f>Rdiario[[#This Row],[Ganancia]]-Rdiario[[#This Row],[Compras]]-Rdiario[[#This Row],[Gastos]]</f>
        <v>0</v>
      </c>
      <c r="P198" s="16"/>
    </row>
    <row r="199" spans="2:16">
      <c r="B199" s="9">
        <v>45122</v>
      </c>
      <c r="C19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9" s="6" t="s">
        <v>110</v>
      </c>
      <c r="E199" s="7">
        <f>SUMIF(Ventas[Fecha],Rdiario[[#This Row],[Fecha]],Ventas[Total])</f>
        <v>0</v>
      </c>
      <c r="F199" s="66">
        <f>SUMIF(Ventas[Fecha],Rdiario[[#This Row],[Fecha]],Ventas[Total 4])</f>
        <v>0</v>
      </c>
      <c r="G199" s="66">
        <f>Rdiario[[#This Row],[Ingresos Brutos]]-Rdiario[[#This Row],[Transferencia]]</f>
        <v>0</v>
      </c>
      <c r="H199" s="7">
        <f>Rdiario[[#This Row],[Ingresos Brutos]]-Rdiario[[#This Row],[Ganancia]]</f>
        <v>0</v>
      </c>
      <c r="I199" s="7">
        <f>SUMIF(Ventas[Fecha],Rdiario[[#This Row],[Fecha]],Ventas[Total 2])</f>
        <v>0</v>
      </c>
      <c r="J199" s="7">
        <f>SUMIF(Compras[Fecha],Rdiario[[#This Row],[Fecha]],Compras[Monto])</f>
        <v>0</v>
      </c>
      <c r="K199" s="7">
        <f>SUMIF(TGastos[Fecha],Rdiario[[#This Row],[Fecha]],TGastos[Monto])</f>
        <v>0</v>
      </c>
      <c r="L199" s="7">
        <f>Rdiario[[#This Row],[Ingresos Brutos]]-Rdiario[[#This Row],[Compras]]-Rdiario[[#This Row],[Gastos]]</f>
        <v>0</v>
      </c>
      <c r="M199" s="7">
        <f>Rdiario[[#This Row],[Ganancia]]-Rdiario[[#This Row],[Compras]]-Rdiario[[#This Row],[Gastos]]</f>
        <v>0</v>
      </c>
      <c r="P199" s="16"/>
    </row>
    <row r="200" spans="2:16">
      <c r="B200" s="9">
        <v>45123</v>
      </c>
      <c r="C20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0" s="6" t="s">
        <v>104</v>
      </c>
      <c r="E200" s="7">
        <f>SUMIF(Ventas[Fecha],Rdiario[[#This Row],[Fecha]],Ventas[Total])</f>
        <v>0</v>
      </c>
      <c r="F200" s="66">
        <f>SUMIF(Ventas[Fecha],Rdiario[[#This Row],[Fecha]],Ventas[Total 4])</f>
        <v>0</v>
      </c>
      <c r="G200" s="66">
        <f>Rdiario[[#This Row],[Ingresos Brutos]]-Rdiario[[#This Row],[Transferencia]]</f>
        <v>0</v>
      </c>
      <c r="H200" s="7">
        <f>Rdiario[[#This Row],[Ingresos Brutos]]-Rdiario[[#This Row],[Ganancia]]</f>
        <v>0</v>
      </c>
      <c r="I200" s="7">
        <f>SUMIF(Ventas[Fecha],Rdiario[[#This Row],[Fecha]],Ventas[Total 2])</f>
        <v>0</v>
      </c>
      <c r="J200" s="7">
        <f>SUMIF(Compras[Fecha],Rdiario[[#This Row],[Fecha]],Compras[Monto])</f>
        <v>0</v>
      </c>
      <c r="K200" s="7">
        <f>SUMIF(TGastos[Fecha],Rdiario[[#This Row],[Fecha]],TGastos[Monto])</f>
        <v>0</v>
      </c>
      <c r="L200" s="7">
        <f>Rdiario[[#This Row],[Ingresos Brutos]]-Rdiario[[#This Row],[Compras]]-Rdiario[[#This Row],[Gastos]]</f>
        <v>0</v>
      </c>
      <c r="M200" s="7">
        <f>Rdiario[[#This Row],[Ganancia]]-Rdiario[[#This Row],[Compras]]-Rdiario[[#This Row],[Gastos]]</f>
        <v>0</v>
      </c>
      <c r="P200" s="16"/>
    </row>
    <row r="201" spans="2:16">
      <c r="B201" s="9">
        <v>45124</v>
      </c>
      <c r="C20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1" s="6" t="s">
        <v>105</v>
      </c>
      <c r="E201" s="7">
        <f>SUMIF(Ventas[Fecha],Rdiario[[#This Row],[Fecha]],Ventas[Total])</f>
        <v>0</v>
      </c>
      <c r="F201" s="66">
        <f>SUMIF(Ventas[Fecha],Rdiario[[#This Row],[Fecha]],Ventas[Total 4])</f>
        <v>0</v>
      </c>
      <c r="G201" s="66">
        <f>Rdiario[[#This Row],[Ingresos Brutos]]-Rdiario[[#This Row],[Transferencia]]</f>
        <v>0</v>
      </c>
      <c r="H201" s="7">
        <f>Rdiario[[#This Row],[Ingresos Brutos]]-Rdiario[[#This Row],[Ganancia]]</f>
        <v>0</v>
      </c>
      <c r="I201" s="7">
        <f>SUMIF(Ventas[Fecha],Rdiario[[#This Row],[Fecha]],Ventas[Total 2])</f>
        <v>0</v>
      </c>
      <c r="J201" s="7">
        <f>SUMIF(Compras[Fecha],Rdiario[[#This Row],[Fecha]],Compras[Monto])</f>
        <v>0</v>
      </c>
      <c r="K201" s="7">
        <f>SUMIF(TGastos[Fecha],Rdiario[[#This Row],[Fecha]],TGastos[Monto])</f>
        <v>0</v>
      </c>
      <c r="L201" s="7">
        <f>Rdiario[[#This Row],[Ingresos Brutos]]-Rdiario[[#This Row],[Compras]]-Rdiario[[#This Row],[Gastos]]</f>
        <v>0</v>
      </c>
      <c r="M201" s="7">
        <f>Rdiario[[#This Row],[Ganancia]]-Rdiario[[#This Row],[Compras]]-Rdiario[[#This Row],[Gastos]]</f>
        <v>0</v>
      </c>
      <c r="P201" s="16"/>
    </row>
    <row r="202" spans="2:16">
      <c r="B202" s="9">
        <v>45125</v>
      </c>
      <c r="C20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2" s="6" t="s">
        <v>106</v>
      </c>
      <c r="E202" s="7">
        <f>SUMIF(Ventas[Fecha],Rdiario[[#This Row],[Fecha]],Ventas[Total])</f>
        <v>0</v>
      </c>
      <c r="F202" s="66">
        <f>SUMIF(Ventas[Fecha],Rdiario[[#This Row],[Fecha]],Ventas[Total 4])</f>
        <v>0</v>
      </c>
      <c r="G202" s="66">
        <f>Rdiario[[#This Row],[Ingresos Brutos]]-Rdiario[[#This Row],[Transferencia]]</f>
        <v>0</v>
      </c>
      <c r="H202" s="7">
        <f>Rdiario[[#This Row],[Ingresos Brutos]]-Rdiario[[#This Row],[Ganancia]]</f>
        <v>0</v>
      </c>
      <c r="I202" s="7">
        <f>SUMIF(Ventas[Fecha],Rdiario[[#This Row],[Fecha]],Ventas[Total 2])</f>
        <v>0</v>
      </c>
      <c r="J202" s="7">
        <f>SUMIF(Compras[Fecha],Rdiario[[#This Row],[Fecha]],Compras[Monto])</f>
        <v>0</v>
      </c>
      <c r="K202" s="7">
        <f>SUMIF(TGastos[Fecha],Rdiario[[#This Row],[Fecha]],TGastos[Monto])</f>
        <v>0</v>
      </c>
      <c r="L202" s="7">
        <f>Rdiario[[#This Row],[Ingresos Brutos]]-Rdiario[[#This Row],[Compras]]-Rdiario[[#This Row],[Gastos]]</f>
        <v>0</v>
      </c>
      <c r="M202" s="7">
        <f>Rdiario[[#This Row],[Ganancia]]-Rdiario[[#This Row],[Compras]]-Rdiario[[#This Row],[Gastos]]</f>
        <v>0</v>
      </c>
      <c r="P202" s="16"/>
    </row>
    <row r="203" spans="2:16">
      <c r="B203" s="9">
        <v>45126</v>
      </c>
      <c r="C20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3" s="6" t="s">
        <v>107</v>
      </c>
      <c r="E203" s="7">
        <f>SUMIF(Ventas[Fecha],Rdiario[[#This Row],[Fecha]],Ventas[Total])</f>
        <v>0</v>
      </c>
      <c r="F203" s="66">
        <f>SUMIF(Ventas[Fecha],Rdiario[[#This Row],[Fecha]],Ventas[Total 4])</f>
        <v>0</v>
      </c>
      <c r="G203" s="66">
        <f>Rdiario[[#This Row],[Ingresos Brutos]]-Rdiario[[#This Row],[Transferencia]]</f>
        <v>0</v>
      </c>
      <c r="H203" s="7">
        <f>Rdiario[[#This Row],[Ingresos Brutos]]-Rdiario[[#This Row],[Ganancia]]</f>
        <v>0</v>
      </c>
      <c r="I203" s="7">
        <f>SUMIF(Ventas[Fecha],Rdiario[[#This Row],[Fecha]],Ventas[Total 2])</f>
        <v>0</v>
      </c>
      <c r="J203" s="7">
        <f>SUMIF(Compras[Fecha],Rdiario[[#This Row],[Fecha]],Compras[Monto])</f>
        <v>0</v>
      </c>
      <c r="K203" s="7">
        <f>SUMIF(TGastos[Fecha],Rdiario[[#This Row],[Fecha]],TGastos[Monto])</f>
        <v>0</v>
      </c>
      <c r="L203" s="7">
        <f>Rdiario[[#This Row],[Ingresos Brutos]]-Rdiario[[#This Row],[Compras]]-Rdiario[[#This Row],[Gastos]]</f>
        <v>0</v>
      </c>
      <c r="M203" s="7">
        <f>Rdiario[[#This Row],[Ganancia]]-Rdiario[[#This Row],[Compras]]-Rdiario[[#This Row],[Gastos]]</f>
        <v>0</v>
      </c>
      <c r="P203" s="16"/>
    </row>
    <row r="204" spans="2:16">
      <c r="B204" s="9">
        <v>45127</v>
      </c>
      <c r="C20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4" s="6" t="s">
        <v>108</v>
      </c>
      <c r="E204" s="7">
        <f>SUMIF(Ventas[Fecha],Rdiario[[#This Row],[Fecha]],Ventas[Total])</f>
        <v>0</v>
      </c>
      <c r="F204" s="66">
        <f>SUMIF(Ventas[Fecha],Rdiario[[#This Row],[Fecha]],Ventas[Total 4])</f>
        <v>0</v>
      </c>
      <c r="G204" s="66">
        <f>Rdiario[[#This Row],[Ingresos Brutos]]-Rdiario[[#This Row],[Transferencia]]</f>
        <v>0</v>
      </c>
      <c r="H204" s="7">
        <f>Rdiario[[#This Row],[Ingresos Brutos]]-Rdiario[[#This Row],[Ganancia]]</f>
        <v>0</v>
      </c>
      <c r="I204" s="7">
        <f>SUMIF(Ventas[Fecha],Rdiario[[#This Row],[Fecha]],Ventas[Total 2])</f>
        <v>0</v>
      </c>
      <c r="J204" s="7">
        <f>SUMIF(Compras[Fecha],Rdiario[[#This Row],[Fecha]],Compras[Monto])</f>
        <v>0</v>
      </c>
      <c r="K204" s="7">
        <f>SUMIF(TGastos[Fecha],Rdiario[[#This Row],[Fecha]],TGastos[Monto])</f>
        <v>0</v>
      </c>
      <c r="L204" s="7">
        <f>Rdiario[[#This Row],[Ingresos Brutos]]-Rdiario[[#This Row],[Compras]]-Rdiario[[#This Row],[Gastos]]</f>
        <v>0</v>
      </c>
      <c r="M204" s="7">
        <f>Rdiario[[#This Row],[Ganancia]]-Rdiario[[#This Row],[Compras]]-Rdiario[[#This Row],[Gastos]]</f>
        <v>0</v>
      </c>
      <c r="P204" s="16"/>
    </row>
    <row r="205" spans="2:16">
      <c r="B205" s="9">
        <v>45128</v>
      </c>
      <c r="C20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5" s="6" t="s">
        <v>109</v>
      </c>
      <c r="E205" s="7">
        <f>SUMIF(Ventas[Fecha],Rdiario[[#This Row],[Fecha]],Ventas[Total])</f>
        <v>0</v>
      </c>
      <c r="F205" s="66">
        <f>SUMIF(Ventas[Fecha],Rdiario[[#This Row],[Fecha]],Ventas[Total 4])</f>
        <v>0</v>
      </c>
      <c r="G205" s="66">
        <f>Rdiario[[#This Row],[Ingresos Brutos]]-Rdiario[[#This Row],[Transferencia]]</f>
        <v>0</v>
      </c>
      <c r="H205" s="7">
        <f>Rdiario[[#This Row],[Ingresos Brutos]]-Rdiario[[#This Row],[Ganancia]]</f>
        <v>0</v>
      </c>
      <c r="I205" s="7">
        <f>SUMIF(Ventas[Fecha],Rdiario[[#This Row],[Fecha]],Ventas[Total 2])</f>
        <v>0</v>
      </c>
      <c r="J205" s="7">
        <f>SUMIF(Compras[Fecha],Rdiario[[#This Row],[Fecha]],Compras[Monto])</f>
        <v>0</v>
      </c>
      <c r="K205" s="7">
        <f>SUMIF(TGastos[Fecha],Rdiario[[#This Row],[Fecha]],TGastos[Monto])</f>
        <v>0</v>
      </c>
      <c r="L205" s="7">
        <f>Rdiario[[#This Row],[Ingresos Brutos]]-Rdiario[[#This Row],[Compras]]-Rdiario[[#This Row],[Gastos]]</f>
        <v>0</v>
      </c>
      <c r="M205" s="7">
        <f>Rdiario[[#This Row],[Ganancia]]-Rdiario[[#This Row],[Compras]]-Rdiario[[#This Row],[Gastos]]</f>
        <v>0</v>
      </c>
      <c r="P205" s="16"/>
    </row>
    <row r="206" spans="2:16">
      <c r="B206" s="9">
        <v>45129</v>
      </c>
      <c r="C20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6" s="6" t="s">
        <v>110</v>
      </c>
      <c r="E206" s="7">
        <f>SUMIF(Ventas[Fecha],Rdiario[[#This Row],[Fecha]],Ventas[Total])</f>
        <v>0</v>
      </c>
      <c r="F206" s="66">
        <f>SUMIF(Ventas[Fecha],Rdiario[[#This Row],[Fecha]],Ventas[Total 4])</f>
        <v>0</v>
      </c>
      <c r="G206" s="66">
        <f>Rdiario[[#This Row],[Ingresos Brutos]]-Rdiario[[#This Row],[Transferencia]]</f>
        <v>0</v>
      </c>
      <c r="H206" s="7">
        <f>Rdiario[[#This Row],[Ingresos Brutos]]-Rdiario[[#This Row],[Ganancia]]</f>
        <v>0</v>
      </c>
      <c r="I206" s="7">
        <f>SUMIF(Ventas[Fecha],Rdiario[[#This Row],[Fecha]],Ventas[Total 2])</f>
        <v>0</v>
      </c>
      <c r="J206" s="7">
        <f>SUMIF(Compras[Fecha],Rdiario[[#This Row],[Fecha]],Compras[Monto])</f>
        <v>0</v>
      </c>
      <c r="K206" s="7">
        <f>SUMIF(TGastos[Fecha],Rdiario[[#This Row],[Fecha]],TGastos[Monto])</f>
        <v>0</v>
      </c>
      <c r="L206" s="7">
        <f>Rdiario[[#This Row],[Ingresos Brutos]]-Rdiario[[#This Row],[Compras]]-Rdiario[[#This Row],[Gastos]]</f>
        <v>0</v>
      </c>
      <c r="M206" s="7">
        <f>Rdiario[[#This Row],[Ganancia]]-Rdiario[[#This Row],[Compras]]-Rdiario[[#This Row],[Gastos]]</f>
        <v>0</v>
      </c>
      <c r="P206" s="16"/>
    </row>
    <row r="207" spans="2:16">
      <c r="B207" s="9">
        <v>45130</v>
      </c>
      <c r="C20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7" s="6" t="s">
        <v>104</v>
      </c>
      <c r="E207" s="7">
        <f>SUMIF(Ventas[Fecha],Rdiario[[#This Row],[Fecha]],Ventas[Total])</f>
        <v>0</v>
      </c>
      <c r="F207" s="66">
        <f>SUMIF(Ventas[Fecha],Rdiario[[#This Row],[Fecha]],Ventas[Total 4])</f>
        <v>0</v>
      </c>
      <c r="G207" s="66">
        <f>Rdiario[[#This Row],[Ingresos Brutos]]-Rdiario[[#This Row],[Transferencia]]</f>
        <v>0</v>
      </c>
      <c r="H207" s="7">
        <f>Rdiario[[#This Row],[Ingresos Brutos]]-Rdiario[[#This Row],[Ganancia]]</f>
        <v>0</v>
      </c>
      <c r="I207" s="7">
        <f>SUMIF(Ventas[Fecha],Rdiario[[#This Row],[Fecha]],Ventas[Total 2])</f>
        <v>0</v>
      </c>
      <c r="J207" s="7">
        <f>SUMIF(Compras[Fecha],Rdiario[[#This Row],[Fecha]],Compras[Monto])</f>
        <v>0</v>
      </c>
      <c r="K207" s="7">
        <f>SUMIF(TGastos[Fecha],Rdiario[[#This Row],[Fecha]],TGastos[Monto])</f>
        <v>0</v>
      </c>
      <c r="L207" s="7">
        <f>Rdiario[[#This Row],[Ingresos Brutos]]-Rdiario[[#This Row],[Compras]]-Rdiario[[#This Row],[Gastos]]</f>
        <v>0</v>
      </c>
      <c r="M207" s="7">
        <f>Rdiario[[#This Row],[Ganancia]]-Rdiario[[#This Row],[Compras]]-Rdiario[[#This Row],[Gastos]]</f>
        <v>0</v>
      </c>
      <c r="P207" s="16"/>
    </row>
    <row r="208" spans="2:16">
      <c r="B208" s="9">
        <v>45131</v>
      </c>
      <c r="C20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8" s="6" t="s">
        <v>105</v>
      </c>
      <c r="E208" s="7">
        <f>SUMIF(Ventas[Fecha],Rdiario[[#This Row],[Fecha]],Ventas[Total])</f>
        <v>0</v>
      </c>
      <c r="F208" s="66">
        <f>SUMIF(Ventas[Fecha],Rdiario[[#This Row],[Fecha]],Ventas[Total 4])</f>
        <v>0</v>
      </c>
      <c r="G208" s="66">
        <f>Rdiario[[#This Row],[Ingresos Brutos]]-Rdiario[[#This Row],[Transferencia]]</f>
        <v>0</v>
      </c>
      <c r="H208" s="7">
        <f>Rdiario[[#This Row],[Ingresos Brutos]]-Rdiario[[#This Row],[Ganancia]]</f>
        <v>0</v>
      </c>
      <c r="I208" s="7">
        <f>SUMIF(Ventas[Fecha],Rdiario[[#This Row],[Fecha]],Ventas[Total 2])</f>
        <v>0</v>
      </c>
      <c r="J208" s="7">
        <f>SUMIF(Compras[Fecha],Rdiario[[#This Row],[Fecha]],Compras[Monto])</f>
        <v>0</v>
      </c>
      <c r="K208" s="7">
        <f>SUMIF(TGastos[Fecha],Rdiario[[#This Row],[Fecha]],TGastos[Monto])</f>
        <v>0</v>
      </c>
      <c r="L208" s="7">
        <f>Rdiario[[#This Row],[Ingresos Brutos]]-Rdiario[[#This Row],[Compras]]-Rdiario[[#This Row],[Gastos]]</f>
        <v>0</v>
      </c>
      <c r="M208" s="7">
        <f>Rdiario[[#This Row],[Ganancia]]-Rdiario[[#This Row],[Compras]]-Rdiario[[#This Row],[Gastos]]</f>
        <v>0</v>
      </c>
      <c r="P208" s="16"/>
    </row>
    <row r="209" spans="2:16">
      <c r="B209" s="9">
        <v>45132</v>
      </c>
      <c r="C20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9" s="6" t="s">
        <v>106</v>
      </c>
      <c r="E209" s="7">
        <f>SUMIF(Ventas[Fecha],Rdiario[[#This Row],[Fecha]],Ventas[Total])</f>
        <v>0</v>
      </c>
      <c r="F209" s="66">
        <f>SUMIF(Ventas[Fecha],Rdiario[[#This Row],[Fecha]],Ventas[Total 4])</f>
        <v>0</v>
      </c>
      <c r="G209" s="66">
        <f>Rdiario[[#This Row],[Ingresos Brutos]]-Rdiario[[#This Row],[Transferencia]]</f>
        <v>0</v>
      </c>
      <c r="H209" s="7">
        <f>Rdiario[[#This Row],[Ingresos Brutos]]-Rdiario[[#This Row],[Ganancia]]</f>
        <v>0</v>
      </c>
      <c r="I209" s="7">
        <f>SUMIF(Ventas[Fecha],Rdiario[[#This Row],[Fecha]],Ventas[Total 2])</f>
        <v>0</v>
      </c>
      <c r="J209" s="7">
        <f>SUMIF(Compras[Fecha],Rdiario[[#This Row],[Fecha]],Compras[Monto])</f>
        <v>0</v>
      </c>
      <c r="K209" s="7">
        <f>SUMIF(TGastos[Fecha],Rdiario[[#This Row],[Fecha]],TGastos[Monto])</f>
        <v>0</v>
      </c>
      <c r="L209" s="7">
        <f>Rdiario[[#This Row],[Ingresos Brutos]]-Rdiario[[#This Row],[Compras]]-Rdiario[[#This Row],[Gastos]]</f>
        <v>0</v>
      </c>
      <c r="M209" s="7">
        <f>Rdiario[[#This Row],[Ganancia]]-Rdiario[[#This Row],[Compras]]-Rdiario[[#This Row],[Gastos]]</f>
        <v>0</v>
      </c>
      <c r="P209" s="16"/>
    </row>
    <row r="210" spans="2:16">
      <c r="B210" s="9">
        <v>45133</v>
      </c>
      <c r="C21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0" s="6" t="s">
        <v>107</v>
      </c>
      <c r="E210" s="7">
        <f>SUMIF(Ventas[Fecha],Rdiario[[#This Row],[Fecha]],Ventas[Total])</f>
        <v>0</v>
      </c>
      <c r="F210" s="66">
        <f>SUMIF(Ventas[Fecha],Rdiario[[#This Row],[Fecha]],Ventas[Total 4])</f>
        <v>0</v>
      </c>
      <c r="G210" s="66">
        <f>Rdiario[[#This Row],[Ingresos Brutos]]-Rdiario[[#This Row],[Transferencia]]</f>
        <v>0</v>
      </c>
      <c r="H210" s="7">
        <f>Rdiario[[#This Row],[Ingresos Brutos]]-Rdiario[[#This Row],[Ganancia]]</f>
        <v>0</v>
      </c>
      <c r="I210" s="7">
        <f>SUMIF(Ventas[Fecha],Rdiario[[#This Row],[Fecha]],Ventas[Total 2])</f>
        <v>0</v>
      </c>
      <c r="J210" s="7">
        <f>SUMIF(Compras[Fecha],Rdiario[[#This Row],[Fecha]],Compras[Monto])</f>
        <v>0</v>
      </c>
      <c r="K210" s="7">
        <f>SUMIF(TGastos[Fecha],Rdiario[[#This Row],[Fecha]],TGastos[Monto])</f>
        <v>0</v>
      </c>
      <c r="L210" s="7">
        <f>Rdiario[[#This Row],[Ingresos Brutos]]-Rdiario[[#This Row],[Compras]]-Rdiario[[#This Row],[Gastos]]</f>
        <v>0</v>
      </c>
      <c r="M210" s="7">
        <f>Rdiario[[#This Row],[Ganancia]]-Rdiario[[#This Row],[Compras]]-Rdiario[[#This Row],[Gastos]]</f>
        <v>0</v>
      </c>
      <c r="P210" s="16"/>
    </row>
    <row r="211" spans="2:16">
      <c r="B211" s="9">
        <v>45134</v>
      </c>
      <c r="C21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1" s="6" t="s">
        <v>108</v>
      </c>
      <c r="E211" s="7">
        <f>SUMIF(Ventas[Fecha],Rdiario[[#This Row],[Fecha]],Ventas[Total])</f>
        <v>0</v>
      </c>
      <c r="F211" s="66">
        <f>SUMIF(Ventas[Fecha],Rdiario[[#This Row],[Fecha]],Ventas[Total 4])</f>
        <v>0</v>
      </c>
      <c r="G211" s="66">
        <f>Rdiario[[#This Row],[Ingresos Brutos]]-Rdiario[[#This Row],[Transferencia]]</f>
        <v>0</v>
      </c>
      <c r="H211" s="7">
        <f>Rdiario[[#This Row],[Ingresos Brutos]]-Rdiario[[#This Row],[Ganancia]]</f>
        <v>0</v>
      </c>
      <c r="I211" s="7">
        <f>SUMIF(Ventas[Fecha],Rdiario[[#This Row],[Fecha]],Ventas[Total 2])</f>
        <v>0</v>
      </c>
      <c r="J211" s="7">
        <f>SUMIF(Compras[Fecha],Rdiario[[#This Row],[Fecha]],Compras[Monto])</f>
        <v>0</v>
      </c>
      <c r="K211" s="7">
        <f>SUMIF(TGastos[Fecha],Rdiario[[#This Row],[Fecha]],TGastos[Monto])</f>
        <v>0</v>
      </c>
      <c r="L211" s="7">
        <f>Rdiario[[#This Row],[Ingresos Brutos]]-Rdiario[[#This Row],[Compras]]-Rdiario[[#This Row],[Gastos]]</f>
        <v>0</v>
      </c>
      <c r="M211" s="7">
        <f>Rdiario[[#This Row],[Ganancia]]-Rdiario[[#This Row],[Compras]]-Rdiario[[#This Row],[Gastos]]</f>
        <v>0</v>
      </c>
      <c r="P211" s="16"/>
    </row>
    <row r="212" spans="2:16">
      <c r="B212" s="9">
        <v>45135</v>
      </c>
      <c r="C21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2" s="6" t="s">
        <v>109</v>
      </c>
      <c r="E212" s="7">
        <f>SUMIF(Ventas[Fecha],Rdiario[[#This Row],[Fecha]],Ventas[Total])</f>
        <v>0</v>
      </c>
      <c r="F212" s="66">
        <f>SUMIF(Ventas[Fecha],Rdiario[[#This Row],[Fecha]],Ventas[Total 4])</f>
        <v>0</v>
      </c>
      <c r="G212" s="66">
        <f>Rdiario[[#This Row],[Ingresos Brutos]]-Rdiario[[#This Row],[Transferencia]]</f>
        <v>0</v>
      </c>
      <c r="H212" s="7">
        <f>Rdiario[[#This Row],[Ingresos Brutos]]-Rdiario[[#This Row],[Ganancia]]</f>
        <v>0</v>
      </c>
      <c r="I212" s="7">
        <f>SUMIF(Ventas[Fecha],Rdiario[[#This Row],[Fecha]],Ventas[Total 2])</f>
        <v>0</v>
      </c>
      <c r="J212" s="7">
        <f>SUMIF(Compras[Fecha],Rdiario[[#This Row],[Fecha]],Compras[Monto])</f>
        <v>0</v>
      </c>
      <c r="K212" s="7">
        <f>SUMIF(TGastos[Fecha],Rdiario[[#This Row],[Fecha]],TGastos[Monto])</f>
        <v>0</v>
      </c>
      <c r="L212" s="7">
        <f>Rdiario[[#This Row],[Ingresos Brutos]]-Rdiario[[#This Row],[Compras]]-Rdiario[[#This Row],[Gastos]]</f>
        <v>0</v>
      </c>
      <c r="M212" s="7">
        <f>Rdiario[[#This Row],[Ganancia]]-Rdiario[[#This Row],[Compras]]-Rdiario[[#This Row],[Gastos]]</f>
        <v>0</v>
      </c>
      <c r="P212" s="16"/>
    </row>
    <row r="213" spans="2:16">
      <c r="B213" s="9">
        <v>45136</v>
      </c>
      <c r="C21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3" s="6" t="s">
        <v>110</v>
      </c>
      <c r="E213" s="7">
        <f>SUMIF(Ventas[Fecha],Rdiario[[#This Row],[Fecha]],Ventas[Total])</f>
        <v>0</v>
      </c>
      <c r="F213" s="66">
        <f>SUMIF(Ventas[Fecha],Rdiario[[#This Row],[Fecha]],Ventas[Total 4])</f>
        <v>0</v>
      </c>
      <c r="G213" s="66">
        <f>Rdiario[[#This Row],[Ingresos Brutos]]-Rdiario[[#This Row],[Transferencia]]</f>
        <v>0</v>
      </c>
      <c r="H213" s="7">
        <f>Rdiario[[#This Row],[Ingresos Brutos]]-Rdiario[[#This Row],[Ganancia]]</f>
        <v>0</v>
      </c>
      <c r="I213" s="7">
        <f>SUMIF(Ventas[Fecha],Rdiario[[#This Row],[Fecha]],Ventas[Total 2])</f>
        <v>0</v>
      </c>
      <c r="J213" s="7">
        <f>SUMIF(Compras[Fecha],Rdiario[[#This Row],[Fecha]],Compras[Monto])</f>
        <v>0</v>
      </c>
      <c r="K213" s="7">
        <f>SUMIF(TGastos[Fecha],Rdiario[[#This Row],[Fecha]],TGastos[Monto])</f>
        <v>0</v>
      </c>
      <c r="L213" s="7">
        <f>Rdiario[[#This Row],[Ingresos Brutos]]-Rdiario[[#This Row],[Compras]]-Rdiario[[#This Row],[Gastos]]</f>
        <v>0</v>
      </c>
      <c r="M213" s="7">
        <f>Rdiario[[#This Row],[Ganancia]]-Rdiario[[#This Row],[Compras]]-Rdiario[[#This Row],[Gastos]]</f>
        <v>0</v>
      </c>
      <c r="P213" s="16"/>
    </row>
    <row r="214" spans="2:16">
      <c r="B214" s="9">
        <v>45137</v>
      </c>
      <c r="C21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4" s="6" t="s">
        <v>104</v>
      </c>
      <c r="E214" s="7">
        <f>SUMIF(Ventas[Fecha],Rdiario[[#This Row],[Fecha]],Ventas[Total])</f>
        <v>0</v>
      </c>
      <c r="F214" s="66">
        <f>SUMIF(Ventas[Fecha],Rdiario[[#This Row],[Fecha]],Ventas[Total 4])</f>
        <v>0</v>
      </c>
      <c r="G214" s="66">
        <f>Rdiario[[#This Row],[Ingresos Brutos]]-Rdiario[[#This Row],[Transferencia]]</f>
        <v>0</v>
      </c>
      <c r="H214" s="7">
        <f>Rdiario[[#This Row],[Ingresos Brutos]]-Rdiario[[#This Row],[Ganancia]]</f>
        <v>0</v>
      </c>
      <c r="I214" s="7">
        <f>SUMIF(Ventas[Fecha],Rdiario[[#This Row],[Fecha]],Ventas[Total 2])</f>
        <v>0</v>
      </c>
      <c r="J214" s="7">
        <f>SUMIF(Compras[Fecha],Rdiario[[#This Row],[Fecha]],Compras[Monto])</f>
        <v>0</v>
      </c>
      <c r="K214" s="7">
        <f>SUMIF(TGastos[Fecha],Rdiario[[#This Row],[Fecha]],TGastos[Monto])</f>
        <v>0</v>
      </c>
      <c r="L214" s="7">
        <f>Rdiario[[#This Row],[Ingresos Brutos]]-Rdiario[[#This Row],[Compras]]-Rdiario[[#This Row],[Gastos]]</f>
        <v>0</v>
      </c>
      <c r="M214" s="7">
        <f>Rdiario[[#This Row],[Ganancia]]-Rdiario[[#This Row],[Compras]]-Rdiario[[#This Row],[Gastos]]</f>
        <v>0</v>
      </c>
      <c r="P214" s="16"/>
    </row>
    <row r="215" spans="2:16">
      <c r="B215" s="9">
        <v>45138</v>
      </c>
      <c r="C21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5" s="6" t="s">
        <v>105</v>
      </c>
      <c r="E215" s="7">
        <f>SUMIF(Ventas[Fecha],Rdiario[[#This Row],[Fecha]],Ventas[Total])</f>
        <v>0</v>
      </c>
      <c r="F215" s="66">
        <f>SUMIF(Ventas[Fecha],Rdiario[[#This Row],[Fecha]],Ventas[Total 4])</f>
        <v>0</v>
      </c>
      <c r="G215" s="66">
        <f>Rdiario[[#This Row],[Ingresos Brutos]]-Rdiario[[#This Row],[Transferencia]]</f>
        <v>0</v>
      </c>
      <c r="H215" s="7">
        <f>Rdiario[[#This Row],[Ingresos Brutos]]-Rdiario[[#This Row],[Ganancia]]</f>
        <v>0</v>
      </c>
      <c r="I215" s="7">
        <f>SUMIF(Ventas[Fecha],Rdiario[[#This Row],[Fecha]],Ventas[Total 2])</f>
        <v>0</v>
      </c>
      <c r="J215" s="7">
        <f>SUMIF(Compras[Fecha],Rdiario[[#This Row],[Fecha]],Compras[Monto])</f>
        <v>0</v>
      </c>
      <c r="K215" s="7">
        <f>SUMIF(TGastos[Fecha],Rdiario[[#This Row],[Fecha]],TGastos[Monto])</f>
        <v>0</v>
      </c>
      <c r="L215" s="7">
        <f>Rdiario[[#This Row],[Ingresos Brutos]]-Rdiario[[#This Row],[Compras]]-Rdiario[[#This Row],[Gastos]]</f>
        <v>0</v>
      </c>
      <c r="M215" s="7">
        <f>Rdiario[[#This Row],[Ganancia]]-Rdiario[[#This Row],[Compras]]-Rdiario[[#This Row],[Gastos]]</f>
        <v>0</v>
      </c>
      <c r="P215" s="16"/>
    </row>
    <row r="216" spans="2:16">
      <c r="B216" s="9">
        <v>45139</v>
      </c>
      <c r="C21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16" s="6" t="s">
        <v>106</v>
      </c>
      <c r="E216" s="7">
        <f>SUMIF(Ventas[Fecha],Rdiario[[#This Row],[Fecha]],Ventas[Total])</f>
        <v>0</v>
      </c>
      <c r="F216" s="66">
        <f>SUMIF(Ventas[Fecha],Rdiario[[#This Row],[Fecha]],Ventas[Total 4])</f>
        <v>0</v>
      </c>
      <c r="G216" s="66">
        <f>Rdiario[[#This Row],[Ingresos Brutos]]-Rdiario[[#This Row],[Transferencia]]</f>
        <v>0</v>
      </c>
      <c r="H216" s="7">
        <f>Rdiario[[#This Row],[Ingresos Brutos]]-Rdiario[[#This Row],[Ganancia]]</f>
        <v>0</v>
      </c>
      <c r="I216" s="7">
        <f>SUMIF(Ventas[Fecha],Rdiario[[#This Row],[Fecha]],Ventas[Total 2])</f>
        <v>0</v>
      </c>
      <c r="J216" s="7">
        <f>SUMIF(Compras[Fecha],Rdiario[[#This Row],[Fecha]],Compras[Monto])</f>
        <v>0</v>
      </c>
      <c r="K216" s="7">
        <f>SUMIF(TGastos[Fecha],Rdiario[[#This Row],[Fecha]],TGastos[Monto])</f>
        <v>0</v>
      </c>
      <c r="L216" s="7">
        <f>Rdiario[[#This Row],[Ingresos Brutos]]-Rdiario[[#This Row],[Compras]]-Rdiario[[#This Row],[Gastos]]</f>
        <v>0</v>
      </c>
      <c r="M216" s="7">
        <f>Rdiario[[#This Row],[Ganancia]]-Rdiario[[#This Row],[Compras]]-Rdiario[[#This Row],[Gastos]]</f>
        <v>0</v>
      </c>
      <c r="P216" s="16"/>
    </row>
    <row r="217" spans="2:16">
      <c r="B217" s="9">
        <v>45140</v>
      </c>
      <c r="C21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17" s="6" t="s">
        <v>107</v>
      </c>
      <c r="E217" s="7">
        <f>SUMIF(Ventas[Fecha],Rdiario[[#This Row],[Fecha]],Ventas[Total])</f>
        <v>0</v>
      </c>
      <c r="F217" s="66">
        <f>SUMIF(Ventas[Fecha],Rdiario[[#This Row],[Fecha]],Ventas[Total 4])</f>
        <v>0</v>
      </c>
      <c r="G217" s="66">
        <f>Rdiario[[#This Row],[Ingresos Brutos]]-Rdiario[[#This Row],[Transferencia]]</f>
        <v>0</v>
      </c>
      <c r="H217" s="7">
        <f>Rdiario[[#This Row],[Ingresos Brutos]]-Rdiario[[#This Row],[Ganancia]]</f>
        <v>0</v>
      </c>
      <c r="I217" s="7">
        <f>SUMIF(Ventas[Fecha],Rdiario[[#This Row],[Fecha]],Ventas[Total 2])</f>
        <v>0</v>
      </c>
      <c r="J217" s="7">
        <f>SUMIF(Compras[Fecha],Rdiario[[#This Row],[Fecha]],Compras[Monto])</f>
        <v>0</v>
      </c>
      <c r="K217" s="7">
        <f>SUMIF(TGastos[Fecha],Rdiario[[#This Row],[Fecha]],TGastos[Monto])</f>
        <v>0</v>
      </c>
      <c r="L217" s="7">
        <f>Rdiario[[#This Row],[Ingresos Brutos]]-Rdiario[[#This Row],[Compras]]-Rdiario[[#This Row],[Gastos]]</f>
        <v>0</v>
      </c>
      <c r="M217" s="7">
        <f>Rdiario[[#This Row],[Ganancia]]-Rdiario[[#This Row],[Compras]]-Rdiario[[#This Row],[Gastos]]</f>
        <v>0</v>
      </c>
      <c r="P217" s="16"/>
    </row>
    <row r="218" spans="2:16">
      <c r="B218" s="9">
        <v>45141</v>
      </c>
      <c r="C21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18" s="6" t="s">
        <v>108</v>
      </c>
      <c r="E218" s="7">
        <f>SUMIF(Ventas[Fecha],Rdiario[[#This Row],[Fecha]],Ventas[Total])</f>
        <v>0</v>
      </c>
      <c r="F218" s="66">
        <f>SUMIF(Ventas[Fecha],Rdiario[[#This Row],[Fecha]],Ventas[Total 4])</f>
        <v>0</v>
      </c>
      <c r="G218" s="66">
        <f>Rdiario[[#This Row],[Ingresos Brutos]]-Rdiario[[#This Row],[Transferencia]]</f>
        <v>0</v>
      </c>
      <c r="H218" s="7">
        <f>Rdiario[[#This Row],[Ingresos Brutos]]-Rdiario[[#This Row],[Ganancia]]</f>
        <v>0</v>
      </c>
      <c r="I218" s="7">
        <f>SUMIF(Ventas[Fecha],Rdiario[[#This Row],[Fecha]],Ventas[Total 2])</f>
        <v>0</v>
      </c>
      <c r="J218" s="7">
        <f>SUMIF(Compras[Fecha],Rdiario[[#This Row],[Fecha]],Compras[Monto])</f>
        <v>0</v>
      </c>
      <c r="K218" s="7">
        <f>SUMIF(TGastos[Fecha],Rdiario[[#This Row],[Fecha]],TGastos[Monto])</f>
        <v>0</v>
      </c>
      <c r="L218" s="7">
        <f>Rdiario[[#This Row],[Ingresos Brutos]]-Rdiario[[#This Row],[Compras]]-Rdiario[[#This Row],[Gastos]]</f>
        <v>0</v>
      </c>
      <c r="M218" s="7">
        <f>Rdiario[[#This Row],[Ganancia]]-Rdiario[[#This Row],[Compras]]-Rdiario[[#This Row],[Gastos]]</f>
        <v>0</v>
      </c>
      <c r="P218" s="16"/>
    </row>
    <row r="219" spans="2:16">
      <c r="B219" s="9">
        <v>45142</v>
      </c>
      <c r="C21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19" s="6" t="s">
        <v>109</v>
      </c>
      <c r="E219" s="7">
        <f>SUMIF(Ventas[Fecha],Rdiario[[#This Row],[Fecha]],Ventas[Total])</f>
        <v>0</v>
      </c>
      <c r="F219" s="66">
        <f>SUMIF(Ventas[Fecha],Rdiario[[#This Row],[Fecha]],Ventas[Total 4])</f>
        <v>0</v>
      </c>
      <c r="G219" s="66">
        <f>Rdiario[[#This Row],[Ingresos Brutos]]-Rdiario[[#This Row],[Transferencia]]</f>
        <v>0</v>
      </c>
      <c r="H219" s="7">
        <f>Rdiario[[#This Row],[Ingresos Brutos]]-Rdiario[[#This Row],[Ganancia]]</f>
        <v>0</v>
      </c>
      <c r="I219" s="7">
        <f>SUMIF(Ventas[Fecha],Rdiario[[#This Row],[Fecha]],Ventas[Total 2])</f>
        <v>0</v>
      </c>
      <c r="J219" s="7">
        <f>SUMIF(Compras[Fecha],Rdiario[[#This Row],[Fecha]],Compras[Monto])</f>
        <v>0</v>
      </c>
      <c r="K219" s="7">
        <f>SUMIF(TGastos[Fecha],Rdiario[[#This Row],[Fecha]],TGastos[Monto])</f>
        <v>0</v>
      </c>
      <c r="L219" s="7">
        <f>Rdiario[[#This Row],[Ingresos Brutos]]-Rdiario[[#This Row],[Compras]]-Rdiario[[#This Row],[Gastos]]</f>
        <v>0</v>
      </c>
      <c r="M219" s="7">
        <f>Rdiario[[#This Row],[Ganancia]]-Rdiario[[#This Row],[Compras]]-Rdiario[[#This Row],[Gastos]]</f>
        <v>0</v>
      </c>
      <c r="P219" s="16"/>
    </row>
    <row r="220" spans="2:16">
      <c r="B220" s="9">
        <v>45143</v>
      </c>
      <c r="C22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0" s="6" t="s">
        <v>110</v>
      </c>
      <c r="E220" s="7">
        <f>SUMIF(Ventas[Fecha],Rdiario[[#This Row],[Fecha]],Ventas[Total])</f>
        <v>0</v>
      </c>
      <c r="F220" s="66">
        <f>SUMIF(Ventas[Fecha],Rdiario[[#This Row],[Fecha]],Ventas[Total 4])</f>
        <v>0</v>
      </c>
      <c r="G220" s="66">
        <f>Rdiario[[#This Row],[Ingresos Brutos]]-Rdiario[[#This Row],[Transferencia]]</f>
        <v>0</v>
      </c>
      <c r="H220" s="7">
        <f>Rdiario[[#This Row],[Ingresos Brutos]]-Rdiario[[#This Row],[Ganancia]]</f>
        <v>0</v>
      </c>
      <c r="I220" s="7">
        <f>SUMIF(Ventas[Fecha],Rdiario[[#This Row],[Fecha]],Ventas[Total 2])</f>
        <v>0</v>
      </c>
      <c r="J220" s="7">
        <f>SUMIF(Compras[Fecha],Rdiario[[#This Row],[Fecha]],Compras[Monto])</f>
        <v>0</v>
      </c>
      <c r="K220" s="7">
        <f>SUMIF(TGastos[Fecha],Rdiario[[#This Row],[Fecha]],TGastos[Monto])</f>
        <v>0</v>
      </c>
      <c r="L220" s="7">
        <f>Rdiario[[#This Row],[Ingresos Brutos]]-Rdiario[[#This Row],[Compras]]-Rdiario[[#This Row],[Gastos]]</f>
        <v>0</v>
      </c>
      <c r="M220" s="7">
        <f>Rdiario[[#This Row],[Ganancia]]-Rdiario[[#This Row],[Compras]]-Rdiario[[#This Row],[Gastos]]</f>
        <v>0</v>
      </c>
      <c r="P220" s="16"/>
    </row>
    <row r="221" spans="2:16">
      <c r="B221" s="9">
        <v>45144</v>
      </c>
      <c r="C22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1" s="6" t="s">
        <v>104</v>
      </c>
      <c r="E221" s="7">
        <f>SUMIF(Ventas[Fecha],Rdiario[[#This Row],[Fecha]],Ventas[Total])</f>
        <v>0</v>
      </c>
      <c r="F221" s="66">
        <f>SUMIF(Ventas[Fecha],Rdiario[[#This Row],[Fecha]],Ventas[Total 4])</f>
        <v>0</v>
      </c>
      <c r="G221" s="66">
        <f>Rdiario[[#This Row],[Ingresos Brutos]]-Rdiario[[#This Row],[Transferencia]]</f>
        <v>0</v>
      </c>
      <c r="H221" s="7">
        <f>Rdiario[[#This Row],[Ingresos Brutos]]-Rdiario[[#This Row],[Ganancia]]</f>
        <v>0</v>
      </c>
      <c r="I221" s="7">
        <f>SUMIF(Ventas[Fecha],Rdiario[[#This Row],[Fecha]],Ventas[Total 2])</f>
        <v>0</v>
      </c>
      <c r="J221" s="7">
        <f>SUMIF(Compras[Fecha],Rdiario[[#This Row],[Fecha]],Compras[Monto])</f>
        <v>0</v>
      </c>
      <c r="K221" s="7">
        <f>SUMIF(TGastos[Fecha],Rdiario[[#This Row],[Fecha]],TGastos[Monto])</f>
        <v>0</v>
      </c>
      <c r="L221" s="7">
        <f>Rdiario[[#This Row],[Ingresos Brutos]]-Rdiario[[#This Row],[Compras]]-Rdiario[[#This Row],[Gastos]]</f>
        <v>0</v>
      </c>
      <c r="M221" s="7">
        <f>Rdiario[[#This Row],[Ganancia]]-Rdiario[[#This Row],[Compras]]-Rdiario[[#This Row],[Gastos]]</f>
        <v>0</v>
      </c>
      <c r="P221" s="16"/>
    </row>
    <row r="222" spans="2:16">
      <c r="B222" s="9">
        <v>45145</v>
      </c>
      <c r="C22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2" s="6" t="s">
        <v>105</v>
      </c>
      <c r="E222" s="7">
        <f>SUMIF(Ventas[Fecha],Rdiario[[#This Row],[Fecha]],Ventas[Total])</f>
        <v>0</v>
      </c>
      <c r="F222" s="66">
        <f>SUMIF(Ventas[Fecha],Rdiario[[#This Row],[Fecha]],Ventas[Total 4])</f>
        <v>0</v>
      </c>
      <c r="G222" s="66">
        <f>Rdiario[[#This Row],[Ingresos Brutos]]-Rdiario[[#This Row],[Transferencia]]</f>
        <v>0</v>
      </c>
      <c r="H222" s="7">
        <f>Rdiario[[#This Row],[Ingresos Brutos]]-Rdiario[[#This Row],[Ganancia]]</f>
        <v>0</v>
      </c>
      <c r="I222" s="7">
        <f>SUMIF(Ventas[Fecha],Rdiario[[#This Row],[Fecha]],Ventas[Total 2])</f>
        <v>0</v>
      </c>
      <c r="J222" s="7">
        <f>SUMIF(Compras[Fecha],Rdiario[[#This Row],[Fecha]],Compras[Monto])</f>
        <v>0</v>
      </c>
      <c r="K222" s="7">
        <f>SUMIF(TGastos[Fecha],Rdiario[[#This Row],[Fecha]],TGastos[Monto])</f>
        <v>0</v>
      </c>
      <c r="L222" s="7">
        <f>Rdiario[[#This Row],[Ingresos Brutos]]-Rdiario[[#This Row],[Compras]]-Rdiario[[#This Row],[Gastos]]</f>
        <v>0</v>
      </c>
      <c r="M222" s="7">
        <f>Rdiario[[#This Row],[Ganancia]]-Rdiario[[#This Row],[Compras]]-Rdiario[[#This Row],[Gastos]]</f>
        <v>0</v>
      </c>
      <c r="P222" s="16"/>
    </row>
    <row r="223" spans="2:16">
      <c r="B223" s="9">
        <v>45146</v>
      </c>
      <c r="C22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3" s="6" t="s">
        <v>106</v>
      </c>
      <c r="E223" s="7">
        <f>SUMIF(Ventas[Fecha],Rdiario[[#This Row],[Fecha]],Ventas[Total])</f>
        <v>0</v>
      </c>
      <c r="F223" s="66">
        <f>SUMIF(Ventas[Fecha],Rdiario[[#This Row],[Fecha]],Ventas[Total 4])</f>
        <v>0</v>
      </c>
      <c r="G223" s="66">
        <f>Rdiario[[#This Row],[Ingresos Brutos]]-Rdiario[[#This Row],[Transferencia]]</f>
        <v>0</v>
      </c>
      <c r="H223" s="7">
        <f>Rdiario[[#This Row],[Ingresos Brutos]]-Rdiario[[#This Row],[Ganancia]]</f>
        <v>0</v>
      </c>
      <c r="I223" s="7">
        <f>SUMIF(Ventas[Fecha],Rdiario[[#This Row],[Fecha]],Ventas[Total 2])</f>
        <v>0</v>
      </c>
      <c r="J223" s="7">
        <f>SUMIF(Compras[Fecha],Rdiario[[#This Row],[Fecha]],Compras[Monto])</f>
        <v>0</v>
      </c>
      <c r="K223" s="7">
        <f>SUMIF(TGastos[Fecha],Rdiario[[#This Row],[Fecha]],TGastos[Monto])</f>
        <v>0</v>
      </c>
      <c r="L223" s="7">
        <f>Rdiario[[#This Row],[Ingresos Brutos]]-Rdiario[[#This Row],[Compras]]-Rdiario[[#This Row],[Gastos]]</f>
        <v>0</v>
      </c>
      <c r="M223" s="7">
        <f>Rdiario[[#This Row],[Ganancia]]-Rdiario[[#This Row],[Compras]]-Rdiario[[#This Row],[Gastos]]</f>
        <v>0</v>
      </c>
      <c r="P223" s="16"/>
    </row>
    <row r="224" spans="2:16">
      <c r="B224" s="9">
        <v>45147</v>
      </c>
      <c r="C22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4" s="6" t="s">
        <v>107</v>
      </c>
      <c r="E224" s="7">
        <f>SUMIF(Ventas[Fecha],Rdiario[[#This Row],[Fecha]],Ventas[Total])</f>
        <v>0</v>
      </c>
      <c r="F224" s="66">
        <f>SUMIF(Ventas[Fecha],Rdiario[[#This Row],[Fecha]],Ventas[Total 4])</f>
        <v>0</v>
      </c>
      <c r="G224" s="66">
        <f>Rdiario[[#This Row],[Ingresos Brutos]]-Rdiario[[#This Row],[Transferencia]]</f>
        <v>0</v>
      </c>
      <c r="H224" s="7">
        <f>Rdiario[[#This Row],[Ingresos Brutos]]-Rdiario[[#This Row],[Ganancia]]</f>
        <v>0</v>
      </c>
      <c r="I224" s="7">
        <f>SUMIF(Ventas[Fecha],Rdiario[[#This Row],[Fecha]],Ventas[Total 2])</f>
        <v>0</v>
      </c>
      <c r="J224" s="7">
        <f>SUMIF(Compras[Fecha],Rdiario[[#This Row],[Fecha]],Compras[Monto])</f>
        <v>0</v>
      </c>
      <c r="K224" s="7">
        <f>SUMIF(TGastos[Fecha],Rdiario[[#This Row],[Fecha]],TGastos[Monto])</f>
        <v>0</v>
      </c>
      <c r="L224" s="7">
        <f>Rdiario[[#This Row],[Ingresos Brutos]]-Rdiario[[#This Row],[Compras]]-Rdiario[[#This Row],[Gastos]]</f>
        <v>0</v>
      </c>
      <c r="M224" s="7">
        <f>Rdiario[[#This Row],[Ganancia]]-Rdiario[[#This Row],[Compras]]-Rdiario[[#This Row],[Gastos]]</f>
        <v>0</v>
      </c>
      <c r="P224" s="16"/>
    </row>
    <row r="225" spans="2:16">
      <c r="B225" s="9">
        <v>45148</v>
      </c>
      <c r="C22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5" s="6" t="s">
        <v>108</v>
      </c>
      <c r="E225" s="7">
        <f>SUMIF(Ventas[Fecha],Rdiario[[#This Row],[Fecha]],Ventas[Total])</f>
        <v>0</v>
      </c>
      <c r="F225" s="66">
        <f>SUMIF(Ventas[Fecha],Rdiario[[#This Row],[Fecha]],Ventas[Total 4])</f>
        <v>0</v>
      </c>
      <c r="G225" s="66">
        <f>Rdiario[[#This Row],[Ingresos Brutos]]-Rdiario[[#This Row],[Transferencia]]</f>
        <v>0</v>
      </c>
      <c r="H225" s="7">
        <f>Rdiario[[#This Row],[Ingresos Brutos]]-Rdiario[[#This Row],[Ganancia]]</f>
        <v>0</v>
      </c>
      <c r="I225" s="7">
        <f>SUMIF(Ventas[Fecha],Rdiario[[#This Row],[Fecha]],Ventas[Total 2])</f>
        <v>0</v>
      </c>
      <c r="J225" s="7">
        <f>SUMIF(Compras[Fecha],Rdiario[[#This Row],[Fecha]],Compras[Monto])</f>
        <v>0</v>
      </c>
      <c r="K225" s="7">
        <f>SUMIF(TGastos[Fecha],Rdiario[[#This Row],[Fecha]],TGastos[Monto])</f>
        <v>0</v>
      </c>
      <c r="L225" s="7">
        <f>Rdiario[[#This Row],[Ingresos Brutos]]-Rdiario[[#This Row],[Compras]]-Rdiario[[#This Row],[Gastos]]</f>
        <v>0</v>
      </c>
      <c r="M225" s="7">
        <f>Rdiario[[#This Row],[Ganancia]]-Rdiario[[#This Row],[Compras]]-Rdiario[[#This Row],[Gastos]]</f>
        <v>0</v>
      </c>
      <c r="P225" s="16"/>
    </row>
    <row r="226" spans="2:16">
      <c r="B226" s="9">
        <v>45149</v>
      </c>
      <c r="C22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6" s="6" t="s">
        <v>109</v>
      </c>
      <c r="E226" s="7">
        <f>SUMIF(Ventas[Fecha],Rdiario[[#This Row],[Fecha]],Ventas[Total])</f>
        <v>0</v>
      </c>
      <c r="F226" s="66">
        <f>SUMIF(Ventas[Fecha],Rdiario[[#This Row],[Fecha]],Ventas[Total 4])</f>
        <v>0</v>
      </c>
      <c r="G226" s="66">
        <f>Rdiario[[#This Row],[Ingresos Brutos]]-Rdiario[[#This Row],[Transferencia]]</f>
        <v>0</v>
      </c>
      <c r="H226" s="7">
        <f>Rdiario[[#This Row],[Ingresos Brutos]]-Rdiario[[#This Row],[Ganancia]]</f>
        <v>0</v>
      </c>
      <c r="I226" s="7">
        <f>SUMIF(Ventas[Fecha],Rdiario[[#This Row],[Fecha]],Ventas[Total 2])</f>
        <v>0</v>
      </c>
      <c r="J226" s="7">
        <f>SUMIF(Compras[Fecha],Rdiario[[#This Row],[Fecha]],Compras[Monto])</f>
        <v>0</v>
      </c>
      <c r="K226" s="7">
        <f>SUMIF(TGastos[Fecha],Rdiario[[#This Row],[Fecha]],TGastos[Monto])</f>
        <v>0</v>
      </c>
      <c r="L226" s="7">
        <f>Rdiario[[#This Row],[Ingresos Brutos]]-Rdiario[[#This Row],[Compras]]-Rdiario[[#This Row],[Gastos]]</f>
        <v>0</v>
      </c>
      <c r="M226" s="7">
        <f>Rdiario[[#This Row],[Ganancia]]-Rdiario[[#This Row],[Compras]]-Rdiario[[#This Row],[Gastos]]</f>
        <v>0</v>
      </c>
      <c r="P226" s="16"/>
    </row>
    <row r="227" spans="2:16">
      <c r="B227" s="9">
        <v>45150</v>
      </c>
      <c r="C22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7" s="6" t="s">
        <v>110</v>
      </c>
      <c r="E227" s="7">
        <f>SUMIF(Ventas[Fecha],Rdiario[[#This Row],[Fecha]],Ventas[Total])</f>
        <v>0</v>
      </c>
      <c r="F227" s="66">
        <f>SUMIF(Ventas[Fecha],Rdiario[[#This Row],[Fecha]],Ventas[Total 4])</f>
        <v>0</v>
      </c>
      <c r="G227" s="66">
        <f>Rdiario[[#This Row],[Ingresos Brutos]]-Rdiario[[#This Row],[Transferencia]]</f>
        <v>0</v>
      </c>
      <c r="H227" s="7">
        <f>Rdiario[[#This Row],[Ingresos Brutos]]-Rdiario[[#This Row],[Ganancia]]</f>
        <v>0</v>
      </c>
      <c r="I227" s="7">
        <f>SUMIF(Ventas[Fecha],Rdiario[[#This Row],[Fecha]],Ventas[Total 2])</f>
        <v>0</v>
      </c>
      <c r="J227" s="7">
        <f>SUMIF(Compras[Fecha],Rdiario[[#This Row],[Fecha]],Compras[Monto])</f>
        <v>0</v>
      </c>
      <c r="K227" s="7">
        <f>SUMIF(TGastos[Fecha],Rdiario[[#This Row],[Fecha]],TGastos[Monto])</f>
        <v>0</v>
      </c>
      <c r="L227" s="7">
        <f>Rdiario[[#This Row],[Ingresos Brutos]]-Rdiario[[#This Row],[Compras]]-Rdiario[[#This Row],[Gastos]]</f>
        <v>0</v>
      </c>
      <c r="M227" s="7">
        <f>Rdiario[[#This Row],[Ganancia]]-Rdiario[[#This Row],[Compras]]-Rdiario[[#This Row],[Gastos]]</f>
        <v>0</v>
      </c>
      <c r="P227" s="16"/>
    </row>
    <row r="228" spans="2:16">
      <c r="B228" s="9">
        <v>45151</v>
      </c>
      <c r="C22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8" s="6" t="s">
        <v>104</v>
      </c>
      <c r="E228" s="7">
        <f>SUMIF(Ventas[Fecha],Rdiario[[#This Row],[Fecha]],Ventas[Total])</f>
        <v>0</v>
      </c>
      <c r="F228" s="66">
        <f>SUMIF(Ventas[Fecha],Rdiario[[#This Row],[Fecha]],Ventas[Total 4])</f>
        <v>0</v>
      </c>
      <c r="G228" s="66">
        <f>Rdiario[[#This Row],[Ingresos Brutos]]-Rdiario[[#This Row],[Transferencia]]</f>
        <v>0</v>
      </c>
      <c r="H228" s="7">
        <f>Rdiario[[#This Row],[Ingresos Brutos]]-Rdiario[[#This Row],[Ganancia]]</f>
        <v>0</v>
      </c>
      <c r="I228" s="7">
        <f>SUMIF(Ventas[Fecha],Rdiario[[#This Row],[Fecha]],Ventas[Total 2])</f>
        <v>0</v>
      </c>
      <c r="J228" s="7">
        <f>SUMIF(Compras[Fecha],Rdiario[[#This Row],[Fecha]],Compras[Monto])</f>
        <v>0</v>
      </c>
      <c r="K228" s="7">
        <f>SUMIF(TGastos[Fecha],Rdiario[[#This Row],[Fecha]],TGastos[Monto])</f>
        <v>0</v>
      </c>
      <c r="L228" s="7">
        <f>Rdiario[[#This Row],[Ingresos Brutos]]-Rdiario[[#This Row],[Compras]]-Rdiario[[#This Row],[Gastos]]</f>
        <v>0</v>
      </c>
      <c r="M228" s="7">
        <f>Rdiario[[#This Row],[Ganancia]]-Rdiario[[#This Row],[Compras]]-Rdiario[[#This Row],[Gastos]]</f>
        <v>0</v>
      </c>
      <c r="P228" s="16"/>
    </row>
    <row r="229" spans="2:16">
      <c r="B229" s="9">
        <v>45152</v>
      </c>
      <c r="C22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9" s="6" t="s">
        <v>105</v>
      </c>
      <c r="E229" s="7">
        <f>SUMIF(Ventas[Fecha],Rdiario[[#This Row],[Fecha]],Ventas[Total])</f>
        <v>0</v>
      </c>
      <c r="F229" s="66">
        <f>SUMIF(Ventas[Fecha],Rdiario[[#This Row],[Fecha]],Ventas[Total 4])</f>
        <v>0</v>
      </c>
      <c r="G229" s="66">
        <f>Rdiario[[#This Row],[Ingresos Brutos]]-Rdiario[[#This Row],[Transferencia]]</f>
        <v>0</v>
      </c>
      <c r="H229" s="7">
        <f>Rdiario[[#This Row],[Ingresos Brutos]]-Rdiario[[#This Row],[Ganancia]]</f>
        <v>0</v>
      </c>
      <c r="I229" s="7">
        <f>SUMIF(Ventas[Fecha],Rdiario[[#This Row],[Fecha]],Ventas[Total 2])</f>
        <v>0</v>
      </c>
      <c r="J229" s="7">
        <f>SUMIF(Compras[Fecha],Rdiario[[#This Row],[Fecha]],Compras[Monto])</f>
        <v>0</v>
      </c>
      <c r="K229" s="7">
        <f>SUMIF(TGastos[Fecha],Rdiario[[#This Row],[Fecha]],TGastos[Monto])</f>
        <v>0</v>
      </c>
      <c r="L229" s="7">
        <f>Rdiario[[#This Row],[Ingresos Brutos]]-Rdiario[[#This Row],[Compras]]-Rdiario[[#This Row],[Gastos]]</f>
        <v>0</v>
      </c>
      <c r="M229" s="7">
        <f>Rdiario[[#This Row],[Ganancia]]-Rdiario[[#This Row],[Compras]]-Rdiario[[#This Row],[Gastos]]</f>
        <v>0</v>
      </c>
      <c r="P229" s="16"/>
    </row>
    <row r="230" spans="2:16">
      <c r="B230" s="9">
        <v>45153</v>
      </c>
      <c r="C23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0" s="6" t="s">
        <v>106</v>
      </c>
      <c r="E230" s="7">
        <f>SUMIF(Ventas[Fecha],Rdiario[[#This Row],[Fecha]],Ventas[Total])</f>
        <v>0</v>
      </c>
      <c r="F230" s="66">
        <f>SUMIF(Ventas[Fecha],Rdiario[[#This Row],[Fecha]],Ventas[Total 4])</f>
        <v>0</v>
      </c>
      <c r="G230" s="66">
        <f>Rdiario[[#This Row],[Ingresos Brutos]]-Rdiario[[#This Row],[Transferencia]]</f>
        <v>0</v>
      </c>
      <c r="H230" s="7">
        <f>Rdiario[[#This Row],[Ingresos Brutos]]-Rdiario[[#This Row],[Ganancia]]</f>
        <v>0</v>
      </c>
      <c r="I230" s="7">
        <f>SUMIF(Ventas[Fecha],Rdiario[[#This Row],[Fecha]],Ventas[Total 2])</f>
        <v>0</v>
      </c>
      <c r="J230" s="7">
        <f>SUMIF(Compras[Fecha],Rdiario[[#This Row],[Fecha]],Compras[Monto])</f>
        <v>0</v>
      </c>
      <c r="K230" s="7">
        <f>SUMIF(TGastos[Fecha],Rdiario[[#This Row],[Fecha]],TGastos[Monto])</f>
        <v>0</v>
      </c>
      <c r="L230" s="7">
        <f>Rdiario[[#This Row],[Ingresos Brutos]]-Rdiario[[#This Row],[Compras]]-Rdiario[[#This Row],[Gastos]]</f>
        <v>0</v>
      </c>
      <c r="M230" s="7">
        <f>Rdiario[[#This Row],[Ganancia]]-Rdiario[[#This Row],[Compras]]-Rdiario[[#This Row],[Gastos]]</f>
        <v>0</v>
      </c>
      <c r="P230" s="16"/>
    </row>
    <row r="231" spans="2:16">
      <c r="B231" s="9">
        <v>45154</v>
      </c>
      <c r="C23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1" s="6" t="s">
        <v>107</v>
      </c>
      <c r="E231" s="7">
        <f>SUMIF(Ventas[Fecha],Rdiario[[#This Row],[Fecha]],Ventas[Total])</f>
        <v>0</v>
      </c>
      <c r="F231" s="66">
        <f>SUMIF(Ventas[Fecha],Rdiario[[#This Row],[Fecha]],Ventas[Total 4])</f>
        <v>0</v>
      </c>
      <c r="G231" s="66">
        <f>Rdiario[[#This Row],[Ingresos Brutos]]-Rdiario[[#This Row],[Transferencia]]</f>
        <v>0</v>
      </c>
      <c r="H231" s="7">
        <f>Rdiario[[#This Row],[Ingresos Brutos]]-Rdiario[[#This Row],[Ganancia]]</f>
        <v>0</v>
      </c>
      <c r="I231" s="7">
        <f>SUMIF(Ventas[Fecha],Rdiario[[#This Row],[Fecha]],Ventas[Total 2])</f>
        <v>0</v>
      </c>
      <c r="J231" s="7">
        <f>SUMIF(Compras[Fecha],Rdiario[[#This Row],[Fecha]],Compras[Monto])</f>
        <v>0</v>
      </c>
      <c r="K231" s="7">
        <f>SUMIF(TGastos[Fecha],Rdiario[[#This Row],[Fecha]],TGastos[Monto])</f>
        <v>0</v>
      </c>
      <c r="L231" s="7">
        <f>Rdiario[[#This Row],[Ingresos Brutos]]-Rdiario[[#This Row],[Compras]]-Rdiario[[#This Row],[Gastos]]</f>
        <v>0</v>
      </c>
      <c r="M231" s="7">
        <f>Rdiario[[#This Row],[Ganancia]]-Rdiario[[#This Row],[Compras]]-Rdiario[[#This Row],[Gastos]]</f>
        <v>0</v>
      </c>
      <c r="P231" s="16"/>
    </row>
    <row r="232" spans="2:16">
      <c r="B232" s="9">
        <v>45155</v>
      </c>
      <c r="C23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2" s="6" t="s">
        <v>108</v>
      </c>
      <c r="E232" s="7">
        <f>SUMIF(Ventas[Fecha],Rdiario[[#This Row],[Fecha]],Ventas[Total])</f>
        <v>0</v>
      </c>
      <c r="F232" s="66">
        <f>SUMIF(Ventas[Fecha],Rdiario[[#This Row],[Fecha]],Ventas[Total 4])</f>
        <v>0</v>
      </c>
      <c r="G232" s="66">
        <f>Rdiario[[#This Row],[Ingresos Brutos]]-Rdiario[[#This Row],[Transferencia]]</f>
        <v>0</v>
      </c>
      <c r="H232" s="7">
        <f>Rdiario[[#This Row],[Ingresos Brutos]]-Rdiario[[#This Row],[Ganancia]]</f>
        <v>0</v>
      </c>
      <c r="I232" s="7">
        <f>SUMIF(Ventas[Fecha],Rdiario[[#This Row],[Fecha]],Ventas[Total 2])</f>
        <v>0</v>
      </c>
      <c r="J232" s="7">
        <f>SUMIF(Compras[Fecha],Rdiario[[#This Row],[Fecha]],Compras[Monto])</f>
        <v>0</v>
      </c>
      <c r="K232" s="7">
        <f>SUMIF(TGastos[Fecha],Rdiario[[#This Row],[Fecha]],TGastos[Monto])</f>
        <v>0</v>
      </c>
      <c r="L232" s="7">
        <f>Rdiario[[#This Row],[Ingresos Brutos]]-Rdiario[[#This Row],[Compras]]-Rdiario[[#This Row],[Gastos]]</f>
        <v>0</v>
      </c>
      <c r="M232" s="7">
        <f>Rdiario[[#This Row],[Ganancia]]-Rdiario[[#This Row],[Compras]]-Rdiario[[#This Row],[Gastos]]</f>
        <v>0</v>
      </c>
      <c r="P232" s="16"/>
    </row>
    <row r="233" spans="2:16">
      <c r="B233" s="9">
        <v>45156</v>
      </c>
      <c r="C23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3" s="6" t="s">
        <v>109</v>
      </c>
      <c r="E233" s="7">
        <f>SUMIF(Ventas[Fecha],Rdiario[[#This Row],[Fecha]],Ventas[Total])</f>
        <v>0</v>
      </c>
      <c r="F233" s="66">
        <f>SUMIF(Ventas[Fecha],Rdiario[[#This Row],[Fecha]],Ventas[Total 4])</f>
        <v>0</v>
      </c>
      <c r="G233" s="66">
        <f>Rdiario[[#This Row],[Ingresos Brutos]]-Rdiario[[#This Row],[Transferencia]]</f>
        <v>0</v>
      </c>
      <c r="H233" s="7">
        <f>Rdiario[[#This Row],[Ingresos Brutos]]-Rdiario[[#This Row],[Ganancia]]</f>
        <v>0</v>
      </c>
      <c r="I233" s="7">
        <f>SUMIF(Ventas[Fecha],Rdiario[[#This Row],[Fecha]],Ventas[Total 2])</f>
        <v>0</v>
      </c>
      <c r="J233" s="7">
        <f>SUMIF(Compras[Fecha],Rdiario[[#This Row],[Fecha]],Compras[Monto])</f>
        <v>0</v>
      </c>
      <c r="K233" s="7">
        <f>SUMIF(TGastos[Fecha],Rdiario[[#This Row],[Fecha]],TGastos[Monto])</f>
        <v>0</v>
      </c>
      <c r="L233" s="7">
        <f>Rdiario[[#This Row],[Ingresos Brutos]]-Rdiario[[#This Row],[Compras]]-Rdiario[[#This Row],[Gastos]]</f>
        <v>0</v>
      </c>
      <c r="M233" s="7">
        <f>Rdiario[[#This Row],[Ganancia]]-Rdiario[[#This Row],[Compras]]-Rdiario[[#This Row],[Gastos]]</f>
        <v>0</v>
      </c>
      <c r="P233" s="16"/>
    </row>
    <row r="234" spans="2:16">
      <c r="B234" s="9">
        <v>45157</v>
      </c>
      <c r="C23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4" s="6" t="s">
        <v>110</v>
      </c>
      <c r="E234" s="7">
        <f>SUMIF(Ventas[Fecha],Rdiario[[#This Row],[Fecha]],Ventas[Total])</f>
        <v>0</v>
      </c>
      <c r="F234" s="66">
        <f>SUMIF(Ventas[Fecha],Rdiario[[#This Row],[Fecha]],Ventas[Total 4])</f>
        <v>0</v>
      </c>
      <c r="G234" s="66">
        <f>Rdiario[[#This Row],[Ingresos Brutos]]-Rdiario[[#This Row],[Transferencia]]</f>
        <v>0</v>
      </c>
      <c r="H234" s="7">
        <f>Rdiario[[#This Row],[Ingresos Brutos]]-Rdiario[[#This Row],[Ganancia]]</f>
        <v>0</v>
      </c>
      <c r="I234" s="7">
        <f>SUMIF(Ventas[Fecha],Rdiario[[#This Row],[Fecha]],Ventas[Total 2])</f>
        <v>0</v>
      </c>
      <c r="J234" s="7">
        <f>SUMIF(Compras[Fecha],Rdiario[[#This Row],[Fecha]],Compras[Monto])</f>
        <v>0</v>
      </c>
      <c r="K234" s="7">
        <f>SUMIF(TGastos[Fecha],Rdiario[[#This Row],[Fecha]],TGastos[Monto])</f>
        <v>0</v>
      </c>
      <c r="L234" s="7">
        <f>Rdiario[[#This Row],[Ingresos Brutos]]-Rdiario[[#This Row],[Compras]]-Rdiario[[#This Row],[Gastos]]</f>
        <v>0</v>
      </c>
      <c r="M234" s="7">
        <f>Rdiario[[#This Row],[Ganancia]]-Rdiario[[#This Row],[Compras]]-Rdiario[[#This Row],[Gastos]]</f>
        <v>0</v>
      </c>
      <c r="P234" s="16"/>
    </row>
    <row r="235" spans="2:16">
      <c r="B235" s="9">
        <v>45158</v>
      </c>
      <c r="C23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5" s="6" t="s">
        <v>104</v>
      </c>
      <c r="E235" s="7">
        <f>SUMIF(Ventas[Fecha],Rdiario[[#This Row],[Fecha]],Ventas[Total])</f>
        <v>0</v>
      </c>
      <c r="F235" s="66">
        <f>SUMIF(Ventas[Fecha],Rdiario[[#This Row],[Fecha]],Ventas[Total 4])</f>
        <v>0</v>
      </c>
      <c r="G235" s="66">
        <f>Rdiario[[#This Row],[Ingresos Brutos]]-Rdiario[[#This Row],[Transferencia]]</f>
        <v>0</v>
      </c>
      <c r="H235" s="7">
        <f>Rdiario[[#This Row],[Ingresos Brutos]]-Rdiario[[#This Row],[Ganancia]]</f>
        <v>0</v>
      </c>
      <c r="I235" s="7">
        <f>SUMIF(Ventas[Fecha],Rdiario[[#This Row],[Fecha]],Ventas[Total 2])</f>
        <v>0</v>
      </c>
      <c r="J235" s="7">
        <f>SUMIF(Compras[Fecha],Rdiario[[#This Row],[Fecha]],Compras[Monto])</f>
        <v>0</v>
      </c>
      <c r="K235" s="7">
        <f>SUMIF(TGastos[Fecha],Rdiario[[#This Row],[Fecha]],TGastos[Monto])</f>
        <v>0</v>
      </c>
      <c r="L235" s="7">
        <f>Rdiario[[#This Row],[Ingresos Brutos]]-Rdiario[[#This Row],[Compras]]-Rdiario[[#This Row],[Gastos]]</f>
        <v>0</v>
      </c>
      <c r="M235" s="7">
        <f>Rdiario[[#This Row],[Ganancia]]-Rdiario[[#This Row],[Compras]]-Rdiario[[#This Row],[Gastos]]</f>
        <v>0</v>
      </c>
      <c r="P235" s="16"/>
    </row>
    <row r="236" spans="2:16">
      <c r="B236" s="9">
        <v>45159</v>
      </c>
      <c r="C23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6" s="6" t="s">
        <v>105</v>
      </c>
      <c r="E236" s="7">
        <f>SUMIF(Ventas[Fecha],Rdiario[[#This Row],[Fecha]],Ventas[Total])</f>
        <v>0</v>
      </c>
      <c r="F236" s="66">
        <f>SUMIF(Ventas[Fecha],Rdiario[[#This Row],[Fecha]],Ventas[Total 4])</f>
        <v>0</v>
      </c>
      <c r="G236" s="66">
        <f>Rdiario[[#This Row],[Ingresos Brutos]]-Rdiario[[#This Row],[Transferencia]]</f>
        <v>0</v>
      </c>
      <c r="H236" s="7">
        <f>Rdiario[[#This Row],[Ingresos Brutos]]-Rdiario[[#This Row],[Ganancia]]</f>
        <v>0</v>
      </c>
      <c r="I236" s="7">
        <f>SUMIF(Ventas[Fecha],Rdiario[[#This Row],[Fecha]],Ventas[Total 2])</f>
        <v>0</v>
      </c>
      <c r="J236" s="7">
        <f>SUMIF(Compras[Fecha],Rdiario[[#This Row],[Fecha]],Compras[Monto])</f>
        <v>0</v>
      </c>
      <c r="K236" s="7">
        <f>SUMIF(TGastos[Fecha],Rdiario[[#This Row],[Fecha]],TGastos[Monto])</f>
        <v>0</v>
      </c>
      <c r="L236" s="7">
        <f>Rdiario[[#This Row],[Ingresos Brutos]]-Rdiario[[#This Row],[Compras]]-Rdiario[[#This Row],[Gastos]]</f>
        <v>0</v>
      </c>
      <c r="M236" s="7">
        <f>Rdiario[[#This Row],[Ganancia]]-Rdiario[[#This Row],[Compras]]-Rdiario[[#This Row],[Gastos]]</f>
        <v>0</v>
      </c>
      <c r="P236" s="16"/>
    </row>
    <row r="237" spans="2:16">
      <c r="B237" s="9">
        <v>45160</v>
      </c>
      <c r="C23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7" s="6" t="s">
        <v>106</v>
      </c>
      <c r="E237" s="7">
        <f>SUMIF(Ventas[Fecha],Rdiario[[#This Row],[Fecha]],Ventas[Total])</f>
        <v>0</v>
      </c>
      <c r="F237" s="66">
        <f>SUMIF(Ventas[Fecha],Rdiario[[#This Row],[Fecha]],Ventas[Total 4])</f>
        <v>0</v>
      </c>
      <c r="G237" s="66">
        <f>Rdiario[[#This Row],[Ingresos Brutos]]-Rdiario[[#This Row],[Transferencia]]</f>
        <v>0</v>
      </c>
      <c r="H237" s="7">
        <f>Rdiario[[#This Row],[Ingresos Brutos]]-Rdiario[[#This Row],[Ganancia]]</f>
        <v>0</v>
      </c>
      <c r="I237" s="7">
        <f>SUMIF(Ventas[Fecha],Rdiario[[#This Row],[Fecha]],Ventas[Total 2])</f>
        <v>0</v>
      </c>
      <c r="J237" s="7">
        <f>SUMIF(Compras[Fecha],Rdiario[[#This Row],[Fecha]],Compras[Monto])</f>
        <v>0</v>
      </c>
      <c r="K237" s="7">
        <f>SUMIF(TGastos[Fecha],Rdiario[[#This Row],[Fecha]],TGastos[Monto])</f>
        <v>0</v>
      </c>
      <c r="L237" s="7">
        <f>Rdiario[[#This Row],[Ingresos Brutos]]-Rdiario[[#This Row],[Compras]]-Rdiario[[#This Row],[Gastos]]</f>
        <v>0</v>
      </c>
      <c r="M237" s="7">
        <f>Rdiario[[#This Row],[Ganancia]]-Rdiario[[#This Row],[Compras]]-Rdiario[[#This Row],[Gastos]]</f>
        <v>0</v>
      </c>
      <c r="P237" s="16"/>
    </row>
    <row r="238" spans="2:16">
      <c r="B238" s="9">
        <v>45161</v>
      </c>
      <c r="C23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8" s="6" t="s">
        <v>107</v>
      </c>
      <c r="E238" s="7">
        <f>SUMIF(Ventas[Fecha],Rdiario[[#This Row],[Fecha]],Ventas[Total])</f>
        <v>0</v>
      </c>
      <c r="F238" s="66">
        <f>SUMIF(Ventas[Fecha],Rdiario[[#This Row],[Fecha]],Ventas[Total 4])</f>
        <v>0</v>
      </c>
      <c r="G238" s="66">
        <f>Rdiario[[#This Row],[Ingresos Brutos]]-Rdiario[[#This Row],[Transferencia]]</f>
        <v>0</v>
      </c>
      <c r="H238" s="7">
        <f>Rdiario[[#This Row],[Ingresos Brutos]]-Rdiario[[#This Row],[Ganancia]]</f>
        <v>0</v>
      </c>
      <c r="I238" s="7">
        <f>SUMIF(Ventas[Fecha],Rdiario[[#This Row],[Fecha]],Ventas[Total 2])</f>
        <v>0</v>
      </c>
      <c r="J238" s="7">
        <f>SUMIF(Compras[Fecha],Rdiario[[#This Row],[Fecha]],Compras[Monto])</f>
        <v>0</v>
      </c>
      <c r="K238" s="7">
        <f>SUMIF(TGastos[Fecha],Rdiario[[#This Row],[Fecha]],TGastos[Monto])</f>
        <v>0</v>
      </c>
      <c r="L238" s="7">
        <f>Rdiario[[#This Row],[Ingresos Brutos]]-Rdiario[[#This Row],[Compras]]-Rdiario[[#This Row],[Gastos]]</f>
        <v>0</v>
      </c>
      <c r="M238" s="7">
        <f>Rdiario[[#This Row],[Ganancia]]-Rdiario[[#This Row],[Compras]]-Rdiario[[#This Row],[Gastos]]</f>
        <v>0</v>
      </c>
      <c r="P238" s="16"/>
    </row>
    <row r="239" spans="2:16">
      <c r="B239" s="9">
        <v>45162</v>
      </c>
      <c r="C23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9" s="6" t="s">
        <v>108</v>
      </c>
      <c r="E239" s="7">
        <f>SUMIF(Ventas[Fecha],Rdiario[[#This Row],[Fecha]],Ventas[Total])</f>
        <v>0</v>
      </c>
      <c r="F239" s="66">
        <f>SUMIF(Ventas[Fecha],Rdiario[[#This Row],[Fecha]],Ventas[Total 4])</f>
        <v>0</v>
      </c>
      <c r="G239" s="66">
        <f>Rdiario[[#This Row],[Ingresos Brutos]]-Rdiario[[#This Row],[Transferencia]]</f>
        <v>0</v>
      </c>
      <c r="H239" s="7">
        <f>Rdiario[[#This Row],[Ingresos Brutos]]-Rdiario[[#This Row],[Ganancia]]</f>
        <v>0</v>
      </c>
      <c r="I239" s="7">
        <f>SUMIF(Ventas[Fecha],Rdiario[[#This Row],[Fecha]],Ventas[Total 2])</f>
        <v>0</v>
      </c>
      <c r="J239" s="7">
        <f>SUMIF(Compras[Fecha],Rdiario[[#This Row],[Fecha]],Compras[Monto])</f>
        <v>0</v>
      </c>
      <c r="K239" s="7">
        <f>SUMIF(TGastos[Fecha],Rdiario[[#This Row],[Fecha]],TGastos[Monto])</f>
        <v>0</v>
      </c>
      <c r="L239" s="7">
        <f>Rdiario[[#This Row],[Ingresos Brutos]]-Rdiario[[#This Row],[Compras]]-Rdiario[[#This Row],[Gastos]]</f>
        <v>0</v>
      </c>
      <c r="M239" s="7">
        <f>Rdiario[[#This Row],[Ganancia]]-Rdiario[[#This Row],[Compras]]-Rdiario[[#This Row],[Gastos]]</f>
        <v>0</v>
      </c>
      <c r="P239" s="16"/>
    </row>
    <row r="240" spans="2:16">
      <c r="B240" s="9">
        <v>45163</v>
      </c>
      <c r="C24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0" s="6" t="s">
        <v>109</v>
      </c>
      <c r="E240" s="7">
        <f>SUMIF(Ventas[Fecha],Rdiario[[#This Row],[Fecha]],Ventas[Total])</f>
        <v>0</v>
      </c>
      <c r="F240" s="66">
        <f>SUMIF(Ventas[Fecha],Rdiario[[#This Row],[Fecha]],Ventas[Total 4])</f>
        <v>0</v>
      </c>
      <c r="G240" s="66">
        <f>Rdiario[[#This Row],[Ingresos Brutos]]-Rdiario[[#This Row],[Transferencia]]</f>
        <v>0</v>
      </c>
      <c r="H240" s="7">
        <f>Rdiario[[#This Row],[Ingresos Brutos]]-Rdiario[[#This Row],[Ganancia]]</f>
        <v>0</v>
      </c>
      <c r="I240" s="7">
        <f>SUMIF(Ventas[Fecha],Rdiario[[#This Row],[Fecha]],Ventas[Total 2])</f>
        <v>0</v>
      </c>
      <c r="J240" s="7">
        <f>SUMIF(Compras[Fecha],Rdiario[[#This Row],[Fecha]],Compras[Monto])</f>
        <v>0</v>
      </c>
      <c r="K240" s="7">
        <f>SUMIF(TGastos[Fecha],Rdiario[[#This Row],[Fecha]],TGastos[Monto])</f>
        <v>0</v>
      </c>
      <c r="L240" s="7">
        <f>Rdiario[[#This Row],[Ingresos Brutos]]-Rdiario[[#This Row],[Compras]]-Rdiario[[#This Row],[Gastos]]</f>
        <v>0</v>
      </c>
      <c r="M240" s="7">
        <f>Rdiario[[#This Row],[Ganancia]]-Rdiario[[#This Row],[Compras]]-Rdiario[[#This Row],[Gastos]]</f>
        <v>0</v>
      </c>
      <c r="P240" s="16"/>
    </row>
    <row r="241" spans="2:16">
      <c r="B241" s="9">
        <v>45164</v>
      </c>
      <c r="C24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1" s="6" t="s">
        <v>110</v>
      </c>
      <c r="E241" s="7">
        <f>SUMIF(Ventas[Fecha],Rdiario[[#This Row],[Fecha]],Ventas[Total])</f>
        <v>0</v>
      </c>
      <c r="F241" s="66">
        <f>SUMIF(Ventas[Fecha],Rdiario[[#This Row],[Fecha]],Ventas[Total 4])</f>
        <v>0</v>
      </c>
      <c r="G241" s="66">
        <f>Rdiario[[#This Row],[Ingresos Brutos]]-Rdiario[[#This Row],[Transferencia]]</f>
        <v>0</v>
      </c>
      <c r="H241" s="7">
        <f>Rdiario[[#This Row],[Ingresos Brutos]]-Rdiario[[#This Row],[Ganancia]]</f>
        <v>0</v>
      </c>
      <c r="I241" s="7">
        <f>SUMIF(Ventas[Fecha],Rdiario[[#This Row],[Fecha]],Ventas[Total 2])</f>
        <v>0</v>
      </c>
      <c r="J241" s="7">
        <f>SUMIF(Compras[Fecha],Rdiario[[#This Row],[Fecha]],Compras[Monto])</f>
        <v>0</v>
      </c>
      <c r="K241" s="7">
        <f>SUMIF(TGastos[Fecha],Rdiario[[#This Row],[Fecha]],TGastos[Monto])</f>
        <v>0</v>
      </c>
      <c r="L241" s="7">
        <f>Rdiario[[#This Row],[Ingresos Brutos]]-Rdiario[[#This Row],[Compras]]-Rdiario[[#This Row],[Gastos]]</f>
        <v>0</v>
      </c>
      <c r="M241" s="7">
        <f>Rdiario[[#This Row],[Ganancia]]-Rdiario[[#This Row],[Compras]]-Rdiario[[#This Row],[Gastos]]</f>
        <v>0</v>
      </c>
      <c r="P241" s="16"/>
    </row>
    <row r="242" spans="2:16">
      <c r="B242" s="9">
        <v>45165</v>
      </c>
      <c r="C24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2" s="6" t="s">
        <v>104</v>
      </c>
      <c r="E242" s="7">
        <f>SUMIF(Ventas[Fecha],Rdiario[[#This Row],[Fecha]],Ventas[Total])</f>
        <v>0</v>
      </c>
      <c r="F242" s="66">
        <f>SUMIF(Ventas[Fecha],Rdiario[[#This Row],[Fecha]],Ventas[Total 4])</f>
        <v>0</v>
      </c>
      <c r="G242" s="66">
        <f>Rdiario[[#This Row],[Ingresos Brutos]]-Rdiario[[#This Row],[Transferencia]]</f>
        <v>0</v>
      </c>
      <c r="H242" s="7">
        <f>Rdiario[[#This Row],[Ingresos Brutos]]-Rdiario[[#This Row],[Ganancia]]</f>
        <v>0</v>
      </c>
      <c r="I242" s="7">
        <f>SUMIF(Ventas[Fecha],Rdiario[[#This Row],[Fecha]],Ventas[Total 2])</f>
        <v>0</v>
      </c>
      <c r="J242" s="7">
        <f>SUMIF(Compras[Fecha],Rdiario[[#This Row],[Fecha]],Compras[Monto])</f>
        <v>0</v>
      </c>
      <c r="K242" s="7">
        <f>SUMIF(TGastos[Fecha],Rdiario[[#This Row],[Fecha]],TGastos[Monto])</f>
        <v>0</v>
      </c>
      <c r="L242" s="7">
        <f>Rdiario[[#This Row],[Ingresos Brutos]]-Rdiario[[#This Row],[Compras]]-Rdiario[[#This Row],[Gastos]]</f>
        <v>0</v>
      </c>
      <c r="M242" s="7">
        <f>Rdiario[[#This Row],[Ganancia]]-Rdiario[[#This Row],[Compras]]-Rdiario[[#This Row],[Gastos]]</f>
        <v>0</v>
      </c>
      <c r="P242" s="16"/>
    </row>
    <row r="243" spans="2:16">
      <c r="B243" s="9">
        <v>45166</v>
      </c>
      <c r="C24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3" s="6" t="s">
        <v>105</v>
      </c>
      <c r="E243" s="7">
        <f>SUMIF(Ventas[Fecha],Rdiario[[#This Row],[Fecha]],Ventas[Total])</f>
        <v>0</v>
      </c>
      <c r="F243" s="66">
        <f>SUMIF(Ventas[Fecha],Rdiario[[#This Row],[Fecha]],Ventas[Total 4])</f>
        <v>0</v>
      </c>
      <c r="G243" s="66">
        <f>Rdiario[[#This Row],[Ingresos Brutos]]-Rdiario[[#This Row],[Transferencia]]</f>
        <v>0</v>
      </c>
      <c r="H243" s="7">
        <f>Rdiario[[#This Row],[Ingresos Brutos]]-Rdiario[[#This Row],[Ganancia]]</f>
        <v>0</v>
      </c>
      <c r="I243" s="7">
        <f>SUMIF(Ventas[Fecha],Rdiario[[#This Row],[Fecha]],Ventas[Total 2])</f>
        <v>0</v>
      </c>
      <c r="J243" s="7">
        <f>SUMIF(Compras[Fecha],Rdiario[[#This Row],[Fecha]],Compras[Monto])</f>
        <v>0</v>
      </c>
      <c r="K243" s="7">
        <f>SUMIF(TGastos[Fecha],Rdiario[[#This Row],[Fecha]],TGastos[Monto])</f>
        <v>0</v>
      </c>
      <c r="L243" s="7">
        <f>Rdiario[[#This Row],[Ingresos Brutos]]-Rdiario[[#This Row],[Compras]]-Rdiario[[#This Row],[Gastos]]</f>
        <v>0</v>
      </c>
      <c r="M243" s="7">
        <f>Rdiario[[#This Row],[Ganancia]]-Rdiario[[#This Row],[Compras]]-Rdiario[[#This Row],[Gastos]]</f>
        <v>0</v>
      </c>
      <c r="P243" s="16"/>
    </row>
    <row r="244" spans="2:16">
      <c r="B244" s="9">
        <v>45167</v>
      </c>
      <c r="C24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4" s="6" t="s">
        <v>106</v>
      </c>
      <c r="E244" s="7">
        <f>SUMIF(Ventas[Fecha],Rdiario[[#This Row],[Fecha]],Ventas[Total])</f>
        <v>0</v>
      </c>
      <c r="F244" s="66">
        <f>SUMIF(Ventas[Fecha],Rdiario[[#This Row],[Fecha]],Ventas[Total 4])</f>
        <v>0</v>
      </c>
      <c r="G244" s="66">
        <f>Rdiario[[#This Row],[Ingresos Brutos]]-Rdiario[[#This Row],[Transferencia]]</f>
        <v>0</v>
      </c>
      <c r="H244" s="7">
        <f>Rdiario[[#This Row],[Ingresos Brutos]]-Rdiario[[#This Row],[Ganancia]]</f>
        <v>0</v>
      </c>
      <c r="I244" s="7">
        <f>SUMIF(Ventas[Fecha],Rdiario[[#This Row],[Fecha]],Ventas[Total 2])</f>
        <v>0</v>
      </c>
      <c r="J244" s="7">
        <f>SUMIF(Compras[Fecha],Rdiario[[#This Row],[Fecha]],Compras[Monto])</f>
        <v>0</v>
      </c>
      <c r="K244" s="7">
        <f>SUMIF(TGastos[Fecha],Rdiario[[#This Row],[Fecha]],TGastos[Monto])</f>
        <v>0</v>
      </c>
      <c r="L244" s="7">
        <f>Rdiario[[#This Row],[Ingresos Brutos]]-Rdiario[[#This Row],[Compras]]-Rdiario[[#This Row],[Gastos]]</f>
        <v>0</v>
      </c>
      <c r="M244" s="7">
        <f>Rdiario[[#This Row],[Ganancia]]-Rdiario[[#This Row],[Compras]]-Rdiario[[#This Row],[Gastos]]</f>
        <v>0</v>
      </c>
      <c r="P244" s="16"/>
    </row>
    <row r="245" spans="2:16">
      <c r="B245" s="9">
        <v>45168</v>
      </c>
      <c r="C24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5" s="6" t="s">
        <v>107</v>
      </c>
      <c r="E245" s="7">
        <f>SUMIF(Ventas[Fecha],Rdiario[[#This Row],[Fecha]],Ventas[Total])</f>
        <v>0</v>
      </c>
      <c r="F245" s="66">
        <f>SUMIF(Ventas[Fecha],Rdiario[[#This Row],[Fecha]],Ventas[Total 4])</f>
        <v>0</v>
      </c>
      <c r="G245" s="66">
        <f>Rdiario[[#This Row],[Ingresos Brutos]]-Rdiario[[#This Row],[Transferencia]]</f>
        <v>0</v>
      </c>
      <c r="H245" s="7">
        <f>Rdiario[[#This Row],[Ingresos Brutos]]-Rdiario[[#This Row],[Ganancia]]</f>
        <v>0</v>
      </c>
      <c r="I245" s="7">
        <f>SUMIF(Ventas[Fecha],Rdiario[[#This Row],[Fecha]],Ventas[Total 2])</f>
        <v>0</v>
      </c>
      <c r="J245" s="7">
        <f>SUMIF(Compras[Fecha],Rdiario[[#This Row],[Fecha]],Compras[Monto])</f>
        <v>0</v>
      </c>
      <c r="K245" s="7">
        <f>SUMIF(TGastos[Fecha],Rdiario[[#This Row],[Fecha]],TGastos[Monto])</f>
        <v>0</v>
      </c>
      <c r="L245" s="7">
        <f>Rdiario[[#This Row],[Ingresos Brutos]]-Rdiario[[#This Row],[Compras]]-Rdiario[[#This Row],[Gastos]]</f>
        <v>0</v>
      </c>
      <c r="M245" s="7">
        <f>Rdiario[[#This Row],[Ganancia]]-Rdiario[[#This Row],[Compras]]-Rdiario[[#This Row],[Gastos]]</f>
        <v>0</v>
      </c>
      <c r="P245" s="16"/>
    </row>
    <row r="246" spans="2:16">
      <c r="B246" s="9">
        <v>45169</v>
      </c>
      <c r="C24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6" s="6" t="s">
        <v>108</v>
      </c>
      <c r="E246" s="7">
        <f>SUMIF(Ventas[Fecha],Rdiario[[#This Row],[Fecha]],Ventas[Total])</f>
        <v>0</v>
      </c>
      <c r="F246" s="66">
        <f>SUMIF(Ventas[Fecha],Rdiario[[#This Row],[Fecha]],Ventas[Total 4])</f>
        <v>0</v>
      </c>
      <c r="G246" s="66">
        <f>Rdiario[[#This Row],[Ingresos Brutos]]-Rdiario[[#This Row],[Transferencia]]</f>
        <v>0</v>
      </c>
      <c r="H246" s="7">
        <f>Rdiario[[#This Row],[Ingresos Brutos]]-Rdiario[[#This Row],[Ganancia]]</f>
        <v>0</v>
      </c>
      <c r="I246" s="7">
        <f>SUMIF(Ventas[Fecha],Rdiario[[#This Row],[Fecha]],Ventas[Total 2])</f>
        <v>0</v>
      </c>
      <c r="J246" s="7">
        <f>SUMIF(Compras[Fecha],Rdiario[[#This Row],[Fecha]],Compras[Monto])</f>
        <v>0</v>
      </c>
      <c r="K246" s="7">
        <f>SUMIF(TGastos[Fecha],Rdiario[[#This Row],[Fecha]],TGastos[Monto])</f>
        <v>0</v>
      </c>
      <c r="L246" s="7">
        <f>Rdiario[[#This Row],[Ingresos Brutos]]-Rdiario[[#This Row],[Compras]]-Rdiario[[#This Row],[Gastos]]</f>
        <v>0</v>
      </c>
      <c r="M246" s="7">
        <f>Rdiario[[#This Row],[Ganancia]]-Rdiario[[#This Row],[Compras]]-Rdiario[[#This Row],[Gastos]]</f>
        <v>0</v>
      </c>
      <c r="P246" s="16"/>
    </row>
    <row r="247" spans="2:16">
      <c r="B247" s="9">
        <v>45170</v>
      </c>
      <c r="C24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47" s="6" t="s">
        <v>109</v>
      </c>
      <c r="E247" s="7">
        <f>SUMIF(Ventas[Fecha],Rdiario[[#This Row],[Fecha]],Ventas[Total])</f>
        <v>0</v>
      </c>
      <c r="F247" s="66">
        <f>SUMIF(Ventas[Fecha],Rdiario[[#This Row],[Fecha]],Ventas[Total 4])</f>
        <v>0</v>
      </c>
      <c r="G247" s="66">
        <f>Rdiario[[#This Row],[Ingresos Brutos]]-Rdiario[[#This Row],[Transferencia]]</f>
        <v>0</v>
      </c>
      <c r="H247" s="7">
        <f>Rdiario[[#This Row],[Ingresos Brutos]]-Rdiario[[#This Row],[Ganancia]]</f>
        <v>0</v>
      </c>
      <c r="I247" s="7">
        <f>SUMIF(Ventas[Fecha],Rdiario[[#This Row],[Fecha]],Ventas[Total 2])</f>
        <v>0</v>
      </c>
      <c r="J247" s="7">
        <f>SUMIF(Compras[Fecha],Rdiario[[#This Row],[Fecha]],Compras[Monto])</f>
        <v>0</v>
      </c>
      <c r="K247" s="7">
        <f>SUMIF(TGastos[Fecha],Rdiario[[#This Row],[Fecha]],TGastos[Monto])</f>
        <v>0</v>
      </c>
      <c r="L247" s="7">
        <f>Rdiario[[#This Row],[Ingresos Brutos]]-Rdiario[[#This Row],[Compras]]-Rdiario[[#This Row],[Gastos]]</f>
        <v>0</v>
      </c>
      <c r="M247" s="7">
        <f>Rdiario[[#This Row],[Ganancia]]-Rdiario[[#This Row],[Compras]]-Rdiario[[#This Row],[Gastos]]</f>
        <v>0</v>
      </c>
      <c r="P247" s="16"/>
    </row>
    <row r="248" spans="2:16">
      <c r="B248" s="9">
        <v>45171</v>
      </c>
      <c r="C24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48" s="6" t="s">
        <v>110</v>
      </c>
      <c r="E248" s="7">
        <f>SUMIF(Ventas[Fecha],Rdiario[[#This Row],[Fecha]],Ventas[Total])</f>
        <v>0</v>
      </c>
      <c r="F248" s="66">
        <f>SUMIF(Ventas[Fecha],Rdiario[[#This Row],[Fecha]],Ventas[Total 4])</f>
        <v>0</v>
      </c>
      <c r="G248" s="66">
        <f>Rdiario[[#This Row],[Ingresos Brutos]]-Rdiario[[#This Row],[Transferencia]]</f>
        <v>0</v>
      </c>
      <c r="H248" s="7">
        <f>Rdiario[[#This Row],[Ingresos Brutos]]-Rdiario[[#This Row],[Ganancia]]</f>
        <v>0</v>
      </c>
      <c r="I248" s="7">
        <f>SUMIF(Ventas[Fecha],Rdiario[[#This Row],[Fecha]],Ventas[Total 2])</f>
        <v>0</v>
      </c>
      <c r="J248" s="7">
        <f>SUMIF(Compras[Fecha],Rdiario[[#This Row],[Fecha]],Compras[Monto])</f>
        <v>0</v>
      </c>
      <c r="K248" s="7">
        <f>SUMIF(TGastos[Fecha],Rdiario[[#This Row],[Fecha]],TGastos[Monto])</f>
        <v>0</v>
      </c>
      <c r="L248" s="7">
        <f>Rdiario[[#This Row],[Ingresos Brutos]]-Rdiario[[#This Row],[Compras]]-Rdiario[[#This Row],[Gastos]]</f>
        <v>0</v>
      </c>
      <c r="M248" s="7">
        <f>Rdiario[[#This Row],[Ganancia]]-Rdiario[[#This Row],[Compras]]-Rdiario[[#This Row],[Gastos]]</f>
        <v>0</v>
      </c>
      <c r="P248" s="16"/>
    </row>
    <row r="249" spans="2:16">
      <c r="B249" s="9">
        <v>45172</v>
      </c>
      <c r="C24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49" s="6" t="s">
        <v>104</v>
      </c>
      <c r="E249" s="7">
        <f>SUMIF(Ventas[Fecha],Rdiario[[#This Row],[Fecha]],Ventas[Total])</f>
        <v>0</v>
      </c>
      <c r="F249" s="66">
        <f>SUMIF(Ventas[Fecha],Rdiario[[#This Row],[Fecha]],Ventas[Total 4])</f>
        <v>0</v>
      </c>
      <c r="G249" s="66">
        <f>Rdiario[[#This Row],[Ingresos Brutos]]-Rdiario[[#This Row],[Transferencia]]</f>
        <v>0</v>
      </c>
      <c r="H249" s="7">
        <f>Rdiario[[#This Row],[Ingresos Brutos]]-Rdiario[[#This Row],[Ganancia]]</f>
        <v>0</v>
      </c>
      <c r="I249" s="7">
        <f>SUMIF(Ventas[Fecha],Rdiario[[#This Row],[Fecha]],Ventas[Total 2])</f>
        <v>0</v>
      </c>
      <c r="J249" s="7">
        <f>SUMIF(Compras[Fecha],Rdiario[[#This Row],[Fecha]],Compras[Monto])</f>
        <v>0</v>
      </c>
      <c r="K249" s="7">
        <f>SUMIF(TGastos[Fecha],Rdiario[[#This Row],[Fecha]],TGastos[Monto])</f>
        <v>0</v>
      </c>
      <c r="L249" s="7">
        <f>Rdiario[[#This Row],[Ingresos Brutos]]-Rdiario[[#This Row],[Compras]]-Rdiario[[#This Row],[Gastos]]</f>
        <v>0</v>
      </c>
      <c r="M249" s="7">
        <f>Rdiario[[#This Row],[Ganancia]]-Rdiario[[#This Row],[Compras]]-Rdiario[[#This Row],[Gastos]]</f>
        <v>0</v>
      </c>
      <c r="P249" s="16"/>
    </row>
    <row r="250" spans="2:16">
      <c r="B250" s="9">
        <v>45173</v>
      </c>
      <c r="C25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0" s="6" t="s">
        <v>105</v>
      </c>
      <c r="E250" s="7">
        <f>SUMIF(Ventas[Fecha],Rdiario[[#This Row],[Fecha]],Ventas[Total])</f>
        <v>0</v>
      </c>
      <c r="F250" s="66">
        <f>SUMIF(Ventas[Fecha],Rdiario[[#This Row],[Fecha]],Ventas[Total 4])</f>
        <v>0</v>
      </c>
      <c r="G250" s="66">
        <f>Rdiario[[#This Row],[Ingresos Brutos]]-Rdiario[[#This Row],[Transferencia]]</f>
        <v>0</v>
      </c>
      <c r="H250" s="7">
        <f>Rdiario[[#This Row],[Ingresos Brutos]]-Rdiario[[#This Row],[Ganancia]]</f>
        <v>0</v>
      </c>
      <c r="I250" s="7">
        <f>SUMIF(Ventas[Fecha],Rdiario[[#This Row],[Fecha]],Ventas[Total 2])</f>
        <v>0</v>
      </c>
      <c r="J250" s="7">
        <f>SUMIF(Compras[Fecha],Rdiario[[#This Row],[Fecha]],Compras[Monto])</f>
        <v>0</v>
      </c>
      <c r="K250" s="7">
        <f>SUMIF(TGastos[Fecha],Rdiario[[#This Row],[Fecha]],TGastos[Monto])</f>
        <v>0</v>
      </c>
      <c r="L250" s="7">
        <f>Rdiario[[#This Row],[Ingresos Brutos]]-Rdiario[[#This Row],[Compras]]-Rdiario[[#This Row],[Gastos]]</f>
        <v>0</v>
      </c>
      <c r="M250" s="7">
        <f>Rdiario[[#This Row],[Ganancia]]-Rdiario[[#This Row],[Compras]]-Rdiario[[#This Row],[Gastos]]</f>
        <v>0</v>
      </c>
      <c r="P250" s="16"/>
    </row>
    <row r="251" spans="2:16">
      <c r="B251" s="9">
        <v>45174</v>
      </c>
      <c r="C25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1" s="6" t="s">
        <v>106</v>
      </c>
      <c r="E251" s="7">
        <f>SUMIF(Ventas[Fecha],Rdiario[[#This Row],[Fecha]],Ventas[Total])</f>
        <v>0</v>
      </c>
      <c r="F251" s="66">
        <f>SUMIF(Ventas[Fecha],Rdiario[[#This Row],[Fecha]],Ventas[Total 4])</f>
        <v>0</v>
      </c>
      <c r="G251" s="66">
        <f>Rdiario[[#This Row],[Ingresos Brutos]]-Rdiario[[#This Row],[Transferencia]]</f>
        <v>0</v>
      </c>
      <c r="H251" s="7">
        <f>Rdiario[[#This Row],[Ingresos Brutos]]-Rdiario[[#This Row],[Ganancia]]</f>
        <v>0</v>
      </c>
      <c r="I251" s="7">
        <f>SUMIF(Ventas[Fecha],Rdiario[[#This Row],[Fecha]],Ventas[Total 2])</f>
        <v>0</v>
      </c>
      <c r="J251" s="7">
        <f>SUMIF(Compras[Fecha],Rdiario[[#This Row],[Fecha]],Compras[Monto])</f>
        <v>0</v>
      </c>
      <c r="K251" s="7">
        <f>SUMIF(TGastos[Fecha],Rdiario[[#This Row],[Fecha]],TGastos[Monto])</f>
        <v>0</v>
      </c>
      <c r="L251" s="7">
        <f>Rdiario[[#This Row],[Ingresos Brutos]]-Rdiario[[#This Row],[Compras]]-Rdiario[[#This Row],[Gastos]]</f>
        <v>0</v>
      </c>
      <c r="M251" s="7">
        <f>Rdiario[[#This Row],[Ganancia]]-Rdiario[[#This Row],[Compras]]-Rdiario[[#This Row],[Gastos]]</f>
        <v>0</v>
      </c>
      <c r="P251" s="16"/>
    </row>
    <row r="252" spans="2:16">
      <c r="B252" s="9">
        <v>45175</v>
      </c>
      <c r="C25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2" s="6" t="s">
        <v>107</v>
      </c>
      <c r="E252" s="7">
        <f>SUMIF(Ventas[Fecha],Rdiario[[#This Row],[Fecha]],Ventas[Total])</f>
        <v>0</v>
      </c>
      <c r="F252" s="66">
        <f>SUMIF(Ventas[Fecha],Rdiario[[#This Row],[Fecha]],Ventas[Total 4])</f>
        <v>0</v>
      </c>
      <c r="G252" s="66">
        <f>Rdiario[[#This Row],[Ingresos Brutos]]-Rdiario[[#This Row],[Transferencia]]</f>
        <v>0</v>
      </c>
      <c r="H252" s="7">
        <f>Rdiario[[#This Row],[Ingresos Brutos]]-Rdiario[[#This Row],[Ganancia]]</f>
        <v>0</v>
      </c>
      <c r="I252" s="7">
        <f>SUMIF(Ventas[Fecha],Rdiario[[#This Row],[Fecha]],Ventas[Total 2])</f>
        <v>0</v>
      </c>
      <c r="J252" s="7">
        <f>SUMIF(Compras[Fecha],Rdiario[[#This Row],[Fecha]],Compras[Monto])</f>
        <v>0</v>
      </c>
      <c r="K252" s="7">
        <f>SUMIF(TGastos[Fecha],Rdiario[[#This Row],[Fecha]],TGastos[Monto])</f>
        <v>0</v>
      </c>
      <c r="L252" s="7">
        <f>Rdiario[[#This Row],[Ingresos Brutos]]-Rdiario[[#This Row],[Compras]]-Rdiario[[#This Row],[Gastos]]</f>
        <v>0</v>
      </c>
      <c r="M252" s="7">
        <f>Rdiario[[#This Row],[Ganancia]]-Rdiario[[#This Row],[Compras]]-Rdiario[[#This Row],[Gastos]]</f>
        <v>0</v>
      </c>
      <c r="P252" s="16"/>
    </row>
    <row r="253" spans="2:16">
      <c r="B253" s="9">
        <v>45176</v>
      </c>
      <c r="C25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3" s="6" t="s">
        <v>108</v>
      </c>
      <c r="E253" s="7">
        <f>SUMIF(Ventas[Fecha],Rdiario[[#This Row],[Fecha]],Ventas[Total])</f>
        <v>0</v>
      </c>
      <c r="F253" s="66">
        <f>SUMIF(Ventas[Fecha],Rdiario[[#This Row],[Fecha]],Ventas[Total 4])</f>
        <v>0</v>
      </c>
      <c r="G253" s="66">
        <f>Rdiario[[#This Row],[Ingresos Brutos]]-Rdiario[[#This Row],[Transferencia]]</f>
        <v>0</v>
      </c>
      <c r="H253" s="7">
        <f>Rdiario[[#This Row],[Ingresos Brutos]]-Rdiario[[#This Row],[Ganancia]]</f>
        <v>0</v>
      </c>
      <c r="I253" s="7">
        <f>SUMIF(Ventas[Fecha],Rdiario[[#This Row],[Fecha]],Ventas[Total 2])</f>
        <v>0</v>
      </c>
      <c r="J253" s="7">
        <f>SUMIF(Compras[Fecha],Rdiario[[#This Row],[Fecha]],Compras[Monto])</f>
        <v>0</v>
      </c>
      <c r="K253" s="7">
        <f>SUMIF(TGastos[Fecha],Rdiario[[#This Row],[Fecha]],TGastos[Monto])</f>
        <v>0</v>
      </c>
      <c r="L253" s="7">
        <f>Rdiario[[#This Row],[Ingresos Brutos]]-Rdiario[[#This Row],[Compras]]-Rdiario[[#This Row],[Gastos]]</f>
        <v>0</v>
      </c>
      <c r="M253" s="7">
        <f>Rdiario[[#This Row],[Ganancia]]-Rdiario[[#This Row],[Compras]]-Rdiario[[#This Row],[Gastos]]</f>
        <v>0</v>
      </c>
      <c r="P253" s="16"/>
    </row>
    <row r="254" spans="2:16">
      <c r="B254" s="9">
        <v>45177</v>
      </c>
      <c r="C25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4" s="6" t="s">
        <v>109</v>
      </c>
      <c r="E254" s="7">
        <f>SUMIF(Ventas[Fecha],Rdiario[[#This Row],[Fecha]],Ventas[Total])</f>
        <v>0</v>
      </c>
      <c r="F254" s="66">
        <f>SUMIF(Ventas[Fecha],Rdiario[[#This Row],[Fecha]],Ventas[Total 4])</f>
        <v>0</v>
      </c>
      <c r="G254" s="66">
        <f>Rdiario[[#This Row],[Ingresos Brutos]]-Rdiario[[#This Row],[Transferencia]]</f>
        <v>0</v>
      </c>
      <c r="H254" s="7">
        <f>Rdiario[[#This Row],[Ingresos Brutos]]-Rdiario[[#This Row],[Ganancia]]</f>
        <v>0</v>
      </c>
      <c r="I254" s="7">
        <f>SUMIF(Ventas[Fecha],Rdiario[[#This Row],[Fecha]],Ventas[Total 2])</f>
        <v>0</v>
      </c>
      <c r="J254" s="7">
        <f>SUMIF(Compras[Fecha],Rdiario[[#This Row],[Fecha]],Compras[Monto])</f>
        <v>0</v>
      </c>
      <c r="K254" s="7">
        <f>SUMIF(TGastos[Fecha],Rdiario[[#This Row],[Fecha]],TGastos[Monto])</f>
        <v>0</v>
      </c>
      <c r="L254" s="7">
        <f>Rdiario[[#This Row],[Ingresos Brutos]]-Rdiario[[#This Row],[Compras]]-Rdiario[[#This Row],[Gastos]]</f>
        <v>0</v>
      </c>
      <c r="M254" s="7">
        <f>Rdiario[[#This Row],[Ganancia]]-Rdiario[[#This Row],[Compras]]-Rdiario[[#This Row],[Gastos]]</f>
        <v>0</v>
      </c>
      <c r="P254" s="16"/>
    </row>
    <row r="255" spans="2:16">
      <c r="B255" s="9">
        <v>45178</v>
      </c>
      <c r="C25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5" s="6" t="s">
        <v>110</v>
      </c>
      <c r="E255" s="7">
        <f>SUMIF(Ventas[Fecha],Rdiario[[#This Row],[Fecha]],Ventas[Total])</f>
        <v>0</v>
      </c>
      <c r="F255" s="66">
        <f>SUMIF(Ventas[Fecha],Rdiario[[#This Row],[Fecha]],Ventas[Total 4])</f>
        <v>0</v>
      </c>
      <c r="G255" s="66">
        <f>Rdiario[[#This Row],[Ingresos Brutos]]-Rdiario[[#This Row],[Transferencia]]</f>
        <v>0</v>
      </c>
      <c r="H255" s="7">
        <f>Rdiario[[#This Row],[Ingresos Brutos]]-Rdiario[[#This Row],[Ganancia]]</f>
        <v>0</v>
      </c>
      <c r="I255" s="7">
        <f>SUMIF(Ventas[Fecha],Rdiario[[#This Row],[Fecha]],Ventas[Total 2])</f>
        <v>0</v>
      </c>
      <c r="J255" s="7">
        <f>SUMIF(Compras[Fecha],Rdiario[[#This Row],[Fecha]],Compras[Monto])</f>
        <v>0</v>
      </c>
      <c r="K255" s="7">
        <f>SUMIF(TGastos[Fecha],Rdiario[[#This Row],[Fecha]],TGastos[Monto])</f>
        <v>0</v>
      </c>
      <c r="L255" s="7">
        <f>Rdiario[[#This Row],[Ingresos Brutos]]-Rdiario[[#This Row],[Compras]]-Rdiario[[#This Row],[Gastos]]</f>
        <v>0</v>
      </c>
      <c r="M255" s="7">
        <f>Rdiario[[#This Row],[Ganancia]]-Rdiario[[#This Row],[Compras]]-Rdiario[[#This Row],[Gastos]]</f>
        <v>0</v>
      </c>
      <c r="P255" s="16"/>
    </row>
    <row r="256" spans="2:16">
      <c r="B256" s="9">
        <v>45179</v>
      </c>
      <c r="C25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6" s="6" t="s">
        <v>104</v>
      </c>
      <c r="E256" s="7">
        <f>SUMIF(Ventas[Fecha],Rdiario[[#This Row],[Fecha]],Ventas[Total])</f>
        <v>0</v>
      </c>
      <c r="F256" s="66">
        <f>SUMIF(Ventas[Fecha],Rdiario[[#This Row],[Fecha]],Ventas[Total 4])</f>
        <v>0</v>
      </c>
      <c r="G256" s="66">
        <f>Rdiario[[#This Row],[Ingresos Brutos]]-Rdiario[[#This Row],[Transferencia]]</f>
        <v>0</v>
      </c>
      <c r="H256" s="7">
        <f>Rdiario[[#This Row],[Ingresos Brutos]]-Rdiario[[#This Row],[Ganancia]]</f>
        <v>0</v>
      </c>
      <c r="I256" s="7">
        <f>SUMIF(Ventas[Fecha],Rdiario[[#This Row],[Fecha]],Ventas[Total 2])</f>
        <v>0</v>
      </c>
      <c r="J256" s="7">
        <f>SUMIF(Compras[Fecha],Rdiario[[#This Row],[Fecha]],Compras[Monto])</f>
        <v>0</v>
      </c>
      <c r="K256" s="7">
        <f>SUMIF(TGastos[Fecha],Rdiario[[#This Row],[Fecha]],TGastos[Monto])</f>
        <v>0</v>
      </c>
      <c r="L256" s="7">
        <f>Rdiario[[#This Row],[Ingresos Brutos]]-Rdiario[[#This Row],[Compras]]-Rdiario[[#This Row],[Gastos]]</f>
        <v>0</v>
      </c>
      <c r="M256" s="7">
        <f>Rdiario[[#This Row],[Ganancia]]-Rdiario[[#This Row],[Compras]]-Rdiario[[#This Row],[Gastos]]</f>
        <v>0</v>
      </c>
      <c r="P256" s="16"/>
    </row>
    <row r="257" spans="2:16">
      <c r="B257" s="9">
        <v>45180</v>
      </c>
      <c r="C25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7" s="6" t="s">
        <v>105</v>
      </c>
      <c r="E257" s="7">
        <f>SUMIF(Ventas[Fecha],Rdiario[[#This Row],[Fecha]],Ventas[Total])</f>
        <v>0</v>
      </c>
      <c r="F257" s="66">
        <f>SUMIF(Ventas[Fecha],Rdiario[[#This Row],[Fecha]],Ventas[Total 4])</f>
        <v>0</v>
      </c>
      <c r="G257" s="66">
        <f>Rdiario[[#This Row],[Ingresos Brutos]]-Rdiario[[#This Row],[Transferencia]]</f>
        <v>0</v>
      </c>
      <c r="H257" s="7">
        <f>Rdiario[[#This Row],[Ingresos Brutos]]-Rdiario[[#This Row],[Ganancia]]</f>
        <v>0</v>
      </c>
      <c r="I257" s="7">
        <f>SUMIF(Ventas[Fecha],Rdiario[[#This Row],[Fecha]],Ventas[Total 2])</f>
        <v>0</v>
      </c>
      <c r="J257" s="7">
        <f>SUMIF(Compras[Fecha],Rdiario[[#This Row],[Fecha]],Compras[Monto])</f>
        <v>0</v>
      </c>
      <c r="K257" s="7">
        <f>SUMIF(TGastos[Fecha],Rdiario[[#This Row],[Fecha]],TGastos[Monto])</f>
        <v>0</v>
      </c>
      <c r="L257" s="7">
        <f>Rdiario[[#This Row],[Ingresos Brutos]]-Rdiario[[#This Row],[Compras]]-Rdiario[[#This Row],[Gastos]]</f>
        <v>0</v>
      </c>
      <c r="M257" s="7">
        <f>Rdiario[[#This Row],[Ganancia]]-Rdiario[[#This Row],[Compras]]-Rdiario[[#This Row],[Gastos]]</f>
        <v>0</v>
      </c>
      <c r="P257" s="16"/>
    </row>
    <row r="258" spans="2:16">
      <c r="B258" s="9">
        <v>45181</v>
      </c>
      <c r="C25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8" s="6" t="s">
        <v>106</v>
      </c>
      <c r="E258" s="7">
        <f>SUMIF(Ventas[Fecha],Rdiario[[#This Row],[Fecha]],Ventas[Total])</f>
        <v>0</v>
      </c>
      <c r="F258" s="66">
        <f>SUMIF(Ventas[Fecha],Rdiario[[#This Row],[Fecha]],Ventas[Total 4])</f>
        <v>0</v>
      </c>
      <c r="G258" s="66">
        <f>Rdiario[[#This Row],[Ingresos Brutos]]-Rdiario[[#This Row],[Transferencia]]</f>
        <v>0</v>
      </c>
      <c r="H258" s="7">
        <f>Rdiario[[#This Row],[Ingresos Brutos]]-Rdiario[[#This Row],[Ganancia]]</f>
        <v>0</v>
      </c>
      <c r="I258" s="7">
        <f>SUMIF(Ventas[Fecha],Rdiario[[#This Row],[Fecha]],Ventas[Total 2])</f>
        <v>0</v>
      </c>
      <c r="J258" s="7">
        <f>SUMIF(Compras[Fecha],Rdiario[[#This Row],[Fecha]],Compras[Monto])</f>
        <v>0</v>
      </c>
      <c r="K258" s="7">
        <f>SUMIF(TGastos[Fecha],Rdiario[[#This Row],[Fecha]],TGastos[Monto])</f>
        <v>0</v>
      </c>
      <c r="L258" s="7">
        <f>Rdiario[[#This Row],[Ingresos Brutos]]-Rdiario[[#This Row],[Compras]]-Rdiario[[#This Row],[Gastos]]</f>
        <v>0</v>
      </c>
      <c r="M258" s="7">
        <f>Rdiario[[#This Row],[Ganancia]]-Rdiario[[#This Row],[Compras]]-Rdiario[[#This Row],[Gastos]]</f>
        <v>0</v>
      </c>
      <c r="P258" s="16"/>
    </row>
    <row r="259" spans="2:16">
      <c r="B259" s="9">
        <v>45182</v>
      </c>
      <c r="C25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9" s="6" t="s">
        <v>107</v>
      </c>
      <c r="E259" s="7">
        <f>SUMIF(Ventas[Fecha],Rdiario[[#This Row],[Fecha]],Ventas[Total])</f>
        <v>0</v>
      </c>
      <c r="F259" s="66">
        <f>SUMIF(Ventas[Fecha],Rdiario[[#This Row],[Fecha]],Ventas[Total 4])</f>
        <v>0</v>
      </c>
      <c r="G259" s="66">
        <f>Rdiario[[#This Row],[Ingresos Brutos]]-Rdiario[[#This Row],[Transferencia]]</f>
        <v>0</v>
      </c>
      <c r="H259" s="7">
        <f>Rdiario[[#This Row],[Ingresos Brutos]]-Rdiario[[#This Row],[Ganancia]]</f>
        <v>0</v>
      </c>
      <c r="I259" s="7">
        <f>SUMIF(Ventas[Fecha],Rdiario[[#This Row],[Fecha]],Ventas[Total 2])</f>
        <v>0</v>
      </c>
      <c r="J259" s="7">
        <f>SUMIF(Compras[Fecha],Rdiario[[#This Row],[Fecha]],Compras[Monto])</f>
        <v>0</v>
      </c>
      <c r="K259" s="7">
        <f>SUMIF(TGastos[Fecha],Rdiario[[#This Row],[Fecha]],TGastos[Monto])</f>
        <v>0</v>
      </c>
      <c r="L259" s="7">
        <f>Rdiario[[#This Row],[Ingresos Brutos]]-Rdiario[[#This Row],[Compras]]-Rdiario[[#This Row],[Gastos]]</f>
        <v>0</v>
      </c>
      <c r="M259" s="7">
        <f>Rdiario[[#This Row],[Ganancia]]-Rdiario[[#This Row],[Compras]]-Rdiario[[#This Row],[Gastos]]</f>
        <v>0</v>
      </c>
      <c r="P259" s="16"/>
    </row>
    <row r="260" spans="2:16">
      <c r="B260" s="9">
        <v>45183</v>
      </c>
      <c r="C26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0" s="6" t="s">
        <v>108</v>
      </c>
      <c r="E260" s="7">
        <f>SUMIF(Ventas[Fecha],Rdiario[[#This Row],[Fecha]],Ventas[Total])</f>
        <v>0</v>
      </c>
      <c r="F260" s="66">
        <f>SUMIF(Ventas[Fecha],Rdiario[[#This Row],[Fecha]],Ventas[Total 4])</f>
        <v>0</v>
      </c>
      <c r="G260" s="66">
        <f>Rdiario[[#This Row],[Ingresos Brutos]]-Rdiario[[#This Row],[Transferencia]]</f>
        <v>0</v>
      </c>
      <c r="H260" s="7">
        <f>Rdiario[[#This Row],[Ingresos Brutos]]-Rdiario[[#This Row],[Ganancia]]</f>
        <v>0</v>
      </c>
      <c r="I260" s="7">
        <f>SUMIF(Ventas[Fecha],Rdiario[[#This Row],[Fecha]],Ventas[Total 2])</f>
        <v>0</v>
      </c>
      <c r="J260" s="7">
        <f>SUMIF(Compras[Fecha],Rdiario[[#This Row],[Fecha]],Compras[Monto])</f>
        <v>0</v>
      </c>
      <c r="K260" s="7">
        <f>SUMIF(TGastos[Fecha],Rdiario[[#This Row],[Fecha]],TGastos[Monto])</f>
        <v>0</v>
      </c>
      <c r="L260" s="7">
        <f>Rdiario[[#This Row],[Ingresos Brutos]]-Rdiario[[#This Row],[Compras]]-Rdiario[[#This Row],[Gastos]]</f>
        <v>0</v>
      </c>
      <c r="M260" s="7">
        <f>Rdiario[[#This Row],[Ganancia]]-Rdiario[[#This Row],[Compras]]-Rdiario[[#This Row],[Gastos]]</f>
        <v>0</v>
      </c>
      <c r="P260" s="16"/>
    </row>
    <row r="261" spans="2:16">
      <c r="B261" s="9">
        <v>45184</v>
      </c>
      <c r="C26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1" s="6" t="s">
        <v>109</v>
      </c>
      <c r="E261" s="7">
        <f>SUMIF(Ventas[Fecha],Rdiario[[#This Row],[Fecha]],Ventas[Total])</f>
        <v>0</v>
      </c>
      <c r="F261" s="66">
        <f>SUMIF(Ventas[Fecha],Rdiario[[#This Row],[Fecha]],Ventas[Total 4])</f>
        <v>0</v>
      </c>
      <c r="G261" s="66">
        <f>Rdiario[[#This Row],[Ingresos Brutos]]-Rdiario[[#This Row],[Transferencia]]</f>
        <v>0</v>
      </c>
      <c r="H261" s="7">
        <f>Rdiario[[#This Row],[Ingresos Brutos]]-Rdiario[[#This Row],[Ganancia]]</f>
        <v>0</v>
      </c>
      <c r="I261" s="7">
        <f>SUMIF(Ventas[Fecha],Rdiario[[#This Row],[Fecha]],Ventas[Total 2])</f>
        <v>0</v>
      </c>
      <c r="J261" s="7">
        <f>SUMIF(Compras[Fecha],Rdiario[[#This Row],[Fecha]],Compras[Monto])</f>
        <v>0</v>
      </c>
      <c r="K261" s="7">
        <f>SUMIF(TGastos[Fecha],Rdiario[[#This Row],[Fecha]],TGastos[Monto])</f>
        <v>0</v>
      </c>
      <c r="L261" s="7">
        <f>Rdiario[[#This Row],[Ingresos Brutos]]-Rdiario[[#This Row],[Compras]]-Rdiario[[#This Row],[Gastos]]</f>
        <v>0</v>
      </c>
      <c r="M261" s="7">
        <f>Rdiario[[#This Row],[Ganancia]]-Rdiario[[#This Row],[Compras]]-Rdiario[[#This Row],[Gastos]]</f>
        <v>0</v>
      </c>
      <c r="P261" s="16"/>
    </row>
    <row r="262" spans="2:16">
      <c r="B262" s="9">
        <v>45185</v>
      </c>
      <c r="C26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2" s="6" t="s">
        <v>110</v>
      </c>
      <c r="E262" s="7">
        <f>SUMIF(Ventas[Fecha],Rdiario[[#This Row],[Fecha]],Ventas[Total])</f>
        <v>0</v>
      </c>
      <c r="F262" s="66">
        <f>SUMIF(Ventas[Fecha],Rdiario[[#This Row],[Fecha]],Ventas[Total 4])</f>
        <v>0</v>
      </c>
      <c r="G262" s="66">
        <f>Rdiario[[#This Row],[Ingresos Brutos]]-Rdiario[[#This Row],[Transferencia]]</f>
        <v>0</v>
      </c>
      <c r="H262" s="7">
        <f>Rdiario[[#This Row],[Ingresos Brutos]]-Rdiario[[#This Row],[Ganancia]]</f>
        <v>0</v>
      </c>
      <c r="I262" s="7">
        <f>SUMIF(Ventas[Fecha],Rdiario[[#This Row],[Fecha]],Ventas[Total 2])</f>
        <v>0</v>
      </c>
      <c r="J262" s="7">
        <f>SUMIF(Compras[Fecha],Rdiario[[#This Row],[Fecha]],Compras[Monto])</f>
        <v>0</v>
      </c>
      <c r="K262" s="7">
        <f>SUMIF(TGastos[Fecha],Rdiario[[#This Row],[Fecha]],TGastos[Monto])</f>
        <v>0</v>
      </c>
      <c r="L262" s="7">
        <f>Rdiario[[#This Row],[Ingresos Brutos]]-Rdiario[[#This Row],[Compras]]-Rdiario[[#This Row],[Gastos]]</f>
        <v>0</v>
      </c>
      <c r="M262" s="7">
        <f>Rdiario[[#This Row],[Ganancia]]-Rdiario[[#This Row],[Compras]]-Rdiario[[#This Row],[Gastos]]</f>
        <v>0</v>
      </c>
      <c r="P262" s="16"/>
    </row>
    <row r="263" spans="2:16">
      <c r="B263" s="9">
        <v>45186</v>
      </c>
      <c r="C26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3" s="6" t="s">
        <v>104</v>
      </c>
      <c r="E263" s="7">
        <f>SUMIF(Ventas[Fecha],Rdiario[[#This Row],[Fecha]],Ventas[Total])</f>
        <v>0</v>
      </c>
      <c r="F263" s="66">
        <f>SUMIF(Ventas[Fecha],Rdiario[[#This Row],[Fecha]],Ventas[Total 4])</f>
        <v>0</v>
      </c>
      <c r="G263" s="66">
        <f>Rdiario[[#This Row],[Ingresos Brutos]]-Rdiario[[#This Row],[Transferencia]]</f>
        <v>0</v>
      </c>
      <c r="H263" s="7">
        <f>Rdiario[[#This Row],[Ingresos Brutos]]-Rdiario[[#This Row],[Ganancia]]</f>
        <v>0</v>
      </c>
      <c r="I263" s="7">
        <f>SUMIF(Ventas[Fecha],Rdiario[[#This Row],[Fecha]],Ventas[Total 2])</f>
        <v>0</v>
      </c>
      <c r="J263" s="7">
        <f>SUMIF(Compras[Fecha],Rdiario[[#This Row],[Fecha]],Compras[Monto])</f>
        <v>0</v>
      </c>
      <c r="K263" s="7">
        <f>SUMIF(TGastos[Fecha],Rdiario[[#This Row],[Fecha]],TGastos[Monto])</f>
        <v>0</v>
      </c>
      <c r="L263" s="7">
        <f>Rdiario[[#This Row],[Ingresos Brutos]]-Rdiario[[#This Row],[Compras]]-Rdiario[[#This Row],[Gastos]]</f>
        <v>0</v>
      </c>
      <c r="M263" s="7">
        <f>Rdiario[[#This Row],[Ganancia]]-Rdiario[[#This Row],[Compras]]-Rdiario[[#This Row],[Gastos]]</f>
        <v>0</v>
      </c>
      <c r="P263" s="16"/>
    </row>
    <row r="264" spans="2:16">
      <c r="B264" s="9">
        <v>45187</v>
      </c>
      <c r="C26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4" s="6" t="s">
        <v>105</v>
      </c>
      <c r="E264" s="7">
        <f>SUMIF(Ventas[Fecha],Rdiario[[#This Row],[Fecha]],Ventas[Total])</f>
        <v>0</v>
      </c>
      <c r="F264" s="66">
        <f>SUMIF(Ventas[Fecha],Rdiario[[#This Row],[Fecha]],Ventas[Total 4])</f>
        <v>0</v>
      </c>
      <c r="G264" s="66">
        <f>Rdiario[[#This Row],[Ingresos Brutos]]-Rdiario[[#This Row],[Transferencia]]</f>
        <v>0</v>
      </c>
      <c r="H264" s="7">
        <f>Rdiario[[#This Row],[Ingresos Brutos]]-Rdiario[[#This Row],[Ganancia]]</f>
        <v>0</v>
      </c>
      <c r="I264" s="7">
        <f>SUMIF(Ventas[Fecha],Rdiario[[#This Row],[Fecha]],Ventas[Total 2])</f>
        <v>0</v>
      </c>
      <c r="J264" s="7">
        <f>SUMIF(Compras[Fecha],Rdiario[[#This Row],[Fecha]],Compras[Monto])</f>
        <v>0</v>
      </c>
      <c r="K264" s="7">
        <f>SUMIF(TGastos[Fecha],Rdiario[[#This Row],[Fecha]],TGastos[Monto])</f>
        <v>0</v>
      </c>
      <c r="L264" s="7">
        <f>Rdiario[[#This Row],[Ingresos Brutos]]-Rdiario[[#This Row],[Compras]]-Rdiario[[#This Row],[Gastos]]</f>
        <v>0</v>
      </c>
      <c r="M264" s="7">
        <f>Rdiario[[#This Row],[Ganancia]]-Rdiario[[#This Row],[Compras]]-Rdiario[[#This Row],[Gastos]]</f>
        <v>0</v>
      </c>
      <c r="P264" s="16"/>
    </row>
    <row r="265" spans="2:16">
      <c r="B265" s="9">
        <v>45188</v>
      </c>
      <c r="C26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5" s="6" t="s">
        <v>106</v>
      </c>
      <c r="E265" s="7">
        <f>SUMIF(Ventas[Fecha],Rdiario[[#This Row],[Fecha]],Ventas[Total])</f>
        <v>0</v>
      </c>
      <c r="F265" s="66">
        <f>SUMIF(Ventas[Fecha],Rdiario[[#This Row],[Fecha]],Ventas[Total 4])</f>
        <v>0</v>
      </c>
      <c r="G265" s="66">
        <f>Rdiario[[#This Row],[Ingresos Brutos]]-Rdiario[[#This Row],[Transferencia]]</f>
        <v>0</v>
      </c>
      <c r="H265" s="7">
        <f>Rdiario[[#This Row],[Ingresos Brutos]]-Rdiario[[#This Row],[Ganancia]]</f>
        <v>0</v>
      </c>
      <c r="I265" s="7">
        <f>SUMIF(Ventas[Fecha],Rdiario[[#This Row],[Fecha]],Ventas[Total 2])</f>
        <v>0</v>
      </c>
      <c r="J265" s="7">
        <f>SUMIF(Compras[Fecha],Rdiario[[#This Row],[Fecha]],Compras[Monto])</f>
        <v>0</v>
      </c>
      <c r="K265" s="7">
        <f>SUMIF(TGastos[Fecha],Rdiario[[#This Row],[Fecha]],TGastos[Monto])</f>
        <v>0</v>
      </c>
      <c r="L265" s="7">
        <f>Rdiario[[#This Row],[Ingresos Brutos]]-Rdiario[[#This Row],[Compras]]-Rdiario[[#This Row],[Gastos]]</f>
        <v>0</v>
      </c>
      <c r="M265" s="7">
        <f>Rdiario[[#This Row],[Ganancia]]-Rdiario[[#This Row],[Compras]]-Rdiario[[#This Row],[Gastos]]</f>
        <v>0</v>
      </c>
      <c r="P265" s="16"/>
    </row>
    <row r="266" spans="2:16">
      <c r="B266" s="9">
        <v>45189</v>
      </c>
      <c r="C26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6" s="6" t="s">
        <v>107</v>
      </c>
      <c r="E266" s="7">
        <f>SUMIF(Ventas[Fecha],Rdiario[[#This Row],[Fecha]],Ventas[Total])</f>
        <v>0</v>
      </c>
      <c r="F266" s="66">
        <f>SUMIF(Ventas[Fecha],Rdiario[[#This Row],[Fecha]],Ventas[Total 4])</f>
        <v>0</v>
      </c>
      <c r="G266" s="66">
        <f>Rdiario[[#This Row],[Ingresos Brutos]]-Rdiario[[#This Row],[Transferencia]]</f>
        <v>0</v>
      </c>
      <c r="H266" s="7">
        <f>Rdiario[[#This Row],[Ingresos Brutos]]-Rdiario[[#This Row],[Ganancia]]</f>
        <v>0</v>
      </c>
      <c r="I266" s="7">
        <f>SUMIF(Ventas[Fecha],Rdiario[[#This Row],[Fecha]],Ventas[Total 2])</f>
        <v>0</v>
      </c>
      <c r="J266" s="7">
        <f>SUMIF(Compras[Fecha],Rdiario[[#This Row],[Fecha]],Compras[Monto])</f>
        <v>0</v>
      </c>
      <c r="K266" s="7">
        <f>SUMIF(TGastos[Fecha],Rdiario[[#This Row],[Fecha]],TGastos[Monto])</f>
        <v>0</v>
      </c>
      <c r="L266" s="7">
        <f>Rdiario[[#This Row],[Ingresos Brutos]]-Rdiario[[#This Row],[Compras]]-Rdiario[[#This Row],[Gastos]]</f>
        <v>0</v>
      </c>
      <c r="M266" s="7">
        <f>Rdiario[[#This Row],[Ganancia]]-Rdiario[[#This Row],[Compras]]-Rdiario[[#This Row],[Gastos]]</f>
        <v>0</v>
      </c>
      <c r="P266" s="16"/>
    </row>
    <row r="267" spans="2:16">
      <c r="B267" s="9">
        <v>45190</v>
      </c>
      <c r="C26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7" s="6" t="s">
        <v>108</v>
      </c>
      <c r="E267" s="7">
        <f>SUMIF(Ventas[Fecha],Rdiario[[#This Row],[Fecha]],Ventas[Total])</f>
        <v>0</v>
      </c>
      <c r="F267" s="66">
        <f>SUMIF(Ventas[Fecha],Rdiario[[#This Row],[Fecha]],Ventas[Total 4])</f>
        <v>0</v>
      </c>
      <c r="G267" s="66">
        <f>Rdiario[[#This Row],[Ingresos Brutos]]-Rdiario[[#This Row],[Transferencia]]</f>
        <v>0</v>
      </c>
      <c r="H267" s="7">
        <f>Rdiario[[#This Row],[Ingresos Brutos]]-Rdiario[[#This Row],[Ganancia]]</f>
        <v>0</v>
      </c>
      <c r="I267" s="7">
        <f>SUMIF(Ventas[Fecha],Rdiario[[#This Row],[Fecha]],Ventas[Total 2])</f>
        <v>0</v>
      </c>
      <c r="J267" s="7">
        <f>SUMIF(Compras[Fecha],Rdiario[[#This Row],[Fecha]],Compras[Monto])</f>
        <v>0</v>
      </c>
      <c r="K267" s="7">
        <f>SUMIF(TGastos[Fecha],Rdiario[[#This Row],[Fecha]],TGastos[Monto])</f>
        <v>0</v>
      </c>
      <c r="L267" s="7">
        <f>Rdiario[[#This Row],[Ingresos Brutos]]-Rdiario[[#This Row],[Compras]]-Rdiario[[#This Row],[Gastos]]</f>
        <v>0</v>
      </c>
      <c r="M267" s="7">
        <f>Rdiario[[#This Row],[Ganancia]]-Rdiario[[#This Row],[Compras]]-Rdiario[[#This Row],[Gastos]]</f>
        <v>0</v>
      </c>
      <c r="P267" s="16"/>
    </row>
    <row r="268" spans="2:16">
      <c r="B268" s="9">
        <v>45191</v>
      </c>
      <c r="C26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8" s="6" t="s">
        <v>109</v>
      </c>
      <c r="E268" s="7">
        <f>SUMIF(Ventas[Fecha],Rdiario[[#This Row],[Fecha]],Ventas[Total])</f>
        <v>0</v>
      </c>
      <c r="F268" s="66">
        <f>SUMIF(Ventas[Fecha],Rdiario[[#This Row],[Fecha]],Ventas[Total 4])</f>
        <v>0</v>
      </c>
      <c r="G268" s="66">
        <f>Rdiario[[#This Row],[Ingresos Brutos]]-Rdiario[[#This Row],[Transferencia]]</f>
        <v>0</v>
      </c>
      <c r="H268" s="7">
        <f>Rdiario[[#This Row],[Ingresos Brutos]]-Rdiario[[#This Row],[Ganancia]]</f>
        <v>0</v>
      </c>
      <c r="I268" s="7">
        <f>SUMIF(Ventas[Fecha],Rdiario[[#This Row],[Fecha]],Ventas[Total 2])</f>
        <v>0</v>
      </c>
      <c r="J268" s="7">
        <f>SUMIF(Compras[Fecha],Rdiario[[#This Row],[Fecha]],Compras[Monto])</f>
        <v>0</v>
      </c>
      <c r="K268" s="7">
        <f>SUMIF(TGastos[Fecha],Rdiario[[#This Row],[Fecha]],TGastos[Monto])</f>
        <v>0</v>
      </c>
      <c r="L268" s="7">
        <f>Rdiario[[#This Row],[Ingresos Brutos]]-Rdiario[[#This Row],[Compras]]-Rdiario[[#This Row],[Gastos]]</f>
        <v>0</v>
      </c>
      <c r="M268" s="7">
        <f>Rdiario[[#This Row],[Ganancia]]-Rdiario[[#This Row],[Compras]]-Rdiario[[#This Row],[Gastos]]</f>
        <v>0</v>
      </c>
      <c r="P268" s="16"/>
    </row>
    <row r="269" spans="2:16">
      <c r="B269" s="9">
        <v>45192</v>
      </c>
      <c r="C26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9" s="6" t="s">
        <v>110</v>
      </c>
      <c r="E269" s="7">
        <f>SUMIF(Ventas[Fecha],Rdiario[[#This Row],[Fecha]],Ventas[Total])</f>
        <v>0</v>
      </c>
      <c r="F269" s="66">
        <f>SUMIF(Ventas[Fecha],Rdiario[[#This Row],[Fecha]],Ventas[Total 4])</f>
        <v>0</v>
      </c>
      <c r="G269" s="66">
        <f>Rdiario[[#This Row],[Ingresos Brutos]]-Rdiario[[#This Row],[Transferencia]]</f>
        <v>0</v>
      </c>
      <c r="H269" s="7">
        <f>Rdiario[[#This Row],[Ingresos Brutos]]-Rdiario[[#This Row],[Ganancia]]</f>
        <v>0</v>
      </c>
      <c r="I269" s="7">
        <f>SUMIF(Ventas[Fecha],Rdiario[[#This Row],[Fecha]],Ventas[Total 2])</f>
        <v>0</v>
      </c>
      <c r="J269" s="7">
        <f>SUMIF(Compras[Fecha],Rdiario[[#This Row],[Fecha]],Compras[Monto])</f>
        <v>0</v>
      </c>
      <c r="K269" s="7">
        <f>SUMIF(TGastos[Fecha],Rdiario[[#This Row],[Fecha]],TGastos[Monto])</f>
        <v>0</v>
      </c>
      <c r="L269" s="7">
        <f>Rdiario[[#This Row],[Ingresos Brutos]]-Rdiario[[#This Row],[Compras]]-Rdiario[[#This Row],[Gastos]]</f>
        <v>0</v>
      </c>
      <c r="M269" s="7">
        <f>Rdiario[[#This Row],[Ganancia]]-Rdiario[[#This Row],[Compras]]-Rdiario[[#This Row],[Gastos]]</f>
        <v>0</v>
      </c>
      <c r="P269" s="16"/>
    </row>
    <row r="270" spans="2:16">
      <c r="B270" s="9">
        <v>45193</v>
      </c>
      <c r="C27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0" s="6" t="s">
        <v>104</v>
      </c>
      <c r="E270" s="7">
        <f>SUMIF(Ventas[Fecha],Rdiario[[#This Row],[Fecha]],Ventas[Total])</f>
        <v>0</v>
      </c>
      <c r="F270" s="66">
        <f>SUMIF(Ventas[Fecha],Rdiario[[#This Row],[Fecha]],Ventas[Total 4])</f>
        <v>0</v>
      </c>
      <c r="G270" s="66">
        <f>Rdiario[[#This Row],[Ingresos Brutos]]-Rdiario[[#This Row],[Transferencia]]</f>
        <v>0</v>
      </c>
      <c r="H270" s="7">
        <f>Rdiario[[#This Row],[Ingresos Brutos]]-Rdiario[[#This Row],[Ganancia]]</f>
        <v>0</v>
      </c>
      <c r="I270" s="7">
        <f>SUMIF(Ventas[Fecha],Rdiario[[#This Row],[Fecha]],Ventas[Total 2])</f>
        <v>0</v>
      </c>
      <c r="J270" s="7">
        <f>SUMIF(Compras[Fecha],Rdiario[[#This Row],[Fecha]],Compras[Monto])</f>
        <v>0</v>
      </c>
      <c r="K270" s="7">
        <f>SUMIF(TGastos[Fecha],Rdiario[[#This Row],[Fecha]],TGastos[Monto])</f>
        <v>0</v>
      </c>
      <c r="L270" s="7">
        <f>Rdiario[[#This Row],[Ingresos Brutos]]-Rdiario[[#This Row],[Compras]]-Rdiario[[#This Row],[Gastos]]</f>
        <v>0</v>
      </c>
      <c r="M270" s="7">
        <f>Rdiario[[#This Row],[Ganancia]]-Rdiario[[#This Row],[Compras]]-Rdiario[[#This Row],[Gastos]]</f>
        <v>0</v>
      </c>
      <c r="P270" s="16"/>
    </row>
    <row r="271" spans="2:16">
      <c r="B271" s="9">
        <v>45194</v>
      </c>
      <c r="C27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1" s="6" t="s">
        <v>105</v>
      </c>
      <c r="E271" s="7">
        <f>SUMIF(Ventas[Fecha],Rdiario[[#This Row],[Fecha]],Ventas[Total])</f>
        <v>0</v>
      </c>
      <c r="F271" s="66">
        <f>SUMIF(Ventas[Fecha],Rdiario[[#This Row],[Fecha]],Ventas[Total 4])</f>
        <v>0</v>
      </c>
      <c r="G271" s="66">
        <f>Rdiario[[#This Row],[Ingresos Brutos]]-Rdiario[[#This Row],[Transferencia]]</f>
        <v>0</v>
      </c>
      <c r="H271" s="7">
        <f>Rdiario[[#This Row],[Ingresos Brutos]]-Rdiario[[#This Row],[Ganancia]]</f>
        <v>0</v>
      </c>
      <c r="I271" s="7">
        <f>SUMIF(Ventas[Fecha],Rdiario[[#This Row],[Fecha]],Ventas[Total 2])</f>
        <v>0</v>
      </c>
      <c r="J271" s="7">
        <f>SUMIF(Compras[Fecha],Rdiario[[#This Row],[Fecha]],Compras[Monto])</f>
        <v>0</v>
      </c>
      <c r="K271" s="7">
        <f>SUMIF(TGastos[Fecha],Rdiario[[#This Row],[Fecha]],TGastos[Monto])</f>
        <v>0</v>
      </c>
      <c r="L271" s="7">
        <f>Rdiario[[#This Row],[Ingresos Brutos]]-Rdiario[[#This Row],[Compras]]-Rdiario[[#This Row],[Gastos]]</f>
        <v>0</v>
      </c>
      <c r="M271" s="7">
        <f>Rdiario[[#This Row],[Ganancia]]-Rdiario[[#This Row],[Compras]]-Rdiario[[#This Row],[Gastos]]</f>
        <v>0</v>
      </c>
      <c r="P271" s="16"/>
    </row>
    <row r="272" spans="2:16">
      <c r="B272" s="9">
        <v>45195</v>
      </c>
      <c r="C27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2" s="6" t="s">
        <v>106</v>
      </c>
      <c r="E272" s="7">
        <f>SUMIF(Ventas[Fecha],Rdiario[[#This Row],[Fecha]],Ventas[Total])</f>
        <v>0</v>
      </c>
      <c r="F272" s="66">
        <f>SUMIF(Ventas[Fecha],Rdiario[[#This Row],[Fecha]],Ventas[Total 4])</f>
        <v>0</v>
      </c>
      <c r="G272" s="66">
        <f>Rdiario[[#This Row],[Ingresos Brutos]]-Rdiario[[#This Row],[Transferencia]]</f>
        <v>0</v>
      </c>
      <c r="H272" s="7">
        <f>Rdiario[[#This Row],[Ingresos Brutos]]-Rdiario[[#This Row],[Ganancia]]</f>
        <v>0</v>
      </c>
      <c r="I272" s="7">
        <f>SUMIF(Ventas[Fecha],Rdiario[[#This Row],[Fecha]],Ventas[Total 2])</f>
        <v>0</v>
      </c>
      <c r="J272" s="7">
        <f>SUMIF(Compras[Fecha],Rdiario[[#This Row],[Fecha]],Compras[Monto])</f>
        <v>0</v>
      </c>
      <c r="K272" s="7">
        <f>SUMIF(TGastos[Fecha],Rdiario[[#This Row],[Fecha]],TGastos[Monto])</f>
        <v>0</v>
      </c>
      <c r="L272" s="7">
        <f>Rdiario[[#This Row],[Ingresos Brutos]]-Rdiario[[#This Row],[Compras]]-Rdiario[[#This Row],[Gastos]]</f>
        <v>0</v>
      </c>
      <c r="M272" s="7">
        <f>Rdiario[[#This Row],[Ganancia]]-Rdiario[[#This Row],[Compras]]-Rdiario[[#This Row],[Gastos]]</f>
        <v>0</v>
      </c>
      <c r="P272" s="16"/>
    </row>
    <row r="273" spans="2:16">
      <c r="B273" s="9">
        <v>45196</v>
      </c>
      <c r="C27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3" s="6" t="s">
        <v>107</v>
      </c>
      <c r="E273" s="7">
        <f>SUMIF(Ventas[Fecha],Rdiario[[#This Row],[Fecha]],Ventas[Total])</f>
        <v>0</v>
      </c>
      <c r="F273" s="66">
        <f>SUMIF(Ventas[Fecha],Rdiario[[#This Row],[Fecha]],Ventas[Total 4])</f>
        <v>0</v>
      </c>
      <c r="G273" s="66">
        <f>Rdiario[[#This Row],[Ingresos Brutos]]-Rdiario[[#This Row],[Transferencia]]</f>
        <v>0</v>
      </c>
      <c r="H273" s="7">
        <f>Rdiario[[#This Row],[Ingresos Brutos]]-Rdiario[[#This Row],[Ganancia]]</f>
        <v>0</v>
      </c>
      <c r="I273" s="7">
        <f>SUMIF(Ventas[Fecha],Rdiario[[#This Row],[Fecha]],Ventas[Total 2])</f>
        <v>0</v>
      </c>
      <c r="J273" s="7">
        <f>SUMIF(Compras[Fecha],Rdiario[[#This Row],[Fecha]],Compras[Monto])</f>
        <v>0</v>
      </c>
      <c r="K273" s="7">
        <f>SUMIF(TGastos[Fecha],Rdiario[[#This Row],[Fecha]],TGastos[Monto])</f>
        <v>0</v>
      </c>
      <c r="L273" s="7">
        <f>Rdiario[[#This Row],[Ingresos Brutos]]-Rdiario[[#This Row],[Compras]]-Rdiario[[#This Row],[Gastos]]</f>
        <v>0</v>
      </c>
      <c r="M273" s="7">
        <f>Rdiario[[#This Row],[Ganancia]]-Rdiario[[#This Row],[Compras]]-Rdiario[[#This Row],[Gastos]]</f>
        <v>0</v>
      </c>
      <c r="P273" s="16"/>
    </row>
    <row r="274" spans="2:16">
      <c r="B274" s="9">
        <v>45197</v>
      </c>
      <c r="C27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4" s="6" t="s">
        <v>108</v>
      </c>
      <c r="E274" s="7">
        <f>SUMIF(Ventas[Fecha],Rdiario[[#This Row],[Fecha]],Ventas[Total])</f>
        <v>0</v>
      </c>
      <c r="F274" s="66">
        <f>SUMIF(Ventas[Fecha],Rdiario[[#This Row],[Fecha]],Ventas[Total 4])</f>
        <v>0</v>
      </c>
      <c r="G274" s="66">
        <f>Rdiario[[#This Row],[Ingresos Brutos]]-Rdiario[[#This Row],[Transferencia]]</f>
        <v>0</v>
      </c>
      <c r="H274" s="7">
        <f>Rdiario[[#This Row],[Ingresos Brutos]]-Rdiario[[#This Row],[Ganancia]]</f>
        <v>0</v>
      </c>
      <c r="I274" s="7">
        <f>SUMIF(Ventas[Fecha],Rdiario[[#This Row],[Fecha]],Ventas[Total 2])</f>
        <v>0</v>
      </c>
      <c r="J274" s="7">
        <f>SUMIF(Compras[Fecha],Rdiario[[#This Row],[Fecha]],Compras[Monto])</f>
        <v>0</v>
      </c>
      <c r="K274" s="7">
        <f>SUMIF(TGastos[Fecha],Rdiario[[#This Row],[Fecha]],TGastos[Monto])</f>
        <v>0</v>
      </c>
      <c r="L274" s="7">
        <f>Rdiario[[#This Row],[Ingresos Brutos]]-Rdiario[[#This Row],[Compras]]-Rdiario[[#This Row],[Gastos]]</f>
        <v>0</v>
      </c>
      <c r="M274" s="7">
        <f>Rdiario[[#This Row],[Ganancia]]-Rdiario[[#This Row],[Compras]]-Rdiario[[#This Row],[Gastos]]</f>
        <v>0</v>
      </c>
      <c r="P274" s="16"/>
    </row>
    <row r="275" spans="2:16">
      <c r="B275" s="9">
        <v>45198</v>
      </c>
      <c r="C27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5" s="6" t="s">
        <v>109</v>
      </c>
      <c r="E275" s="7">
        <f>SUMIF(Ventas[Fecha],Rdiario[[#This Row],[Fecha]],Ventas[Total])</f>
        <v>0</v>
      </c>
      <c r="F275" s="66">
        <f>SUMIF(Ventas[Fecha],Rdiario[[#This Row],[Fecha]],Ventas[Total 4])</f>
        <v>0</v>
      </c>
      <c r="G275" s="66">
        <f>Rdiario[[#This Row],[Ingresos Brutos]]-Rdiario[[#This Row],[Transferencia]]</f>
        <v>0</v>
      </c>
      <c r="H275" s="7">
        <f>Rdiario[[#This Row],[Ingresos Brutos]]-Rdiario[[#This Row],[Ganancia]]</f>
        <v>0</v>
      </c>
      <c r="I275" s="7">
        <f>SUMIF(Ventas[Fecha],Rdiario[[#This Row],[Fecha]],Ventas[Total 2])</f>
        <v>0</v>
      </c>
      <c r="J275" s="7">
        <f>SUMIF(Compras[Fecha],Rdiario[[#This Row],[Fecha]],Compras[Monto])</f>
        <v>0</v>
      </c>
      <c r="K275" s="7">
        <f>SUMIF(TGastos[Fecha],Rdiario[[#This Row],[Fecha]],TGastos[Monto])</f>
        <v>0</v>
      </c>
      <c r="L275" s="7">
        <f>Rdiario[[#This Row],[Ingresos Brutos]]-Rdiario[[#This Row],[Compras]]-Rdiario[[#This Row],[Gastos]]</f>
        <v>0</v>
      </c>
      <c r="M275" s="7">
        <f>Rdiario[[#This Row],[Ganancia]]-Rdiario[[#This Row],[Compras]]-Rdiario[[#This Row],[Gastos]]</f>
        <v>0</v>
      </c>
      <c r="P275" s="16"/>
    </row>
    <row r="276" spans="2:16">
      <c r="B276" s="9">
        <v>45199</v>
      </c>
      <c r="C27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6" s="6" t="s">
        <v>110</v>
      </c>
      <c r="E276" s="7">
        <f>SUMIF(Ventas[Fecha],Rdiario[[#This Row],[Fecha]],Ventas[Total])</f>
        <v>0</v>
      </c>
      <c r="F276" s="66">
        <f>SUMIF(Ventas[Fecha],Rdiario[[#This Row],[Fecha]],Ventas[Total 4])</f>
        <v>0</v>
      </c>
      <c r="G276" s="66">
        <f>Rdiario[[#This Row],[Ingresos Brutos]]-Rdiario[[#This Row],[Transferencia]]</f>
        <v>0</v>
      </c>
      <c r="H276" s="7">
        <f>Rdiario[[#This Row],[Ingresos Brutos]]-Rdiario[[#This Row],[Ganancia]]</f>
        <v>0</v>
      </c>
      <c r="I276" s="7">
        <f>SUMIF(Ventas[Fecha],Rdiario[[#This Row],[Fecha]],Ventas[Total 2])</f>
        <v>0</v>
      </c>
      <c r="J276" s="7">
        <f>SUMIF(Compras[Fecha],Rdiario[[#This Row],[Fecha]],Compras[Monto])</f>
        <v>0</v>
      </c>
      <c r="K276" s="7">
        <f>SUMIF(TGastos[Fecha],Rdiario[[#This Row],[Fecha]],TGastos[Monto])</f>
        <v>0</v>
      </c>
      <c r="L276" s="7">
        <f>Rdiario[[#This Row],[Ingresos Brutos]]-Rdiario[[#This Row],[Compras]]-Rdiario[[#This Row],[Gastos]]</f>
        <v>0</v>
      </c>
      <c r="M276" s="7">
        <f>Rdiario[[#This Row],[Ganancia]]-Rdiario[[#This Row],[Compras]]-Rdiario[[#This Row],[Gastos]]</f>
        <v>0</v>
      </c>
      <c r="P276" s="16"/>
    </row>
    <row r="277" spans="2:16">
      <c r="B277" s="9">
        <v>45200</v>
      </c>
      <c r="C27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77" s="6" t="s">
        <v>104</v>
      </c>
      <c r="E277" s="7">
        <f>SUMIF(Ventas[Fecha],Rdiario[[#This Row],[Fecha]],Ventas[Total])</f>
        <v>0</v>
      </c>
      <c r="F277" s="66">
        <f>SUMIF(Ventas[Fecha],Rdiario[[#This Row],[Fecha]],Ventas[Total 4])</f>
        <v>0</v>
      </c>
      <c r="G277" s="66">
        <f>Rdiario[[#This Row],[Ingresos Brutos]]-Rdiario[[#This Row],[Transferencia]]</f>
        <v>0</v>
      </c>
      <c r="H277" s="7">
        <f>Rdiario[[#This Row],[Ingresos Brutos]]-Rdiario[[#This Row],[Ganancia]]</f>
        <v>0</v>
      </c>
      <c r="I277" s="7">
        <f>SUMIF(Ventas[Fecha],Rdiario[[#This Row],[Fecha]],Ventas[Total 2])</f>
        <v>0</v>
      </c>
      <c r="J277" s="7">
        <f>SUMIF(Compras[Fecha],Rdiario[[#This Row],[Fecha]],Compras[Monto])</f>
        <v>0</v>
      </c>
      <c r="K277" s="7">
        <f>SUMIF(TGastos[Fecha],Rdiario[[#This Row],[Fecha]],TGastos[Monto])</f>
        <v>0</v>
      </c>
      <c r="L277" s="7">
        <f>Rdiario[[#This Row],[Ingresos Brutos]]-Rdiario[[#This Row],[Compras]]-Rdiario[[#This Row],[Gastos]]</f>
        <v>0</v>
      </c>
      <c r="M277" s="7">
        <f>Rdiario[[#This Row],[Ganancia]]-Rdiario[[#This Row],[Compras]]-Rdiario[[#This Row],[Gastos]]</f>
        <v>0</v>
      </c>
      <c r="P277" s="16"/>
    </row>
    <row r="278" spans="2:16">
      <c r="B278" s="9">
        <v>45201</v>
      </c>
      <c r="C27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78" s="6" t="s">
        <v>105</v>
      </c>
      <c r="E278" s="7">
        <f>SUMIF(Ventas[Fecha],Rdiario[[#This Row],[Fecha]],Ventas[Total])</f>
        <v>0</v>
      </c>
      <c r="F278" s="66">
        <f>SUMIF(Ventas[Fecha],Rdiario[[#This Row],[Fecha]],Ventas[Total 4])</f>
        <v>0</v>
      </c>
      <c r="G278" s="66">
        <f>Rdiario[[#This Row],[Ingresos Brutos]]-Rdiario[[#This Row],[Transferencia]]</f>
        <v>0</v>
      </c>
      <c r="H278" s="7">
        <f>Rdiario[[#This Row],[Ingresos Brutos]]-Rdiario[[#This Row],[Ganancia]]</f>
        <v>0</v>
      </c>
      <c r="I278" s="7">
        <f>SUMIF(Ventas[Fecha],Rdiario[[#This Row],[Fecha]],Ventas[Total 2])</f>
        <v>0</v>
      </c>
      <c r="J278" s="7">
        <f>SUMIF(Compras[Fecha],Rdiario[[#This Row],[Fecha]],Compras[Monto])</f>
        <v>0</v>
      </c>
      <c r="K278" s="7">
        <f>SUMIF(TGastos[Fecha],Rdiario[[#This Row],[Fecha]],TGastos[Monto])</f>
        <v>0</v>
      </c>
      <c r="L278" s="7">
        <f>Rdiario[[#This Row],[Ingresos Brutos]]-Rdiario[[#This Row],[Compras]]-Rdiario[[#This Row],[Gastos]]</f>
        <v>0</v>
      </c>
      <c r="M278" s="7">
        <f>Rdiario[[#This Row],[Ganancia]]-Rdiario[[#This Row],[Compras]]-Rdiario[[#This Row],[Gastos]]</f>
        <v>0</v>
      </c>
      <c r="P278" s="16"/>
    </row>
    <row r="279" spans="2:16">
      <c r="B279" s="9">
        <v>45202</v>
      </c>
      <c r="C27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79" s="6" t="s">
        <v>106</v>
      </c>
      <c r="E279" s="7">
        <f>SUMIF(Ventas[Fecha],Rdiario[[#This Row],[Fecha]],Ventas[Total])</f>
        <v>0</v>
      </c>
      <c r="F279" s="66">
        <f>SUMIF(Ventas[Fecha],Rdiario[[#This Row],[Fecha]],Ventas[Total 4])</f>
        <v>0</v>
      </c>
      <c r="G279" s="66">
        <f>Rdiario[[#This Row],[Ingresos Brutos]]-Rdiario[[#This Row],[Transferencia]]</f>
        <v>0</v>
      </c>
      <c r="H279" s="7">
        <f>Rdiario[[#This Row],[Ingresos Brutos]]-Rdiario[[#This Row],[Ganancia]]</f>
        <v>0</v>
      </c>
      <c r="I279" s="7">
        <f>SUMIF(Ventas[Fecha],Rdiario[[#This Row],[Fecha]],Ventas[Total 2])</f>
        <v>0</v>
      </c>
      <c r="J279" s="7">
        <f>SUMIF(Compras[Fecha],Rdiario[[#This Row],[Fecha]],Compras[Monto])</f>
        <v>0</v>
      </c>
      <c r="K279" s="7">
        <f>SUMIF(TGastos[Fecha],Rdiario[[#This Row],[Fecha]],TGastos[Monto])</f>
        <v>0</v>
      </c>
      <c r="L279" s="7">
        <f>Rdiario[[#This Row],[Ingresos Brutos]]-Rdiario[[#This Row],[Compras]]-Rdiario[[#This Row],[Gastos]]</f>
        <v>0</v>
      </c>
      <c r="M279" s="7">
        <f>Rdiario[[#This Row],[Ganancia]]-Rdiario[[#This Row],[Compras]]-Rdiario[[#This Row],[Gastos]]</f>
        <v>0</v>
      </c>
      <c r="P279" s="16"/>
    </row>
    <row r="280" spans="2:16">
      <c r="B280" s="9">
        <v>45203</v>
      </c>
      <c r="C28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0" s="6" t="s">
        <v>107</v>
      </c>
      <c r="E280" s="7">
        <f>SUMIF(Ventas[Fecha],Rdiario[[#This Row],[Fecha]],Ventas[Total])</f>
        <v>0</v>
      </c>
      <c r="F280" s="66">
        <f>SUMIF(Ventas[Fecha],Rdiario[[#This Row],[Fecha]],Ventas[Total 4])</f>
        <v>0</v>
      </c>
      <c r="G280" s="66">
        <f>Rdiario[[#This Row],[Ingresos Brutos]]-Rdiario[[#This Row],[Transferencia]]</f>
        <v>0</v>
      </c>
      <c r="H280" s="7">
        <f>Rdiario[[#This Row],[Ingresos Brutos]]-Rdiario[[#This Row],[Ganancia]]</f>
        <v>0</v>
      </c>
      <c r="I280" s="7">
        <f>SUMIF(Ventas[Fecha],Rdiario[[#This Row],[Fecha]],Ventas[Total 2])</f>
        <v>0</v>
      </c>
      <c r="J280" s="7">
        <f>SUMIF(Compras[Fecha],Rdiario[[#This Row],[Fecha]],Compras[Monto])</f>
        <v>0</v>
      </c>
      <c r="K280" s="7">
        <f>SUMIF(TGastos[Fecha],Rdiario[[#This Row],[Fecha]],TGastos[Monto])</f>
        <v>0</v>
      </c>
      <c r="L280" s="7">
        <f>Rdiario[[#This Row],[Ingresos Brutos]]-Rdiario[[#This Row],[Compras]]-Rdiario[[#This Row],[Gastos]]</f>
        <v>0</v>
      </c>
      <c r="M280" s="7">
        <f>Rdiario[[#This Row],[Ganancia]]-Rdiario[[#This Row],[Compras]]-Rdiario[[#This Row],[Gastos]]</f>
        <v>0</v>
      </c>
      <c r="P280" s="16"/>
    </row>
    <row r="281" spans="2:16">
      <c r="B281" s="9">
        <v>45204</v>
      </c>
      <c r="C28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1" s="6" t="s">
        <v>108</v>
      </c>
      <c r="E281" s="7">
        <f>SUMIF(Ventas[Fecha],Rdiario[[#This Row],[Fecha]],Ventas[Total])</f>
        <v>0</v>
      </c>
      <c r="F281" s="66">
        <f>SUMIF(Ventas[Fecha],Rdiario[[#This Row],[Fecha]],Ventas[Total 4])</f>
        <v>0</v>
      </c>
      <c r="G281" s="66">
        <f>Rdiario[[#This Row],[Ingresos Brutos]]-Rdiario[[#This Row],[Transferencia]]</f>
        <v>0</v>
      </c>
      <c r="H281" s="7">
        <f>Rdiario[[#This Row],[Ingresos Brutos]]-Rdiario[[#This Row],[Ganancia]]</f>
        <v>0</v>
      </c>
      <c r="I281" s="7">
        <f>SUMIF(Ventas[Fecha],Rdiario[[#This Row],[Fecha]],Ventas[Total 2])</f>
        <v>0</v>
      </c>
      <c r="J281" s="7">
        <f>SUMIF(Compras[Fecha],Rdiario[[#This Row],[Fecha]],Compras[Monto])</f>
        <v>0</v>
      </c>
      <c r="K281" s="7">
        <f>SUMIF(TGastos[Fecha],Rdiario[[#This Row],[Fecha]],TGastos[Monto])</f>
        <v>0</v>
      </c>
      <c r="L281" s="7">
        <f>Rdiario[[#This Row],[Ingresos Brutos]]-Rdiario[[#This Row],[Compras]]-Rdiario[[#This Row],[Gastos]]</f>
        <v>0</v>
      </c>
      <c r="M281" s="7">
        <f>Rdiario[[#This Row],[Ganancia]]-Rdiario[[#This Row],[Compras]]-Rdiario[[#This Row],[Gastos]]</f>
        <v>0</v>
      </c>
      <c r="P281" s="16"/>
    </row>
    <row r="282" spans="2:16">
      <c r="B282" s="9">
        <v>45205</v>
      </c>
      <c r="C28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2" s="6" t="s">
        <v>109</v>
      </c>
      <c r="E282" s="7">
        <f>SUMIF(Ventas[Fecha],Rdiario[[#This Row],[Fecha]],Ventas[Total])</f>
        <v>0</v>
      </c>
      <c r="F282" s="66">
        <f>SUMIF(Ventas[Fecha],Rdiario[[#This Row],[Fecha]],Ventas[Total 4])</f>
        <v>0</v>
      </c>
      <c r="G282" s="66">
        <f>Rdiario[[#This Row],[Ingresos Brutos]]-Rdiario[[#This Row],[Transferencia]]</f>
        <v>0</v>
      </c>
      <c r="H282" s="7">
        <f>Rdiario[[#This Row],[Ingresos Brutos]]-Rdiario[[#This Row],[Ganancia]]</f>
        <v>0</v>
      </c>
      <c r="I282" s="7">
        <f>SUMIF(Ventas[Fecha],Rdiario[[#This Row],[Fecha]],Ventas[Total 2])</f>
        <v>0</v>
      </c>
      <c r="J282" s="7">
        <f>SUMIF(Compras[Fecha],Rdiario[[#This Row],[Fecha]],Compras[Monto])</f>
        <v>0</v>
      </c>
      <c r="K282" s="7">
        <f>SUMIF(TGastos[Fecha],Rdiario[[#This Row],[Fecha]],TGastos[Monto])</f>
        <v>0</v>
      </c>
      <c r="L282" s="7">
        <f>Rdiario[[#This Row],[Ingresos Brutos]]-Rdiario[[#This Row],[Compras]]-Rdiario[[#This Row],[Gastos]]</f>
        <v>0</v>
      </c>
      <c r="M282" s="7">
        <f>Rdiario[[#This Row],[Ganancia]]-Rdiario[[#This Row],[Compras]]-Rdiario[[#This Row],[Gastos]]</f>
        <v>0</v>
      </c>
      <c r="P282" s="16"/>
    </row>
    <row r="283" spans="2:16">
      <c r="B283" s="9">
        <v>45206</v>
      </c>
      <c r="C28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3" s="6" t="s">
        <v>110</v>
      </c>
      <c r="E283" s="7">
        <f>SUMIF(Ventas[Fecha],Rdiario[[#This Row],[Fecha]],Ventas[Total])</f>
        <v>0</v>
      </c>
      <c r="F283" s="66">
        <f>SUMIF(Ventas[Fecha],Rdiario[[#This Row],[Fecha]],Ventas[Total 4])</f>
        <v>0</v>
      </c>
      <c r="G283" s="66">
        <f>Rdiario[[#This Row],[Ingresos Brutos]]-Rdiario[[#This Row],[Transferencia]]</f>
        <v>0</v>
      </c>
      <c r="H283" s="7">
        <f>Rdiario[[#This Row],[Ingresos Brutos]]-Rdiario[[#This Row],[Ganancia]]</f>
        <v>0</v>
      </c>
      <c r="I283" s="7">
        <f>SUMIF(Ventas[Fecha],Rdiario[[#This Row],[Fecha]],Ventas[Total 2])</f>
        <v>0</v>
      </c>
      <c r="J283" s="7">
        <f>SUMIF(Compras[Fecha],Rdiario[[#This Row],[Fecha]],Compras[Monto])</f>
        <v>0</v>
      </c>
      <c r="K283" s="7">
        <f>SUMIF(TGastos[Fecha],Rdiario[[#This Row],[Fecha]],TGastos[Monto])</f>
        <v>0</v>
      </c>
      <c r="L283" s="7">
        <f>Rdiario[[#This Row],[Ingresos Brutos]]-Rdiario[[#This Row],[Compras]]-Rdiario[[#This Row],[Gastos]]</f>
        <v>0</v>
      </c>
      <c r="M283" s="7">
        <f>Rdiario[[#This Row],[Ganancia]]-Rdiario[[#This Row],[Compras]]-Rdiario[[#This Row],[Gastos]]</f>
        <v>0</v>
      </c>
      <c r="P283" s="16"/>
    </row>
    <row r="284" spans="2:16">
      <c r="B284" s="9">
        <v>45207</v>
      </c>
      <c r="C28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4" s="6" t="s">
        <v>104</v>
      </c>
      <c r="E284" s="7">
        <f>SUMIF(Ventas[Fecha],Rdiario[[#This Row],[Fecha]],Ventas[Total])</f>
        <v>0</v>
      </c>
      <c r="F284" s="66">
        <f>SUMIF(Ventas[Fecha],Rdiario[[#This Row],[Fecha]],Ventas[Total 4])</f>
        <v>0</v>
      </c>
      <c r="G284" s="66">
        <f>Rdiario[[#This Row],[Ingresos Brutos]]-Rdiario[[#This Row],[Transferencia]]</f>
        <v>0</v>
      </c>
      <c r="H284" s="7">
        <f>Rdiario[[#This Row],[Ingresos Brutos]]-Rdiario[[#This Row],[Ganancia]]</f>
        <v>0</v>
      </c>
      <c r="I284" s="7">
        <f>SUMIF(Ventas[Fecha],Rdiario[[#This Row],[Fecha]],Ventas[Total 2])</f>
        <v>0</v>
      </c>
      <c r="J284" s="7">
        <f>SUMIF(Compras[Fecha],Rdiario[[#This Row],[Fecha]],Compras[Monto])</f>
        <v>0</v>
      </c>
      <c r="K284" s="7">
        <f>SUMIF(TGastos[Fecha],Rdiario[[#This Row],[Fecha]],TGastos[Monto])</f>
        <v>0</v>
      </c>
      <c r="L284" s="7">
        <f>Rdiario[[#This Row],[Ingresos Brutos]]-Rdiario[[#This Row],[Compras]]-Rdiario[[#This Row],[Gastos]]</f>
        <v>0</v>
      </c>
      <c r="M284" s="7">
        <f>Rdiario[[#This Row],[Ganancia]]-Rdiario[[#This Row],[Compras]]-Rdiario[[#This Row],[Gastos]]</f>
        <v>0</v>
      </c>
      <c r="P284" s="16"/>
    </row>
    <row r="285" spans="2:16">
      <c r="B285" s="9">
        <v>45208</v>
      </c>
      <c r="C28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5" s="6" t="s">
        <v>105</v>
      </c>
      <c r="E285" s="7">
        <f>SUMIF(Ventas[Fecha],Rdiario[[#This Row],[Fecha]],Ventas[Total])</f>
        <v>0</v>
      </c>
      <c r="F285" s="66">
        <f>SUMIF(Ventas[Fecha],Rdiario[[#This Row],[Fecha]],Ventas[Total 4])</f>
        <v>0</v>
      </c>
      <c r="G285" s="66">
        <f>Rdiario[[#This Row],[Ingresos Brutos]]-Rdiario[[#This Row],[Transferencia]]</f>
        <v>0</v>
      </c>
      <c r="H285" s="7">
        <f>Rdiario[[#This Row],[Ingresos Brutos]]-Rdiario[[#This Row],[Ganancia]]</f>
        <v>0</v>
      </c>
      <c r="I285" s="7">
        <f>SUMIF(Ventas[Fecha],Rdiario[[#This Row],[Fecha]],Ventas[Total 2])</f>
        <v>0</v>
      </c>
      <c r="J285" s="7">
        <f>SUMIF(Compras[Fecha],Rdiario[[#This Row],[Fecha]],Compras[Monto])</f>
        <v>0</v>
      </c>
      <c r="K285" s="7">
        <f>SUMIF(TGastos[Fecha],Rdiario[[#This Row],[Fecha]],TGastos[Monto])</f>
        <v>0</v>
      </c>
      <c r="L285" s="7">
        <f>Rdiario[[#This Row],[Ingresos Brutos]]-Rdiario[[#This Row],[Compras]]-Rdiario[[#This Row],[Gastos]]</f>
        <v>0</v>
      </c>
      <c r="M285" s="7">
        <f>Rdiario[[#This Row],[Ganancia]]-Rdiario[[#This Row],[Compras]]-Rdiario[[#This Row],[Gastos]]</f>
        <v>0</v>
      </c>
      <c r="P285" s="16"/>
    </row>
    <row r="286" spans="2:16">
      <c r="B286" s="9">
        <v>45209</v>
      </c>
      <c r="C28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6" s="6" t="s">
        <v>106</v>
      </c>
      <c r="E286" s="7">
        <f>SUMIF(Ventas[Fecha],Rdiario[[#This Row],[Fecha]],Ventas[Total])</f>
        <v>0</v>
      </c>
      <c r="F286" s="66">
        <f>SUMIF(Ventas[Fecha],Rdiario[[#This Row],[Fecha]],Ventas[Total 4])</f>
        <v>0</v>
      </c>
      <c r="G286" s="66">
        <f>Rdiario[[#This Row],[Ingresos Brutos]]-Rdiario[[#This Row],[Transferencia]]</f>
        <v>0</v>
      </c>
      <c r="H286" s="7">
        <f>Rdiario[[#This Row],[Ingresos Brutos]]-Rdiario[[#This Row],[Ganancia]]</f>
        <v>0</v>
      </c>
      <c r="I286" s="7">
        <f>SUMIF(Ventas[Fecha],Rdiario[[#This Row],[Fecha]],Ventas[Total 2])</f>
        <v>0</v>
      </c>
      <c r="J286" s="7">
        <f>SUMIF(Compras[Fecha],Rdiario[[#This Row],[Fecha]],Compras[Monto])</f>
        <v>0</v>
      </c>
      <c r="K286" s="7">
        <f>SUMIF(TGastos[Fecha],Rdiario[[#This Row],[Fecha]],TGastos[Monto])</f>
        <v>0</v>
      </c>
      <c r="L286" s="7">
        <f>Rdiario[[#This Row],[Ingresos Brutos]]-Rdiario[[#This Row],[Compras]]-Rdiario[[#This Row],[Gastos]]</f>
        <v>0</v>
      </c>
      <c r="M286" s="7">
        <f>Rdiario[[#This Row],[Ganancia]]-Rdiario[[#This Row],[Compras]]-Rdiario[[#This Row],[Gastos]]</f>
        <v>0</v>
      </c>
      <c r="P286" s="16"/>
    </row>
    <row r="287" spans="2:16">
      <c r="B287" s="9">
        <v>45210</v>
      </c>
      <c r="C28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7" s="6" t="s">
        <v>107</v>
      </c>
      <c r="E287" s="7">
        <f>SUMIF(Ventas[Fecha],Rdiario[[#This Row],[Fecha]],Ventas[Total])</f>
        <v>0</v>
      </c>
      <c r="F287" s="66">
        <f>SUMIF(Ventas[Fecha],Rdiario[[#This Row],[Fecha]],Ventas[Total 4])</f>
        <v>0</v>
      </c>
      <c r="G287" s="66">
        <f>Rdiario[[#This Row],[Ingresos Brutos]]-Rdiario[[#This Row],[Transferencia]]</f>
        <v>0</v>
      </c>
      <c r="H287" s="7">
        <f>Rdiario[[#This Row],[Ingresos Brutos]]-Rdiario[[#This Row],[Ganancia]]</f>
        <v>0</v>
      </c>
      <c r="I287" s="7">
        <f>SUMIF(Ventas[Fecha],Rdiario[[#This Row],[Fecha]],Ventas[Total 2])</f>
        <v>0</v>
      </c>
      <c r="J287" s="7">
        <f>SUMIF(Compras[Fecha],Rdiario[[#This Row],[Fecha]],Compras[Monto])</f>
        <v>0</v>
      </c>
      <c r="K287" s="7">
        <f>SUMIF(TGastos[Fecha],Rdiario[[#This Row],[Fecha]],TGastos[Monto])</f>
        <v>0</v>
      </c>
      <c r="L287" s="7">
        <f>Rdiario[[#This Row],[Ingresos Brutos]]-Rdiario[[#This Row],[Compras]]-Rdiario[[#This Row],[Gastos]]</f>
        <v>0</v>
      </c>
      <c r="M287" s="7">
        <f>Rdiario[[#This Row],[Ganancia]]-Rdiario[[#This Row],[Compras]]-Rdiario[[#This Row],[Gastos]]</f>
        <v>0</v>
      </c>
      <c r="P287" s="16"/>
    </row>
    <row r="288" spans="2:16">
      <c r="B288" s="9">
        <v>45211</v>
      </c>
      <c r="C28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8" s="6" t="s">
        <v>108</v>
      </c>
      <c r="E288" s="7">
        <f>SUMIF(Ventas[Fecha],Rdiario[[#This Row],[Fecha]],Ventas[Total])</f>
        <v>0</v>
      </c>
      <c r="F288" s="66">
        <f>SUMIF(Ventas[Fecha],Rdiario[[#This Row],[Fecha]],Ventas[Total 4])</f>
        <v>0</v>
      </c>
      <c r="G288" s="66">
        <f>Rdiario[[#This Row],[Ingresos Brutos]]-Rdiario[[#This Row],[Transferencia]]</f>
        <v>0</v>
      </c>
      <c r="H288" s="7">
        <f>Rdiario[[#This Row],[Ingresos Brutos]]-Rdiario[[#This Row],[Ganancia]]</f>
        <v>0</v>
      </c>
      <c r="I288" s="7">
        <f>SUMIF(Ventas[Fecha],Rdiario[[#This Row],[Fecha]],Ventas[Total 2])</f>
        <v>0</v>
      </c>
      <c r="J288" s="7">
        <f>SUMIF(Compras[Fecha],Rdiario[[#This Row],[Fecha]],Compras[Monto])</f>
        <v>0</v>
      </c>
      <c r="K288" s="7">
        <f>SUMIF(TGastos[Fecha],Rdiario[[#This Row],[Fecha]],TGastos[Monto])</f>
        <v>0</v>
      </c>
      <c r="L288" s="7">
        <f>Rdiario[[#This Row],[Ingresos Brutos]]-Rdiario[[#This Row],[Compras]]-Rdiario[[#This Row],[Gastos]]</f>
        <v>0</v>
      </c>
      <c r="M288" s="7">
        <f>Rdiario[[#This Row],[Ganancia]]-Rdiario[[#This Row],[Compras]]-Rdiario[[#This Row],[Gastos]]</f>
        <v>0</v>
      </c>
      <c r="P288" s="16"/>
    </row>
    <row r="289" spans="2:16">
      <c r="B289" s="9">
        <v>45212</v>
      </c>
      <c r="C28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9" s="6" t="s">
        <v>109</v>
      </c>
      <c r="E289" s="7">
        <f>SUMIF(Ventas[Fecha],Rdiario[[#This Row],[Fecha]],Ventas[Total])</f>
        <v>0</v>
      </c>
      <c r="F289" s="66">
        <f>SUMIF(Ventas[Fecha],Rdiario[[#This Row],[Fecha]],Ventas[Total 4])</f>
        <v>0</v>
      </c>
      <c r="G289" s="66">
        <f>Rdiario[[#This Row],[Ingresos Brutos]]-Rdiario[[#This Row],[Transferencia]]</f>
        <v>0</v>
      </c>
      <c r="H289" s="7">
        <f>Rdiario[[#This Row],[Ingresos Brutos]]-Rdiario[[#This Row],[Ganancia]]</f>
        <v>0</v>
      </c>
      <c r="I289" s="7">
        <f>SUMIF(Ventas[Fecha],Rdiario[[#This Row],[Fecha]],Ventas[Total 2])</f>
        <v>0</v>
      </c>
      <c r="J289" s="7">
        <f>SUMIF(Compras[Fecha],Rdiario[[#This Row],[Fecha]],Compras[Monto])</f>
        <v>0</v>
      </c>
      <c r="K289" s="7">
        <f>SUMIF(TGastos[Fecha],Rdiario[[#This Row],[Fecha]],TGastos[Monto])</f>
        <v>0</v>
      </c>
      <c r="L289" s="7">
        <f>Rdiario[[#This Row],[Ingresos Brutos]]-Rdiario[[#This Row],[Compras]]-Rdiario[[#This Row],[Gastos]]</f>
        <v>0</v>
      </c>
      <c r="M289" s="7">
        <f>Rdiario[[#This Row],[Ganancia]]-Rdiario[[#This Row],[Compras]]-Rdiario[[#This Row],[Gastos]]</f>
        <v>0</v>
      </c>
      <c r="P289" s="16"/>
    </row>
    <row r="290" spans="2:16">
      <c r="B290" s="9">
        <v>45213</v>
      </c>
      <c r="C29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0" s="6" t="s">
        <v>110</v>
      </c>
      <c r="E290" s="7">
        <f>SUMIF(Ventas[Fecha],Rdiario[[#This Row],[Fecha]],Ventas[Total])</f>
        <v>0</v>
      </c>
      <c r="F290" s="66">
        <f>SUMIF(Ventas[Fecha],Rdiario[[#This Row],[Fecha]],Ventas[Total 4])</f>
        <v>0</v>
      </c>
      <c r="G290" s="66">
        <f>Rdiario[[#This Row],[Ingresos Brutos]]-Rdiario[[#This Row],[Transferencia]]</f>
        <v>0</v>
      </c>
      <c r="H290" s="7">
        <f>Rdiario[[#This Row],[Ingresos Brutos]]-Rdiario[[#This Row],[Ganancia]]</f>
        <v>0</v>
      </c>
      <c r="I290" s="7">
        <f>SUMIF(Ventas[Fecha],Rdiario[[#This Row],[Fecha]],Ventas[Total 2])</f>
        <v>0</v>
      </c>
      <c r="J290" s="7">
        <f>SUMIF(Compras[Fecha],Rdiario[[#This Row],[Fecha]],Compras[Monto])</f>
        <v>0</v>
      </c>
      <c r="K290" s="7">
        <f>SUMIF(TGastos[Fecha],Rdiario[[#This Row],[Fecha]],TGastos[Monto])</f>
        <v>0</v>
      </c>
      <c r="L290" s="7">
        <f>Rdiario[[#This Row],[Ingresos Brutos]]-Rdiario[[#This Row],[Compras]]-Rdiario[[#This Row],[Gastos]]</f>
        <v>0</v>
      </c>
      <c r="M290" s="7">
        <f>Rdiario[[#This Row],[Ganancia]]-Rdiario[[#This Row],[Compras]]-Rdiario[[#This Row],[Gastos]]</f>
        <v>0</v>
      </c>
      <c r="P290" s="16"/>
    </row>
    <row r="291" spans="2:16">
      <c r="B291" s="9">
        <v>45214</v>
      </c>
      <c r="C29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1" s="6" t="s">
        <v>104</v>
      </c>
      <c r="E291" s="7">
        <f>SUMIF(Ventas[Fecha],Rdiario[[#This Row],[Fecha]],Ventas[Total])</f>
        <v>0</v>
      </c>
      <c r="F291" s="66">
        <f>SUMIF(Ventas[Fecha],Rdiario[[#This Row],[Fecha]],Ventas[Total 4])</f>
        <v>0</v>
      </c>
      <c r="G291" s="66">
        <f>Rdiario[[#This Row],[Ingresos Brutos]]-Rdiario[[#This Row],[Transferencia]]</f>
        <v>0</v>
      </c>
      <c r="H291" s="7">
        <f>Rdiario[[#This Row],[Ingresos Brutos]]-Rdiario[[#This Row],[Ganancia]]</f>
        <v>0</v>
      </c>
      <c r="I291" s="7">
        <f>SUMIF(Ventas[Fecha],Rdiario[[#This Row],[Fecha]],Ventas[Total 2])</f>
        <v>0</v>
      </c>
      <c r="J291" s="7">
        <f>SUMIF(Compras[Fecha],Rdiario[[#This Row],[Fecha]],Compras[Monto])</f>
        <v>0</v>
      </c>
      <c r="K291" s="7">
        <f>SUMIF(TGastos[Fecha],Rdiario[[#This Row],[Fecha]],TGastos[Monto])</f>
        <v>0</v>
      </c>
      <c r="L291" s="7">
        <f>Rdiario[[#This Row],[Ingresos Brutos]]-Rdiario[[#This Row],[Compras]]-Rdiario[[#This Row],[Gastos]]</f>
        <v>0</v>
      </c>
      <c r="M291" s="7">
        <f>Rdiario[[#This Row],[Ganancia]]-Rdiario[[#This Row],[Compras]]-Rdiario[[#This Row],[Gastos]]</f>
        <v>0</v>
      </c>
      <c r="P291" s="16"/>
    </row>
    <row r="292" spans="2:16">
      <c r="B292" s="9">
        <v>45215</v>
      </c>
      <c r="C29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2" s="6" t="s">
        <v>105</v>
      </c>
      <c r="E292" s="7">
        <f>SUMIF(Ventas[Fecha],Rdiario[[#This Row],[Fecha]],Ventas[Total])</f>
        <v>0</v>
      </c>
      <c r="F292" s="66">
        <f>SUMIF(Ventas[Fecha],Rdiario[[#This Row],[Fecha]],Ventas[Total 4])</f>
        <v>0</v>
      </c>
      <c r="G292" s="66">
        <f>Rdiario[[#This Row],[Ingresos Brutos]]-Rdiario[[#This Row],[Transferencia]]</f>
        <v>0</v>
      </c>
      <c r="H292" s="7">
        <f>Rdiario[[#This Row],[Ingresos Brutos]]-Rdiario[[#This Row],[Ganancia]]</f>
        <v>0</v>
      </c>
      <c r="I292" s="7">
        <f>SUMIF(Ventas[Fecha],Rdiario[[#This Row],[Fecha]],Ventas[Total 2])</f>
        <v>0</v>
      </c>
      <c r="J292" s="7">
        <f>SUMIF(Compras[Fecha],Rdiario[[#This Row],[Fecha]],Compras[Monto])</f>
        <v>0</v>
      </c>
      <c r="K292" s="7">
        <f>SUMIF(TGastos[Fecha],Rdiario[[#This Row],[Fecha]],TGastos[Monto])</f>
        <v>0</v>
      </c>
      <c r="L292" s="7">
        <f>Rdiario[[#This Row],[Ingresos Brutos]]-Rdiario[[#This Row],[Compras]]-Rdiario[[#This Row],[Gastos]]</f>
        <v>0</v>
      </c>
      <c r="M292" s="7">
        <f>Rdiario[[#This Row],[Ganancia]]-Rdiario[[#This Row],[Compras]]-Rdiario[[#This Row],[Gastos]]</f>
        <v>0</v>
      </c>
      <c r="P292" s="16"/>
    </row>
    <row r="293" spans="2:16">
      <c r="B293" s="9">
        <v>45216</v>
      </c>
      <c r="C29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3" s="6" t="s">
        <v>106</v>
      </c>
      <c r="E293" s="7">
        <f>SUMIF(Ventas[Fecha],Rdiario[[#This Row],[Fecha]],Ventas[Total])</f>
        <v>0</v>
      </c>
      <c r="F293" s="66">
        <f>SUMIF(Ventas[Fecha],Rdiario[[#This Row],[Fecha]],Ventas[Total 4])</f>
        <v>0</v>
      </c>
      <c r="G293" s="66">
        <f>Rdiario[[#This Row],[Ingresos Brutos]]-Rdiario[[#This Row],[Transferencia]]</f>
        <v>0</v>
      </c>
      <c r="H293" s="7">
        <f>Rdiario[[#This Row],[Ingresos Brutos]]-Rdiario[[#This Row],[Ganancia]]</f>
        <v>0</v>
      </c>
      <c r="I293" s="7">
        <f>SUMIF(Ventas[Fecha],Rdiario[[#This Row],[Fecha]],Ventas[Total 2])</f>
        <v>0</v>
      </c>
      <c r="J293" s="7">
        <f>SUMIF(Compras[Fecha],Rdiario[[#This Row],[Fecha]],Compras[Monto])</f>
        <v>0</v>
      </c>
      <c r="K293" s="7">
        <f>SUMIF(TGastos[Fecha],Rdiario[[#This Row],[Fecha]],TGastos[Monto])</f>
        <v>0</v>
      </c>
      <c r="L293" s="7">
        <f>Rdiario[[#This Row],[Ingresos Brutos]]-Rdiario[[#This Row],[Compras]]-Rdiario[[#This Row],[Gastos]]</f>
        <v>0</v>
      </c>
      <c r="M293" s="7">
        <f>Rdiario[[#This Row],[Ganancia]]-Rdiario[[#This Row],[Compras]]-Rdiario[[#This Row],[Gastos]]</f>
        <v>0</v>
      </c>
      <c r="P293" s="16"/>
    </row>
    <row r="294" spans="2:16">
      <c r="B294" s="9">
        <v>45217</v>
      </c>
      <c r="C29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4" s="6" t="s">
        <v>107</v>
      </c>
      <c r="E294" s="7">
        <f>SUMIF(Ventas[Fecha],Rdiario[[#This Row],[Fecha]],Ventas[Total])</f>
        <v>0</v>
      </c>
      <c r="F294" s="66">
        <f>SUMIF(Ventas[Fecha],Rdiario[[#This Row],[Fecha]],Ventas[Total 4])</f>
        <v>0</v>
      </c>
      <c r="G294" s="66">
        <f>Rdiario[[#This Row],[Ingresos Brutos]]-Rdiario[[#This Row],[Transferencia]]</f>
        <v>0</v>
      </c>
      <c r="H294" s="7">
        <f>Rdiario[[#This Row],[Ingresos Brutos]]-Rdiario[[#This Row],[Ganancia]]</f>
        <v>0</v>
      </c>
      <c r="I294" s="7">
        <f>SUMIF(Ventas[Fecha],Rdiario[[#This Row],[Fecha]],Ventas[Total 2])</f>
        <v>0</v>
      </c>
      <c r="J294" s="7">
        <f>SUMIF(Compras[Fecha],Rdiario[[#This Row],[Fecha]],Compras[Monto])</f>
        <v>0</v>
      </c>
      <c r="K294" s="7">
        <f>SUMIF(TGastos[Fecha],Rdiario[[#This Row],[Fecha]],TGastos[Monto])</f>
        <v>0</v>
      </c>
      <c r="L294" s="7">
        <f>Rdiario[[#This Row],[Ingresos Brutos]]-Rdiario[[#This Row],[Compras]]-Rdiario[[#This Row],[Gastos]]</f>
        <v>0</v>
      </c>
      <c r="M294" s="7">
        <f>Rdiario[[#This Row],[Ganancia]]-Rdiario[[#This Row],[Compras]]-Rdiario[[#This Row],[Gastos]]</f>
        <v>0</v>
      </c>
      <c r="P294" s="16"/>
    </row>
    <row r="295" spans="2:16">
      <c r="B295" s="9">
        <v>45218</v>
      </c>
      <c r="C29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5" s="6" t="s">
        <v>108</v>
      </c>
      <c r="E295" s="7">
        <f>SUMIF(Ventas[Fecha],Rdiario[[#This Row],[Fecha]],Ventas[Total])</f>
        <v>0</v>
      </c>
      <c r="F295" s="66">
        <f>SUMIF(Ventas[Fecha],Rdiario[[#This Row],[Fecha]],Ventas[Total 4])</f>
        <v>0</v>
      </c>
      <c r="G295" s="66">
        <f>Rdiario[[#This Row],[Ingresos Brutos]]-Rdiario[[#This Row],[Transferencia]]</f>
        <v>0</v>
      </c>
      <c r="H295" s="7">
        <f>Rdiario[[#This Row],[Ingresos Brutos]]-Rdiario[[#This Row],[Ganancia]]</f>
        <v>0</v>
      </c>
      <c r="I295" s="7">
        <f>SUMIF(Ventas[Fecha],Rdiario[[#This Row],[Fecha]],Ventas[Total 2])</f>
        <v>0</v>
      </c>
      <c r="J295" s="7">
        <f>SUMIF(Compras[Fecha],Rdiario[[#This Row],[Fecha]],Compras[Monto])</f>
        <v>0</v>
      </c>
      <c r="K295" s="7">
        <f>SUMIF(TGastos[Fecha],Rdiario[[#This Row],[Fecha]],TGastos[Monto])</f>
        <v>0</v>
      </c>
      <c r="L295" s="7">
        <f>Rdiario[[#This Row],[Ingresos Brutos]]-Rdiario[[#This Row],[Compras]]-Rdiario[[#This Row],[Gastos]]</f>
        <v>0</v>
      </c>
      <c r="M295" s="7">
        <f>Rdiario[[#This Row],[Ganancia]]-Rdiario[[#This Row],[Compras]]-Rdiario[[#This Row],[Gastos]]</f>
        <v>0</v>
      </c>
      <c r="P295" s="16"/>
    </row>
    <row r="296" spans="2:16">
      <c r="B296" s="9">
        <v>45219</v>
      </c>
      <c r="C29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6" s="6" t="s">
        <v>109</v>
      </c>
      <c r="E296" s="7">
        <f>SUMIF(Ventas[Fecha],Rdiario[[#This Row],[Fecha]],Ventas[Total])</f>
        <v>0</v>
      </c>
      <c r="F296" s="66">
        <f>SUMIF(Ventas[Fecha],Rdiario[[#This Row],[Fecha]],Ventas[Total 4])</f>
        <v>0</v>
      </c>
      <c r="G296" s="66">
        <f>Rdiario[[#This Row],[Ingresos Brutos]]-Rdiario[[#This Row],[Transferencia]]</f>
        <v>0</v>
      </c>
      <c r="H296" s="7">
        <f>Rdiario[[#This Row],[Ingresos Brutos]]-Rdiario[[#This Row],[Ganancia]]</f>
        <v>0</v>
      </c>
      <c r="I296" s="7">
        <f>SUMIF(Ventas[Fecha],Rdiario[[#This Row],[Fecha]],Ventas[Total 2])</f>
        <v>0</v>
      </c>
      <c r="J296" s="7">
        <f>SUMIF(Compras[Fecha],Rdiario[[#This Row],[Fecha]],Compras[Monto])</f>
        <v>0</v>
      </c>
      <c r="K296" s="7">
        <f>SUMIF(TGastos[Fecha],Rdiario[[#This Row],[Fecha]],TGastos[Monto])</f>
        <v>0</v>
      </c>
      <c r="L296" s="7">
        <f>Rdiario[[#This Row],[Ingresos Brutos]]-Rdiario[[#This Row],[Compras]]-Rdiario[[#This Row],[Gastos]]</f>
        <v>0</v>
      </c>
      <c r="M296" s="7">
        <f>Rdiario[[#This Row],[Ganancia]]-Rdiario[[#This Row],[Compras]]-Rdiario[[#This Row],[Gastos]]</f>
        <v>0</v>
      </c>
      <c r="P296" s="16"/>
    </row>
    <row r="297" spans="2:16">
      <c r="B297" s="9">
        <v>45220</v>
      </c>
      <c r="C29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7" s="6" t="s">
        <v>110</v>
      </c>
      <c r="E297" s="7">
        <f>SUMIF(Ventas[Fecha],Rdiario[[#This Row],[Fecha]],Ventas[Total])</f>
        <v>0</v>
      </c>
      <c r="F297" s="66">
        <f>SUMIF(Ventas[Fecha],Rdiario[[#This Row],[Fecha]],Ventas[Total 4])</f>
        <v>0</v>
      </c>
      <c r="G297" s="66">
        <f>Rdiario[[#This Row],[Ingresos Brutos]]-Rdiario[[#This Row],[Transferencia]]</f>
        <v>0</v>
      </c>
      <c r="H297" s="7">
        <f>Rdiario[[#This Row],[Ingresos Brutos]]-Rdiario[[#This Row],[Ganancia]]</f>
        <v>0</v>
      </c>
      <c r="I297" s="7">
        <f>SUMIF(Ventas[Fecha],Rdiario[[#This Row],[Fecha]],Ventas[Total 2])</f>
        <v>0</v>
      </c>
      <c r="J297" s="7">
        <f>SUMIF(Compras[Fecha],Rdiario[[#This Row],[Fecha]],Compras[Monto])</f>
        <v>0</v>
      </c>
      <c r="K297" s="7">
        <f>SUMIF(TGastos[Fecha],Rdiario[[#This Row],[Fecha]],TGastos[Monto])</f>
        <v>0</v>
      </c>
      <c r="L297" s="7">
        <f>Rdiario[[#This Row],[Ingresos Brutos]]-Rdiario[[#This Row],[Compras]]-Rdiario[[#This Row],[Gastos]]</f>
        <v>0</v>
      </c>
      <c r="M297" s="7">
        <f>Rdiario[[#This Row],[Ganancia]]-Rdiario[[#This Row],[Compras]]-Rdiario[[#This Row],[Gastos]]</f>
        <v>0</v>
      </c>
      <c r="P297" s="16"/>
    </row>
    <row r="298" spans="2:16">
      <c r="B298" s="9">
        <v>45221</v>
      </c>
      <c r="C29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8" s="6" t="s">
        <v>104</v>
      </c>
      <c r="E298" s="7">
        <f>SUMIF(Ventas[Fecha],Rdiario[[#This Row],[Fecha]],Ventas[Total])</f>
        <v>0</v>
      </c>
      <c r="F298" s="66">
        <f>SUMIF(Ventas[Fecha],Rdiario[[#This Row],[Fecha]],Ventas[Total 4])</f>
        <v>0</v>
      </c>
      <c r="G298" s="66">
        <f>Rdiario[[#This Row],[Ingresos Brutos]]-Rdiario[[#This Row],[Transferencia]]</f>
        <v>0</v>
      </c>
      <c r="H298" s="7">
        <f>Rdiario[[#This Row],[Ingresos Brutos]]-Rdiario[[#This Row],[Ganancia]]</f>
        <v>0</v>
      </c>
      <c r="I298" s="7">
        <f>SUMIF(Ventas[Fecha],Rdiario[[#This Row],[Fecha]],Ventas[Total 2])</f>
        <v>0</v>
      </c>
      <c r="J298" s="7">
        <f>SUMIF(Compras[Fecha],Rdiario[[#This Row],[Fecha]],Compras[Monto])</f>
        <v>0</v>
      </c>
      <c r="K298" s="7">
        <f>SUMIF(TGastos[Fecha],Rdiario[[#This Row],[Fecha]],TGastos[Monto])</f>
        <v>0</v>
      </c>
      <c r="L298" s="7">
        <f>Rdiario[[#This Row],[Ingresos Brutos]]-Rdiario[[#This Row],[Compras]]-Rdiario[[#This Row],[Gastos]]</f>
        <v>0</v>
      </c>
      <c r="M298" s="7">
        <f>Rdiario[[#This Row],[Ganancia]]-Rdiario[[#This Row],[Compras]]-Rdiario[[#This Row],[Gastos]]</f>
        <v>0</v>
      </c>
      <c r="P298" s="16"/>
    </row>
    <row r="299" spans="2:16">
      <c r="B299" s="9">
        <v>45222</v>
      </c>
      <c r="C29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9" s="6" t="s">
        <v>105</v>
      </c>
      <c r="E299" s="7">
        <f>SUMIF(Ventas[Fecha],Rdiario[[#This Row],[Fecha]],Ventas[Total])</f>
        <v>0</v>
      </c>
      <c r="F299" s="66">
        <f>SUMIF(Ventas[Fecha],Rdiario[[#This Row],[Fecha]],Ventas[Total 4])</f>
        <v>0</v>
      </c>
      <c r="G299" s="66">
        <f>Rdiario[[#This Row],[Ingresos Brutos]]-Rdiario[[#This Row],[Transferencia]]</f>
        <v>0</v>
      </c>
      <c r="H299" s="7">
        <f>Rdiario[[#This Row],[Ingresos Brutos]]-Rdiario[[#This Row],[Ganancia]]</f>
        <v>0</v>
      </c>
      <c r="I299" s="7">
        <f>SUMIF(Ventas[Fecha],Rdiario[[#This Row],[Fecha]],Ventas[Total 2])</f>
        <v>0</v>
      </c>
      <c r="J299" s="7">
        <f>SUMIF(Compras[Fecha],Rdiario[[#This Row],[Fecha]],Compras[Monto])</f>
        <v>0</v>
      </c>
      <c r="K299" s="7">
        <f>SUMIF(TGastos[Fecha],Rdiario[[#This Row],[Fecha]],TGastos[Monto])</f>
        <v>0</v>
      </c>
      <c r="L299" s="7">
        <f>Rdiario[[#This Row],[Ingresos Brutos]]-Rdiario[[#This Row],[Compras]]-Rdiario[[#This Row],[Gastos]]</f>
        <v>0</v>
      </c>
      <c r="M299" s="7">
        <f>Rdiario[[#This Row],[Ganancia]]-Rdiario[[#This Row],[Compras]]-Rdiario[[#This Row],[Gastos]]</f>
        <v>0</v>
      </c>
      <c r="P299" s="16"/>
    </row>
    <row r="300" spans="2:16">
      <c r="B300" s="9">
        <v>45223</v>
      </c>
      <c r="C30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0" s="6" t="s">
        <v>106</v>
      </c>
      <c r="E300" s="7">
        <f>SUMIF(Ventas[Fecha],Rdiario[[#This Row],[Fecha]],Ventas[Total])</f>
        <v>0</v>
      </c>
      <c r="F300" s="66">
        <f>SUMIF(Ventas[Fecha],Rdiario[[#This Row],[Fecha]],Ventas[Total 4])</f>
        <v>0</v>
      </c>
      <c r="G300" s="66">
        <f>Rdiario[[#This Row],[Ingresos Brutos]]-Rdiario[[#This Row],[Transferencia]]</f>
        <v>0</v>
      </c>
      <c r="H300" s="7">
        <f>Rdiario[[#This Row],[Ingresos Brutos]]-Rdiario[[#This Row],[Ganancia]]</f>
        <v>0</v>
      </c>
      <c r="I300" s="7">
        <f>SUMIF(Ventas[Fecha],Rdiario[[#This Row],[Fecha]],Ventas[Total 2])</f>
        <v>0</v>
      </c>
      <c r="J300" s="7">
        <f>SUMIF(Compras[Fecha],Rdiario[[#This Row],[Fecha]],Compras[Monto])</f>
        <v>0</v>
      </c>
      <c r="K300" s="7">
        <f>SUMIF(TGastos[Fecha],Rdiario[[#This Row],[Fecha]],TGastos[Monto])</f>
        <v>0</v>
      </c>
      <c r="L300" s="7">
        <f>Rdiario[[#This Row],[Ingresos Brutos]]-Rdiario[[#This Row],[Compras]]-Rdiario[[#This Row],[Gastos]]</f>
        <v>0</v>
      </c>
      <c r="M300" s="7">
        <f>Rdiario[[#This Row],[Ganancia]]-Rdiario[[#This Row],[Compras]]-Rdiario[[#This Row],[Gastos]]</f>
        <v>0</v>
      </c>
      <c r="P300" s="16"/>
    </row>
    <row r="301" spans="2:16">
      <c r="B301" s="9">
        <v>45224</v>
      </c>
      <c r="C30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1" s="6" t="s">
        <v>107</v>
      </c>
      <c r="E301" s="7">
        <f>SUMIF(Ventas[Fecha],Rdiario[[#This Row],[Fecha]],Ventas[Total])</f>
        <v>0</v>
      </c>
      <c r="F301" s="66">
        <f>SUMIF(Ventas[Fecha],Rdiario[[#This Row],[Fecha]],Ventas[Total 4])</f>
        <v>0</v>
      </c>
      <c r="G301" s="66">
        <f>Rdiario[[#This Row],[Ingresos Brutos]]-Rdiario[[#This Row],[Transferencia]]</f>
        <v>0</v>
      </c>
      <c r="H301" s="7">
        <f>Rdiario[[#This Row],[Ingresos Brutos]]-Rdiario[[#This Row],[Ganancia]]</f>
        <v>0</v>
      </c>
      <c r="I301" s="7">
        <f>SUMIF(Ventas[Fecha],Rdiario[[#This Row],[Fecha]],Ventas[Total 2])</f>
        <v>0</v>
      </c>
      <c r="J301" s="7">
        <f>SUMIF(Compras[Fecha],Rdiario[[#This Row],[Fecha]],Compras[Monto])</f>
        <v>0</v>
      </c>
      <c r="K301" s="7">
        <f>SUMIF(TGastos[Fecha],Rdiario[[#This Row],[Fecha]],TGastos[Monto])</f>
        <v>0</v>
      </c>
      <c r="L301" s="7">
        <f>Rdiario[[#This Row],[Ingresos Brutos]]-Rdiario[[#This Row],[Compras]]-Rdiario[[#This Row],[Gastos]]</f>
        <v>0</v>
      </c>
      <c r="M301" s="7">
        <f>Rdiario[[#This Row],[Ganancia]]-Rdiario[[#This Row],[Compras]]-Rdiario[[#This Row],[Gastos]]</f>
        <v>0</v>
      </c>
      <c r="P301" s="16"/>
    </row>
    <row r="302" spans="2:16">
      <c r="B302" s="9">
        <v>45225</v>
      </c>
      <c r="C30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2" s="6" t="s">
        <v>108</v>
      </c>
      <c r="E302" s="7">
        <f>SUMIF(Ventas[Fecha],Rdiario[[#This Row],[Fecha]],Ventas[Total])</f>
        <v>0</v>
      </c>
      <c r="F302" s="66">
        <f>SUMIF(Ventas[Fecha],Rdiario[[#This Row],[Fecha]],Ventas[Total 4])</f>
        <v>0</v>
      </c>
      <c r="G302" s="66">
        <f>Rdiario[[#This Row],[Ingresos Brutos]]-Rdiario[[#This Row],[Transferencia]]</f>
        <v>0</v>
      </c>
      <c r="H302" s="7">
        <f>Rdiario[[#This Row],[Ingresos Brutos]]-Rdiario[[#This Row],[Ganancia]]</f>
        <v>0</v>
      </c>
      <c r="I302" s="7">
        <f>SUMIF(Ventas[Fecha],Rdiario[[#This Row],[Fecha]],Ventas[Total 2])</f>
        <v>0</v>
      </c>
      <c r="J302" s="7">
        <f>SUMIF(Compras[Fecha],Rdiario[[#This Row],[Fecha]],Compras[Monto])</f>
        <v>0</v>
      </c>
      <c r="K302" s="7">
        <f>SUMIF(TGastos[Fecha],Rdiario[[#This Row],[Fecha]],TGastos[Monto])</f>
        <v>0</v>
      </c>
      <c r="L302" s="7">
        <f>Rdiario[[#This Row],[Ingresos Brutos]]-Rdiario[[#This Row],[Compras]]-Rdiario[[#This Row],[Gastos]]</f>
        <v>0</v>
      </c>
      <c r="M302" s="7">
        <f>Rdiario[[#This Row],[Ganancia]]-Rdiario[[#This Row],[Compras]]-Rdiario[[#This Row],[Gastos]]</f>
        <v>0</v>
      </c>
      <c r="P302" s="16"/>
    </row>
    <row r="303" spans="2:16">
      <c r="B303" s="9">
        <v>45226</v>
      </c>
      <c r="C30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3" s="6" t="s">
        <v>109</v>
      </c>
      <c r="E303" s="7">
        <f>SUMIF(Ventas[Fecha],Rdiario[[#This Row],[Fecha]],Ventas[Total])</f>
        <v>0</v>
      </c>
      <c r="F303" s="66">
        <f>SUMIF(Ventas[Fecha],Rdiario[[#This Row],[Fecha]],Ventas[Total 4])</f>
        <v>0</v>
      </c>
      <c r="G303" s="66">
        <f>Rdiario[[#This Row],[Ingresos Brutos]]-Rdiario[[#This Row],[Transferencia]]</f>
        <v>0</v>
      </c>
      <c r="H303" s="7">
        <f>Rdiario[[#This Row],[Ingresos Brutos]]-Rdiario[[#This Row],[Ganancia]]</f>
        <v>0</v>
      </c>
      <c r="I303" s="7">
        <f>SUMIF(Ventas[Fecha],Rdiario[[#This Row],[Fecha]],Ventas[Total 2])</f>
        <v>0</v>
      </c>
      <c r="J303" s="7">
        <f>SUMIF(Compras[Fecha],Rdiario[[#This Row],[Fecha]],Compras[Monto])</f>
        <v>0</v>
      </c>
      <c r="K303" s="7">
        <f>SUMIF(TGastos[Fecha],Rdiario[[#This Row],[Fecha]],TGastos[Monto])</f>
        <v>0</v>
      </c>
      <c r="L303" s="7">
        <f>Rdiario[[#This Row],[Ingresos Brutos]]-Rdiario[[#This Row],[Compras]]-Rdiario[[#This Row],[Gastos]]</f>
        <v>0</v>
      </c>
      <c r="M303" s="7">
        <f>Rdiario[[#This Row],[Ganancia]]-Rdiario[[#This Row],[Compras]]-Rdiario[[#This Row],[Gastos]]</f>
        <v>0</v>
      </c>
      <c r="P303" s="16"/>
    </row>
    <row r="304" spans="2:16">
      <c r="B304" s="9">
        <v>45227</v>
      </c>
      <c r="C30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4" s="6" t="s">
        <v>110</v>
      </c>
      <c r="E304" s="7">
        <f>SUMIF(Ventas[Fecha],Rdiario[[#This Row],[Fecha]],Ventas[Total])</f>
        <v>0</v>
      </c>
      <c r="F304" s="66">
        <f>SUMIF(Ventas[Fecha],Rdiario[[#This Row],[Fecha]],Ventas[Total 4])</f>
        <v>0</v>
      </c>
      <c r="G304" s="66">
        <f>Rdiario[[#This Row],[Ingresos Brutos]]-Rdiario[[#This Row],[Transferencia]]</f>
        <v>0</v>
      </c>
      <c r="H304" s="7">
        <f>Rdiario[[#This Row],[Ingresos Brutos]]-Rdiario[[#This Row],[Ganancia]]</f>
        <v>0</v>
      </c>
      <c r="I304" s="7">
        <f>SUMIF(Ventas[Fecha],Rdiario[[#This Row],[Fecha]],Ventas[Total 2])</f>
        <v>0</v>
      </c>
      <c r="J304" s="7">
        <f>SUMIF(Compras[Fecha],Rdiario[[#This Row],[Fecha]],Compras[Monto])</f>
        <v>0</v>
      </c>
      <c r="K304" s="7">
        <f>SUMIF(TGastos[Fecha],Rdiario[[#This Row],[Fecha]],TGastos[Monto])</f>
        <v>0</v>
      </c>
      <c r="L304" s="7">
        <f>Rdiario[[#This Row],[Ingresos Brutos]]-Rdiario[[#This Row],[Compras]]-Rdiario[[#This Row],[Gastos]]</f>
        <v>0</v>
      </c>
      <c r="M304" s="7">
        <f>Rdiario[[#This Row],[Ganancia]]-Rdiario[[#This Row],[Compras]]-Rdiario[[#This Row],[Gastos]]</f>
        <v>0</v>
      </c>
      <c r="P304" s="16"/>
    </row>
    <row r="305" spans="2:16">
      <c r="B305" s="9">
        <v>45228</v>
      </c>
      <c r="C30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5" s="6" t="s">
        <v>104</v>
      </c>
      <c r="E305" s="7">
        <f>SUMIF(Ventas[Fecha],Rdiario[[#This Row],[Fecha]],Ventas[Total])</f>
        <v>0</v>
      </c>
      <c r="F305" s="66">
        <f>SUMIF(Ventas[Fecha],Rdiario[[#This Row],[Fecha]],Ventas[Total 4])</f>
        <v>0</v>
      </c>
      <c r="G305" s="66">
        <f>Rdiario[[#This Row],[Ingresos Brutos]]-Rdiario[[#This Row],[Transferencia]]</f>
        <v>0</v>
      </c>
      <c r="H305" s="7">
        <f>Rdiario[[#This Row],[Ingresos Brutos]]-Rdiario[[#This Row],[Ganancia]]</f>
        <v>0</v>
      </c>
      <c r="I305" s="7">
        <f>SUMIF(Ventas[Fecha],Rdiario[[#This Row],[Fecha]],Ventas[Total 2])</f>
        <v>0</v>
      </c>
      <c r="J305" s="7">
        <f>SUMIF(Compras[Fecha],Rdiario[[#This Row],[Fecha]],Compras[Monto])</f>
        <v>0</v>
      </c>
      <c r="K305" s="7">
        <f>SUMIF(TGastos[Fecha],Rdiario[[#This Row],[Fecha]],TGastos[Monto])</f>
        <v>0</v>
      </c>
      <c r="L305" s="7">
        <f>Rdiario[[#This Row],[Ingresos Brutos]]-Rdiario[[#This Row],[Compras]]-Rdiario[[#This Row],[Gastos]]</f>
        <v>0</v>
      </c>
      <c r="M305" s="7">
        <f>Rdiario[[#This Row],[Ganancia]]-Rdiario[[#This Row],[Compras]]-Rdiario[[#This Row],[Gastos]]</f>
        <v>0</v>
      </c>
      <c r="P305" s="16"/>
    </row>
    <row r="306" spans="2:16">
      <c r="B306" s="9">
        <v>45229</v>
      </c>
      <c r="C30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6" s="6" t="s">
        <v>105</v>
      </c>
      <c r="E306" s="7">
        <f>SUMIF(Ventas[Fecha],Rdiario[[#This Row],[Fecha]],Ventas[Total])</f>
        <v>0</v>
      </c>
      <c r="F306" s="66">
        <f>SUMIF(Ventas[Fecha],Rdiario[[#This Row],[Fecha]],Ventas[Total 4])</f>
        <v>0</v>
      </c>
      <c r="G306" s="66">
        <f>Rdiario[[#This Row],[Ingresos Brutos]]-Rdiario[[#This Row],[Transferencia]]</f>
        <v>0</v>
      </c>
      <c r="H306" s="7">
        <f>Rdiario[[#This Row],[Ingresos Brutos]]-Rdiario[[#This Row],[Ganancia]]</f>
        <v>0</v>
      </c>
      <c r="I306" s="7">
        <f>SUMIF(Ventas[Fecha],Rdiario[[#This Row],[Fecha]],Ventas[Total 2])</f>
        <v>0</v>
      </c>
      <c r="J306" s="7">
        <f>SUMIF(Compras[Fecha],Rdiario[[#This Row],[Fecha]],Compras[Monto])</f>
        <v>0</v>
      </c>
      <c r="K306" s="7">
        <f>SUMIF(TGastos[Fecha],Rdiario[[#This Row],[Fecha]],TGastos[Monto])</f>
        <v>0</v>
      </c>
      <c r="L306" s="7">
        <f>Rdiario[[#This Row],[Ingresos Brutos]]-Rdiario[[#This Row],[Compras]]-Rdiario[[#This Row],[Gastos]]</f>
        <v>0</v>
      </c>
      <c r="M306" s="7">
        <f>Rdiario[[#This Row],[Ganancia]]-Rdiario[[#This Row],[Compras]]-Rdiario[[#This Row],[Gastos]]</f>
        <v>0</v>
      </c>
      <c r="P306" s="16"/>
    </row>
    <row r="307" spans="2:16">
      <c r="B307" s="9">
        <v>45230</v>
      </c>
      <c r="C30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7" s="6" t="s">
        <v>106</v>
      </c>
      <c r="E307" s="7">
        <f>SUMIF(Ventas[Fecha],Rdiario[[#This Row],[Fecha]],Ventas[Total])</f>
        <v>0</v>
      </c>
      <c r="F307" s="66">
        <f>SUMIF(Ventas[Fecha],Rdiario[[#This Row],[Fecha]],Ventas[Total 4])</f>
        <v>0</v>
      </c>
      <c r="G307" s="66">
        <f>Rdiario[[#This Row],[Ingresos Brutos]]-Rdiario[[#This Row],[Transferencia]]</f>
        <v>0</v>
      </c>
      <c r="H307" s="7">
        <f>Rdiario[[#This Row],[Ingresos Brutos]]-Rdiario[[#This Row],[Ganancia]]</f>
        <v>0</v>
      </c>
      <c r="I307" s="7">
        <f>SUMIF(Ventas[Fecha],Rdiario[[#This Row],[Fecha]],Ventas[Total 2])</f>
        <v>0</v>
      </c>
      <c r="J307" s="7">
        <f>SUMIF(Compras[Fecha],Rdiario[[#This Row],[Fecha]],Compras[Monto])</f>
        <v>0</v>
      </c>
      <c r="K307" s="7">
        <f>SUMIF(TGastos[Fecha],Rdiario[[#This Row],[Fecha]],TGastos[Monto])</f>
        <v>0</v>
      </c>
      <c r="L307" s="7">
        <f>Rdiario[[#This Row],[Ingresos Brutos]]-Rdiario[[#This Row],[Compras]]-Rdiario[[#This Row],[Gastos]]</f>
        <v>0</v>
      </c>
      <c r="M307" s="7">
        <f>Rdiario[[#This Row],[Ganancia]]-Rdiario[[#This Row],[Compras]]-Rdiario[[#This Row],[Gastos]]</f>
        <v>0</v>
      </c>
      <c r="P307" s="16"/>
    </row>
    <row r="308" spans="2:16">
      <c r="B308" s="9">
        <v>45231</v>
      </c>
      <c r="C30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08" s="6" t="s">
        <v>107</v>
      </c>
      <c r="E308" s="7">
        <f>SUMIF(Ventas[Fecha],Rdiario[[#This Row],[Fecha]],Ventas[Total])</f>
        <v>0</v>
      </c>
      <c r="F308" s="66">
        <f>SUMIF(Ventas[Fecha],Rdiario[[#This Row],[Fecha]],Ventas[Total 4])</f>
        <v>0</v>
      </c>
      <c r="G308" s="66">
        <f>Rdiario[[#This Row],[Ingresos Brutos]]-Rdiario[[#This Row],[Transferencia]]</f>
        <v>0</v>
      </c>
      <c r="H308" s="7">
        <f>Rdiario[[#This Row],[Ingresos Brutos]]-Rdiario[[#This Row],[Ganancia]]</f>
        <v>0</v>
      </c>
      <c r="I308" s="7">
        <f>SUMIF(Ventas[Fecha],Rdiario[[#This Row],[Fecha]],Ventas[Total 2])</f>
        <v>0</v>
      </c>
      <c r="J308" s="7">
        <f>SUMIF(Compras[Fecha],Rdiario[[#This Row],[Fecha]],Compras[Monto])</f>
        <v>0</v>
      </c>
      <c r="K308" s="7">
        <f>SUMIF(TGastos[Fecha],Rdiario[[#This Row],[Fecha]],TGastos[Monto])</f>
        <v>0</v>
      </c>
      <c r="L308" s="7">
        <f>Rdiario[[#This Row],[Ingresos Brutos]]-Rdiario[[#This Row],[Compras]]-Rdiario[[#This Row],[Gastos]]</f>
        <v>0</v>
      </c>
      <c r="M308" s="7">
        <f>Rdiario[[#This Row],[Ganancia]]-Rdiario[[#This Row],[Compras]]-Rdiario[[#This Row],[Gastos]]</f>
        <v>0</v>
      </c>
      <c r="P308" s="16"/>
    </row>
    <row r="309" spans="2:16">
      <c r="B309" s="9">
        <v>45232</v>
      </c>
      <c r="C30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09" s="6" t="s">
        <v>108</v>
      </c>
      <c r="E309" s="7">
        <f>SUMIF(Ventas[Fecha],Rdiario[[#This Row],[Fecha]],Ventas[Total])</f>
        <v>0</v>
      </c>
      <c r="F309" s="66">
        <f>SUMIF(Ventas[Fecha],Rdiario[[#This Row],[Fecha]],Ventas[Total 4])</f>
        <v>0</v>
      </c>
      <c r="G309" s="66">
        <f>Rdiario[[#This Row],[Ingresos Brutos]]-Rdiario[[#This Row],[Transferencia]]</f>
        <v>0</v>
      </c>
      <c r="H309" s="7">
        <f>Rdiario[[#This Row],[Ingresos Brutos]]-Rdiario[[#This Row],[Ganancia]]</f>
        <v>0</v>
      </c>
      <c r="I309" s="7">
        <f>SUMIF(Ventas[Fecha],Rdiario[[#This Row],[Fecha]],Ventas[Total 2])</f>
        <v>0</v>
      </c>
      <c r="J309" s="7">
        <f>SUMIF(Compras[Fecha],Rdiario[[#This Row],[Fecha]],Compras[Monto])</f>
        <v>0</v>
      </c>
      <c r="K309" s="7">
        <f>SUMIF(TGastos[Fecha],Rdiario[[#This Row],[Fecha]],TGastos[Monto])</f>
        <v>0</v>
      </c>
      <c r="L309" s="7">
        <f>Rdiario[[#This Row],[Ingresos Brutos]]-Rdiario[[#This Row],[Compras]]-Rdiario[[#This Row],[Gastos]]</f>
        <v>0</v>
      </c>
      <c r="M309" s="7">
        <f>Rdiario[[#This Row],[Ganancia]]-Rdiario[[#This Row],[Compras]]-Rdiario[[#This Row],[Gastos]]</f>
        <v>0</v>
      </c>
      <c r="P309" s="16"/>
    </row>
    <row r="310" spans="2:16">
      <c r="B310" s="9">
        <v>45233</v>
      </c>
      <c r="C31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0" s="6" t="s">
        <v>109</v>
      </c>
      <c r="E310" s="7">
        <f>SUMIF(Ventas[Fecha],Rdiario[[#This Row],[Fecha]],Ventas[Total])</f>
        <v>0</v>
      </c>
      <c r="F310" s="66">
        <f>SUMIF(Ventas[Fecha],Rdiario[[#This Row],[Fecha]],Ventas[Total 4])</f>
        <v>0</v>
      </c>
      <c r="G310" s="66">
        <f>Rdiario[[#This Row],[Ingresos Brutos]]-Rdiario[[#This Row],[Transferencia]]</f>
        <v>0</v>
      </c>
      <c r="H310" s="7">
        <f>Rdiario[[#This Row],[Ingresos Brutos]]-Rdiario[[#This Row],[Ganancia]]</f>
        <v>0</v>
      </c>
      <c r="I310" s="7">
        <f>SUMIF(Ventas[Fecha],Rdiario[[#This Row],[Fecha]],Ventas[Total 2])</f>
        <v>0</v>
      </c>
      <c r="J310" s="7">
        <f>SUMIF(Compras[Fecha],Rdiario[[#This Row],[Fecha]],Compras[Monto])</f>
        <v>0</v>
      </c>
      <c r="K310" s="7">
        <f>SUMIF(TGastos[Fecha],Rdiario[[#This Row],[Fecha]],TGastos[Monto])</f>
        <v>0</v>
      </c>
      <c r="L310" s="7">
        <f>Rdiario[[#This Row],[Ingresos Brutos]]-Rdiario[[#This Row],[Compras]]-Rdiario[[#This Row],[Gastos]]</f>
        <v>0</v>
      </c>
      <c r="M310" s="7">
        <f>Rdiario[[#This Row],[Ganancia]]-Rdiario[[#This Row],[Compras]]-Rdiario[[#This Row],[Gastos]]</f>
        <v>0</v>
      </c>
      <c r="P310" s="16"/>
    </row>
    <row r="311" spans="2:16">
      <c r="B311" s="9">
        <v>45234</v>
      </c>
      <c r="C31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1" s="6" t="s">
        <v>110</v>
      </c>
      <c r="E311" s="7">
        <f>SUMIF(Ventas[Fecha],Rdiario[[#This Row],[Fecha]],Ventas[Total])</f>
        <v>0</v>
      </c>
      <c r="F311" s="66">
        <f>SUMIF(Ventas[Fecha],Rdiario[[#This Row],[Fecha]],Ventas[Total 4])</f>
        <v>0</v>
      </c>
      <c r="G311" s="66">
        <f>Rdiario[[#This Row],[Ingresos Brutos]]-Rdiario[[#This Row],[Transferencia]]</f>
        <v>0</v>
      </c>
      <c r="H311" s="7">
        <f>Rdiario[[#This Row],[Ingresos Brutos]]-Rdiario[[#This Row],[Ganancia]]</f>
        <v>0</v>
      </c>
      <c r="I311" s="7">
        <f>SUMIF(Ventas[Fecha],Rdiario[[#This Row],[Fecha]],Ventas[Total 2])</f>
        <v>0</v>
      </c>
      <c r="J311" s="7">
        <f>SUMIF(Compras[Fecha],Rdiario[[#This Row],[Fecha]],Compras[Monto])</f>
        <v>0</v>
      </c>
      <c r="K311" s="7">
        <f>SUMIF(TGastos[Fecha],Rdiario[[#This Row],[Fecha]],TGastos[Monto])</f>
        <v>0</v>
      </c>
      <c r="L311" s="7">
        <f>Rdiario[[#This Row],[Ingresos Brutos]]-Rdiario[[#This Row],[Compras]]-Rdiario[[#This Row],[Gastos]]</f>
        <v>0</v>
      </c>
      <c r="M311" s="7">
        <f>Rdiario[[#This Row],[Ganancia]]-Rdiario[[#This Row],[Compras]]-Rdiario[[#This Row],[Gastos]]</f>
        <v>0</v>
      </c>
      <c r="P311" s="16"/>
    </row>
    <row r="312" spans="2:16">
      <c r="B312" s="9">
        <v>45235</v>
      </c>
      <c r="C31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2" s="6" t="s">
        <v>104</v>
      </c>
      <c r="E312" s="7">
        <f>SUMIF(Ventas[Fecha],Rdiario[[#This Row],[Fecha]],Ventas[Total])</f>
        <v>0</v>
      </c>
      <c r="F312" s="66">
        <f>SUMIF(Ventas[Fecha],Rdiario[[#This Row],[Fecha]],Ventas[Total 4])</f>
        <v>0</v>
      </c>
      <c r="G312" s="66">
        <f>Rdiario[[#This Row],[Ingresos Brutos]]-Rdiario[[#This Row],[Transferencia]]</f>
        <v>0</v>
      </c>
      <c r="H312" s="7">
        <f>Rdiario[[#This Row],[Ingresos Brutos]]-Rdiario[[#This Row],[Ganancia]]</f>
        <v>0</v>
      </c>
      <c r="I312" s="7">
        <f>SUMIF(Ventas[Fecha],Rdiario[[#This Row],[Fecha]],Ventas[Total 2])</f>
        <v>0</v>
      </c>
      <c r="J312" s="7">
        <f>SUMIF(Compras[Fecha],Rdiario[[#This Row],[Fecha]],Compras[Monto])</f>
        <v>0</v>
      </c>
      <c r="K312" s="7">
        <f>SUMIF(TGastos[Fecha],Rdiario[[#This Row],[Fecha]],TGastos[Monto])</f>
        <v>0</v>
      </c>
      <c r="L312" s="7">
        <f>Rdiario[[#This Row],[Ingresos Brutos]]-Rdiario[[#This Row],[Compras]]-Rdiario[[#This Row],[Gastos]]</f>
        <v>0</v>
      </c>
      <c r="M312" s="7">
        <f>Rdiario[[#This Row],[Ganancia]]-Rdiario[[#This Row],[Compras]]-Rdiario[[#This Row],[Gastos]]</f>
        <v>0</v>
      </c>
      <c r="P312" s="16"/>
    </row>
    <row r="313" spans="2:16">
      <c r="B313" s="9">
        <v>45236</v>
      </c>
      <c r="C31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3" s="6" t="s">
        <v>105</v>
      </c>
      <c r="E313" s="7">
        <f>SUMIF(Ventas[Fecha],Rdiario[[#This Row],[Fecha]],Ventas[Total])</f>
        <v>0</v>
      </c>
      <c r="F313" s="66">
        <f>SUMIF(Ventas[Fecha],Rdiario[[#This Row],[Fecha]],Ventas[Total 4])</f>
        <v>0</v>
      </c>
      <c r="G313" s="66">
        <f>Rdiario[[#This Row],[Ingresos Brutos]]-Rdiario[[#This Row],[Transferencia]]</f>
        <v>0</v>
      </c>
      <c r="H313" s="7">
        <f>Rdiario[[#This Row],[Ingresos Brutos]]-Rdiario[[#This Row],[Ganancia]]</f>
        <v>0</v>
      </c>
      <c r="I313" s="7">
        <f>SUMIF(Ventas[Fecha],Rdiario[[#This Row],[Fecha]],Ventas[Total 2])</f>
        <v>0</v>
      </c>
      <c r="J313" s="7">
        <f>SUMIF(Compras[Fecha],Rdiario[[#This Row],[Fecha]],Compras[Monto])</f>
        <v>0</v>
      </c>
      <c r="K313" s="7">
        <f>SUMIF(TGastos[Fecha],Rdiario[[#This Row],[Fecha]],TGastos[Monto])</f>
        <v>0</v>
      </c>
      <c r="L313" s="7">
        <f>Rdiario[[#This Row],[Ingresos Brutos]]-Rdiario[[#This Row],[Compras]]-Rdiario[[#This Row],[Gastos]]</f>
        <v>0</v>
      </c>
      <c r="M313" s="7">
        <f>Rdiario[[#This Row],[Ganancia]]-Rdiario[[#This Row],[Compras]]-Rdiario[[#This Row],[Gastos]]</f>
        <v>0</v>
      </c>
      <c r="P313" s="16"/>
    </row>
    <row r="314" spans="2:16">
      <c r="B314" s="9">
        <v>45237</v>
      </c>
      <c r="C31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4" s="6" t="s">
        <v>106</v>
      </c>
      <c r="E314" s="7">
        <f>SUMIF(Ventas[Fecha],Rdiario[[#This Row],[Fecha]],Ventas[Total])</f>
        <v>0</v>
      </c>
      <c r="F314" s="66">
        <f>SUMIF(Ventas[Fecha],Rdiario[[#This Row],[Fecha]],Ventas[Total 4])</f>
        <v>0</v>
      </c>
      <c r="G314" s="66">
        <f>Rdiario[[#This Row],[Ingresos Brutos]]-Rdiario[[#This Row],[Transferencia]]</f>
        <v>0</v>
      </c>
      <c r="H314" s="7">
        <f>Rdiario[[#This Row],[Ingresos Brutos]]-Rdiario[[#This Row],[Ganancia]]</f>
        <v>0</v>
      </c>
      <c r="I314" s="7">
        <f>SUMIF(Ventas[Fecha],Rdiario[[#This Row],[Fecha]],Ventas[Total 2])</f>
        <v>0</v>
      </c>
      <c r="J314" s="7">
        <f>SUMIF(Compras[Fecha],Rdiario[[#This Row],[Fecha]],Compras[Monto])</f>
        <v>0</v>
      </c>
      <c r="K314" s="7">
        <f>SUMIF(TGastos[Fecha],Rdiario[[#This Row],[Fecha]],TGastos[Monto])</f>
        <v>0</v>
      </c>
      <c r="L314" s="7">
        <f>Rdiario[[#This Row],[Ingresos Brutos]]-Rdiario[[#This Row],[Compras]]-Rdiario[[#This Row],[Gastos]]</f>
        <v>0</v>
      </c>
      <c r="M314" s="7">
        <f>Rdiario[[#This Row],[Ganancia]]-Rdiario[[#This Row],[Compras]]-Rdiario[[#This Row],[Gastos]]</f>
        <v>0</v>
      </c>
      <c r="P314" s="16"/>
    </row>
    <row r="315" spans="2:16">
      <c r="B315" s="9">
        <v>45238</v>
      </c>
      <c r="C31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5" s="6" t="s">
        <v>107</v>
      </c>
      <c r="E315" s="7">
        <f>SUMIF(Ventas[Fecha],Rdiario[[#This Row],[Fecha]],Ventas[Total])</f>
        <v>0</v>
      </c>
      <c r="F315" s="66">
        <f>SUMIF(Ventas[Fecha],Rdiario[[#This Row],[Fecha]],Ventas[Total 4])</f>
        <v>0</v>
      </c>
      <c r="G315" s="66">
        <f>Rdiario[[#This Row],[Ingresos Brutos]]-Rdiario[[#This Row],[Transferencia]]</f>
        <v>0</v>
      </c>
      <c r="H315" s="7">
        <f>Rdiario[[#This Row],[Ingresos Brutos]]-Rdiario[[#This Row],[Ganancia]]</f>
        <v>0</v>
      </c>
      <c r="I315" s="7">
        <f>SUMIF(Ventas[Fecha],Rdiario[[#This Row],[Fecha]],Ventas[Total 2])</f>
        <v>0</v>
      </c>
      <c r="J315" s="7">
        <f>SUMIF(Compras[Fecha],Rdiario[[#This Row],[Fecha]],Compras[Monto])</f>
        <v>0</v>
      </c>
      <c r="K315" s="7">
        <f>SUMIF(TGastos[Fecha],Rdiario[[#This Row],[Fecha]],TGastos[Monto])</f>
        <v>0</v>
      </c>
      <c r="L315" s="7">
        <f>Rdiario[[#This Row],[Ingresos Brutos]]-Rdiario[[#This Row],[Compras]]-Rdiario[[#This Row],[Gastos]]</f>
        <v>0</v>
      </c>
      <c r="M315" s="7">
        <f>Rdiario[[#This Row],[Ganancia]]-Rdiario[[#This Row],[Compras]]-Rdiario[[#This Row],[Gastos]]</f>
        <v>0</v>
      </c>
      <c r="P315" s="16"/>
    </row>
    <row r="316" spans="2:16">
      <c r="B316" s="9">
        <v>45239</v>
      </c>
      <c r="C31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6" s="6" t="s">
        <v>108</v>
      </c>
      <c r="E316" s="7">
        <f>SUMIF(Ventas[Fecha],Rdiario[[#This Row],[Fecha]],Ventas[Total])</f>
        <v>0</v>
      </c>
      <c r="F316" s="66">
        <f>SUMIF(Ventas[Fecha],Rdiario[[#This Row],[Fecha]],Ventas[Total 4])</f>
        <v>0</v>
      </c>
      <c r="G316" s="66">
        <f>Rdiario[[#This Row],[Ingresos Brutos]]-Rdiario[[#This Row],[Transferencia]]</f>
        <v>0</v>
      </c>
      <c r="H316" s="7">
        <f>Rdiario[[#This Row],[Ingresos Brutos]]-Rdiario[[#This Row],[Ganancia]]</f>
        <v>0</v>
      </c>
      <c r="I316" s="7">
        <f>SUMIF(Ventas[Fecha],Rdiario[[#This Row],[Fecha]],Ventas[Total 2])</f>
        <v>0</v>
      </c>
      <c r="J316" s="7">
        <f>SUMIF(Compras[Fecha],Rdiario[[#This Row],[Fecha]],Compras[Monto])</f>
        <v>0</v>
      </c>
      <c r="K316" s="7">
        <f>SUMIF(TGastos[Fecha],Rdiario[[#This Row],[Fecha]],TGastos[Monto])</f>
        <v>0</v>
      </c>
      <c r="L316" s="7">
        <f>Rdiario[[#This Row],[Ingresos Brutos]]-Rdiario[[#This Row],[Compras]]-Rdiario[[#This Row],[Gastos]]</f>
        <v>0</v>
      </c>
      <c r="M316" s="7">
        <f>Rdiario[[#This Row],[Ganancia]]-Rdiario[[#This Row],[Compras]]-Rdiario[[#This Row],[Gastos]]</f>
        <v>0</v>
      </c>
      <c r="P316" s="16"/>
    </row>
    <row r="317" spans="2:16">
      <c r="B317" s="9">
        <v>45240</v>
      </c>
      <c r="C31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7" s="6" t="s">
        <v>109</v>
      </c>
      <c r="E317" s="7">
        <f>SUMIF(Ventas[Fecha],Rdiario[[#This Row],[Fecha]],Ventas[Total])</f>
        <v>0</v>
      </c>
      <c r="F317" s="66">
        <f>SUMIF(Ventas[Fecha],Rdiario[[#This Row],[Fecha]],Ventas[Total 4])</f>
        <v>0</v>
      </c>
      <c r="G317" s="66">
        <f>Rdiario[[#This Row],[Ingresos Brutos]]-Rdiario[[#This Row],[Transferencia]]</f>
        <v>0</v>
      </c>
      <c r="H317" s="7">
        <f>Rdiario[[#This Row],[Ingresos Brutos]]-Rdiario[[#This Row],[Ganancia]]</f>
        <v>0</v>
      </c>
      <c r="I317" s="7">
        <f>SUMIF(Ventas[Fecha],Rdiario[[#This Row],[Fecha]],Ventas[Total 2])</f>
        <v>0</v>
      </c>
      <c r="J317" s="7">
        <f>SUMIF(Compras[Fecha],Rdiario[[#This Row],[Fecha]],Compras[Monto])</f>
        <v>0</v>
      </c>
      <c r="K317" s="7">
        <f>SUMIF(TGastos[Fecha],Rdiario[[#This Row],[Fecha]],TGastos[Monto])</f>
        <v>0</v>
      </c>
      <c r="L317" s="7">
        <f>Rdiario[[#This Row],[Ingresos Brutos]]-Rdiario[[#This Row],[Compras]]-Rdiario[[#This Row],[Gastos]]</f>
        <v>0</v>
      </c>
      <c r="M317" s="7">
        <f>Rdiario[[#This Row],[Ganancia]]-Rdiario[[#This Row],[Compras]]-Rdiario[[#This Row],[Gastos]]</f>
        <v>0</v>
      </c>
      <c r="P317" s="16"/>
    </row>
    <row r="318" spans="2:16">
      <c r="B318" s="9">
        <v>45241</v>
      </c>
      <c r="C31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8" s="6" t="s">
        <v>110</v>
      </c>
      <c r="E318" s="7">
        <f>SUMIF(Ventas[Fecha],Rdiario[[#This Row],[Fecha]],Ventas[Total])</f>
        <v>0</v>
      </c>
      <c r="F318" s="66">
        <f>SUMIF(Ventas[Fecha],Rdiario[[#This Row],[Fecha]],Ventas[Total 4])</f>
        <v>0</v>
      </c>
      <c r="G318" s="66">
        <f>Rdiario[[#This Row],[Ingresos Brutos]]-Rdiario[[#This Row],[Transferencia]]</f>
        <v>0</v>
      </c>
      <c r="H318" s="7">
        <f>Rdiario[[#This Row],[Ingresos Brutos]]-Rdiario[[#This Row],[Ganancia]]</f>
        <v>0</v>
      </c>
      <c r="I318" s="7">
        <f>SUMIF(Ventas[Fecha],Rdiario[[#This Row],[Fecha]],Ventas[Total 2])</f>
        <v>0</v>
      </c>
      <c r="J318" s="7">
        <f>SUMIF(Compras[Fecha],Rdiario[[#This Row],[Fecha]],Compras[Monto])</f>
        <v>0</v>
      </c>
      <c r="K318" s="7">
        <f>SUMIF(TGastos[Fecha],Rdiario[[#This Row],[Fecha]],TGastos[Monto])</f>
        <v>0</v>
      </c>
      <c r="L318" s="7">
        <f>Rdiario[[#This Row],[Ingresos Brutos]]-Rdiario[[#This Row],[Compras]]-Rdiario[[#This Row],[Gastos]]</f>
        <v>0</v>
      </c>
      <c r="M318" s="7">
        <f>Rdiario[[#This Row],[Ganancia]]-Rdiario[[#This Row],[Compras]]-Rdiario[[#This Row],[Gastos]]</f>
        <v>0</v>
      </c>
      <c r="P318" s="16"/>
    </row>
    <row r="319" spans="2:16">
      <c r="B319" s="9">
        <v>45242</v>
      </c>
      <c r="C31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9" s="6" t="s">
        <v>104</v>
      </c>
      <c r="E319" s="7">
        <f>SUMIF(Ventas[Fecha],Rdiario[[#This Row],[Fecha]],Ventas[Total])</f>
        <v>0</v>
      </c>
      <c r="F319" s="66">
        <f>SUMIF(Ventas[Fecha],Rdiario[[#This Row],[Fecha]],Ventas[Total 4])</f>
        <v>0</v>
      </c>
      <c r="G319" s="66">
        <f>Rdiario[[#This Row],[Ingresos Brutos]]-Rdiario[[#This Row],[Transferencia]]</f>
        <v>0</v>
      </c>
      <c r="H319" s="7">
        <f>Rdiario[[#This Row],[Ingresos Brutos]]-Rdiario[[#This Row],[Ganancia]]</f>
        <v>0</v>
      </c>
      <c r="I319" s="7">
        <f>SUMIF(Ventas[Fecha],Rdiario[[#This Row],[Fecha]],Ventas[Total 2])</f>
        <v>0</v>
      </c>
      <c r="J319" s="7">
        <f>SUMIF(Compras[Fecha],Rdiario[[#This Row],[Fecha]],Compras[Monto])</f>
        <v>0</v>
      </c>
      <c r="K319" s="7">
        <f>SUMIF(TGastos[Fecha],Rdiario[[#This Row],[Fecha]],TGastos[Monto])</f>
        <v>0</v>
      </c>
      <c r="L319" s="7">
        <f>Rdiario[[#This Row],[Ingresos Brutos]]-Rdiario[[#This Row],[Compras]]-Rdiario[[#This Row],[Gastos]]</f>
        <v>0</v>
      </c>
      <c r="M319" s="7">
        <f>Rdiario[[#This Row],[Ganancia]]-Rdiario[[#This Row],[Compras]]-Rdiario[[#This Row],[Gastos]]</f>
        <v>0</v>
      </c>
      <c r="P319" s="16"/>
    </row>
    <row r="320" spans="2:16">
      <c r="B320" s="9">
        <v>45243</v>
      </c>
      <c r="C32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0" s="6" t="s">
        <v>105</v>
      </c>
      <c r="E320" s="7">
        <f>SUMIF(Ventas[Fecha],Rdiario[[#This Row],[Fecha]],Ventas[Total])</f>
        <v>0</v>
      </c>
      <c r="F320" s="66">
        <f>SUMIF(Ventas[Fecha],Rdiario[[#This Row],[Fecha]],Ventas[Total 4])</f>
        <v>0</v>
      </c>
      <c r="G320" s="66">
        <f>Rdiario[[#This Row],[Ingresos Brutos]]-Rdiario[[#This Row],[Transferencia]]</f>
        <v>0</v>
      </c>
      <c r="H320" s="7">
        <f>Rdiario[[#This Row],[Ingresos Brutos]]-Rdiario[[#This Row],[Ganancia]]</f>
        <v>0</v>
      </c>
      <c r="I320" s="7">
        <f>SUMIF(Ventas[Fecha],Rdiario[[#This Row],[Fecha]],Ventas[Total 2])</f>
        <v>0</v>
      </c>
      <c r="J320" s="7">
        <f>SUMIF(Compras[Fecha],Rdiario[[#This Row],[Fecha]],Compras[Monto])</f>
        <v>0</v>
      </c>
      <c r="K320" s="7">
        <f>SUMIF(TGastos[Fecha],Rdiario[[#This Row],[Fecha]],TGastos[Monto])</f>
        <v>0</v>
      </c>
      <c r="L320" s="7">
        <f>Rdiario[[#This Row],[Ingresos Brutos]]-Rdiario[[#This Row],[Compras]]-Rdiario[[#This Row],[Gastos]]</f>
        <v>0</v>
      </c>
      <c r="M320" s="7">
        <f>Rdiario[[#This Row],[Ganancia]]-Rdiario[[#This Row],[Compras]]-Rdiario[[#This Row],[Gastos]]</f>
        <v>0</v>
      </c>
      <c r="P320" s="16"/>
    </row>
    <row r="321" spans="2:16">
      <c r="B321" s="9">
        <v>45244</v>
      </c>
      <c r="C32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1" s="6" t="s">
        <v>106</v>
      </c>
      <c r="E321" s="7">
        <f>SUMIF(Ventas[Fecha],Rdiario[[#This Row],[Fecha]],Ventas[Total])</f>
        <v>0</v>
      </c>
      <c r="F321" s="66">
        <f>SUMIF(Ventas[Fecha],Rdiario[[#This Row],[Fecha]],Ventas[Total 4])</f>
        <v>0</v>
      </c>
      <c r="G321" s="66">
        <f>Rdiario[[#This Row],[Ingresos Brutos]]-Rdiario[[#This Row],[Transferencia]]</f>
        <v>0</v>
      </c>
      <c r="H321" s="7">
        <f>Rdiario[[#This Row],[Ingresos Brutos]]-Rdiario[[#This Row],[Ganancia]]</f>
        <v>0</v>
      </c>
      <c r="I321" s="7">
        <f>SUMIF(Ventas[Fecha],Rdiario[[#This Row],[Fecha]],Ventas[Total 2])</f>
        <v>0</v>
      </c>
      <c r="J321" s="7">
        <f>SUMIF(Compras[Fecha],Rdiario[[#This Row],[Fecha]],Compras[Monto])</f>
        <v>0</v>
      </c>
      <c r="K321" s="7">
        <f>SUMIF(TGastos[Fecha],Rdiario[[#This Row],[Fecha]],TGastos[Monto])</f>
        <v>0</v>
      </c>
      <c r="L321" s="7">
        <f>Rdiario[[#This Row],[Ingresos Brutos]]-Rdiario[[#This Row],[Compras]]-Rdiario[[#This Row],[Gastos]]</f>
        <v>0</v>
      </c>
      <c r="M321" s="7">
        <f>Rdiario[[#This Row],[Ganancia]]-Rdiario[[#This Row],[Compras]]-Rdiario[[#This Row],[Gastos]]</f>
        <v>0</v>
      </c>
      <c r="P321" s="16"/>
    </row>
    <row r="322" spans="2:16">
      <c r="B322" s="9">
        <v>45245</v>
      </c>
      <c r="C32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2" s="6" t="s">
        <v>107</v>
      </c>
      <c r="E322" s="7">
        <f>SUMIF(Ventas[Fecha],Rdiario[[#This Row],[Fecha]],Ventas[Total])</f>
        <v>0</v>
      </c>
      <c r="F322" s="66">
        <f>SUMIF(Ventas[Fecha],Rdiario[[#This Row],[Fecha]],Ventas[Total 4])</f>
        <v>0</v>
      </c>
      <c r="G322" s="66">
        <f>Rdiario[[#This Row],[Ingresos Brutos]]-Rdiario[[#This Row],[Transferencia]]</f>
        <v>0</v>
      </c>
      <c r="H322" s="7">
        <f>Rdiario[[#This Row],[Ingresos Brutos]]-Rdiario[[#This Row],[Ganancia]]</f>
        <v>0</v>
      </c>
      <c r="I322" s="7">
        <f>SUMIF(Ventas[Fecha],Rdiario[[#This Row],[Fecha]],Ventas[Total 2])</f>
        <v>0</v>
      </c>
      <c r="J322" s="7">
        <f>SUMIF(Compras[Fecha],Rdiario[[#This Row],[Fecha]],Compras[Monto])</f>
        <v>0</v>
      </c>
      <c r="K322" s="7">
        <f>SUMIF(TGastos[Fecha],Rdiario[[#This Row],[Fecha]],TGastos[Monto])</f>
        <v>0</v>
      </c>
      <c r="L322" s="7">
        <f>Rdiario[[#This Row],[Ingresos Brutos]]-Rdiario[[#This Row],[Compras]]-Rdiario[[#This Row],[Gastos]]</f>
        <v>0</v>
      </c>
      <c r="M322" s="7">
        <f>Rdiario[[#This Row],[Ganancia]]-Rdiario[[#This Row],[Compras]]-Rdiario[[#This Row],[Gastos]]</f>
        <v>0</v>
      </c>
      <c r="P322" s="16"/>
    </row>
    <row r="323" spans="2:16">
      <c r="B323" s="9">
        <v>45246</v>
      </c>
      <c r="C32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3" s="6" t="s">
        <v>108</v>
      </c>
      <c r="E323" s="7">
        <f>SUMIF(Ventas[Fecha],Rdiario[[#This Row],[Fecha]],Ventas[Total])</f>
        <v>0</v>
      </c>
      <c r="F323" s="66">
        <f>SUMIF(Ventas[Fecha],Rdiario[[#This Row],[Fecha]],Ventas[Total 4])</f>
        <v>0</v>
      </c>
      <c r="G323" s="66">
        <f>Rdiario[[#This Row],[Ingresos Brutos]]-Rdiario[[#This Row],[Transferencia]]</f>
        <v>0</v>
      </c>
      <c r="H323" s="7">
        <f>Rdiario[[#This Row],[Ingresos Brutos]]-Rdiario[[#This Row],[Ganancia]]</f>
        <v>0</v>
      </c>
      <c r="I323" s="7">
        <f>SUMIF(Ventas[Fecha],Rdiario[[#This Row],[Fecha]],Ventas[Total 2])</f>
        <v>0</v>
      </c>
      <c r="J323" s="7">
        <f>SUMIF(Compras[Fecha],Rdiario[[#This Row],[Fecha]],Compras[Monto])</f>
        <v>0</v>
      </c>
      <c r="K323" s="7">
        <f>SUMIF(TGastos[Fecha],Rdiario[[#This Row],[Fecha]],TGastos[Monto])</f>
        <v>0</v>
      </c>
      <c r="L323" s="7">
        <f>Rdiario[[#This Row],[Ingresos Brutos]]-Rdiario[[#This Row],[Compras]]-Rdiario[[#This Row],[Gastos]]</f>
        <v>0</v>
      </c>
      <c r="M323" s="7">
        <f>Rdiario[[#This Row],[Ganancia]]-Rdiario[[#This Row],[Compras]]-Rdiario[[#This Row],[Gastos]]</f>
        <v>0</v>
      </c>
      <c r="P323" s="16"/>
    </row>
    <row r="324" spans="2:16">
      <c r="B324" s="9">
        <v>45247</v>
      </c>
      <c r="C32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4" s="6" t="s">
        <v>109</v>
      </c>
      <c r="E324" s="7">
        <f>SUMIF(Ventas[Fecha],Rdiario[[#This Row],[Fecha]],Ventas[Total])</f>
        <v>0</v>
      </c>
      <c r="F324" s="66">
        <f>SUMIF(Ventas[Fecha],Rdiario[[#This Row],[Fecha]],Ventas[Total 4])</f>
        <v>0</v>
      </c>
      <c r="G324" s="66">
        <f>Rdiario[[#This Row],[Ingresos Brutos]]-Rdiario[[#This Row],[Transferencia]]</f>
        <v>0</v>
      </c>
      <c r="H324" s="7">
        <f>Rdiario[[#This Row],[Ingresos Brutos]]-Rdiario[[#This Row],[Ganancia]]</f>
        <v>0</v>
      </c>
      <c r="I324" s="7">
        <f>SUMIF(Ventas[Fecha],Rdiario[[#This Row],[Fecha]],Ventas[Total 2])</f>
        <v>0</v>
      </c>
      <c r="J324" s="7">
        <f>SUMIF(Compras[Fecha],Rdiario[[#This Row],[Fecha]],Compras[Monto])</f>
        <v>0</v>
      </c>
      <c r="K324" s="7">
        <f>SUMIF(TGastos[Fecha],Rdiario[[#This Row],[Fecha]],TGastos[Monto])</f>
        <v>0</v>
      </c>
      <c r="L324" s="7">
        <f>Rdiario[[#This Row],[Ingresos Brutos]]-Rdiario[[#This Row],[Compras]]-Rdiario[[#This Row],[Gastos]]</f>
        <v>0</v>
      </c>
      <c r="M324" s="7">
        <f>Rdiario[[#This Row],[Ganancia]]-Rdiario[[#This Row],[Compras]]-Rdiario[[#This Row],[Gastos]]</f>
        <v>0</v>
      </c>
      <c r="P324" s="16"/>
    </row>
    <row r="325" spans="2:16">
      <c r="B325" s="9">
        <v>45248</v>
      </c>
      <c r="C32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5" s="6" t="s">
        <v>110</v>
      </c>
      <c r="E325" s="7">
        <f>SUMIF(Ventas[Fecha],Rdiario[[#This Row],[Fecha]],Ventas[Total])</f>
        <v>0</v>
      </c>
      <c r="F325" s="66">
        <f>SUMIF(Ventas[Fecha],Rdiario[[#This Row],[Fecha]],Ventas[Total 4])</f>
        <v>0</v>
      </c>
      <c r="G325" s="66">
        <f>Rdiario[[#This Row],[Ingresos Brutos]]-Rdiario[[#This Row],[Transferencia]]</f>
        <v>0</v>
      </c>
      <c r="H325" s="7">
        <f>Rdiario[[#This Row],[Ingresos Brutos]]-Rdiario[[#This Row],[Ganancia]]</f>
        <v>0</v>
      </c>
      <c r="I325" s="7">
        <f>SUMIF(Ventas[Fecha],Rdiario[[#This Row],[Fecha]],Ventas[Total 2])</f>
        <v>0</v>
      </c>
      <c r="J325" s="7">
        <f>SUMIF(Compras[Fecha],Rdiario[[#This Row],[Fecha]],Compras[Monto])</f>
        <v>0</v>
      </c>
      <c r="K325" s="7">
        <f>SUMIF(TGastos[Fecha],Rdiario[[#This Row],[Fecha]],TGastos[Monto])</f>
        <v>0</v>
      </c>
      <c r="L325" s="7">
        <f>Rdiario[[#This Row],[Ingresos Brutos]]-Rdiario[[#This Row],[Compras]]-Rdiario[[#This Row],[Gastos]]</f>
        <v>0</v>
      </c>
      <c r="M325" s="7">
        <f>Rdiario[[#This Row],[Ganancia]]-Rdiario[[#This Row],[Compras]]-Rdiario[[#This Row],[Gastos]]</f>
        <v>0</v>
      </c>
      <c r="P325" s="16"/>
    </row>
    <row r="326" spans="2:16">
      <c r="B326" s="9">
        <v>45249</v>
      </c>
      <c r="C32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6" s="6" t="s">
        <v>104</v>
      </c>
      <c r="E326" s="7">
        <f>SUMIF(Ventas[Fecha],Rdiario[[#This Row],[Fecha]],Ventas[Total])</f>
        <v>0</v>
      </c>
      <c r="F326" s="66">
        <f>SUMIF(Ventas[Fecha],Rdiario[[#This Row],[Fecha]],Ventas[Total 4])</f>
        <v>0</v>
      </c>
      <c r="G326" s="66">
        <f>Rdiario[[#This Row],[Ingresos Brutos]]-Rdiario[[#This Row],[Transferencia]]</f>
        <v>0</v>
      </c>
      <c r="H326" s="7">
        <f>Rdiario[[#This Row],[Ingresos Brutos]]-Rdiario[[#This Row],[Ganancia]]</f>
        <v>0</v>
      </c>
      <c r="I326" s="7">
        <f>SUMIF(Ventas[Fecha],Rdiario[[#This Row],[Fecha]],Ventas[Total 2])</f>
        <v>0</v>
      </c>
      <c r="J326" s="7">
        <f>SUMIF(Compras[Fecha],Rdiario[[#This Row],[Fecha]],Compras[Monto])</f>
        <v>0</v>
      </c>
      <c r="K326" s="7">
        <f>SUMIF(TGastos[Fecha],Rdiario[[#This Row],[Fecha]],TGastos[Monto])</f>
        <v>0</v>
      </c>
      <c r="L326" s="7">
        <f>Rdiario[[#This Row],[Ingresos Brutos]]-Rdiario[[#This Row],[Compras]]-Rdiario[[#This Row],[Gastos]]</f>
        <v>0</v>
      </c>
      <c r="M326" s="7">
        <f>Rdiario[[#This Row],[Ganancia]]-Rdiario[[#This Row],[Compras]]-Rdiario[[#This Row],[Gastos]]</f>
        <v>0</v>
      </c>
      <c r="P326" s="16"/>
    </row>
    <row r="327" spans="2:16">
      <c r="B327" s="9">
        <v>45250</v>
      </c>
      <c r="C32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7" s="6" t="s">
        <v>105</v>
      </c>
      <c r="E327" s="7">
        <f>SUMIF(Ventas[Fecha],Rdiario[[#This Row],[Fecha]],Ventas[Total])</f>
        <v>0</v>
      </c>
      <c r="F327" s="66">
        <f>SUMIF(Ventas[Fecha],Rdiario[[#This Row],[Fecha]],Ventas[Total 4])</f>
        <v>0</v>
      </c>
      <c r="G327" s="66">
        <f>Rdiario[[#This Row],[Ingresos Brutos]]-Rdiario[[#This Row],[Transferencia]]</f>
        <v>0</v>
      </c>
      <c r="H327" s="7">
        <f>Rdiario[[#This Row],[Ingresos Brutos]]-Rdiario[[#This Row],[Ganancia]]</f>
        <v>0</v>
      </c>
      <c r="I327" s="7">
        <f>SUMIF(Ventas[Fecha],Rdiario[[#This Row],[Fecha]],Ventas[Total 2])</f>
        <v>0</v>
      </c>
      <c r="J327" s="7">
        <f>SUMIF(Compras[Fecha],Rdiario[[#This Row],[Fecha]],Compras[Monto])</f>
        <v>0</v>
      </c>
      <c r="K327" s="7">
        <f>SUMIF(TGastos[Fecha],Rdiario[[#This Row],[Fecha]],TGastos[Monto])</f>
        <v>0</v>
      </c>
      <c r="L327" s="7">
        <f>Rdiario[[#This Row],[Ingresos Brutos]]-Rdiario[[#This Row],[Compras]]-Rdiario[[#This Row],[Gastos]]</f>
        <v>0</v>
      </c>
      <c r="M327" s="7">
        <f>Rdiario[[#This Row],[Ganancia]]-Rdiario[[#This Row],[Compras]]-Rdiario[[#This Row],[Gastos]]</f>
        <v>0</v>
      </c>
      <c r="P327" s="16"/>
    </row>
    <row r="328" spans="2:16">
      <c r="B328" s="9">
        <v>45251</v>
      </c>
      <c r="C32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8" s="6" t="s">
        <v>106</v>
      </c>
      <c r="E328" s="7">
        <f>SUMIF(Ventas[Fecha],Rdiario[[#This Row],[Fecha]],Ventas[Total])</f>
        <v>0</v>
      </c>
      <c r="F328" s="66">
        <f>SUMIF(Ventas[Fecha],Rdiario[[#This Row],[Fecha]],Ventas[Total 4])</f>
        <v>0</v>
      </c>
      <c r="G328" s="66">
        <f>Rdiario[[#This Row],[Ingresos Brutos]]-Rdiario[[#This Row],[Transferencia]]</f>
        <v>0</v>
      </c>
      <c r="H328" s="7">
        <f>Rdiario[[#This Row],[Ingresos Brutos]]-Rdiario[[#This Row],[Ganancia]]</f>
        <v>0</v>
      </c>
      <c r="I328" s="7">
        <f>SUMIF(Ventas[Fecha],Rdiario[[#This Row],[Fecha]],Ventas[Total 2])</f>
        <v>0</v>
      </c>
      <c r="J328" s="7">
        <f>SUMIF(Compras[Fecha],Rdiario[[#This Row],[Fecha]],Compras[Monto])</f>
        <v>0</v>
      </c>
      <c r="K328" s="7">
        <f>SUMIF(TGastos[Fecha],Rdiario[[#This Row],[Fecha]],TGastos[Monto])</f>
        <v>0</v>
      </c>
      <c r="L328" s="7">
        <f>Rdiario[[#This Row],[Ingresos Brutos]]-Rdiario[[#This Row],[Compras]]-Rdiario[[#This Row],[Gastos]]</f>
        <v>0</v>
      </c>
      <c r="M328" s="7">
        <f>Rdiario[[#This Row],[Ganancia]]-Rdiario[[#This Row],[Compras]]-Rdiario[[#This Row],[Gastos]]</f>
        <v>0</v>
      </c>
      <c r="P328" s="16"/>
    </row>
    <row r="329" spans="2:16">
      <c r="B329" s="9">
        <v>45252</v>
      </c>
      <c r="C32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9" s="6" t="s">
        <v>107</v>
      </c>
      <c r="E329" s="7">
        <f>SUMIF(Ventas[Fecha],Rdiario[[#This Row],[Fecha]],Ventas[Total])</f>
        <v>0</v>
      </c>
      <c r="F329" s="66">
        <f>SUMIF(Ventas[Fecha],Rdiario[[#This Row],[Fecha]],Ventas[Total 4])</f>
        <v>0</v>
      </c>
      <c r="G329" s="66">
        <f>Rdiario[[#This Row],[Ingresos Brutos]]-Rdiario[[#This Row],[Transferencia]]</f>
        <v>0</v>
      </c>
      <c r="H329" s="7">
        <f>Rdiario[[#This Row],[Ingresos Brutos]]-Rdiario[[#This Row],[Ganancia]]</f>
        <v>0</v>
      </c>
      <c r="I329" s="7">
        <f>SUMIF(Ventas[Fecha],Rdiario[[#This Row],[Fecha]],Ventas[Total 2])</f>
        <v>0</v>
      </c>
      <c r="J329" s="7">
        <f>SUMIF(Compras[Fecha],Rdiario[[#This Row],[Fecha]],Compras[Monto])</f>
        <v>0</v>
      </c>
      <c r="K329" s="7">
        <f>SUMIF(TGastos[Fecha],Rdiario[[#This Row],[Fecha]],TGastos[Monto])</f>
        <v>0</v>
      </c>
      <c r="L329" s="7">
        <f>Rdiario[[#This Row],[Ingresos Brutos]]-Rdiario[[#This Row],[Compras]]-Rdiario[[#This Row],[Gastos]]</f>
        <v>0</v>
      </c>
      <c r="M329" s="7">
        <f>Rdiario[[#This Row],[Ganancia]]-Rdiario[[#This Row],[Compras]]-Rdiario[[#This Row],[Gastos]]</f>
        <v>0</v>
      </c>
      <c r="P329" s="16"/>
    </row>
    <row r="330" spans="2:16">
      <c r="B330" s="9">
        <v>45253</v>
      </c>
      <c r="C33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0" s="6" t="s">
        <v>108</v>
      </c>
      <c r="E330" s="7">
        <f>SUMIF(Ventas[Fecha],Rdiario[[#This Row],[Fecha]],Ventas[Total])</f>
        <v>0</v>
      </c>
      <c r="F330" s="66">
        <f>SUMIF(Ventas[Fecha],Rdiario[[#This Row],[Fecha]],Ventas[Total 4])</f>
        <v>0</v>
      </c>
      <c r="G330" s="66">
        <f>Rdiario[[#This Row],[Ingresos Brutos]]-Rdiario[[#This Row],[Transferencia]]</f>
        <v>0</v>
      </c>
      <c r="H330" s="7">
        <f>Rdiario[[#This Row],[Ingresos Brutos]]-Rdiario[[#This Row],[Ganancia]]</f>
        <v>0</v>
      </c>
      <c r="I330" s="7">
        <f>SUMIF(Ventas[Fecha],Rdiario[[#This Row],[Fecha]],Ventas[Total 2])</f>
        <v>0</v>
      </c>
      <c r="J330" s="7">
        <f>SUMIF(Compras[Fecha],Rdiario[[#This Row],[Fecha]],Compras[Monto])</f>
        <v>0</v>
      </c>
      <c r="K330" s="7">
        <f>SUMIF(TGastos[Fecha],Rdiario[[#This Row],[Fecha]],TGastos[Monto])</f>
        <v>0</v>
      </c>
      <c r="L330" s="7">
        <f>Rdiario[[#This Row],[Ingresos Brutos]]-Rdiario[[#This Row],[Compras]]-Rdiario[[#This Row],[Gastos]]</f>
        <v>0</v>
      </c>
      <c r="M330" s="7">
        <f>Rdiario[[#This Row],[Ganancia]]-Rdiario[[#This Row],[Compras]]-Rdiario[[#This Row],[Gastos]]</f>
        <v>0</v>
      </c>
      <c r="P330" s="16"/>
    </row>
    <row r="331" spans="2:16">
      <c r="B331" s="9">
        <v>45254</v>
      </c>
      <c r="C33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1" s="6" t="s">
        <v>109</v>
      </c>
      <c r="E331" s="7">
        <f>SUMIF(Ventas[Fecha],Rdiario[[#This Row],[Fecha]],Ventas[Total])</f>
        <v>0</v>
      </c>
      <c r="F331" s="66">
        <f>SUMIF(Ventas[Fecha],Rdiario[[#This Row],[Fecha]],Ventas[Total 4])</f>
        <v>0</v>
      </c>
      <c r="G331" s="66">
        <f>Rdiario[[#This Row],[Ingresos Brutos]]-Rdiario[[#This Row],[Transferencia]]</f>
        <v>0</v>
      </c>
      <c r="H331" s="7">
        <f>Rdiario[[#This Row],[Ingresos Brutos]]-Rdiario[[#This Row],[Ganancia]]</f>
        <v>0</v>
      </c>
      <c r="I331" s="7">
        <f>SUMIF(Ventas[Fecha],Rdiario[[#This Row],[Fecha]],Ventas[Total 2])</f>
        <v>0</v>
      </c>
      <c r="J331" s="7">
        <f>SUMIF(Compras[Fecha],Rdiario[[#This Row],[Fecha]],Compras[Monto])</f>
        <v>0</v>
      </c>
      <c r="K331" s="7">
        <f>SUMIF(TGastos[Fecha],Rdiario[[#This Row],[Fecha]],TGastos[Monto])</f>
        <v>0</v>
      </c>
      <c r="L331" s="7">
        <f>Rdiario[[#This Row],[Ingresos Brutos]]-Rdiario[[#This Row],[Compras]]-Rdiario[[#This Row],[Gastos]]</f>
        <v>0</v>
      </c>
      <c r="M331" s="7">
        <f>Rdiario[[#This Row],[Ganancia]]-Rdiario[[#This Row],[Compras]]-Rdiario[[#This Row],[Gastos]]</f>
        <v>0</v>
      </c>
      <c r="P331" s="16"/>
    </row>
    <row r="332" spans="2:16">
      <c r="B332" s="9">
        <v>45255</v>
      </c>
      <c r="C33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2" s="6" t="s">
        <v>110</v>
      </c>
      <c r="E332" s="7">
        <f>SUMIF(Ventas[Fecha],Rdiario[[#This Row],[Fecha]],Ventas[Total])</f>
        <v>0</v>
      </c>
      <c r="F332" s="66">
        <f>SUMIF(Ventas[Fecha],Rdiario[[#This Row],[Fecha]],Ventas[Total 4])</f>
        <v>0</v>
      </c>
      <c r="G332" s="66">
        <f>Rdiario[[#This Row],[Ingresos Brutos]]-Rdiario[[#This Row],[Transferencia]]</f>
        <v>0</v>
      </c>
      <c r="H332" s="7">
        <f>Rdiario[[#This Row],[Ingresos Brutos]]-Rdiario[[#This Row],[Ganancia]]</f>
        <v>0</v>
      </c>
      <c r="I332" s="7">
        <f>SUMIF(Ventas[Fecha],Rdiario[[#This Row],[Fecha]],Ventas[Total 2])</f>
        <v>0</v>
      </c>
      <c r="J332" s="7">
        <f>SUMIF(Compras[Fecha],Rdiario[[#This Row],[Fecha]],Compras[Monto])</f>
        <v>0</v>
      </c>
      <c r="K332" s="7">
        <f>SUMIF(TGastos[Fecha],Rdiario[[#This Row],[Fecha]],TGastos[Monto])</f>
        <v>0</v>
      </c>
      <c r="L332" s="7">
        <f>Rdiario[[#This Row],[Ingresos Brutos]]-Rdiario[[#This Row],[Compras]]-Rdiario[[#This Row],[Gastos]]</f>
        <v>0</v>
      </c>
      <c r="M332" s="7">
        <f>Rdiario[[#This Row],[Ganancia]]-Rdiario[[#This Row],[Compras]]-Rdiario[[#This Row],[Gastos]]</f>
        <v>0</v>
      </c>
      <c r="P332" s="16"/>
    </row>
    <row r="333" spans="2:16">
      <c r="B333" s="9">
        <v>45256</v>
      </c>
      <c r="C33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3" s="6" t="s">
        <v>104</v>
      </c>
      <c r="E333" s="7">
        <f>SUMIF(Ventas[Fecha],Rdiario[[#This Row],[Fecha]],Ventas[Total])</f>
        <v>0</v>
      </c>
      <c r="F333" s="66">
        <f>SUMIF(Ventas[Fecha],Rdiario[[#This Row],[Fecha]],Ventas[Total 4])</f>
        <v>0</v>
      </c>
      <c r="G333" s="66">
        <f>Rdiario[[#This Row],[Ingresos Brutos]]-Rdiario[[#This Row],[Transferencia]]</f>
        <v>0</v>
      </c>
      <c r="H333" s="7">
        <f>Rdiario[[#This Row],[Ingresos Brutos]]-Rdiario[[#This Row],[Ganancia]]</f>
        <v>0</v>
      </c>
      <c r="I333" s="7">
        <f>SUMIF(Ventas[Fecha],Rdiario[[#This Row],[Fecha]],Ventas[Total 2])</f>
        <v>0</v>
      </c>
      <c r="J333" s="7">
        <f>SUMIF(Compras[Fecha],Rdiario[[#This Row],[Fecha]],Compras[Monto])</f>
        <v>0</v>
      </c>
      <c r="K333" s="7">
        <f>SUMIF(TGastos[Fecha],Rdiario[[#This Row],[Fecha]],TGastos[Monto])</f>
        <v>0</v>
      </c>
      <c r="L333" s="7">
        <f>Rdiario[[#This Row],[Ingresos Brutos]]-Rdiario[[#This Row],[Compras]]-Rdiario[[#This Row],[Gastos]]</f>
        <v>0</v>
      </c>
      <c r="M333" s="7">
        <f>Rdiario[[#This Row],[Ganancia]]-Rdiario[[#This Row],[Compras]]-Rdiario[[#This Row],[Gastos]]</f>
        <v>0</v>
      </c>
      <c r="P333" s="16"/>
    </row>
    <row r="334" spans="2:16">
      <c r="B334" s="9">
        <v>45257</v>
      </c>
      <c r="C33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4" s="6" t="s">
        <v>105</v>
      </c>
      <c r="E334" s="7">
        <f>SUMIF(Ventas[Fecha],Rdiario[[#This Row],[Fecha]],Ventas[Total])</f>
        <v>0</v>
      </c>
      <c r="F334" s="66">
        <f>SUMIF(Ventas[Fecha],Rdiario[[#This Row],[Fecha]],Ventas[Total 4])</f>
        <v>0</v>
      </c>
      <c r="G334" s="66">
        <f>Rdiario[[#This Row],[Ingresos Brutos]]-Rdiario[[#This Row],[Transferencia]]</f>
        <v>0</v>
      </c>
      <c r="H334" s="7">
        <f>Rdiario[[#This Row],[Ingresos Brutos]]-Rdiario[[#This Row],[Ganancia]]</f>
        <v>0</v>
      </c>
      <c r="I334" s="7">
        <f>SUMIF(Ventas[Fecha],Rdiario[[#This Row],[Fecha]],Ventas[Total 2])</f>
        <v>0</v>
      </c>
      <c r="J334" s="7">
        <f>SUMIF(Compras[Fecha],Rdiario[[#This Row],[Fecha]],Compras[Monto])</f>
        <v>0</v>
      </c>
      <c r="K334" s="7">
        <f>SUMIF(TGastos[Fecha],Rdiario[[#This Row],[Fecha]],TGastos[Monto])</f>
        <v>0</v>
      </c>
      <c r="L334" s="7">
        <f>Rdiario[[#This Row],[Ingresos Brutos]]-Rdiario[[#This Row],[Compras]]-Rdiario[[#This Row],[Gastos]]</f>
        <v>0</v>
      </c>
      <c r="M334" s="7">
        <f>Rdiario[[#This Row],[Ganancia]]-Rdiario[[#This Row],[Compras]]-Rdiario[[#This Row],[Gastos]]</f>
        <v>0</v>
      </c>
      <c r="P334" s="16"/>
    </row>
    <row r="335" spans="2:16">
      <c r="B335" s="9">
        <v>45258</v>
      </c>
      <c r="C33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5" s="6" t="s">
        <v>106</v>
      </c>
      <c r="E335" s="7">
        <f>SUMIF(Ventas[Fecha],Rdiario[[#This Row],[Fecha]],Ventas[Total])</f>
        <v>0</v>
      </c>
      <c r="F335" s="66">
        <f>SUMIF(Ventas[Fecha],Rdiario[[#This Row],[Fecha]],Ventas[Total 4])</f>
        <v>0</v>
      </c>
      <c r="G335" s="66">
        <f>Rdiario[[#This Row],[Ingresos Brutos]]-Rdiario[[#This Row],[Transferencia]]</f>
        <v>0</v>
      </c>
      <c r="H335" s="7">
        <f>Rdiario[[#This Row],[Ingresos Brutos]]-Rdiario[[#This Row],[Ganancia]]</f>
        <v>0</v>
      </c>
      <c r="I335" s="7">
        <f>SUMIF(Ventas[Fecha],Rdiario[[#This Row],[Fecha]],Ventas[Total 2])</f>
        <v>0</v>
      </c>
      <c r="J335" s="7">
        <f>SUMIF(Compras[Fecha],Rdiario[[#This Row],[Fecha]],Compras[Monto])</f>
        <v>0</v>
      </c>
      <c r="K335" s="7">
        <f>SUMIF(TGastos[Fecha],Rdiario[[#This Row],[Fecha]],TGastos[Monto])</f>
        <v>0</v>
      </c>
      <c r="L335" s="7">
        <f>Rdiario[[#This Row],[Ingresos Brutos]]-Rdiario[[#This Row],[Compras]]-Rdiario[[#This Row],[Gastos]]</f>
        <v>0</v>
      </c>
      <c r="M335" s="7">
        <f>Rdiario[[#This Row],[Ganancia]]-Rdiario[[#This Row],[Compras]]-Rdiario[[#This Row],[Gastos]]</f>
        <v>0</v>
      </c>
      <c r="P335" s="16"/>
    </row>
    <row r="336" spans="2:16">
      <c r="B336" s="9">
        <v>45259</v>
      </c>
      <c r="C33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6" s="6" t="s">
        <v>107</v>
      </c>
      <c r="E336" s="7">
        <f>SUMIF(Ventas[Fecha],Rdiario[[#This Row],[Fecha]],Ventas[Total])</f>
        <v>0</v>
      </c>
      <c r="F336" s="66">
        <f>SUMIF(Ventas[Fecha],Rdiario[[#This Row],[Fecha]],Ventas[Total 4])</f>
        <v>0</v>
      </c>
      <c r="G336" s="66">
        <f>Rdiario[[#This Row],[Ingresos Brutos]]-Rdiario[[#This Row],[Transferencia]]</f>
        <v>0</v>
      </c>
      <c r="H336" s="7">
        <f>Rdiario[[#This Row],[Ingresos Brutos]]-Rdiario[[#This Row],[Ganancia]]</f>
        <v>0</v>
      </c>
      <c r="I336" s="7">
        <f>SUMIF(Ventas[Fecha],Rdiario[[#This Row],[Fecha]],Ventas[Total 2])</f>
        <v>0</v>
      </c>
      <c r="J336" s="7">
        <f>SUMIF(Compras[Fecha],Rdiario[[#This Row],[Fecha]],Compras[Monto])</f>
        <v>0</v>
      </c>
      <c r="K336" s="7">
        <f>SUMIF(TGastos[Fecha],Rdiario[[#This Row],[Fecha]],TGastos[Monto])</f>
        <v>0</v>
      </c>
      <c r="L336" s="7">
        <f>Rdiario[[#This Row],[Ingresos Brutos]]-Rdiario[[#This Row],[Compras]]-Rdiario[[#This Row],[Gastos]]</f>
        <v>0</v>
      </c>
      <c r="M336" s="7">
        <f>Rdiario[[#This Row],[Ganancia]]-Rdiario[[#This Row],[Compras]]-Rdiario[[#This Row],[Gastos]]</f>
        <v>0</v>
      </c>
      <c r="P336" s="16"/>
    </row>
    <row r="337" spans="2:16">
      <c r="B337" s="9">
        <v>45260</v>
      </c>
      <c r="C33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7" s="6" t="s">
        <v>108</v>
      </c>
      <c r="E337" s="7">
        <f>SUMIF(Ventas[Fecha],Rdiario[[#This Row],[Fecha]],Ventas[Total])</f>
        <v>0</v>
      </c>
      <c r="F337" s="66">
        <f>SUMIF(Ventas[Fecha],Rdiario[[#This Row],[Fecha]],Ventas[Total 4])</f>
        <v>0</v>
      </c>
      <c r="G337" s="66">
        <f>Rdiario[[#This Row],[Ingresos Brutos]]-Rdiario[[#This Row],[Transferencia]]</f>
        <v>0</v>
      </c>
      <c r="H337" s="7">
        <f>Rdiario[[#This Row],[Ingresos Brutos]]-Rdiario[[#This Row],[Ganancia]]</f>
        <v>0</v>
      </c>
      <c r="I337" s="7">
        <f>SUMIF(Ventas[Fecha],Rdiario[[#This Row],[Fecha]],Ventas[Total 2])</f>
        <v>0</v>
      </c>
      <c r="J337" s="7">
        <f>SUMIF(Compras[Fecha],Rdiario[[#This Row],[Fecha]],Compras[Monto])</f>
        <v>0</v>
      </c>
      <c r="K337" s="7">
        <f>SUMIF(TGastos[Fecha],Rdiario[[#This Row],[Fecha]],TGastos[Monto])</f>
        <v>0</v>
      </c>
      <c r="L337" s="7">
        <f>Rdiario[[#This Row],[Ingresos Brutos]]-Rdiario[[#This Row],[Compras]]-Rdiario[[#This Row],[Gastos]]</f>
        <v>0</v>
      </c>
      <c r="M337" s="7">
        <f>Rdiario[[#This Row],[Ganancia]]-Rdiario[[#This Row],[Compras]]-Rdiario[[#This Row],[Gastos]]</f>
        <v>0</v>
      </c>
      <c r="P337" s="16"/>
    </row>
    <row r="338" spans="2:16">
      <c r="B338" s="9">
        <v>45261</v>
      </c>
      <c r="C33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38" s="6" t="s">
        <v>109</v>
      </c>
      <c r="E338" s="7">
        <f>SUMIF(Ventas[Fecha],Rdiario[[#This Row],[Fecha]],Ventas[Total])</f>
        <v>0</v>
      </c>
      <c r="F338" s="66">
        <f>SUMIF(Ventas[Fecha],Rdiario[[#This Row],[Fecha]],Ventas[Total 4])</f>
        <v>0</v>
      </c>
      <c r="G338" s="66">
        <f>Rdiario[[#This Row],[Ingresos Brutos]]-Rdiario[[#This Row],[Transferencia]]</f>
        <v>0</v>
      </c>
      <c r="H338" s="7">
        <f>Rdiario[[#This Row],[Ingresos Brutos]]-Rdiario[[#This Row],[Ganancia]]</f>
        <v>0</v>
      </c>
      <c r="I338" s="7">
        <f>SUMIF(Ventas[Fecha],Rdiario[[#This Row],[Fecha]],Ventas[Total 2])</f>
        <v>0</v>
      </c>
      <c r="J338" s="7">
        <f>SUMIF(Compras[Fecha],Rdiario[[#This Row],[Fecha]],Compras[Monto])</f>
        <v>0</v>
      </c>
      <c r="K338" s="7">
        <f>SUMIF(TGastos[Fecha],Rdiario[[#This Row],[Fecha]],TGastos[Monto])</f>
        <v>0</v>
      </c>
      <c r="L338" s="7">
        <f>Rdiario[[#This Row],[Ingresos Brutos]]-Rdiario[[#This Row],[Compras]]-Rdiario[[#This Row],[Gastos]]</f>
        <v>0</v>
      </c>
      <c r="M338" s="7">
        <f>Rdiario[[#This Row],[Ganancia]]-Rdiario[[#This Row],[Compras]]-Rdiario[[#This Row],[Gastos]]</f>
        <v>0</v>
      </c>
      <c r="P338" s="16"/>
    </row>
    <row r="339" spans="2:16">
      <c r="B339" s="9">
        <v>45262</v>
      </c>
      <c r="C33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39" s="6" t="s">
        <v>110</v>
      </c>
      <c r="E339" s="7">
        <f>SUMIF(Ventas[Fecha],Rdiario[[#This Row],[Fecha]],Ventas[Total])</f>
        <v>0</v>
      </c>
      <c r="F339" s="66">
        <f>SUMIF(Ventas[Fecha],Rdiario[[#This Row],[Fecha]],Ventas[Total 4])</f>
        <v>0</v>
      </c>
      <c r="G339" s="66">
        <f>Rdiario[[#This Row],[Ingresos Brutos]]-Rdiario[[#This Row],[Transferencia]]</f>
        <v>0</v>
      </c>
      <c r="H339" s="7">
        <f>Rdiario[[#This Row],[Ingresos Brutos]]-Rdiario[[#This Row],[Ganancia]]</f>
        <v>0</v>
      </c>
      <c r="I339" s="7">
        <f>SUMIF(Ventas[Fecha],Rdiario[[#This Row],[Fecha]],Ventas[Total 2])</f>
        <v>0</v>
      </c>
      <c r="J339" s="7">
        <f>SUMIF(Compras[Fecha],Rdiario[[#This Row],[Fecha]],Compras[Monto])</f>
        <v>0</v>
      </c>
      <c r="K339" s="7">
        <f>SUMIF(TGastos[Fecha],Rdiario[[#This Row],[Fecha]],TGastos[Monto])</f>
        <v>0</v>
      </c>
      <c r="L339" s="7">
        <f>Rdiario[[#This Row],[Ingresos Brutos]]-Rdiario[[#This Row],[Compras]]-Rdiario[[#This Row],[Gastos]]</f>
        <v>0</v>
      </c>
      <c r="M339" s="7">
        <f>Rdiario[[#This Row],[Ganancia]]-Rdiario[[#This Row],[Compras]]-Rdiario[[#This Row],[Gastos]]</f>
        <v>0</v>
      </c>
      <c r="P339" s="16"/>
    </row>
    <row r="340" spans="2:16">
      <c r="B340" s="9">
        <v>45263</v>
      </c>
      <c r="C34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0" s="6" t="s">
        <v>104</v>
      </c>
      <c r="E340" s="7">
        <f>SUMIF(Ventas[Fecha],Rdiario[[#This Row],[Fecha]],Ventas[Total])</f>
        <v>0</v>
      </c>
      <c r="F340" s="66">
        <f>SUMIF(Ventas[Fecha],Rdiario[[#This Row],[Fecha]],Ventas[Total 4])</f>
        <v>0</v>
      </c>
      <c r="G340" s="66">
        <f>Rdiario[[#This Row],[Ingresos Brutos]]-Rdiario[[#This Row],[Transferencia]]</f>
        <v>0</v>
      </c>
      <c r="H340" s="7">
        <f>Rdiario[[#This Row],[Ingresos Brutos]]-Rdiario[[#This Row],[Ganancia]]</f>
        <v>0</v>
      </c>
      <c r="I340" s="7">
        <f>SUMIF(Ventas[Fecha],Rdiario[[#This Row],[Fecha]],Ventas[Total 2])</f>
        <v>0</v>
      </c>
      <c r="J340" s="7">
        <f>SUMIF(Compras[Fecha],Rdiario[[#This Row],[Fecha]],Compras[Monto])</f>
        <v>0</v>
      </c>
      <c r="K340" s="7">
        <f>SUMIF(TGastos[Fecha],Rdiario[[#This Row],[Fecha]],TGastos[Monto])</f>
        <v>0</v>
      </c>
      <c r="L340" s="7">
        <f>Rdiario[[#This Row],[Ingresos Brutos]]-Rdiario[[#This Row],[Compras]]-Rdiario[[#This Row],[Gastos]]</f>
        <v>0</v>
      </c>
      <c r="M340" s="7">
        <f>Rdiario[[#This Row],[Ganancia]]-Rdiario[[#This Row],[Compras]]-Rdiario[[#This Row],[Gastos]]</f>
        <v>0</v>
      </c>
      <c r="P340" s="16"/>
    </row>
    <row r="341" spans="2:16">
      <c r="B341" s="9">
        <v>45264</v>
      </c>
      <c r="C34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1" s="6" t="s">
        <v>105</v>
      </c>
      <c r="E341" s="7">
        <f>SUMIF(Ventas[Fecha],Rdiario[[#This Row],[Fecha]],Ventas[Total])</f>
        <v>0</v>
      </c>
      <c r="F341" s="66">
        <f>SUMIF(Ventas[Fecha],Rdiario[[#This Row],[Fecha]],Ventas[Total 4])</f>
        <v>0</v>
      </c>
      <c r="G341" s="66">
        <f>Rdiario[[#This Row],[Ingresos Brutos]]-Rdiario[[#This Row],[Transferencia]]</f>
        <v>0</v>
      </c>
      <c r="H341" s="7">
        <f>Rdiario[[#This Row],[Ingresos Brutos]]-Rdiario[[#This Row],[Ganancia]]</f>
        <v>0</v>
      </c>
      <c r="I341" s="7">
        <f>SUMIF(Ventas[Fecha],Rdiario[[#This Row],[Fecha]],Ventas[Total 2])</f>
        <v>0</v>
      </c>
      <c r="J341" s="7">
        <f>SUMIF(Compras[Fecha],Rdiario[[#This Row],[Fecha]],Compras[Monto])</f>
        <v>0</v>
      </c>
      <c r="K341" s="7">
        <f>SUMIF(TGastos[Fecha],Rdiario[[#This Row],[Fecha]],TGastos[Monto])</f>
        <v>0</v>
      </c>
      <c r="L341" s="7">
        <f>Rdiario[[#This Row],[Ingresos Brutos]]-Rdiario[[#This Row],[Compras]]-Rdiario[[#This Row],[Gastos]]</f>
        <v>0</v>
      </c>
      <c r="M341" s="7">
        <f>Rdiario[[#This Row],[Ganancia]]-Rdiario[[#This Row],[Compras]]-Rdiario[[#This Row],[Gastos]]</f>
        <v>0</v>
      </c>
      <c r="P341" s="16"/>
    </row>
    <row r="342" spans="2:16">
      <c r="B342" s="9">
        <v>45265</v>
      </c>
      <c r="C34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2" s="6" t="s">
        <v>106</v>
      </c>
      <c r="E342" s="7">
        <f>SUMIF(Ventas[Fecha],Rdiario[[#This Row],[Fecha]],Ventas[Total])</f>
        <v>0</v>
      </c>
      <c r="F342" s="66">
        <f>SUMIF(Ventas[Fecha],Rdiario[[#This Row],[Fecha]],Ventas[Total 4])</f>
        <v>0</v>
      </c>
      <c r="G342" s="66">
        <f>Rdiario[[#This Row],[Ingresos Brutos]]-Rdiario[[#This Row],[Transferencia]]</f>
        <v>0</v>
      </c>
      <c r="H342" s="7">
        <f>Rdiario[[#This Row],[Ingresos Brutos]]-Rdiario[[#This Row],[Ganancia]]</f>
        <v>0</v>
      </c>
      <c r="I342" s="7">
        <f>SUMIF(Ventas[Fecha],Rdiario[[#This Row],[Fecha]],Ventas[Total 2])</f>
        <v>0</v>
      </c>
      <c r="J342" s="7">
        <f>SUMIF(Compras[Fecha],Rdiario[[#This Row],[Fecha]],Compras[Monto])</f>
        <v>0</v>
      </c>
      <c r="K342" s="7">
        <f>SUMIF(TGastos[Fecha],Rdiario[[#This Row],[Fecha]],TGastos[Monto])</f>
        <v>0</v>
      </c>
      <c r="L342" s="7">
        <f>Rdiario[[#This Row],[Ingresos Brutos]]-Rdiario[[#This Row],[Compras]]-Rdiario[[#This Row],[Gastos]]</f>
        <v>0</v>
      </c>
      <c r="M342" s="7">
        <f>Rdiario[[#This Row],[Ganancia]]-Rdiario[[#This Row],[Compras]]-Rdiario[[#This Row],[Gastos]]</f>
        <v>0</v>
      </c>
      <c r="P342" s="16"/>
    </row>
    <row r="343" spans="2:16">
      <c r="B343" s="9">
        <v>45266</v>
      </c>
      <c r="C34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3" s="6" t="s">
        <v>107</v>
      </c>
      <c r="E343" s="7">
        <f>SUMIF(Ventas[Fecha],Rdiario[[#This Row],[Fecha]],Ventas[Total])</f>
        <v>0</v>
      </c>
      <c r="F343" s="66">
        <f>SUMIF(Ventas[Fecha],Rdiario[[#This Row],[Fecha]],Ventas[Total 4])</f>
        <v>0</v>
      </c>
      <c r="G343" s="66">
        <f>Rdiario[[#This Row],[Ingresos Brutos]]-Rdiario[[#This Row],[Transferencia]]</f>
        <v>0</v>
      </c>
      <c r="H343" s="7">
        <f>Rdiario[[#This Row],[Ingresos Brutos]]-Rdiario[[#This Row],[Ganancia]]</f>
        <v>0</v>
      </c>
      <c r="I343" s="7">
        <f>SUMIF(Ventas[Fecha],Rdiario[[#This Row],[Fecha]],Ventas[Total 2])</f>
        <v>0</v>
      </c>
      <c r="J343" s="7">
        <f>SUMIF(Compras[Fecha],Rdiario[[#This Row],[Fecha]],Compras[Monto])</f>
        <v>0</v>
      </c>
      <c r="K343" s="7">
        <f>SUMIF(TGastos[Fecha],Rdiario[[#This Row],[Fecha]],TGastos[Monto])</f>
        <v>0</v>
      </c>
      <c r="L343" s="7">
        <f>Rdiario[[#This Row],[Ingresos Brutos]]-Rdiario[[#This Row],[Compras]]-Rdiario[[#This Row],[Gastos]]</f>
        <v>0</v>
      </c>
      <c r="M343" s="7">
        <f>Rdiario[[#This Row],[Ganancia]]-Rdiario[[#This Row],[Compras]]-Rdiario[[#This Row],[Gastos]]</f>
        <v>0</v>
      </c>
      <c r="P343" s="16"/>
    </row>
    <row r="344" spans="2:16">
      <c r="B344" s="9">
        <v>45267</v>
      </c>
      <c r="C34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4" s="6" t="s">
        <v>108</v>
      </c>
      <c r="E344" s="7">
        <f>SUMIF(Ventas[Fecha],Rdiario[[#This Row],[Fecha]],Ventas[Total])</f>
        <v>0</v>
      </c>
      <c r="F344" s="66">
        <f>SUMIF(Ventas[Fecha],Rdiario[[#This Row],[Fecha]],Ventas[Total 4])</f>
        <v>0</v>
      </c>
      <c r="G344" s="66">
        <f>Rdiario[[#This Row],[Ingresos Brutos]]-Rdiario[[#This Row],[Transferencia]]</f>
        <v>0</v>
      </c>
      <c r="H344" s="7">
        <f>Rdiario[[#This Row],[Ingresos Brutos]]-Rdiario[[#This Row],[Ganancia]]</f>
        <v>0</v>
      </c>
      <c r="I344" s="7">
        <f>SUMIF(Ventas[Fecha],Rdiario[[#This Row],[Fecha]],Ventas[Total 2])</f>
        <v>0</v>
      </c>
      <c r="J344" s="7">
        <f>SUMIF(Compras[Fecha],Rdiario[[#This Row],[Fecha]],Compras[Monto])</f>
        <v>0</v>
      </c>
      <c r="K344" s="7">
        <f>SUMIF(TGastos[Fecha],Rdiario[[#This Row],[Fecha]],TGastos[Monto])</f>
        <v>0</v>
      </c>
      <c r="L344" s="7">
        <f>Rdiario[[#This Row],[Ingresos Brutos]]-Rdiario[[#This Row],[Compras]]-Rdiario[[#This Row],[Gastos]]</f>
        <v>0</v>
      </c>
      <c r="M344" s="7">
        <f>Rdiario[[#This Row],[Ganancia]]-Rdiario[[#This Row],[Compras]]-Rdiario[[#This Row],[Gastos]]</f>
        <v>0</v>
      </c>
      <c r="P344" s="16"/>
    </row>
    <row r="345" spans="2:16">
      <c r="B345" s="9">
        <v>45268</v>
      </c>
      <c r="C34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5" s="6" t="s">
        <v>109</v>
      </c>
      <c r="E345" s="7">
        <f>SUMIF(Ventas[Fecha],Rdiario[[#This Row],[Fecha]],Ventas[Total])</f>
        <v>0</v>
      </c>
      <c r="F345" s="66">
        <f>SUMIF(Ventas[Fecha],Rdiario[[#This Row],[Fecha]],Ventas[Total 4])</f>
        <v>0</v>
      </c>
      <c r="G345" s="66">
        <f>Rdiario[[#This Row],[Ingresos Brutos]]-Rdiario[[#This Row],[Transferencia]]</f>
        <v>0</v>
      </c>
      <c r="H345" s="7">
        <f>Rdiario[[#This Row],[Ingresos Brutos]]-Rdiario[[#This Row],[Ganancia]]</f>
        <v>0</v>
      </c>
      <c r="I345" s="7">
        <f>SUMIF(Ventas[Fecha],Rdiario[[#This Row],[Fecha]],Ventas[Total 2])</f>
        <v>0</v>
      </c>
      <c r="J345" s="7">
        <f>SUMIF(Compras[Fecha],Rdiario[[#This Row],[Fecha]],Compras[Monto])</f>
        <v>0</v>
      </c>
      <c r="K345" s="7">
        <f>SUMIF(TGastos[Fecha],Rdiario[[#This Row],[Fecha]],TGastos[Monto])</f>
        <v>0</v>
      </c>
      <c r="L345" s="7">
        <f>Rdiario[[#This Row],[Ingresos Brutos]]-Rdiario[[#This Row],[Compras]]-Rdiario[[#This Row],[Gastos]]</f>
        <v>0</v>
      </c>
      <c r="M345" s="7">
        <f>Rdiario[[#This Row],[Ganancia]]-Rdiario[[#This Row],[Compras]]-Rdiario[[#This Row],[Gastos]]</f>
        <v>0</v>
      </c>
      <c r="P345" s="16"/>
    </row>
    <row r="346" spans="2:16">
      <c r="B346" s="9">
        <v>45269</v>
      </c>
      <c r="C34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6" s="6" t="s">
        <v>110</v>
      </c>
      <c r="E346" s="7">
        <f>SUMIF(Ventas[Fecha],Rdiario[[#This Row],[Fecha]],Ventas[Total])</f>
        <v>0</v>
      </c>
      <c r="F346" s="66">
        <f>SUMIF(Ventas[Fecha],Rdiario[[#This Row],[Fecha]],Ventas[Total 4])</f>
        <v>0</v>
      </c>
      <c r="G346" s="66">
        <f>Rdiario[[#This Row],[Ingresos Brutos]]-Rdiario[[#This Row],[Transferencia]]</f>
        <v>0</v>
      </c>
      <c r="H346" s="7">
        <f>Rdiario[[#This Row],[Ingresos Brutos]]-Rdiario[[#This Row],[Ganancia]]</f>
        <v>0</v>
      </c>
      <c r="I346" s="7">
        <f>SUMIF(Ventas[Fecha],Rdiario[[#This Row],[Fecha]],Ventas[Total 2])</f>
        <v>0</v>
      </c>
      <c r="J346" s="7">
        <f>SUMIF(Compras[Fecha],Rdiario[[#This Row],[Fecha]],Compras[Monto])</f>
        <v>0</v>
      </c>
      <c r="K346" s="7">
        <f>SUMIF(TGastos[Fecha],Rdiario[[#This Row],[Fecha]],TGastos[Monto])</f>
        <v>0</v>
      </c>
      <c r="L346" s="7">
        <f>Rdiario[[#This Row],[Ingresos Brutos]]-Rdiario[[#This Row],[Compras]]-Rdiario[[#This Row],[Gastos]]</f>
        <v>0</v>
      </c>
      <c r="M346" s="7">
        <f>Rdiario[[#This Row],[Ganancia]]-Rdiario[[#This Row],[Compras]]-Rdiario[[#This Row],[Gastos]]</f>
        <v>0</v>
      </c>
      <c r="P346" s="16"/>
    </row>
    <row r="347" spans="2:16">
      <c r="B347" s="9">
        <v>45270</v>
      </c>
      <c r="C34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7" s="6" t="s">
        <v>104</v>
      </c>
      <c r="E347" s="7">
        <f>SUMIF(Ventas[Fecha],Rdiario[[#This Row],[Fecha]],Ventas[Total])</f>
        <v>0</v>
      </c>
      <c r="F347" s="66">
        <f>SUMIF(Ventas[Fecha],Rdiario[[#This Row],[Fecha]],Ventas[Total 4])</f>
        <v>0</v>
      </c>
      <c r="G347" s="66">
        <f>Rdiario[[#This Row],[Ingresos Brutos]]-Rdiario[[#This Row],[Transferencia]]</f>
        <v>0</v>
      </c>
      <c r="H347" s="7">
        <f>Rdiario[[#This Row],[Ingresos Brutos]]-Rdiario[[#This Row],[Ganancia]]</f>
        <v>0</v>
      </c>
      <c r="I347" s="7">
        <f>SUMIF(Ventas[Fecha],Rdiario[[#This Row],[Fecha]],Ventas[Total 2])</f>
        <v>0</v>
      </c>
      <c r="J347" s="7">
        <f>SUMIF(Compras[Fecha],Rdiario[[#This Row],[Fecha]],Compras[Monto])</f>
        <v>0</v>
      </c>
      <c r="K347" s="7">
        <f>SUMIF(TGastos[Fecha],Rdiario[[#This Row],[Fecha]],TGastos[Monto])</f>
        <v>0</v>
      </c>
      <c r="L347" s="7">
        <f>Rdiario[[#This Row],[Ingresos Brutos]]-Rdiario[[#This Row],[Compras]]-Rdiario[[#This Row],[Gastos]]</f>
        <v>0</v>
      </c>
      <c r="M347" s="7">
        <f>Rdiario[[#This Row],[Ganancia]]-Rdiario[[#This Row],[Compras]]-Rdiario[[#This Row],[Gastos]]</f>
        <v>0</v>
      </c>
      <c r="P347" s="16"/>
    </row>
    <row r="348" spans="2:16">
      <c r="B348" s="9">
        <v>45271</v>
      </c>
      <c r="C34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8" s="6" t="s">
        <v>105</v>
      </c>
      <c r="E348" s="7">
        <f>SUMIF(Ventas[Fecha],Rdiario[[#This Row],[Fecha]],Ventas[Total])</f>
        <v>0</v>
      </c>
      <c r="F348" s="66">
        <f>SUMIF(Ventas[Fecha],Rdiario[[#This Row],[Fecha]],Ventas[Total 4])</f>
        <v>0</v>
      </c>
      <c r="G348" s="66">
        <f>Rdiario[[#This Row],[Ingresos Brutos]]-Rdiario[[#This Row],[Transferencia]]</f>
        <v>0</v>
      </c>
      <c r="H348" s="7">
        <f>Rdiario[[#This Row],[Ingresos Brutos]]-Rdiario[[#This Row],[Ganancia]]</f>
        <v>0</v>
      </c>
      <c r="I348" s="7">
        <f>SUMIF(Ventas[Fecha],Rdiario[[#This Row],[Fecha]],Ventas[Total 2])</f>
        <v>0</v>
      </c>
      <c r="J348" s="7">
        <f>SUMIF(Compras[Fecha],Rdiario[[#This Row],[Fecha]],Compras[Monto])</f>
        <v>0</v>
      </c>
      <c r="K348" s="7">
        <f>SUMIF(TGastos[Fecha],Rdiario[[#This Row],[Fecha]],TGastos[Monto])</f>
        <v>0</v>
      </c>
      <c r="L348" s="7">
        <f>Rdiario[[#This Row],[Ingresos Brutos]]-Rdiario[[#This Row],[Compras]]-Rdiario[[#This Row],[Gastos]]</f>
        <v>0</v>
      </c>
      <c r="M348" s="7">
        <f>Rdiario[[#This Row],[Ganancia]]-Rdiario[[#This Row],[Compras]]-Rdiario[[#This Row],[Gastos]]</f>
        <v>0</v>
      </c>
      <c r="P348" s="16"/>
    </row>
    <row r="349" spans="2:16">
      <c r="B349" s="9">
        <v>45272</v>
      </c>
      <c r="C34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9" s="6" t="s">
        <v>106</v>
      </c>
      <c r="E349" s="7">
        <f>SUMIF(Ventas[Fecha],Rdiario[[#This Row],[Fecha]],Ventas[Total])</f>
        <v>0</v>
      </c>
      <c r="F349" s="66">
        <f>SUMIF(Ventas[Fecha],Rdiario[[#This Row],[Fecha]],Ventas[Total 4])</f>
        <v>0</v>
      </c>
      <c r="G349" s="66">
        <f>Rdiario[[#This Row],[Ingresos Brutos]]-Rdiario[[#This Row],[Transferencia]]</f>
        <v>0</v>
      </c>
      <c r="H349" s="7">
        <f>Rdiario[[#This Row],[Ingresos Brutos]]-Rdiario[[#This Row],[Ganancia]]</f>
        <v>0</v>
      </c>
      <c r="I349" s="7">
        <f>SUMIF(Ventas[Fecha],Rdiario[[#This Row],[Fecha]],Ventas[Total 2])</f>
        <v>0</v>
      </c>
      <c r="J349" s="7">
        <f>SUMIF(Compras[Fecha],Rdiario[[#This Row],[Fecha]],Compras[Monto])</f>
        <v>0</v>
      </c>
      <c r="K349" s="7">
        <f>SUMIF(TGastos[Fecha],Rdiario[[#This Row],[Fecha]],TGastos[Monto])</f>
        <v>0</v>
      </c>
      <c r="L349" s="7">
        <f>Rdiario[[#This Row],[Ingresos Brutos]]-Rdiario[[#This Row],[Compras]]-Rdiario[[#This Row],[Gastos]]</f>
        <v>0</v>
      </c>
      <c r="M349" s="7">
        <f>Rdiario[[#This Row],[Ganancia]]-Rdiario[[#This Row],[Compras]]-Rdiario[[#This Row],[Gastos]]</f>
        <v>0</v>
      </c>
      <c r="P349" s="16"/>
    </row>
    <row r="350" spans="2:16">
      <c r="B350" s="9">
        <v>45273</v>
      </c>
      <c r="C35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0" s="6" t="s">
        <v>107</v>
      </c>
      <c r="E350" s="7">
        <f>SUMIF(Ventas[Fecha],Rdiario[[#This Row],[Fecha]],Ventas[Total])</f>
        <v>0</v>
      </c>
      <c r="F350" s="66">
        <f>SUMIF(Ventas[Fecha],Rdiario[[#This Row],[Fecha]],Ventas[Total 4])</f>
        <v>0</v>
      </c>
      <c r="G350" s="66">
        <f>Rdiario[[#This Row],[Ingresos Brutos]]-Rdiario[[#This Row],[Transferencia]]</f>
        <v>0</v>
      </c>
      <c r="H350" s="7">
        <f>Rdiario[[#This Row],[Ingresos Brutos]]-Rdiario[[#This Row],[Ganancia]]</f>
        <v>0</v>
      </c>
      <c r="I350" s="7">
        <f>SUMIF(Ventas[Fecha],Rdiario[[#This Row],[Fecha]],Ventas[Total 2])</f>
        <v>0</v>
      </c>
      <c r="J350" s="7">
        <f>SUMIF(Compras[Fecha],Rdiario[[#This Row],[Fecha]],Compras[Monto])</f>
        <v>0</v>
      </c>
      <c r="K350" s="7">
        <f>SUMIF(TGastos[Fecha],Rdiario[[#This Row],[Fecha]],TGastos[Monto])</f>
        <v>0</v>
      </c>
      <c r="L350" s="7">
        <f>Rdiario[[#This Row],[Ingresos Brutos]]-Rdiario[[#This Row],[Compras]]-Rdiario[[#This Row],[Gastos]]</f>
        <v>0</v>
      </c>
      <c r="M350" s="7">
        <f>Rdiario[[#This Row],[Ganancia]]-Rdiario[[#This Row],[Compras]]-Rdiario[[#This Row],[Gastos]]</f>
        <v>0</v>
      </c>
      <c r="P350" s="16"/>
    </row>
    <row r="351" spans="2:16">
      <c r="B351" s="9">
        <v>45274</v>
      </c>
      <c r="C35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1" s="6" t="s">
        <v>108</v>
      </c>
      <c r="E351" s="7">
        <f>SUMIF(Ventas[Fecha],Rdiario[[#This Row],[Fecha]],Ventas[Total])</f>
        <v>0</v>
      </c>
      <c r="F351" s="66">
        <f>SUMIF(Ventas[Fecha],Rdiario[[#This Row],[Fecha]],Ventas[Total 4])</f>
        <v>0</v>
      </c>
      <c r="G351" s="66">
        <f>Rdiario[[#This Row],[Ingresos Brutos]]-Rdiario[[#This Row],[Transferencia]]</f>
        <v>0</v>
      </c>
      <c r="H351" s="7">
        <f>Rdiario[[#This Row],[Ingresos Brutos]]-Rdiario[[#This Row],[Ganancia]]</f>
        <v>0</v>
      </c>
      <c r="I351" s="7">
        <f>SUMIF(Ventas[Fecha],Rdiario[[#This Row],[Fecha]],Ventas[Total 2])</f>
        <v>0</v>
      </c>
      <c r="J351" s="7">
        <f>SUMIF(Compras[Fecha],Rdiario[[#This Row],[Fecha]],Compras[Monto])</f>
        <v>0</v>
      </c>
      <c r="K351" s="7">
        <f>SUMIF(TGastos[Fecha],Rdiario[[#This Row],[Fecha]],TGastos[Monto])</f>
        <v>0</v>
      </c>
      <c r="L351" s="7">
        <f>Rdiario[[#This Row],[Ingresos Brutos]]-Rdiario[[#This Row],[Compras]]-Rdiario[[#This Row],[Gastos]]</f>
        <v>0</v>
      </c>
      <c r="M351" s="7">
        <f>Rdiario[[#This Row],[Ganancia]]-Rdiario[[#This Row],[Compras]]-Rdiario[[#This Row],[Gastos]]</f>
        <v>0</v>
      </c>
      <c r="P351" s="16"/>
    </row>
    <row r="352" spans="2:16">
      <c r="B352" s="9">
        <v>45275</v>
      </c>
      <c r="C35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2" s="6" t="s">
        <v>109</v>
      </c>
      <c r="E352" s="7">
        <f>SUMIF(Ventas[Fecha],Rdiario[[#This Row],[Fecha]],Ventas[Total])</f>
        <v>0</v>
      </c>
      <c r="F352" s="66">
        <f>SUMIF(Ventas[Fecha],Rdiario[[#This Row],[Fecha]],Ventas[Total 4])</f>
        <v>0</v>
      </c>
      <c r="G352" s="66">
        <f>Rdiario[[#This Row],[Ingresos Brutos]]-Rdiario[[#This Row],[Transferencia]]</f>
        <v>0</v>
      </c>
      <c r="H352" s="7">
        <f>Rdiario[[#This Row],[Ingresos Brutos]]-Rdiario[[#This Row],[Ganancia]]</f>
        <v>0</v>
      </c>
      <c r="I352" s="7">
        <f>SUMIF(Ventas[Fecha],Rdiario[[#This Row],[Fecha]],Ventas[Total 2])</f>
        <v>0</v>
      </c>
      <c r="J352" s="7">
        <f>SUMIF(Compras[Fecha],Rdiario[[#This Row],[Fecha]],Compras[Monto])</f>
        <v>0</v>
      </c>
      <c r="K352" s="7">
        <f>SUMIF(TGastos[Fecha],Rdiario[[#This Row],[Fecha]],TGastos[Monto])</f>
        <v>0</v>
      </c>
      <c r="L352" s="7">
        <f>Rdiario[[#This Row],[Ingresos Brutos]]-Rdiario[[#This Row],[Compras]]-Rdiario[[#This Row],[Gastos]]</f>
        <v>0</v>
      </c>
      <c r="M352" s="7">
        <f>Rdiario[[#This Row],[Ganancia]]-Rdiario[[#This Row],[Compras]]-Rdiario[[#This Row],[Gastos]]</f>
        <v>0</v>
      </c>
      <c r="P352" s="16"/>
    </row>
    <row r="353" spans="2:16">
      <c r="B353" s="9">
        <v>45276</v>
      </c>
      <c r="C35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3" s="6" t="s">
        <v>110</v>
      </c>
      <c r="E353" s="7">
        <f>SUMIF(Ventas[Fecha],Rdiario[[#This Row],[Fecha]],Ventas[Total])</f>
        <v>0</v>
      </c>
      <c r="F353" s="66">
        <f>SUMIF(Ventas[Fecha],Rdiario[[#This Row],[Fecha]],Ventas[Total 4])</f>
        <v>0</v>
      </c>
      <c r="G353" s="66">
        <f>Rdiario[[#This Row],[Ingresos Brutos]]-Rdiario[[#This Row],[Transferencia]]</f>
        <v>0</v>
      </c>
      <c r="H353" s="7">
        <f>Rdiario[[#This Row],[Ingresos Brutos]]-Rdiario[[#This Row],[Ganancia]]</f>
        <v>0</v>
      </c>
      <c r="I353" s="7">
        <f>SUMIF(Ventas[Fecha],Rdiario[[#This Row],[Fecha]],Ventas[Total 2])</f>
        <v>0</v>
      </c>
      <c r="J353" s="7">
        <f>SUMIF(Compras[Fecha],Rdiario[[#This Row],[Fecha]],Compras[Monto])</f>
        <v>0</v>
      </c>
      <c r="K353" s="7">
        <f>SUMIF(TGastos[Fecha],Rdiario[[#This Row],[Fecha]],TGastos[Monto])</f>
        <v>0</v>
      </c>
      <c r="L353" s="7">
        <f>Rdiario[[#This Row],[Ingresos Brutos]]-Rdiario[[#This Row],[Compras]]-Rdiario[[#This Row],[Gastos]]</f>
        <v>0</v>
      </c>
      <c r="M353" s="7">
        <f>Rdiario[[#This Row],[Ganancia]]-Rdiario[[#This Row],[Compras]]-Rdiario[[#This Row],[Gastos]]</f>
        <v>0</v>
      </c>
      <c r="P353" s="16"/>
    </row>
    <row r="354" spans="2:16">
      <c r="B354" s="9">
        <v>45277</v>
      </c>
      <c r="C35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4" s="6" t="s">
        <v>104</v>
      </c>
      <c r="E354" s="7">
        <f>SUMIF(Ventas[Fecha],Rdiario[[#This Row],[Fecha]],Ventas[Total])</f>
        <v>0</v>
      </c>
      <c r="F354" s="66">
        <f>SUMIF(Ventas[Fecha],Rdiario[[#This Row],[Fecha]],Ventas[Total 4])</f>
        <v>0</v>
      </c>
      <c r="G354" s="66">
        <f>Rdiario[[#This Row],[Ingresos Brutos]]-Rdiario[[#This Row],[Transferencia]]</f>
        <v>0</v>
      </c>
      <c r="H354" s="7">
        <f>Rdiario[[#This Row],[Ingresos Brutos]]-Rdiario[[#This Row],[Ganancia]]</f>
        <v>0</v>
      </c>
      <c r="I354" s="7">
        <f>SUMIF(Ventas[Fecha],Rdiario[[#This Row],[Fecha]],Ventas[Total 2])</f>
        <v>0</v>
      </c>
      <c r="J354" s="7">
        <f>SUMIF(Compras[Fecha],Rdiario[[#This Row],[Fecha]],Compras[Monto])</f>
        <v>0</v>
      </c>
      <c r="K354" s="7">
        <f>SUMIF(TGastos[Fecha],Rdiario[[#This Row],[Fecha]],TGastos[Monto])</f>
        <v>0</v>
      </c>
      <c r="L354" s="7">
        <f>Rdiario[[#This Row],[Ingresos Brutos]]-Rdiario[[#This Row],[Compras]]-Rdiario[[#This Row],[Gastos]]</f>
        <v>0</v>
      </c>
      <c r="M354" s="7">
        <f>Rdiario[[#This Row],[Ganancia]]-Rdiario[[#This Row],[Compras]]-Rdiario[[#This Row],[Gastos]]</f>
        <v>0</v>
      </c>
      <c r="P354" s="16"/>
    </row>
    <row r="355" spans="2:16">
      <c r="B355" s="9">
        <v>45278</v>
      </c>
      <c r="C35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5" s="6" t="s">
        <v>105</v>
      </c>
      <c r="E355" s="7">
        <f>SUMIF(Ventas[Fecha],Rdiario[[#This Row],[Fecha]],Ventas[Total])</f>
        <v>0</v>
      </c>
      <c r="F355" s="66">
        <f>SUMIF(Ventas[Fecha],Rdiario[[#This Row],[Fecha]],Ventas[Total 4])</f>
        <v>0</v>
      </c>
      <c r="G355" s="66">
        <f>Rdiario[[#This Row],[Ingresos Brutos]]-Rdiario[[#This Row],[Transferencia]]</f>
        <v>0</v>
      </c>
      <c r="H355" s="7">
        <f>Rdiario[[#This Row],[Ingresos Brutos]]-Rdiario[[#This Row],[Ganancia]]</f>
        <v>0</v>
      </c>
      <c r="I355" s="7">
        <f>SUMIF(Ventas[Fecha],Rdiario[[#This Row],[Fecha]],Ventas[Total 2])</f>
        <v>0</v>
      </c>
      <c r="J355" s="7">
        <f>SUMIF(Compras[Fecha],Rdiario[[#This Row],[Fecha]],Compras[Monto])</f>
        <v>0</v>
      </c>
      <c r="K355" s="7">
        <f>SUMIF(TGastos[Fecha],Rdiario[[#This Row],[Fecha]],TGastos[Monto])</f>
        <v>0</v>
      </c>
      <c r="L355" s="7">
        <f>Rdiario[[#This Row],[Ingresos Brutos]]-Rdiario[[#This Row],[Compras]]-Rdiario[[#This Row],[Gastos]]</f>
        <v>0</v>
      </c>
      <c r="M355" s="7">
        <f>Rdiario[[#This Row],[Ganancia]]-Rdiario[[#This Row],[Compras]]-Rdiario[[#This Row],[Gastos]]</f>
        <v>0</v>
      </c>
      <c r="P355" s="16"/>
    </row>
    <row r="356" spans="2:16">
      <c r="B356" s="9">
        <v>45279</v>
      </c>
      <c r="C35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6" s="6" t="s">
        <v>106</v>
      </c>
      <c r="E356" s="7">
        <f>SUMIF(Ventas[Fecha],Rdiario[[#This Row],[Fecha]],Ventas[Total])</f>
        <v>0</v>
      </c>
      <c r="F356" s="66">
        <f>SUMIF(Ventas[Fecha],Rdiario[[#This Row],[Fecha]],Ventas[Total 4])</f>
        <v>0</v>
      </c>
      <c r="G356" s="66">
        <f>Rdiario[[#This Row],[Ingresos Brutos]]-Rdiario[[#This Row],[Transferencia]]</f>
        <v>0</v>
      </c>
      <c r="H356" s="7">
        <f>Rdiario[[#This Row],[Ingresos Brutos]]-Rdiario[[#This Row],[Ganancia]]</f>
        <v>0</v>
      </c>
      <c r="I356" s="7">
        <f>SUMIF(Ventas[Fecha],Rdiario[[#This Row],[Fecha]],Ventas[Total 2])</f>
        <v>0</v>
      </c>
      <c r="J356" s="7">
        <f>SUMIF(Compras[Fecha],Rdiario[[#This Row],[Fecha]],Compras[Monto])</f>
        <v>0</v>
      </c>
      <c r="K356" s="7">
        <f>SUMIF(TGastos[Fecha],Rdiario[[#This Row],[Fecha]],TGastos[Monto])</f>
        <v>0</v>
      </c>
      <c r="L356" s="7">
        <f>Rdiario[[#This Row],[Ingresos Brutos]]-Rdiario[[#This Row],[Compras]]-Rdiario[[#This Row],[Gastos]]</f>
        <v>0</v>
      </c>
      <c r="M356" s="7">
        <f>Rdiario[[#This Row],[Ganancia]]-Rdiario[[#This Row],[Compras]]-Rdiario[[#This Row],[Gastos]]</f>
        <v>0</v>
      </c>
      <c r="P356" s="16"/>
    </row>
    <row r="357" spans="2:16">
      <c r="B357" s="9">
        <v>45280</v>
      </c>
      <c r="C35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7" s="6" t="s">
        <v>107</v>
      </c>
      <c r="E357" s="7">
        <f>SUMIF(Ventas[Fecha],Rdiario[[#This Row],[Fecha]],Ventas[Total])</f>
        <v>0</v>
      </c>
      <c r="F357" s="66">
        <f>SUMIF(Ventas[Fecha],Rdiario[[#This Row],[Fecha]],Ventas[Total 4])</f>
        <v>0</v>
      </c>
      <c r="G357" s="66">
        <f>Rdiario[[#This Row],[Ingresos Brutos]]-Rdiario[[#This Row],[Transferencia]]</f>
        <v>0</v>
      </c>
      <c r="H357" s="7">
        <f>Rdiario[[#This Row],[Ingresos Brutos]]-Rdiario[[#This Row],[Ganancia]]</f>
        <v>0</v>
      </c>
      <c r="I357" s="7">
        <f>SUMIF(Ventas[Fecha],Rdiario[[#This Row],[Fecha]],Ventas[Total 2])</f>
        <v>0</v>
      </c>
      <c r="J357" s="7">
        <f>SUMIF(Compras[Fecha],Rdiario[[#This Row],[Fecha]],Compras[Monto])</f>
        <v>0</v>
      </c>
      <c r="K357" s="7">
        <f>SUMIF(TGastos[Fecha],Rdiario[[#This Row],[Fecha]],TGastos[Monto])</f>
        <v>0</v>
      </c>
      <c r="L357" s="7">
        <f>Rdiario[[#This Row],[Ingresos Brutos]]-Rdiario[[#This Row],[Compras]]-Rdiario[[#This Row],[Gastos]]</f>
        <v>0</v>
      </c>
      <c r="M357" s="7">
        <f>Rdiario[[#This Row],[Ganancia]]-Rdiario[[#This Row],[Compras]]-Rdiario[[#This Row],[Gastos]]</f>
        <v>0</v>
      </c>
      <c r="P357" s="16"/>
    </row>
    <row r="358" spans="2:16">
      <c r="B358" s="9">
        <v>45281</v>
      </c>
      <c r="C35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8" s="6" t="s">
        <v>108</v>
      </c>
      <c r="E358" s="7">
        <f>SUMIF(Ventas[Fecha],Rdiario[[#This Row],[Fecha]],Ventas[Total])</f>
        <v>0</v>
      </c>
      <c r="F358" s="66">
        <f>SUMIF(Ventas[Fecha],Rdiario[[#This Row],[Fecha]],Ventas[Total 4])</f>
        <v>0</v>
      </c>
      <c r="G358" s="66">
        <f>Rdiario[[#This Row],[Ingresos Brutos]]-Rdiario[[#This Row],[Transferencia]]</f>
        <v>0</v>
      </c>
      <c r="H358" s="7">
        <f>Rdiario[[#This Row],[Ingresos Brutos]]-Rdiario[[#This Row],[Ganancia]]</f>
        <v>0</v>
      </c>
      <c r="I358" s="7">
        <f>SUMIF(Ventas[Fecha],Rdiario[[#This Row],[Fecha]],Ventas[Total 2])</f>
        <v>0</v>
      </c>
      <c r="J358" s="7">
        <f>SUMIF(Compras[Fecha],Rdiario[[#This Row],[Fecha]],Compras[Monto])</f>
        <v>0</v>
      </c>
      <c r="K358" s="7">
        <f>SUMIF(TGastos[Fecha],Rdiario[[#This Row],[Fecha]],TGastos[Monto])</f>
        <v>0</v>
      </c>
      <c r="L358" s="7">
        <f>Rdiario[[#This Row],[Ingresos Brutos]]-Rdiario[[#This Row],[Compras]]-Rdiario[[#This Row],[Gastos]]</f>
        <v>0</v>
      </c>
      <c r="M358" s="7">
        <f>Rdiario[[#This Row],[Ganancia]]-Rdiario[[#This Row],[Compras]]-Rdiario[[#This Row],[Gastos]]</f>
        <v>0</v>
      </c>
      <c r="P358" s="16"/>
    </row>
    <row r="359" spans="2:16">
      <c r="B359" s="9">
        <v>45282</v>
      </c>
      <c r="C35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9" s="6" t="s">
        <v>109</v>
      </c>
      <c r="E359" s="7">
        <f>SUMIF(Ventas[Fecha],Rdiario[[#This Row],[Fecha]],Ventas[Total])</f>
        <v>0</v>
      </c>
      <c r="F359" s="66">
        <f>SUMIF(Ventas[Fecha],Rdiario[[#This Row],[Fecha]],Ventas[Total 4])</f>
        <v>0</v>
      </c>
      <c r="G359" s="66">
        <f>Rdiario[[#This Row],[Ingresos Brutos]]-Rdiario[[#This Row],[Transferencia]]</f>
        <v>0</v>
      </c>
      <c r="H359" s="7">
        <f>Rdiario[[#This Row],[Ingresos Brutos]]-Rdiario[[#This Row],[Ganancia]]</f>
        <v>0</v>
      </c>
      <c r="I359" s="7">
        <f>SUMIF(Ventas[Fecha],Rdiario[[#This Row],[Fecha]],Ventas[Total 2])</f>
        <v>0</v>
      </c>
      <c r="J359" s="7">
        <f>SUMIF(Compras[Fecha],Rdiario[[#This Row],[Fecha]],Compras[Monto])</f>
        <v>0</v>
      </c>
      <c r="K359" s="7">
        <f>SUMIF(TGastos[Fecha],Rdiario[[#This Row],[Fecha]],TGastos[Monto])</f>
        <v>0</v>
      </c>
      <c r="L359" s="7">
        <f>Rdiario[[#This Row],[Ingresos Brutos]]-Rdiario[[#This Row],[Compras]]-Rdiario[[#This Row],[Gastos]]</f>
        <v>0</v>
      </c>
      <c r="M359" s="7">
        <f>Rdiario[[#This Row],[Ganancia]]-Rdiario[[#This Row],[Compras]]-Rdiario[[#This Row],[Gastos]]</f>
        <v>0</v>
      </c>
      <c r="P359" s="16"/>
    </row>
    <row r="360" spans="2:16">
      <c r="B360" s="9">
        <v>45283</v>
      </c>
      <c r="C36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0" s="6" t="s">
        <v>110</v>
      </c>
      <c r="E360" s="7">
        <f>SUMIF(Ventas[Fecha],Rdiario[[#This Row],[Fecha]],Ventas[Total])</f>
        <v>0</v>
      </c>
      <c r="F360" s="66">
        <f>SUMIF(Ventas[Fecha],Rdiario[[#This Row],[Fecha]],Ventas[Total 4])</f>
        <v>0</v>
      </c>
      <c r="G360" s="66">
        <f>Rdiario[[#This Row],[Ingresos Brutos]]-Rdiario[[#This Row],[Transferencia]]</f>
        <v>0</v>
      </c>
      <c r="H360" s="7">
        <f>Rdiario[[#This Row],[Ingresos Brutos]]-Rdiario[[#This Row],[Ganancia]]</f>
        <v>0</v>
      </c>
      <c r="I360" s="7">
        <f>SUMIF(Ventas[Fecha],Rdiario[[#This Row],[Fecha]],Ventas[Total 2])</f>
        <v>0</v>
      </c>
      <c r="J360" s="7">
        <f>SUMIF(Compras[Fecha],Rdiario[[#This Row],[Fecha]],Compras[Monto])</f>
        <v>0</v>
      </c>
      <c r="K360" s="7">
        <f>SUMIF(TGastos[Fecha],Rdiario[[#This Row],[Fecha]],TGastos[Monto])</f>
        <v>0</v>
      </c>
      <c r="L360" s="7">
        <f>Rdiario[[#This Row],[Ingresos Brutos]]-Rdiario[[#This Row],[Compras]]-Rdiario[[#This Row],[Gastos]]</f>
        <v>0</v>
      </c>
      <c r="M360" s="7">
        <f>Rdiario[[#This Row],[Ganancia]]-Rdiario[[#This Row],[Compras]]-Rdiario[[#This Row],[Gastos]]</f>
        <v>0</v>
      </c>
      <c r="P360" s="16"/>
    </row>
    <row r="361" spans="2:16">
      <c r="B361" s="9">
        <v>45284</v>
      </c>
      <c r="C36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1" s="6" t="s">
        <v>104</v>
      </c>
      <c r="E361" s="7">
        <f>SUMIF(Ventas[Fecha],Rdiario[[#This Row],[Fecha]],Ventas[Total])</f>
        <v>0</v>
      </c>
      <c r="F361" s="66">
        <f>SUMIF(Ventas[Fecha],Rdiario[[#This Row],[Fecha]],Ventas[Total 4])</f>
        <v>0</v>
      </c>
      <c r="G361" s="66">
        <f>Rdiario[[#This Row],[Ingresos Brutos]]-Rdiario[[#This Row],[Transferencia]]</f>
        <v>0</v>
      </c>
      <c r="H361" s="7">
        <f>Rdiario[[#This Row],[Ingresos Brutos]]-Rdiario[[#This Row],[Ganancia]]</f>
        <v>0</v>
      </c>
      <c r="I361" s="7">
        <f>SUMIF(Ventas[Fecha],Rdiario[[#This Row],[Fecha]],Ventas[Total 2])</f>
        <v>0</v>
      </c>
      <c r="J361" s="7">
        <f>SUMIF(Compras[Fecha],Rdiario[[#This Row],[Fecha]],Compras[Monto])</f>
        <v>0</v>
      </c>
      <c r="K361" s="7">
        <f>SUMIF(TGastos[Fecha],Rdiario[[#This Row],[Fecha]],TGastos[Monto])</f>
        <v>0</v>
      </c>
      <c r="L361" s="7">
        <f>Rdiario[[#This Row],[Ingresos Brutos]]-Rdiario[[#This Row],[Compras]]-Rdiario[[#This Row],[Gastos]]</f>
        <v>0</v>
      </c>
      <c r="M361" s="7">
        <f>Rdiario[[#This Row],[Ganancia]]-Rdiario[[#This Row],[Compras]]-Rdiario[[#This Row],[Gastos]]</f>
        <v>0</v>
      </c>
      <c r="P361" s="16"/>
    </row>
    <row r="362" spans="2:16">
      <c r="B362" s="9">
        <v>45285</v>
      </c>
      <c r="C36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2" s="6" t="s">
        <v>105</v>
      </c>
      <c r="E362" s="7">
        <f>SUMIF(Ventas[Fecha],Rdiario[[#This Row],[Fecha]],Ventas[Total])</f>
        <v>0</v>
      </c>
      <c r="F362" s="66">
        <f>SUMIF(Ventas[Fecha],Rdiario[[#This Row],[Fecha]],Ventas[Total 4])</f>
        <v>0</v>
      </c>
      <c r="G362" s="66">
        <f>Rdiario[[#This Row],[Ingresos Brutos]]-Rdiario[[#This Row],[Transferencia]]</f>
        <v>0</v>
      </c>
      <c r="H362" s="7">
        <f>Rdiario[[#This Row],[Ingresos Brutos]]-Rdiario[[#This Row],[Ganancia]]</f>
        <v>0</v>
      </c>
      <c r="I362" s="7">
        <f>SUMIF(Ventas[Fecha],Rdiario[[#This Row],[Fecha]],Ventas[Total 2])</f>
        <v>0</v>
      </c>
      <c r="J362" s="7">
        <f>SUMIF(Compras[Fecha],Rdiario[[#This Row],[Fecha]],Compras[Monto])</f>
        <v>0</v>
      </c>
      <c r="K362" s="7">
        <f>SUMIF(TGastos[Fecha],Rdiario[[#This Row],[Fecha]],TGastos[Monto])</f>
        <v>0</v>
      </c>
      <c r="L362" s="7">
        <f>Rdiario[[#This Row],[Ingresos Brutos]]-Rdiario[[#This Row],[Compras]]-Rdiario[[#This Row],[Gastos]]</f>
        <v>0</v>
      </c>
      <c r="M362" s="7">
        <f>Rdiario[[#This Row],[Ganancia]]-Rdiario[[#This Row],[Compras]]-Rdiario[[#This Row],[Gastos]]</f>
        <v>0</v>
      </c>
      <c r="P362" s="16"/>
    </row>
    <row r="363" spans="2:16">
      <c r="B363" s="9">
        <v>45286</v>
      </c>
      <c r="C36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3" s="6" t="s">
        <v>106</v>
      </c>
      <c r="E363" s="7">
        <f>SUMIF(Ventas[Fecha],Rdiario[[#This Row],[Fecha]],Ventas[Total])</f>
        <v>0</v>
      </c>
      <c r="F363" s="66">
        <f>SUMIF(Ventas[Fecha],Rdiario[[#This Row],[Fecha]],Ventas[Total 4])</f>
        <v>0</v>
      </c>
      <c r="G363" s="66">
        <f>Rdiario[[#This Row],[Ingresos Brutos]]-Rdiario[[#This Row],[Transferencia]]</f>
        <v>0</v>
      </c>
      <c r="H363" s="7">
        <f>Rdiario[[#This Row],[Ingresos Brutos]]-Rdiario[[#This Row],[Ganancia]]</f>
        <v>0</v>
      </c>
      <c r="I363" s="7">
        <f>SUMIF(Ventas[Fecha],Rdiario[[#This Row],[Fecha]],Ventas[Total 2])</f>
        <v>0</v>
      </c>
      <c r="J363" s="7">
        <f>SUMIF(Compras[Fecha],Rdiario[[#This Row],[Fecha]],Compras[Monto])</f>
        <v>0</v>
      </c>
      <c r="K363" s="7">
        <f>SUMIF(TGastos[Fecha],Rdiario[[#This Row],[Fecha]],TGastos[Monto])</f>
        <v>0</v>
      </c>
      <c r="L363" s="7">
        <f>Rdiario[[#This Row],[Ingresos Brutos]]-Rdiario[[#This Row],[Compras]]-Rdiario[[#This Row],[Gastos]]</f>
        <v>0</v>
      </c>
      <c r="M363" s="7">
        <f>Rdiario[[#This Row],[Ganancia]]-Rdiario[[#This Row],[Compras]]-Rdiario[[#This Row],[Gastos]]</f>
        <v>0</v>
      </c>
      <c r="P363" s="16"/>
    </row>
    <row r="364" spans="2:16">
      <c r="B364" s="9">
        <v>45287</v>
      </c>
      <c r="C36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4" s="6" t="s">
        <v>107</v>
      </c>
      <c r="E364" s="7">
        <f>SUMIF(Ventas[Fecha],Rdiario[[#This Row],[Fecha]],Ventas[Total])</f>
        <v>0</v>
      </c>
      <c r="F364" s="66">
        <f>SUMIF(Ventas[Fecha],Rdiario[[#This Row],[Fecha]],Ventas[Total 4])</f>
        <v>0</v>
      </c>
      <c r="G364" s="66">
        <f>Rdiario[[#This Row],[Ingresos Brutos]]-Rdiario[[#This Row],[Transferencia]]</f>
        <v>0</v>
      </c>
      <c r="H364" s="7">
        <f>Rdiario[[#This Row],[Ingresos Brutos]]-Rdiario[[#This Row],[Ganancia]]</f>
        <v>0</v>
      </c>
      <c r="I364" s="7">
        <f>SUMIF(Ventas[Fecha],Rdiario[[#This Row],[Fecha]],Ventas[Total 2])</f>
        <v>0</v>
      </c>
      <c r="J364" s="7">
        <f>SUMIF(Compras[Fecha],Rdiario[[#This Row],[Fecha]],Compras[Monto])</f>
        <v>0</v>
      </c>
      <c r="K364" s="7">
        <f>SUMIF(TGastos[Fecha],Rdiario[[#This Row],[Fecha]],TGastos[Monto])</f>
        <v>0</v>
      </c>
      <c r="L364" s="7">
        <f>Rdiario[[#This Row],[Ingresos Brutos]]-Rdiario[[#This Row],[Compras]]-Rdiario[[#This Row],[Gastos]]</f>
        <v>0</v>
      </c>
      <c r="M364" s="7">
        <f>Rdiario[[#This Row],[Ganancia]]-Rdiario[[#This Row],[Compras]]-Rdiario[[#This Row],[Gastos]]</f>
        <v>0</v>
      </c>
      <c r="P364" s="16"/>
    </row>
    <row r="365" spans="2:16">
      <c r="B365" s="9">
        <v>45288</v>
      </c>
      <c r="C36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5" s="6" t="s">
        <v>108</v>
      </c>
      <c r="E365" s="7">
        <f>SUMIF(Ventas[Fecha],Rdiario[[#This Row],[Fecha]],Ventas[Total])</f>
        <v>0</v>
      </c>
      <c r="F365" s="66">
        <f>SUMIF(Ventas[Fecha],Rdiario[[#This Row],[Fecha]],Ventas[Total 4])</f>
        <v>0</v>
      </c>
      <c r="G365" s="66">
        <f>Rdiario[[#This Row],[Ingresos Brutos]]-Rdiario[[#This Row],[Transferencia]]</f>
        <v>0</v>
      </c>
      <c r="H365" s="7">
        <f>Rdiario[[#This Row],[Ingresos Brutos]]-Rdiario[[#This Row],[Ganancia]]</f>
        <v>0</v>
      </c>
      <c r="I365" s="7">
        <f>SUMIF(Ventas[Fecha],Rdiario[[#This Row],[Fecha]],Ventas[Total 2])</f>
        <v>0</v>
      </c>
      <c r="J365" s="7">
        <f>SUMIF(Compras[Fecha],Rdiario[[#This Row],[Fecha]],Compras[Monto])</f>
        <v>0</v>
      </c>
      <c r="K365" s="7">
        <f>SUMIF(TGastos[Fecha],Rdiario[[#This Row],[Fecha]],TGastos[Monto])</f>
        <v>0</v>
      </c>
      <c r="L365" s="7">
        <f>Rdiario[[#This Row],[Ingresos Brutos]]-Rdiario[[#This Row],[Compras]]-Rdiario[[#This Row],[Gastos]]</f>
        <v>0</v>
      </c>
      <c r="M365" s="7">
        <f>Rdiario[[#This Row],[Ganancia]]-Rdiario[[#This Row],[Compras]]-Rdiario[[#This Row],[Gastos]]</f>
        <v>0</v>
      </c>
      <c r="P365" s="16"/>
    </row>
    <row r="366" spans="2:16">
      <c r="B366" s="9">
        <v>45289</v>
      </c>
      <c r="C36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6" s="6" t="s">
        <v>109</v>
      </c>
      <c r="E366" s="7">
        <f>SUMIF(Ventas[Fecha],Rdiario[[#This Row],[Fecha]],Ventas[Total])</f>
        <v>0</v>
      </c>
      <c r="F366" s="66">
        <f>SUMIF(Ventas[Fecha],Rdiario[[#This Row],[Fecha]],Ventas[Total 4])</f>
        <v>0</v>
      </c>
      <c r="G366" s="66">
        <f>Rdiario[[#This Row],[Ingresos Brutos]]-Rdiario[[#This Row],[Transferencia]]</f>
        <v>0</v>
      </c>
      <c r="H366" s="7">
        <f>Rdiario[[#This Row],[Ingresos Brutos]]-Rdiario[[#This Row],[Ganancia]]</f>
        <v>0</v>
      </c>
      <c r="I366" s="7">
        <f>SUMIF(Ventas[Fecha],Rdiario[[#This Row],[Fecha]],Ventas[Total 2])</f>
        <v>0</v>
      </c>
      <c r="J366" s="7">
        <f>SUMIF(Compras[Fecha],Rdiario[[#This Row],[Fecha]],Compras[Monto])</f>
        <v>0</v>
      </c>
      <c r="K366" s="7">
        <f>SUMIF(TGastos[Fecha],Rdiario[[#This Row],[Fecha]],TGastos[Monto])</f>
        <v>0</v>
      </c>
      <c r="L366" s="7">
        <f>Rdiario[[#This Row],[Ingresos Brutos]]-Rdiario[[#This Row],[Compras]]-Rdiario[[#This Row],[Gastos]]</f>
        <v>0</v>
      </c>
      <c r="M366" s="7">
        <f>Rdiario[[#This Row],[Ganancia]]-Rdiario[[#This Row],[Compras]]-Rdiario[[#This Row],[Gastos]]</f>
        <v>0</v>
      </c>
      <c r="P366" s="16"/>
    </row>
    <row r="367" spans="2:16">
      <c r="B367" s="9">
        <v>45290</v>
      </c>
      <c r="C36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7" s="6" t="s">
        <v>110</v>
      </c>
      <c r="E367" s="7">
        <f>SUMIF(Ventas[Fecha],Rdiario[[#This Row],[Fecha]],Ventas[Total])</f>
        <v>0</v>
      </c>
      <c r="F367" s="66">
        <f>SUMIF(Ventas[Fecha],Rdiario[[#This Row],[Fecha]],Ventas[Total 4])</f>
        <v>0</v>
      </c>
      <c r="G367" s="66">
        <f>Rdiario[[#This Row],[Ingresos Brutos]]-Rdiario[[#This Row],[Transferencia]]</f>
        <v>0</v>
      </c>
      <c r="H367" s="7">
        <f>Rdiario[[#This Row],[Ingresos Brutos]]-Rdiario[[#This Row],[Ganancia]]</f>
        <v>0</v>
      </c>
      <c r="I367" s="7">
        <f>SUMIF(Ventas[Fecha],Rdiario[[#This Row],[Fecha]],Ventas[Total 2])</f>
        <v>0</v>
      </c>
      <c r="J367" s="7">
        <f>SUMIF(Compras[Fecha],Rdiario[[#This Row],[Fecha]],Compras[Monto])</f>
        <v>0</v>
      </c>
      <c r="K367" s="7">
        <f>SUMIF(TGastos[Fecha],Rdiario[[#This Row],[Fecha]],TGastos[Monto])</f>
        <v>0</v>
      </c>
      <c r="L367" s="7">
        <f>Rdiario[[#This Row],[Ingresos Brutos]]-Rdiario[[#This Row],[Compras]]-Rdiario[[#This Row],[Gastos]]</f>
        <v>0</v>
      </c>
      <c r="M367" s="7">
        <f>Rdiario[[#This Row],[Ganancia]]-Rdiario[[#This Row],[Compras]]-Rdiario[[#This Row],[Gastos]]</f>
        <v>0</v>
      </c>
      <c r="P367" s="16"/>
    </row>
    <row r="368" spans="2:16">
      <c r="B368" s="9">
        <v>45291</v>
      </c>
      <c r="C36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8" s="6" t="s">
        <v>104</v>
      </c>
      <c r="E368" s="7">
        <f>SUMIF(Ventas[Fecha],Rdiario[[#This Row],[Fecha]],Ventas[Total])</f>
        <v>0</v>
      </c>
      <c r="F368" s="66">
        <f>SUMIF(Ventas[Fecha],Rdiario[[#This Row],[Fecha]],Ventas[Total 4])</f>
        <v>0</v>
      </c>
      <c r="G368" s="66">
        <f>Rdiario[[#This Row],[Ingresos Brutos]]-Rdiario[[#This Row],[Transferencia]]</f>
        <v>0</v>
      </c>
      <c r="H368" s="7">
        <f>Rdiario[[#This Row],[Ingresos Brutos]]-Rdiario[[#This Row],[Ganancia]]</f>
        <v>0</v>
      </c>
      <c r="I368" s="7">
        <f>SUMIF(Ventas[Fecha],Rdiario[[#This Row],[Fecha]],Ventas[Total 2])</f>
        <v>0</v>
      </c>
      <c r="J368" s="7">
        <f>SUMIF(Compras[Fecha],Rdiario[[#This Row],[Fecha]],Compras[Monto])</f>
        <v>0</v>
      </c>
      <c r="K368" s="7">
        <f>SUMIF(TGastos[Fecha],Rdiario[[#This Row],[Fecha]],TGastos[Monto])</f>
        <v>0</v>
      </c>
      <c r="L368" s="7">
        <f>Rdiario[[#This Row],[Ingresos Brutos]]-Rdiario[[#This Row],[Compras]]-Rdiario[[#This Row],[Gastos]]</f>
        <v>0</v>
      </c>
      <c r="M368" s="7">
        <f>Rdiario[[#This Row],[Ganancia]]-Rdiario[[#This Row],[Compras]]-Rdiario[[#This Row],[Gastos]]</f>
        <v>0</v>
      </c>
      <c r="P368" s="16"/>
    </row>
  </sheetData>
  <mergeCells count="1">
    <mergeCell ref="B2:M2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O48"/>
  <sheetViews>
    <sheetView showGridLines="0" workbookViewId="0">
      <pane ySplit="3" topLeftCell="A4" activePane="bottomLeft" state="frozen"/>
      <selection pane="bottomLeft"/>
    </sheetView>
  </sheetViews>
  <sheetFormatPr baseColWidth="10" defaultRowHeight="15"/>
  <cols>
    <col min="1" max="1" width="0.28515625" customWidth="1"/>
    <col min="2" max="2" width="13" customWidth="1"/>
    <col min="3" max="3" width="15.85546875" customWidth="1"/>
    <col min="4" max="4" width="17.42578125" customWidth="1"/>
    <col min="5" max="5" width="17.28515625" customWidth="1"/>
    <col min="6" max="6" width="16.140625" customWidth="1"/>
    <col min="7" max="7" width="16.85546875" customWidth="1"/>
    <col min="8" max="8" width="15.140625" customWidth="1"/>
    <col min="9" max="9" width="17.42578125" style="16" customWidth="1"/>
    <col min="10" max="10" width="15.85546875" customWidth="1"/>
    <col min="11" max="11" width="18.7109375" style="16" customWidth="1"/>
    <col min="12" max="12" width="11.42578125" style="16"/>
    <col min="13" max="13" width="13.5703125" style="16" customWidth="1"/>
    <col min="14" max="15" width="11.42578125" style="16"/>
  </cols>
  <sheetData>
    <row r="1" spans="2:13" ht="64.5" customHeight="1">
      <c r="B1" s="16"/>
      <c r="C1" s="16"/>
      <c r="D1" s="16"/>
      <c r="E1" s="16"/>
      <c r="F1" s="16"/>
      <c r="G1" s="16"/>
      <c r="H1" s="16"/>
      <c r="J1" s="16"/>
    </row>
    <row r="2" spans="2:13" ht="79.5" customHeight="1">
      <c r="B2" s="70" t="s">
        <v>11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2:13" ht="23.25" customHeight="1">
      <c r="B3" t="s">
        <v>7</v>
      </c>
      <c r="C3" s="2" t="s">
        <v>100</v>
      </c>
      <c r="D3" s="31" t="s">
        <v>759</v>
      </c>
      <c r="E3" s="28" t="s">
        <v>760</v>
      </c>
      <c r="F3" s="8" t="s">
        <v>111</v>
      </c>
      <c r="G3" s="3" t="s">
        <v>8</v>
      </c>
      <c r="H3" s="4" t="s">
        <v>9</v>
      </c>
      <c r="I3" s="1" t="s">
        <v>101</v>
      </c>
      <c r="J3" t="s">
        <v>102</v>
      </c>
      <c r="K3" s="27" t="s">
        <v>747</v>
      </c>
      <c r="L3" s="28" t="s">
        <v>748</v>
      </c>
      <c r="M3" t="s">
        <v>749</v>
      </c>
    </row>
    <row r="4" spans="2:13">
      <c r="B4" t="s">
        <v>13</v>
      </c>
      <c r="C4" s="7">
        <f>SUMIF(Rdiario[Mes],Rmensual[[#This Row],[Mes]],Rdiario[Ingresos Brutos])</f>
        <v>465010</v>
      </c>
      <c r="D4" s="7">
        <f>SUMIF(Rdiario[Mes],Rmensual[[#This Row],[Mes]],Rdiario[Transferencia])</f>
        <v>0</v>
      </c>
      <c r="E4" s="7">
        <f>SUMIF(Rdiario[Mes],Rmensual[[#This Row],[Mes]],Rdiario[Efectivo])</f>
        <v>465010</v>
      </c>
      <c r="F4" s="7">
        <f>SUMIF(Rdiario[Mes],Rmensual[[#This Row],[Mes]],Rdiario[Ganancia])</f>
        <v>222953</v>
      </c>
      <c r="G4" s="7">
        <f>SUMIF(Rdiario[Mes],Rmensual[[#This Row],[Mes]],Rdiario[Compras])</f>
        <v>1239806</v>
      </c>
      <c r="H4" s="7">
        <f>SUMIF(Rdiario[Mes],Rmensual[[#This Row],[Mes]],Rdiario[Gastos])</f>
        <v>72700</v>
      </c>
      <c r="I4" s="7">
        <f>Rmensual[[#This Row],[Ingresos Brutos]]-Rmensual[[#This Row],[Compras]]-Rmensual[[#This Row],[Gastos]]</f>
        <v>-847496</v>
      </c>
      <c r="J4" s="7">
        <f>Rmensual[[#This Row],[Ingresos Finales]]-Rmensual[[#This Row],[Gastos]]</f>
        <v>150253</v>
      </c>
      <c r="K4" s="7">
        <f>Rmensual[[#This Row],[Ingresos Brutos]]-Rmensual[[#This Row],[Ingresos Finales]]</f>
        <v>242057</v>
      </c>
      <c r="L4" s="7">
        <f>Rmensual[[#This Row],[Ganancias Finales]]*10/100</f>
        <v>15025.3</v>
      </c>
      <c r="M4" s="7">
        <f>Rmensual[[#This Row],[Ganancias Finales]]-Rmensual[[#This Row],[Porcentaje de Ganancias]]</f>
        <v>135227.70000000001</v>
      </c>
    </row>
    <row r="5" spans="2:13">
      <c r="B5" t="s">
        <v>14</v>
      </c>
      <c r="C5" s="7">
        <f>SUMIF(Rdiario[Mes],Rmensual[[#This Row],[Mes]],Rdiario[Ingresos Brutos])</f>
        <v>692100</v>
      </c>
      <c r="D5" s="7">
        <f>SUMIF(Rdiario[Mes],Rmensual[[#This Row],[Mes]],Rdiario[Transferencia])</f>
        <v>0</v>
      </c>
      <c r="E5" s="7">
        <f>SUMIF(Rdiario[Mes],Rmensual[[#This Row],[Mes]],Rdiario[Efectivo])</f>
        <v>692100</v>
      </c>
      <c r="F5" s="7">
        <f>SUMIF(Rdiario[Mes],Rmensual[[#This Row],[Mes]],Rdiario[Ganancia])</f>
        <v>313152</v>
      </c>
      <c r="G5" s="7">
        <f>SUMIF(Rdiario[Mes],Rmensual[[#This Row],[Mes]],Rdiario[Compras])</f>
        <v>496130</v>
      </c>
      <c r="H5" s="7">
        <f>SUMIF(Rdiario[Mes],Rmensual[[#This Row],[Mes]],Rdiario[Gastos])</f>
        <v>91260</v>
      </c>
      <c r="I5" s="7">
        <f>Rmensual[[#This Row],[Ingresos Brutos]]-Rmensual[[#This Row],[Compras]]-Rmensual[[#This Row],[Gastos]]</f>
        <v>104710</v>
      </c>
      <c r="J5" s="7">
        <f>Rmensual[[#This Row],[Ingresos Finales]]-Rmensual[[#This Row],[Gastos]]</f>
        <v>221892</v>
      </c>
      <c r="K5" s="7">
        <f>Rmensual[[#This Row],[Ingresos Brutos]]-Rmensual[[#This Row],[Ingresos Finales]]</f>
        <v>378948</v>
      </c>
      <c r="L5" s="7">
        <f>Rmensual[[#This Row],[Ganancias Finales]]*10/100</f>
        <v>22189.200000000001</v>
      </c>
      <c r="M5" s="7">
        <f>Rmensual[[#This Row],[Ganancias Finales]]-Rmensual[[#This Row],[Porcentaje de Ganancias]]</f>
        <v>199702.8</v>
      </c>
    </row>
    <row r="6" spans="2:13">
      <c r="B6" t="s">
        <v>15</v>
      </c>
      <c r="C6" s="7">
        <f>SUMIF(Rdiario[Mes],Rmensual[[#This Row],[Mes]],Rdiario[Ingresos Brutos])</f>
        <v>749960</v>
      </c>
      <c r="D6" s="7">
        <f>SUMIF(Rdiario[Mes],Rmensual[[#This Row],[Mes]],Rdiario[Transferencia])</f>
        <v>15300</v>
      </c>
      <c r="E6" s="7">
        <f>SUMIF(Rdiario[Mes],Rmensual[[#This Row],[Mes]],Rdiario[Efectivo])</f>
        <v>734660</v>
      </c>
      <c r="F6" s="7">
        <f>SUMIF(Rdiario[Mes],Rmensual[[#This Row],[Mes]],Rdiario[Ganancia])</f>
        <v>324975</v>
      </c>
      <c r="G6" s="7">
        <f>SUMIF(Rdiario[Mes],Rmensual[[#This Row],[Mes]],Rdiario[Compras])</f>
        <v>326153</v>
      </c>
      <c r="H6" s="7">
        <f>SUMIF(Rdiario[Mes],Rmensual[[#This Row],[Mes]],Rdiario[Gastos])</f>
        <v>111730</v>
      </c>
      <c r="I6" s="7">
        <f>Rmensual[[#This Row],[Ingresos Brutos]]-Rmensual[[#This Row],[Compras]]-Rmensual[[#This Row],[Gastos]]</f>
        <v>312077</v>
      </c>
      <c r="J6" s="7">
        <f>Rmensual[[#This Row],[Ingresos Finales]]-Rmensual[[#This Row],[Gastos]]</f>
        <v>213245</v>
      </c>
      <c r="K6" s="7">
        <f>Rmensual[[#This Row],[Ingresos Brutos]]-Rmensual[[#This Row],[Ingresos Finales]]</f>
        <v>424985</v>
      </c>
      <c r="L6" s="7">
        <f>Rmensual[[#This Row],[Ganancias Finales]]*10/100</f>
        <v>21324.5</v>
      </c>
      <c r="M6" s="7">
        <f>Rmensual[[#This Row],[Ganancias Finales]]-Rmensual[[#This Row],[Porcentaje de Ganancias]]</f>
        <v>191920.5</v>
      </c>
    </row>
    <row r="7" spans="2:13">
      <c r="B7" t="s">
        <v>16</v>
      </c>
      <c r="C7" s="7">
        <f>SUMIF(Rdiario[Mes],Rmensual[[#This Row],[Mes]],Rdiario[Ingresos Brutos])</f>
        <v>331000</v>
      </c>
      <c r="D7" s="7">
        <f>SUMIF(Rdiario[Mes],Rmensual[[#This Row],[Mes]],Rdiario[Transferencia])</f>
        <v>92500</v>
      </c>
      <c r="E7" s="7">
        <f>SUMIF(Rdiario[Mes],Rmensual[[#This Row],[Mes]],Rdiario[Efectivo])</f>
        <v>238500</v>
      </c>
      <c r="F7" s="7">
        <f>SUMIF(Rdiario[Mes],Rmensual[[#This Row],[Mes]],Rdiario[Ganancia])</f>
        <v>156418</v>
      </c>
      <c r="G7" s="7">
        <f>SUMIF(Rdiario[Mes],Rmensual[[#This Row],[Mes]],Rdiario[Compras])</f>
        <v>67440</v>
      </c>
      <c r="H7" s="7">
        <f>SUMIF(Rdiario[Mes],Rmensual[[#This Row],[Mes]],Rdiario[Gastos])</f>
        <v>90220</v>
      </c>
      <c r="I7" s="7">
        <f>Rmensual[[#This Row],[Ingresos Brutos]]-Rmensual[[#This Row],[Compras]]-Rmensual[[#This Row],[Gastos]]</f>
        <v>173340</v>
      </c>
      <c r="J7" s="7">
        <f>Rmensual[[#This Row],[Ingresos Finales]]-Rmensual[[#This Row],[Gastos]]</f>
        <v>66198</v>
      </c>
      <c r="K7" s="7">
        <f>Rmensual[[#This Row],[Ingresos Brutos]]-Rmensual[[#This Row],[Ingresos Finales]]</f>
        <v>174582</v>
      </c>
      <c r="L7" s="7">
        <f>Rmensual[[#This Row],[Ganancias Finales]]*10/100</f>
        <v>6619.8</v>
      </c>
      <c r="M7" s="7">
        <f>Rmensual[[#This Row],[Ganancias Finales]]-Rmensual[[#This Row],[Porcentaje de Ganancias]]</f>
        <v>59578.2</v>
      </c>
    </row>
    <row r="8" spans="2:13">
      <c r="B8" t="s">
        <v>17</v>
      </c>
      <c r="C8" s="7">
        <f>SUMIF(Rdiario[Mes],Rmensual[[#This Row],[Mes]],Rdiario[Ingresos Brutos])</f>
        <v>175300</v>
      </c>
      <c r="D8" s="7">
        <f>SUMIF(Rdiario[Mes],Rmensual[[#This Row],[Mes]],Rdiario[Transferencia])</f>
        <v>49650</v>
      </c>
      <c r="E8" s="7">
        <f>SUMIF(Rdiario[Mes],Rmensual[[#This Row],[Mes]],Rdiario[Efectivo])</f>
        <v>125650</v>
      </c>
      <c r="F8" s="7">
        <f>SUMIF(Rdiario[Mes],Rmensual[[#This Row],[Mes]],Rdiario[Ganancia])</f>
        <v>90230</v>
      </c>
      <c r="G8" s="7">
        <f>SUMIF(Rdiario[Mes],Rmensual[[#This Row],[Mes]],Rdiario[Compras])</f>
        <v>1578028</v>
      </c>
      <c r="H8" s="7">
        <f>SUMIF(Rdiario[Mes],Rmensual[[#This Row],[Mes]],Rdiario[Gastos])</f>
        <v>34680</v>
      </c>
      <c r="I8" s="7">
        <f>Rmensual[[#This Row],[Ingresos Brutos]]-Rmensual[[#This Row],[Compras]]-Rmensual[[#This Row],[Gastos]]</f>
        <v>-1437408</v>
      </c>
      <c r="J8" s="7">
        <f>Rmensual[[#This Row],[Ingresos Finales]]-Rmensual[[#This Row],[Gastos]]</f>
        <v>55550</v>
      </c>
      <c r="K8" s="7">
        <f>Rmensual[[#This Row],[Ingresos Brutos]]-Rmensual[[#This Row],[Ingresos Finales]]</f>
        <v>85070</v>
      </c>
      <c r="L8" s="7">
        <f>Rmensual[[#This Row],[Ganancias Finales]]*10/100</f>
        <v>5555</v>
      </c>
      <c r="M8" s="7">
        <f>Rmensual[[#This Row],[Ganancias Finales]]-Rmensual[[#This Row],[Porcentaje de Ganancias]]</f>
        <v>49995</v>
      </c>
    </row>
    <row r="9" spans="2:13">
      <c r="B9" t="s">
        <v>18</v>
      </c>
      <c r="C9" s="7">
        <f>SUMIF(Rdiario[Mes],Rmensual[[#This Row],[Mes]],Rdiario[Ingresos Brutos])</f>
        <v>0</v>
      </c>
      <c r="D9" s="7">
        <f>SUMIF(Rdiario[Mes],Rmensual[[#This Row],[Mes]],Rdiario[Transferencia])</f>
        <v>0</v>
      </c>
      <c r="E9" s="7">
        <f>SUMIF(Rdiario[Mes],Rmensual[[#This Row],[Mes]],Rdiario[Efectivo])</f>
        <v>0</v>
      </c>
      <c r="F9" s="7">
        <f>SUMIF(Rdiario[Mes],Rmensual[[#This Row],[Mes]],Rdiario[Ganancia])</f>
        <v>0</v>
      </c>
      <c r="G9" s="7">
        <f>SUMIF(Rdiario[Mes],Rmensual[[#This Row],[Mes]],Rdiario[Compras])</f>
        <v>0</v>
      </c>
      <c r="H9" s="7">
        <f>SUMIF(Rdiario[Mes],Rmensual[[#This Row],[Mes]],Rdiario[Gastos])</f>
        <v>0</v>
      </c>
      <c r="I9" s="7">
        <f>Rmensual[[#This Row],[Ingresos Brutos]]-Rmensual[[#This Row],[Compras]]-Rmensual[[#This Row],[Gastos]]</f>
        <v>0</v>
      </c>
      <c r="J9" s="7">
        <f>Rmensual[[#This Row],[Ingresos Finales]]-Rmensual[[#This Row],[Gastos]]</f>
        <v>0</v>
      </c>
      <c r="K9" s="7">
        <f>Rmensual[[#This Row],[Ingresos Brutos]]-Rmensual[[#This Row],[Ingresos Finales]]</f>
        <v>0</v>
      </c>
      <c r="L9" s="7">
        <f>Rmensual[[#This Row],[Ganancias Finales]]*10/100</f>
        <v>0</v>
      </c>
      <c r="M9" s="7">
        <f>Rmensual[[#This Row],[Ganancias Finales]]-Rmensual[[#This Row],[Porcentaje de Ganancias]]</f>
        <v>0</v>
      </c>
    </row>
    <row r="10" spans="2:13">
      <c r="B10" t="s">
        <v>19</v>
      </c>
      <c r="C10" s="7">
        <f>SUMIF(Rdiario[Mes],Rmensual[[#This Row],[Mes]],Rdiario[Ingresos Brutos])</f>
        <v>0</v>
      </c>
      <c r="D10" s="7">
        <f>SUMIF(Rdiario[Mes],Rmensual[[#This Row],[Mes]],Rdiario[Transferencia])</f>
        <v>0</v>
      </c>
      <c r="E10" s="7">
        <f>SUMIF(Rdiario[Mes],Rmensual[[#This Row],[Mes]],Rdiario[Efectivo])</f>
        <v>0</v>
      </c>
      <c r="F10" s="7">
        <f>SUMIF(Rdiario[Mes],Rmensual[[#This Row],[Mes]],Rdiario[Ganancia])</f>
        <v>0</v>
      </c>
      <c r="G10" s="7">
        <f>SUMIF(Rdiario[Mes],Rmensual[[#This Row],[Mes]],Rdiario[Compras])</f>
        <v>0</v>
      </c>
      <c r="H10" s="7">
        <f>SUMIF(Rdiario[Mes],Rmensual[[#This Row],[Mes]],Rdiario[Gastos])</f>
        <v>0</v>
      </c>
      <c r="I10" s="7">
        <f>Rmensual[[#This Row],[Ingresos Brutos]]-Rmensual[[#This Row],[Compras]]-Rmensual[[#This Row],[Gastos]]</f>
        <v>0</v>
      </c>
      <c r="J10" s="7">
        <f>Rmensual[[#This Row],[Ingresos Finales]]-Rmensual[[#This Row],[Gastos]]</f>
        <v>0</v>
      </c>
      <c r="K10" s="7">
        <f>Rmensual[[#This Row],[Ingresos Brutos]]-Rmensual[[#This Row],[Ingresos Finales]]</f>
        <v>0</v>
      </c>
      <c r="L10" s="7">
        <f>Rmensual[[#This Row],[Ganancias Finales]]*10/100</f>
        <v>0</v>
      </c>
      <c r="M10" s="7">
        <f>Rmensual[[#This Row],[Ganancias Finales]]-Rmensual[[#This Row],[Porcentaje de Ganancias]]</f>
        <v>0</v>
      </c>
    </row>
    <row r="11" spans="2:13">
      <c r="B11" t="s">
        <v>20</v>
      </c>
      <c r="C11" s="7">
        <f>SUMIF(Rdiario[Mes],Rmensual[[#This Row],[Mes]],Rdiario[Ingresos Brutos])</f>
        <v>0</v>
      </c>
      <c r="D11" s="7">
        <f>SUMIF(Rdiario[Mes],Rmensual[[#This Row],[Mes]],Rdiario[Transferencia])</f>
        <v>0</v>
      </c>
      <c r="E11" s="7">
        <f>SUMIF(Rdiario[Mes],Rmensual[[#This Row],[Mes]],Rdiario[Efectivo])</f>
        <v>0</v>
      </c>
      <c r="F11" s="7">
        <f>SUMIF(Rdiario[Mes],Rmensual[[#This Row],[Mes]],Rdiario[Ganancia])</f>
        <v>0</v>
      </c>
      <c r="G11" s="7">
        <f>SUMIF(Rdiario[Mes],Rmensual[[#This Row],[Mes]],Rdiario[Compras])</f>
        <v>0</v>
      </c>
      <c r="H11" s="7">
        <f>SUMIF(Rdiario[Mes],Rmensual[[#This Row],[Mes]],Rdiario[Gastos])</f>
        <v>0</v>
      </c>
      <c r="I11" s="7">
        <f>Rmensual[[#This Row],[Ingresos Brutos]]-Rmensual[[#This Row],[Compras]]-Rmensual[[#This Row],[Gastos]]</f>
        <v>0</v>
      </c>
      <c r="J11" s="7">
        <f>Rmensual[[#This Row],[Ingresos Finales]]-Rmensual[[#This Row],[Gastos]]</f>
        <v>0</v>
      </c>
      <c r="K11" s="7">
        <f>Rmensual[[#This Row],[Ingresos Brutos]]-Rmensual[[#This Row],[Ingresos Finales]]</f>
        <v>0</v>
      </c>
      <c r="L11" s="7">
        <f>Rmensual[[#This Row],[Ganancias Finales]]*10/100</f>
        <v>0</v>
      </c>
      <c r="M11" s="7">
        <f>Rmensual[[#This Row],[Ganancias Finales]]-Rmensual[[#This Row],[Porcentaje de Ganancias]]</f>
        <v>0</v>
      </c>
    </row>
    <row r="12" spans="2:13">
      <c r="B12" t="s">
        <v>21</v>
      </c>
      <c r="C12" s="7">
        <f>SUMIF(Rdiario[Mes],Rmensual[[#This Row],[Mes]],Rdiario[Ingresos Brutos])</f>
        <v>0</v>
      </c>
      <c r="D12" s="7">
        <f>SUMIF(Rdiario[Mes],Rmensual[[#This Row],[Mes]],Rdiario[Transferencia])</f>
        <v>0</v>
      </c>
      <c r="E12" s="7">
        <f>SUMIF(Rdiario[Mes],Rmensual[[#This Row],[Mes]],Rdiario[Efectivo])</f>
        <v>0</v>
      </c>
      <c r="F12" s="7">
        <f>SUMIF(Rdiario[Mes],Rmensual[[#This Row],[Mes]],Rdiario[Ganancia])</f>
        <v>0</v>
      </c>
      <c r="G12" s="7">
        <f>SUMIF(Rdiario[Mes],Rmensual[[#This Row],[Mes]],Rdiario[Compras])</f>
        <v>0</v>
      </c>
      <c r="H12" s="7">
        <f>SUMIF(Rdiario[Mes],Rmensual[[#This Row],[Mes]],Rdiario[Gastos])</f>
        <v>0</v>
      </c>
      <c r="I12" s="7">
        <f>Rmensual[[#This Row],[Ingresos Brutos]]-Rmensual[[#This Row],[Compras]]-Rmensual[[#This Row],[Gastos]]</f>
        <v>0</v>
      </c>
      <c r="J12" s="7">
        <f>Rmensual[[#This Row],[Ingresos Finales]]-Rmensual[[#This Row],[Gastos]]</f>
        <v>0</v>
      </c>
      <c r="K12" s="7">
        <f>Rmensual[[#This Row],[Ingresos Brutos]]-Rmensual[[#This Row],[Ingresos Finales]]</f>
        <v>0</v>
      </c>
      <c r="L12" s="7">
        <f>Rmensual[[#This Row],[Ganancias Finales]]*10/100</f>
        <v>0</v>
      </c>
      <c r="M12" s="7">
        <f>Rmensual[[#This Row],[Ganancias Finales]]-Rmensual[[#This Row],[Porcentaje de Ganancias]]</f>
        <v>0</v>
      </c>
    </row>
    <row r="13" spans="2:13">
      <c r="B13" t="s">
        <v>22</v>
      </c>
      <c r="C13" s="7">
        <f>SUMIF(Rdiario[Mes],Rmensual[[#This Row],[Mes]],Rdiario[Ingresos Brutos])</f>
        <v>0</v>
      </c>
      <c r="D13" s="7">
        <f>SUMIF(Rdiario[Mes],Rmensual[[#This Row],[Mes]],Rdiario[Transferencia])</f>
        <v>0</v>
      </c>
      <c r="E13" s="7">
        <f>SUMIF(Rdiario[Mes],Rmensual[[#This Row],[Mes]],Rdiario[Efectivo])</f>
        <v>0</v>
      </c>
      <c r="F13" s="7">
        <f>SUMIF(Rdiario[Mes],Rmensual[[#This Row],[Mes]],Rdiario[Ganancia])</f>
        <v>0</v>
      </c>
      <c r="G13" s="7">
        <f>SUMIF(Rdiario[Mes],Rmensual[[#This Row],[Mes]],Rdiario[Compras])</f>
        <v>0</v>
      </c>
      <c r="H13" s="7">
        <f>SUMIF(Rdiario[Mes],Rmensual[[#This Row],[Mes]],Rdiario[Gastos])</f>
        <v>0</v>
      </c>
      <c r="I13" s="7">
        <f>Rmensual[[#This Row],[Ingresos Brutos]]-Rmensual[[#This Row],[Compras]]-Rmensual[[#This Row],[Gastos]]</f>
        <v>0</v>
      </c>
      <c r="J13" s="7">
        <f>Rmensual[[#This Row],[Ingresos Finales]]-Rmensual[[#This Row],[Gastos]]</f>
        <v>0</v>
      </c>
      <c r="K13" s="7">
        <f>Rmensual[[#This Row],[Ingresos Brutos]]-Rmensual[[#This Row],[Ingresos Finales]]</f>
        <v>0</v>
      </c>
      <c r="L13" s="7">
        <f>Rmensual[[#This Row],[Ganancias Finales]]*10/100</f>
        <v>0</v>
      </c>
      <c r="M13" s="7">
        <f>Rmensual[[#This Row],[Ganancias Finales]]-Rmensual[[#This Row],[Porcentaje de Ganancias]]</f>
        <v>0</v>
      </c>
    </row>
    <row r="14" spans="2:13">
      <c r="B14" t="s">
        <v>23</v>
      </c>
      <c r="C14" s="7">
        <f>SUMIF(Rdiario[Mes],Rmensual[[#This Row],[Mes]],Rdiario[Ingresos Brutos])</f>
        <v>0</v>
      </c>
      <c r="D14" s="7">
        <f>SUMIF(Rdiario[Mes],Rmensual[[#This Row],[Mes]],Rdiario[Transferencia])</f>
        <v>0</v>
      </c>
      <c r="E14" s="7">
        <f>SUMIF(Rdiario[Mes],Rmensual[[#This Row],[Mes]],Rdiario[Efectivo])</f>
        <v>0</v>
      </c>
      <c r="F14" s="7">
        <f>SUMIF(Rdiario[Mes],Rmensual[[#This Row],[Mes]],Rdiario[Ganancia])</f>
        <v>0</v>
      </c>
      <c r="G14" s="7">
        <f>SUMIF(Rdiario[Mes],Rmensual[[#This Row],[Mes]],Rdiario[Compras])</f>
        <v>0</v>
      </c>
      <c r="H14" s="7">
        <f>SUMIF(Rdiario[Mes],Rmensual[[#This Row],[Mes]],Rdiario[Gastos])</f>
        <v>0</v>
      </c>
      <c r="I14" s="7">
        <f>Rmensual[[#This Row],[Ingresos Brutos]]-Rmensual[[#This Row],[Compras]]-Rmensual[[#This Row],[Gastos]]</f>
        <v>0</v>
      </c>
      <c r="J14" s="7">
        <f>Rmensual[[#This Row],[Ingresos Finales]]-Rmensual[[#This Row],[Gastos]]</f>
        <v>0</v>
      </c>
      <c r="K14" s="7">
        <f>Rmensual[[#This Row],[Ingresos Brutos]]-Rmensual[[#This Row],[Ingresos Finales]]</f>
        <v>0</v>
      </c>
      <c r="L14" s="7">
        <f>Rmensual[[#This Row],[Ganancias Finales]]*10/100</f>
        <v>0</v>
      </c>
      <c r="M14" s="7">
        <f>Rmensual[[#This Row],[Ganancias Finales]]-Rmensual[[#This Row],[Porcentaje de Ganancias]]</f>
        <v>0</v>
      </c>
    </row>
    <row r="15" spans="2:13">
      <c r="B15" t="s">
        <v>24</v>
      </c>
      <c r="C15" s="7">
        <f>SUMIF(Rdiario[Mes],Rmensual[[#This Row],[Mes]],Rdiario[Ingresos Brutos])</f>
        <v>0</v>
      </c>
      <c r="D15" s="7">
        <f>SUMIF(Rdiario[Mes],Rmensual[[#This Row],[Mes]],Rdiario[Transferencia])</f>
        <v>0</v>
      </c>
      <c r="E15" s="7">
        <f>SUMIF(Rdiario[Mes],Rmensual[[#This Row],[Mes]],Rdiario[Efectivo])</f>
        <v>0</v>
      </c>
      <c r="F15" s="7">
        <f>SUMIF(Rdiario[Mes],Rmensual[[#This Row],[Mes]],Rdiario[Ganancia])</f>
        <v>0</v>
      </c>
      <c r="G15" s="7">
        <f>SUMIF(Rdiario[Mes],Rmensual[[#This Row],[Mes]],Rdiario[Compras])</f>
        <v>0</v>
      </c>
      <c r="H15" s="7">
        <f>SUMIF(Rdiario[Mes],Rmensual[[#This Row],[Mes]],Rdiario[Gastos])</f>
        <v>0</v>
      </c>
      <c r="I15" s="7">
        <f>Rmensual[[#This Row],[Ingresos Brutos]]-Rmensual[[#This Row],[Compras]]-Rmensual[[#This Row],[Gastos]]</f>
        <v>0</v>
      </c>
      <c r="J15" s="7">
        <f>Rmensual[[#This Row],[Ingresos Finales]]-Rmensual[[#This Row],[Gastos]]</f>
        <v>0</v>
      </c>
      <c r="K15" s="7">
        <f>Rmensual[[#This Row],[Ingresos Brutos]]-Rmensual[[#This Row],[Ingresos Finales]]</f>
        <v>0</v>
      </c>
      <c r="L15" s="7">
        <f>Rmensual[[#This Row],[Ganancias Finales]]*10/100</f>
        <v>0</v>
      </c>
      <c r="M15" s="7">
        <f>Rmensual[[#This Row],[Ganancias Finales]]-Rmensual[[#This Row],[Porcentaje de Ganancias]]</f>
        <v>0</v>
      </c>
    </row>
    <row r="16" spans="2:13" s="16" customFormat="1"/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</sheetData>
  <mergeCells count="1">
    <mergeCell ref="B2:M2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R896"/>
  <sheetViews>
    <sheetView showGridLines="0" showRowColHeaders="0" topLeftCell="B1" zoomScale="96" zoomScaleNormal="96" workbookViewId="0">
      <pane ySplit="3" topLeftCell="A163" activePane="bottomLeft" state="frozen"/>
      <selection pane="bottomLeft" activeCell="K1" sqref="K1"/>
    </sheetView>
  </sheetViews>
  <sheetFormatPr baseColWidth="10" defaultRowHeight="15"/>
  <cols>
    <col min="1" max="1" width="34.28515625" hidden="1" customWidth="1"/>
    <col min="2" max="2" width="8.28515625" customWidth="1"/>
    <col min="3" max="3" width="54.7109375" customWidth="1"/>
    <col min="4" max="4" width="18.5703125" customWidth="1"/>
    <col min="5" max="5" width="21" customWidth="1"/>
    <col min="6" max="6" width="14.5703125" customWidth="1"/>
    <col min="7" max="7" width="13.7109375" style="11" customWidth="1"/>
    <col min="8" max="8" width="7.140625" style="11" bestFit="1" customWidth="1"/>
    <col min="9" max="9" width="11" style="11" bestFit="1" customWidth="1"/>
    <col min="10" max="10" width="11.85546875" customWidth="1"/>
    <col min="11" max="11" width="14.140625" style="16" bestFit="1" customWidth="1"/>
    <col min="12" max="12" width="15" style="16" bestFit="1" customWidth="1"/>
    <col min="13" max="13" width="16.5703125" style="16" customWidth="1"/>
    <col min="14" max="14" width="18" style="16" customWidth="1"/>
    <col min="15" max="15" width="17.85546875" customWidth="1"/>
    <col min="16" max="17" width="11.42578125" style="16"/>
  </cols>
  <sheetData>
    <row r="1" spans="2:18" ht="79.5" customHeight="1">
      <c r="B1" s="71">
        <f>MAX(Stock[Codigo])+1</f>
        <v>931</v>
      </c>
      <c r="C1" s="71"/>
      <c r="D1" s="71"/>
      <c r="E1" s="71"/>
      <c r="F1" s="71"/>
      <c r="G1" s="71"/>
      <c r="H1" s="71"/>
      <c r="I1" s="71"/>
      <c r="J1" s="71"/>
      <c r="O1" s="16"/>
    </row>
    <row r="2" spans="2:18" ht="75" customHeight="1">
      <c r="B2" s="72" t="s">
        <v>96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</row>
    <row r="3" spans="2:18">
      <c r="B3" t="s">
        <v>90</v>
      </c>
      <c r="C3" t="s">
        <v>1</v>
      </c>
      <c r="D3" s="6" t="s">
        <v>12</v>
      </c>
      <c r="E3" s="6" t="s">
        <v>728</v>
      </c>
      <c r="F3" s="6" t="s">
        <v>811</v>
      </c>
      <c r="G3" s="6" t="s">
        <v>86</v>
      </c>
      <c r="H3" s="6" t="s">
        <v>87</v>
      </c>
      <c r="I3" s="6" t="s">
        <v>91</v>
      </c>
      <c r="J3" s="6" t="s">
        <v>340</v>
      </c>
      <c r="K3" s="6" t="s">
        <v>808</v>
      </c>
      <c r="L3" s="6" t="s">
        <v>762</v>
      </c>
      <c r="M3" s="6" t="s">
        <v>812</v>
      </c>
      <c r="N3" s="6" t="s">
        <v>814</v>
      </c>
      <c r="O3" s="6" t="s">
        <v>815</v>
      </c>
      <c r="R3" s="16"/>
    </row>
    <row r="4" spans="2:18">
      <c r="B4" s="44">
        <v>930</v>
      </c>
      <c r="C4" t="s">
        <v>1160</v>
      </c>
      <c r="D4" s="45">
        <v>525</v>
      </c>
      <c r="E4" s="24">
        <v>1100</v>
      </c>
      <c r="F4" s="44">
        <f>Stock[Entradas]-Stock[Compra Cultivate]</f>
        <v>0</v>
      </c>
      <c r="G4" s="11">
        <f>SUMIFS(Compras[Cantidad],Compras[Codigo],Stock[Codigo])</f>
        <v>0</v>
      </c>
      <c r="H4" s="11">
        <f>SUMIFS(Ventas[Cantidad],Ventas[Codigo],Stock[Codigo])</f>
        <v>0</v>
      </c>
      <c r="I4" s="12">
        <f>Stock[Stock Deposito]*Stock[Precio de Compra]</f>
        <v>0</v>
      </c>
      <c r="J4" s="6">
        <f>SUMIFS(ProdDesc[Cantidad],ProdDesc[Codigo],Stock[Codigo])</f>
        <v>0</v>
      </c>
      <c r="K4" s="44">
        <f>Stock[[#This Row],[Compra Cultivate]]-Stock[[#This Row],[Salidas]]-Stock[[#This Row],[Usados]]</f>
        <v>0</v>
      </c>
      <c r="L4" s="24">
        <f>Stock[[#This Row],[Stock Deposito]]*Stock[[#This Row],[Precio de Venta]]</f>
        <v>0</v>
      </c>
      <c r="M4" s="6">
        <f>SUMIFS(Tabla9[Cantidad],Tabla9[Codigo],Stock[Codigo])</f>
        <v>0</v>
      </c>
      <c r="N4" s="24">
        <f>Stock[[#This Row],[Precio de Compra]]*Stock[[#This Row],[Stock Cultivate]]</f>
        <v>0</v>
      </c>
      <c r="O4" s="24">
        <f>Stock[[#This Row],[Stock Cultivate]]*Stock[[#This Row],[Precio de Venta]]</f>
        <v>0</v>
      </c>
      <c r="R4" s="16"/>
    </row>
    <row r="5" spans="2:18">
      <c r="B5" s="44">
        <v>929</v>
      </c>
      <c r="C5" t="s">
        <v>1126</v>
      </c>
      <c r="D5" s="45">
        <v>442</v>
      </c>
      <c r="E5" s="24">
        <v>900</v>
      </c>
      <c r="F5" s="44">
        <f>Stock[Entradas]-Stock[Compra Cultivate]</f>
        <v>0</v>
      </c>
      <c r="G5" s="11">
        <f>SUMIFS(Compras[Cantidad],Compras[Codigo],Stock[Codigo])</f>
        <v>10</v>
      </c>
      <c r="H5" s="11">
        <f>SUMIFS(Ventas[Cantidad],Ventas[Codigo],Stock[Codigo])</f>
        <v>0</v>
      </c>
      <c r="I5" s="12">
        <f>Stock[[#This Row],[Stock Deposito]]*Stock[[#This Row],[Precio de Compra]]</f>
        <v>0</v>
      </c>
      <c r="J5" s="6">
        <f>SUMIFS(ProdDesc[Cantidad],ProdDesc[Codigo],Stock[Codigo])</f>
        <v>1</v>
      </c>
      <c r="K5" s="44">
        <f>Stock[[#This Row],[Compra Cultivate]]-Stock[[#This Row],[Salidas]]-Stock[[#This Row],[Usados]]</f>
        <v>9</v>
      </c>
      <c r="L5" s="24">
        <f>Stock[[#This Row],[Stock Deposito]]*Stock[[#This Row],[Precio de Venta]]</f>
        <v>0</v>
      </c>
      <c r="M5" s="6">
        <f>SUMIFS(Tabla9[Cantidad],Tabla9[Codigo],Stock[Codigo])</f>
        <v>10</v>
      </c>
      <c r="N5" s="24">
        <f>Stock[[#This Row],[Precio de Compra]]*Stock[[#This Row],[Stock Cultivate]]</f>
        <v>3978</v>
      </c>
      <c r="O5" s="24">
        <f>Stock[[#This Row],[Stock Cultivate]]*Stock[[#This Row],[Precio de Venta]]</f>
        <v>8100</v>
      </c>
      <c r="R5" s="16"/>
    </row>
    <row r="6" spans="2:18">
      <c r="B6" s="44">
        <v>928</v>
      </c>
      <c r="C6" t="s">
        <v>1124</v>
      </c>
      <c r="D6" s="45">
        <v>213</v>
      </c>
      <c r="E6" s="24">
        <v>450</v>
      </c>
      <c r="F6" s="44">
        <f>Stock[Entradas]-Stock[Compra Cultivate]</f>
        <v>0</v>
      </c>
      <c r="G6" s="11">
        <f>SUMIFS(Compras[Cantidad],Compras[Codigo],Stock[Codigo])</f>
        <v>25</v>
      </c>
      <c r="H6" s="11">
        <f>SUMIFS(Ventas[Cantidad],Ventas[Codigo],Stock[Codigo])</f>
        <v>0</v>
      </c>
      <c r="I6" s="12">
        <f>Stock[[#This Row],[Stock Deposito]]*Stock[[#This Row],[Precio de Compra]]</f>
        <v>0</v>
      </c>
      <c r="J6" s="6">
        <f>SUMIFS(ProdDesc[Cantidad],ProdDesc[Codigo],Stock[Codigo])</f>
        <v>0</v>
      </c>
      <c r="K6" s="44">
        <f>Stock[[#This Row],[Compra Cultivate]]-Stock[[#This Row],[Salidas]]-Stock[[#This Row],[Usados]]</f>
        <v>25</v>
      </c>
      <c r="L6" s="24">
        <f>Stock[[#This Row],[Stock Deposito]]*Stock[[#This Row],[Precio de Venta]]</f>
        <v>0</v>
      </c>
      <c r="M6" s="6">
        <f>SUMIFS(Tabla9[Cantidad],Tabla9[Codigo],Stock[Codigo])</f>
        <v>25</v>
      </c>
      <c r="N6" s="24">
        <f>Stock[[#This Row],[Precio de Compra]]*Stock[[#This Row],[Stock Cultivate]]</f>
        <v>5325</v>
      </c>
      <c r="O6" s="24">
        <f>Stock[[#This Row],[Stock Cultivate]]*Stock[[#This Row],[Precio de Venta]]</f>
        <v>11250</v>
      </c>
      <c r="R6" s="16"/>
    </row>
    <row r="7" spans="2:18">
      <c r="B7" s="44">
        <v>927</v>
      </c>
      <c r="C7" t="s">
        <v>1122</v>
      </c>
      <c r="D7" s="45">
        <v>677</v>
      </c>
      <c r="E7" s="24">
        <v>1300</v>
      </c>
      <c r="F7" s="44">
        <f>Stock[Entradas]-Stock[Compra Cultivate]</f>
        <v>0</v>
      </c>
      <c r="G7" s="11">
        <f>SUMIFS(Compras[Cantidad],Compras[Codigo],Stock[Codigo])</f>
        <v>23</v>
      </c>
      <c r="H7" s="11">
        <f>SUMIFS(Ventas[Cantidad],Ventas[Codigo],Stock[Codigo])</f>
        <v>5</v>
      </c>
      <c r="I7" s="12">
        <f>Stock[[#This Row],[Stock Deposito]]*Stock[[#This Row],[Precio de Compra]]</f>
        <v>0</v>
      </c>
      <c r="J7" s="6">
        <f>SUMIFS(ProdDesc[Cantidad],ProdDesc[Codigo],Stock[Codigo])</f>
        <v>0</v>
      </c>
      <c r="K7" s="44">
        <f>Stock[[#This Row],[Compra Cultivate]]-Stock[[#This Row],[Salidas]]-Stock[[#This Row],[Usados]]</f>
        <v>18</v>
      </c>
      <c r="L7" s="24">
        <f>Stock[[#This Row],[Stock Deposito]]*Stock[[#This Row],[Precio de Venta]]</f>
        <v>0</v>
      </c>
      <c r="M7" s="6">
        <f>SUMIFS(Tabla9[Cantidad],Tabla9[Codigo],Stock[Codigo])</f>
        <v>23</v>
      </c>
      <c r="N7" s="24">
        <f>Stock[[#This Row],[Precio de Compra]]*Stock[[#This Row],[Stock Cultivate]]</f>
        <v>12186</v>
      </c>
      <c r="O7" s="24">
        <f>Stock[[#This Row],[Stock Cultivate]]*Stock[[#This Row],[Precio de Venta]]</f>
        <v>23400</v>
      </c>
      <c r="R7" s="16"/>
    </row>
    <row r="8" spans="2:18">
      <c r="B8" s="44">
        <v>926</v>
      </c>
      <c r="C8" t="s">
        <v>1120</v>
      </c>
      <c r="D8" s="45">
        <v>3644</v>
      </c>
      <c r="E8" s="24">
        <v>7300</v>
      </c>
      <c r="F8" s="44">
        <f>Stock[Entradas]-Stock[Compra Cultivate]</f>
        <v>0</v>
      </c>
      <c r="G8" s="11">
        <f>SUMIFS(Compras[Cantidad],Compras[Codigo],Stock[Codigo])</f>
        <v>1</v>
      </c>
      <c r="H8" s="11">
        <f>SUMIFS(Ventas[Cantidad],Ventas[Codigo],Stock[Codigo])</f>
        <v>0</v>
      </c>
      <c r="I8" s="12">
        <f>Stock[[#This Row],[Stock Deposito]]*Stock[[#This Row],[Precio de Compra]]</f>
        <v>0</v>
      </c>
      <c r="J8" s="6">
        <f>SUMIFS(ProdDesc[Cantidad],ProdDesc[Codigo],Stock[Codigo])</f>
        <v>0</v>
      </c>
      <c r="K8" s="44">
        <f>Stock[[#This Row],[Compra Cultivate]]-Stock[[#This Row],[Salidas]]-Stock[[#This Row],[Usados]]</f>
        <v>1</v>
      </c>
      <c r="L8" s="24">
        <f>Stock[[#This Row],[Stock Deposito]]*Stock[[#This Row],[Precio de Venta]]</f>
        <v>0</v>
      </c>
      <c r="M8" s="6">
        <f>SUMIFS(Tabla9[Cantidad],Tabla9[Codigo],Stock[Codigo])</f>
        <v>1</v>
      </c>
      <c r="N8" s="24">
        <f>Stock[[#This Row],[Precio de Compra]]*Stock[[#This Row],[Stock Cultivate]]</f>
        <v>3644</v>
      </c>
      <c r="O8" s="24">
        <f>Stock[[#This Row],[Stock Cultivate]]*Stock[[#This Row],[Precio de Venta]]</f>
        <v>7300</v>
      </c>
      <c r="R8" s="16"/>
    </row>
    <row r="9" spans="2:18">
      <c r="B9" s="44">
        <v>925</v>
      </c>
      <c r="C9" t="s">
        <v>1119</v>
      </c>
      <c r="D9" s="45">
        <v>960</v>
      </c>
      <c r="E9" s="24">
        <v>2000</v>
      </c>
      <c r="F9" s="44">
        <f>Stock[Entradas]-Stock[Compra Cultivate]</f>
        <v>0</v>
      </c>
      <c r="G9" s="11">
        <f>SUMIFS(Compras[Cantidad],Compras[Codigo],Stock[Codigo])</f>
        <v>1</v>
      </c>
      <c r="H9" s="11">
        <f>SUMIFS(Ventas[Cantidad],Ventas[Codigo],Stock[Codigo])</f>
        <v>0</v>
      </c>
      <c r="I9" s="12">
        <f>Stock[[#This Row],[Stock Deposito]]*Stock[[#This Row],[Precio de Compra]]</f>
        <v>0</v>
      </c>
      <c r="J9" s="6">
        <f>SUMIFS(ProdDesc[Cantidad],ProdDesc[Codigo],Stock[Codigo])</f>
        <v>0</v>
      </c>
      <c r="K9" s="44">
        <f>Stock[[#This Row],[Compra Cultivate]]-Stock[[#This Row],[Salidas]]-Stock[[#This Row],[Usados]]</f>
        <v>1</v>
      </c>
      <c r="L9" s="24">
        <f>Stock[[#This Row],[Stock Deposito]]*Stock[[#This Row],[Precio de Venta]]</f>
        <v>0</v>
      </c>
      <c r="M9" s="6">
        <f>SUMIFS(Tabla9[Cantidad],Tabla9[Codigo],Stock[Codigo])</f>
        <v>1</v>
      </c>
      <c r="N9" s="24">
        <f>Stock[[#This Row],[Precio de Compra]]*Stock[[#This Row],[Stock Cultivate]]</f>
        <v>960</v>
      </c>
      <c r="O9" s="24">
        <f>Stock[[#This Row],[Stock Cultivate]]*Stock[[#This Row],[Precio de Venta]]</f>
        <v>2000</v>
      </c>
      <c r="R9" s="16"/>
    </row>
    <row r="10" spans="2:18">
      <c r="B10" s="44">
        <v>924</v>
      </c>
      <c r="C10" t="s">
        <v>1118</v>
      </c>
      <c r="D10" s="45">
        <v>531</v>
      </c>
      <c r="E10" s="24">
        <v>1000</v>
      </c>
      <c r="F10" s="44">
        <f>Stock[Entradas]-Stock[Compra Cultivate]</f>
        <v>0</v>
      </c>
      <c r="G10" s="11">
        <f>SUMIFS(Compras[Cantidad],Compras[Codigo],Stock[Codigo])</f>
        <v>1</v>
      </c>
      <c r="H10" s="11">
        <f>SUMIFS(Ventas[Cantidad],Ventas[Codigo],Stock[Codigo])</f>
        <v>0</v>
      </c>
      <c r="I10" s="12">
        <f>Stock[[#This Row],[Stock Deposito]]*Stock[[#This Row],[Precio de Compra]]</f>
        <v>0</v>
      </c>
      <c r="J10" s="6">
        <f>SUMIFS(ProdDesc[Cantidad],ProdDesc[Codigo],Stock[Codigo])</f>
        <v>0</v>
      </c>
      <c r="K10" s="44">
        <f>Stock[[#This Row],[Compra Cultivate]]-Stock[[#This Row],[Salidas]]-Stock[[#This Row],[Usados]]</f>
        <v>1</v>
      </c>
      <c r="L10" s="24">
        <f>Stock[[#This Row],[Stock Deposito]]*Stock[[#This Row],[Precio de Venta]]</f>
        <v>0</v>
      </c>
      <c r="M10" s="6">
        <f>SUMIFS(Tabla9[Cantidad],Tabla9[Codigo],Stock[Codigo])</f>
        <v>1</v>
      </c>
      <c r="N10" s="24">
        <f>Stock[[#This Row],[Precio de Compra]]*Stock[[#This Row],[Stock Cultivate]]</f>
        <v>531</v>
      </c>
      <c r="O10" s="24">
        <f>Stock[[#This Row],[Stock Cultivate]]*Stock[[#This Row],[Precio de Venta]]</f>
        <v>1000</v>
      </c>
      <c r="R10" s="16"/>
    </row>
    <row r="11" spans="2:18">
      <c r="B11" s="44">
        <v>923</v>
      </c>
      <c r="C11" t="s">
        <v>1117</v>
      </c>
      <c r="D11" s="45">
        <v>1237</v>
      </c>
      <c r="E11" s="24">
        <v>2500</v>
      </c>
      <c r="F11" s="44">
        <f>Stock[Entradas]-Stock[Compra Cultivate]</f>
        <v>0</v>
      </c>
      <c r="G11" s="11">
        <f>SUMIFS(Compras[Cantidad],Compras[Codigo],Stock[Codigo])</f>
        <v>3</v>
      </c>
      <c r="H11" s="11">
        <f>SUMIFS(Ventas[Cantidad],Ventas[Codigo],Stock[Codigo])</f>
        <v>0</v>
      </c>
      <c r="I11" s="12">
        <f>Stock[[#This Row],[Stock Deposito]]*Stock[[#This Row],[Precio de Compra]]</f>
        <v>0</v>
      </c>
      <c r="J11" s="6">
        <f>SUMIFS(ProdDesc[Cantidad],ProdDesc[Codigo],Stock[Codigo])</f>
        <v>0</v>
      </c>
      <c r="K11" s="44">
        <f>Stock[[#This Row],[Compra Cultivate]]-Stock[[#This Row],[Salidas]]-Stock[[#This Row],[Usados]]</f>
        <v>3</v>
      </c>
      <c r="L11" s="24">
        <f>Stock[[#This Row],[Stock Deposito]]*Stock[[#This Row],[Precio de Venta]]</f>
        <v>0</v>
      </c>
      <c r="M11" s="6">
        <f>SUMIFS(Tabla9[Cantidad],Tabla9[Codigo],Stock[Codigo])</f>
        <v>3</v>
      </c>
      <c r="N11" s="24">
        <f>Stock[[#This Row],[Precio de Compra]]*Stock[[#This Row],[Stock Cultivate]]</f>
        <v>3711</v>
      </c>
      <c r="O11" s="24">
        <f>Stock[[#This Row],[Stock Cultivate]]*Stock[[#This Row],[Precio de Venta]]</f>
        <v>7500</v>
      </c>
      <c r="R11" s="16"/>
    </row>
    <row r="12" spans="2:18">
      <c r="B12" s="44">
        <v>922</v>
      </c>
      <c r="C12" t="s">
        <v>1116</v>
      </c>
      <c r="D12" s="45">
        <v>1124</v>
      </c>
      <c r="E12" s="24">
        <v>2300</v>
      </c>
      <c r="F12" s="44">
        <f>Stock[Entradas]-Stock[Compra Cultivate]</f>
        <v>0</v>
      </c>
      <c r="G12" s="11">
        <f>SUMIFS(Compras[Cantidad],Compras[Codigo],Stock[Codigo])</f>
        <v>3</v>
      </c>
      <c r="H12" s="11">
        <f>SUMIFS(Ventas[Cantidad],Ventas[Codigo],Stock[Codigo])</f>
        <v>0</v>
      </c>
      <c r="I12" s="12">
        <f>Stock[[#This Row],[Stock Deposito]]*Stock[[#This Row],[Precio de Compra]]</f>
        <v>0</v>
      </c>
      <c r="J12" s="6">
        <f>SUMIFS(ProdDesc[Cantidad],ProdDesc[Codigo],Stock[Codigo])</f>
        <v>0</v>
      </c>
      <c r="K12" s="44">
        <f>Stock[[#This Row],[Compra Cultivate]]-Stock[[#This Row],[Salidas]]-Stock[[#This Row],[Usados]]</f>
        <v>3</v>
      </c>
      <c r="L12" s="24">
        <f>Stock[[#This Row],[Stock Deposito]]*Stock[[#This Row],[Precio de Venta]]</f>
        <v>0</v>
      </c>
      <c r="M12" s="6">
        <f>SUMIFS(Tabla9[Cantidad],Tabla9[Codigo],Stock[Codigo])</f>
        <v>3</v>
      </c>
      <c r="N12" s="24">
        <f>Stock[[#This Row],[Precio de Compra]]*Stock[[#This Row],[Stock Cultivate]]</f>
        <v>3372</v>
      </c>
      <c r="O12" s="24">
        <f>Stock[[#This Row],[Stock Cultivate]]*Stock[[#This Row],[Precio de Venta]]</f>
        <v>6900</v>
      </c>
      <c r="R12" s="16"/>
    </row>
    <row r="13" spans="2:18">
      <c r="B13" s="44">
        <v>921</v>
      </c>
      <c r="C13" t="s">
        <v>1115</v>
      </c>
      <c r="D13" s="45">
        <v>1904</v>
      </c>
      <c r="E13" s="24">
        <v>2800</v>
      </c>
      <c r="F13" s="44">
        <f>Stock[Entradas]-Stock[Compra Cultivate]</f>
        <v>0</v>
      </c>
      <c r="G13" s="11">
        <f>SUMIFS(Compras[Cantidad],Compras[Codigo],Stock[Codigo])</f>
        <v>3</v>
      </c>
      <c r="H13" s="11">
        <f>SUMIFS(Ventas[Cantidad],Ventas[Codigo],Stock[Codigo])</f>
        <v>1</v>
      </c>
      <c r="I13" s="12">
        <f>Stock[[#This Row],[Stock Deposito]]*Stock[[#This Row],[Precio de Compra]]</f>
        <v>0</v>
      </c>
      <c r="J13" s="6">
        <f>SUMIFS(ProdDesc[Cantidad],ProdDesc[Codigo],Stock[Codigo])</f>
        <v>0</v>
      </c>
      <c r="K13" s="44">
        <f>Stock[[#This Row],[Compra Cultivate]]-Stock[[#This Row],[Salidas]]-Stock[[#This Row],[Usados]]</f>
        <v>2</v>
      </c>
      <c r="L13" s="24">
        <f>Stock[[#This Row],[Stock Deposito]]*Stock[[#This Row],[Precio de Venta]]</f>
        <v>0</v>
      </c>
      <c r="M13" s="6">
        <f>SUMIFS(Tabla9[Cantidad],Tabla9[Codigo],Stock[Codigo])</f>
        <v>3</v>
      </c>
      <c r="N13" s="24">
        <f>Stock[[#This Row],[Precio de Compra]]*Stock[[#This Row],[Stock Cultivate]]</f>
        <v>3808</v>
      </c>
      <c r="O13" s="24">
        <f>Stock[[#This Row],[Stock Cultivate]]*Stock[[#This Row],[Precio de Venta]]</f>
        <v>5600</v>
      </c>
      <c r="R13" s="16"/>
    </row>
    <row r="14" spans="2:18">
      <c r="B14" s="44">
        <v>920</v>
      </c>
      <c r="C14" t="s">
        <v>1114</v>
      </c>
      <c r="D14" s="45">
        <v>1379</v>
      </c>
      <c r="E14" s="24">
        <v>2800</v>
      </c>
      <c r="F14" s="44">
        <f>Stock[Entradas]-Stock[Compra Cultivate]</f>
        <v>0</v>
      </c>
      <c r="G14" s="11">
        <f>SUMIFS(Compras[Cantidad],Compras[Codigo],Stock[Codigo])</f>
        <v>2</v>
      </c>
      <c r="H14" s="11">
        <f>SUMIFS(Ventas[Cantidad],Ventas[Codigo],Stock[Codigo])</f>
        <v>1</v>
      </c>
      <c r="I14" s="12">
        <f>Stock[[#This Row],[Stock Deposito]]*Stock[[#This Row],[Precio de Compra]]</f>
        <v>0</v>
      </c>
      <c r="J14" s="6">
        <f>SUMIFS(ProdDesc[Cantidad],ProdDesc[Codigo],Stock[Codigo])</f>
        <v>0</v>
      </c>
      <c r="K14" s="44">
        <f>Stock[[#This Row],[Compra Cultivate]]-Stock[[#This Row],[Salidas]]-Stock[[#This Row],[Usados]]</f>
        <v>1</v>
      </c>
      <c r="L14" s="24">
        <f>Stock[[#This Row],[Stock Deposito]]*Stock[[#This Row],[Precio de Venta]]</f>
        <v>0</v>
      </c>
      <c r="M14" s="6">
        <f>SUMIFS(Tabla9[Cantidad],Tabla9[Codigo],Stock[Codigo])</f>
        <v>2</v>
      </c>
      <c r="N14" s="24">
        <f>Stock[[#This Row],[Precio de Compra]]*Stock[[#This Row],[Stock Cultivate]]</f>
        <v>1379</v>
      </c>
      <c r="O14" s="24">
        <f>Stock[[#This Row],[Stock Cultivate]]*Stock[[#This Row],[Precio de Venta]]</f>
        <v>2800</v>
      </c>
      <c r="R14" s="16"/>
    </row>
    <row r="15" spans="2:18">
      <c r="B15" s="44">
        <v>919</v>
      </c>
      <c r="C15" t="s">
        <v>1113</v>
      </c>
      <c r="D15" s="45">
        <v>714</v>
      </c>
      <c r="E15" s="24">
        <v>1500</v>
      </c>
      <c r="F15" s="44">
        <f>Stock[Entradas]-Stock[Compra Cultivate]</f>
        <v>0</v>
      </c>
      <c r="G15" s="11">
        <f>SUMIFS(Compras[Cantidad],Compras[Codigo],Stock[Codigo])</f>
        <v>1</v>
      </c>
      <c r="H15" s="11">
        <f>SUMIFS(Ventas[Cantidad],Ventas[Codigo],Stock[Codigo])</f>
        <v>0</v>
      </c>
      <c r="I15" s="12">
        <f>Stock[[#This Row],[Stock Deposito]]*Stock[[#This Row],[Precio de Compra]]</f>
        <v>0</v>
      </c>
      <c r="J15" s="6">
        <f>SUMIFS(ProdDesc[Cantidad],ProdDesc[Codigo],Stock[Codigo])</f>
        <v>0</v>
      </c>
      <c r="K15" s="44">
        <f>Stock[[#This Row],[Compra Cultivate]]-Stock[[#This Row],[Salidas]]-Stock[[#This Row],[Usados]]</f>
        <v>1</v>
      </c>
      <c r="L15" s="24">
        <f>Stock[[#This Row],[Stock Deposito]]*Stock[[#This Row],[Precio de Venta]]</f>
        <v>0</v>
      </c>
      <c r="M15" s="6">
        <f>SUMIFS(Tabla9[Cantidad],Tabla9[Codigo],Stock[Codigo])</f>
        <v>1</v>
      </c>
      <c r="N15" s="24">
        <f>Stock[[#This Row],[Precio de Compra]]*Stock[[#This Row],[Stock Cultivate]]</f>
        <v>714</v>
      </c>
      <c r="O15" s="24">
        <f>Stock[[#This Row],[Stock Cultivate]]*Stock[[#This Row],[Precio de Venta]]</f>
        <v>1500</v>
      </c>
      <c r="R15" s="16"/>
    </row>
    <row r="16" spans="2:18">
      <c r="B16" s="44">
        <v>918</v>
      </c>
      <c r="C16" t="s">
        <v>1112</v>
      </c>
      <c r="D16" s="45">
        <v>200</v>
      </c>
      <c r="E16" s="24">
        <v>500</v>
      </c>
      <c r="F16" s="44">
        <f>Stock[Entradas]-Stock[Compra Cultivate]</f>
        <v>2</v>
      </c>
      <c r="G16" s="11">
        <f>SUMIFS(Compras[Cantidad],Compras[Codigo],Stock[Codigo])</f>
        <v>2</v>
      </c>
      <c r="H16" s="11">
        <f>SUMIFS(Ventas[Cantidad],Ventas[Codigo],Stock[Codigo])</f>
        <v>0</v>
      </c>
      <c r="I16" s="12">
        <f>Stock[[#This Row],[Stock Deposito]]*Stock[[#This Row],[Precio de Compra]]</f>
        <v>400</v>
      </c>
      <c r="J16" s="6">
        <f>SUMIFS(ProdDesc[Cantidad],ProdDesc[Codigo],Stock[Codigo])</f>
        <v>0</v>
      </c>
      <c r="K16" s="44">
        <f>Stock[[#This Row],[Compra Cultivate]]-Stock[[#This Row],[Salidas]]-Stock[[#This Row],[Usados]]</f>
        <v>0</v>
      </c>
      <c r="L16" s="24">
        <f>Stock[[#This Row],[Stock Deposito]]*Stock[[#This Row],[Precio de Venta]]</f>
        <v>1000</v>
      </c>
      <c r="M16" s="6">
        <f>SUMIFS(Tabla9[Cantidad],Tabla9[Codigo],Stock[Codigo])</f>
        <v>0</v>
      </c>
      <c r="N16" s="24">
        <f>Stock[[#This Row],[Precio de Compra]]*Stock[[#This Row],[Stock Cultivate]]</f>
        <v>0</v>
      </c>
      <c r="O16" s="24">
        <f>Stock[[#This Row],[Stock Cultivate]]*Stock[[#This Row],[Precio de Venta]]</f>
        <v>0</v>
      </c>
      <c r="R16" s="16"/>
    </row>
    <row r="17" spans="2:18">
      <c r="B17" s="44">
        <v>917</v>
      </c>
      <c r="C17" t="s">
        <v>1111</v>
      </c>
      <c r="D17" s="45">
        <v>1500</v>
      </c>
      <c r="E17" s="24">
        <v>3000</v>
      </c>
      <c r="F17" s="44">
        <f>Stock[Entradas]-Stock[Compra Cultivate]</f>
        <v>0</v>
      </c>
      <c r="G17" s="11">
        <f>SUMIFS(Compras[Cantidad],Compras[Codigo],Stock[Codigo])</f>
        <v>2</v>
      </c>
      <c r="H17" s="11">
        <f>SUMIFS(Ventas[Cantidad],Ventas[Codigo],Stock[Codigo])</f>
        <v>0</v>
      </c>
      <c r="I17" s="12">
        <f>Stock[[#This Row],[Stock Deposito]]*Stock[[#This Row],[Precio de Compra]]</f>
        <v>0</v>
      </c>
      <c r="J17" s="6">
        <f>SUMIFS(ProdDesc[Cantidad],ProdDesc[Codigo],Stock[Codigo])</f>
        <v>0</v>
      </c>
      <c r="K17" s="44">
        <f>Stock[[#This Row],[Compra Cultivate]]-Stock[[#This Row],[Salidas]]-Stock[[#This Row],[Usados]]</f>
        <v>2</v>
      </c>
      <c r="L17" s="24">
        <f>Stock[[#This Row],[Stock Deposito]]*Stock[[#This Row],[Precio de Venta]]</f>
        <v>0</v>
      </c>
      <c r="M17" s="6">
        <f>SUMIFS(Tabla9[Cantidad],Tabla9[Codigo],Stock[Codigo])</f>
        <v>2</v>
      </c>
      <c r="N17" s="24">
        <f>Stock[[#This Row],[Precio de Compra]]*Stock[[#This Row],[Stock Cultivate]]</f>
        <v>3000</v>
      </c>
      <c r="O17" s="24">
        <f>Stock[[#This Row],[Stock Cultivate]]*Stock[[#This Row],[Precio de Venta]]</f>
        <v>6000</v>
      </c>
      <c r="R17" s="16"/>
    </row>
    <row r="18" spans="2:18">
      <c r="B18" s="44">
        <v>916</v>
      </c>
      <c r="C18" t="s">
        <v>1110</v>
      </c>
      <c r="D18" s="45">
        <v>2003</v>
      </c>
      <c r="E18" s="24">
        <v>4000</v>
      </c>
      <c r="F18" s="44">
        <f>Stock[Entradas]-Stock[Compra Cultivate]</f>
        <v>0</v>
      </c>
      <c r="G18" s="11">
        <f>SUMIFS(Compras[Cantidad],Compras[Codigo],Stock[Codigo])</f>
        <v>2</v>
      </c>
      <c r="H18" s="11">
        <f>SUMIFS(Ventas[Cantidad],Ventas[Codigo],Stock[Codigo])</f>
        <v>0</v>
      </c>
      <c r="I18" s="12">
        <f>Stock[[#This Row],[Stock Deposito]]*Stock[[#This Row],[Precio de Compra]]</f>
        <v>0</v>
      </c>
      <c r="J18" s="6">
        <f>SUMIFS(ProdDesc[Cantidad],ProdDesc[Codigo],Stock[Codigo])</f>
        <v>0</v>
      </c>
      <c r="K18" s="44">
        <f>Stock[[#This Row],[Compra Cultivate]]-Stock[[#This Row],[Salidas]]-Stock[[#This Row],[Usados]]</f>
        <v>2</v>
      </c>
      <c r="L18" s="24">
        <f>Stock[[#This Row],[Stock Deposito]]*Stock[[#This Row],[Precio de Venta]]</f>
        <v>0</v>
      </c>
      <c r="M18" s="6">
        <f>SUMIFS(Tabla9[Cantidad],Tabla9[Codigo],Stock[Codigo])</f>
        <v>2</v>
      </c>
      <c r="N18" s="24">
        <f>Stock[[#This Row],[Precio de Compra]]*Stock[[#This Row],[Stock Cultivate]]</f>
        <v>4006</v>
      </c>
      <c r="O18" s="24">
        <f>Stock[[#This Row],[Stock Cultivate]]*Stock[[#This Row],[Precio de Venta]]</f>
        <v>8000</v>
      </c>
      <c r="R18" s="16"/>
    </row>
    <row r="19" spans="2:18">
      <c r="B19" s="44">
        <v>915</v>
      </c>
      <c r="C19" t="s">
        <v>1109</v>
      </c>
      <c r="D19" s="45">
        <v>1800</v>
      </c>
      <c r="E19" s="24">
        <v>3600</v>
      </c>
      <c r="F19" s="44">
        <f>Stock[Entradas]-Stock[Compra Cultivate]</f>
        <v>0</v>
      </c>
      <c r="G19" s="11">
        <f>SUMIFS(Compras[Cantidad],Compras[Codigo],Stock[Codigo])</f>
        <v>2</v>
      </c>
      <c r="H19" s="11">
        <f>SUMIFS(Ventas[Cantidad],Ventas[Codigo],Stock[Codigo])</f>
        <v>0</v>
      </c>
      <c r="I19" s="12">
        <f>Stock[[#This Row],[Stock Deposito]]*Stock[[#This Row],[Precio de Compra]]</f>
        <v>0</v>
      </c>
      <c r="J19" s="6">
        <f>SUMIFS(ProdDesc[Cantidad],ProdDesc[Codigo],Stock[Codigo])</f>
        <v>0</v>
      </c>
      <c r="K19" s="44">
        <f>Stock[[#This Row],[Compra Cultivate]]-Stock[[#This Row],[Salidas]]-Stock[[#This Row],[Usados]]</f>
        <v>2</v>
      </c>
      <c r="L19" s="24">
        <f>Stock[[#This Row],[Stock Deposito]]*Stock[[#This Row],[Precio de Venta]]</f>
        <v>0</v>
      </c>
      <c r="M19" s="6">
        <f>SUMIFS(Tabla9[Cantidad],Tabla9[Codigo],Stock[Codigo])</f>
        <v>2</v>
      </c>
      <c r="N19" s="24">
        <f>Stock[[#This Row],[Precio de Compra]]*Stock[[#This Row],[Stock Cultivate]]</f>
        <v>3600</v>
      </c>
      <c r="O19" s="24">
        <f>Stock[[#This Row],[Stock Cultivate]]*Stock[[#This Row],[Precio de Venta]]</f>
        <v>7200</v>
      </c>
      <c r="R19" s="16"/>
    </row>
    <row r="20" spans="2:18">
      <c r="B20" s="44">
        <v>914</v>
      </c>
      <c r="C20" t="s">
        <v>1108</v>
      </c>
      <c r="D20" s="45">
        <v>1405</v>
      </c>
      <c r="E20" s="24">
        <v>2800</v>
      </c>
      <c r="F20" s="44">
        <f>Stock[Entradas]-Stock[Compra Cultivate]</f>
        <v>0</v>
      </c>
      <c r="G20" s="11">
        <f>SUMIFS(Compras[Cantidad],Compras[Codigo],Stock[Codigo])</f>
        <v>4</v>
      </c>
      <c r="H20" s="11">
        <f>SUMIFS(Ventas[Cantidad],Ventas[Codigo],Stock[Codigo])</f>
        <v>0</v>
      </c>
      <c r="I20" s="12">
        <f>Stock[[#This Row],[Stock Deposito]]*Stock[[#This Row],[Precio de Compra]]</f>
        <v>0</v>
      </c>
      <c r="J20" s="6">
        <f>SUMIFS(ProdDesc[Cantidad],ProdDesc[Codigo],Stock[Codigo])</f>
        <v>0</v>
      </c>
      <c r="K20" s="44">
        <f>Stock[[#This Row],[Compra Cultivate]]-Stock[[#This Row],[Salidas]]-Stock[[#This Row],[Usados]]</f>
        <v>4</v>
      </c>
      <c r="L20" s="24">
        <f>Stock[[#This Row],[Stock Deposito]]*Stock[[#This Row],[Precio de Venta]]</f>
        <v>0</v>
      </c>
      <c r="M20" s="6">
        <f>SUMIFS(Tabla9[Cantidad],Tabla9[Codigo],Stock[Codigo])</f>
        <v>4</v>
      </c>
      <c r="N20" s="24">
        <f>Stock[[#This Row],[Precio de Compra]]*Stock[[#This Row],[Stock Cultivate]]</f>
        <v>5620</v>
      </c>
      <c r="O20" s="24">
        <f>Stock[[#This Row],[Stock Cultivate]]*Stock[[#This Row],[Precio de Venta]]</f>
        <v>11200</v>
      </c>
      <c r="R20" s="16"/>
    </row>
    <row r="21" spans="2:18">
      <c r="B21" s="44">
        <v>913</v>
      </c>
      <c r="C21" t="s">
        <v>1107</v>
      </c>
      <c r="D21" s="45">
        <v>600</v>
      </c>
      <c r="E21" s="24">
        <v>1200</v>
      </c>
      <c r="F21" s="44">
        <f>Stock[Entradas]-Stock[Compra Cultivate]</f>
        <v>0</v>
      </c>
      <c r="G21" s="11">
        <f>SUMIFS(Compras[Cantidad],Compras[Codigo],Stock[Codigo])</f>
        <v>7</v>
      </c>
      <c r="H21" s="11">
        <f>SUMIFS(Ventas[Cantidad],Ventas[Codigo],Stock[Codigo])</f>
        <v>0</v>
      </c>
      <c r="I21" s="12">
        <f>Stock[[#This Row],[Stock Deposito]]*Stock[[#This Row],[Precio de Compra]]</f>
        <v>0</v>
      </c>
      <c r="J21" s="6">
        <f>SUMIFS(ProdDesc[Cantidad],ProdDesc[Codigo],Stock[Codigo])</f>
        <v>0</v>
      </c>
      <c r="K21" s="44">
        <f>Stock[[#This Row],[Compra Cultivate]]-Stock[[#This Row],[Salidas]]-Stock[[#This Row],[Usados]]</f>
        <v>7</v>
      </c>
      <c r="L21" s="24">
        <f>Stock[[#This Row],[Stock Deposito]]*Stock[[#This Row],[Precio de Venta]]</f>
        <v>0</v>
      </c>
      <c r="M21" s="6">
        <f>SUMIFS(Tabla9[Cantidad],Tabla9[Codigo],Stock[Codigo])</f>
        <v>7</v>
      </c>
      <c r="N21" s="24">
        <f>Stock[[#This Row],[Precio de Compra]]*Stock[[#This Row],[Stock Cultivate]]</f>
        <v>4200</v>
      </c>
      <c r="O21" s="24">
        <f>Stock[[#This Row],[Stock Cultivate]]*Stock[[#This Row],[Precio de Venta]]</f>
        <v>8400</v>
      </c>
      <c r="R21" s="16"/>
    </row>
    <row r="22" spans="2:18">
      <c r="B22" s="44">
        <v>912</v>
      </c>
      <c r="C22" t="s">
        <v>1106</v>
      </c>
      <c r="D22" s="45">
        <v>180</v>
      </c>
      <c r="E22" s="24">
        <v>700</v>
      </c>
      <c r="F22" s="44">
        <f>Stock[Entradas]-Stock[Compra Cultivate]</f>
        <v>0</v>
      </c>
      <c r="G22" s="11">
        <f>SUMIFS(Compras[Cantidad],Compras[Codigo],Stock[Codigo])</f>
        <v>6</v>
      </c>
      <c r="H22" s="11">
        <f>SUMIFS(Ventas[Cantidad],Ventas[Codigo],Stock[Codigo])</f>
        <v>0</v>
      </c>
      <c r="I22" s="12">
        <f>Stock[[#This Row],[Stock Deposito]]*Stock[[#This Row],[Precio de Compra]]</f>
        <v>0</v>
      </c>
      <c r="J22" s="6">
        <f>SUMIFS(ProdDesc[Cantidad],ProdDesc[Codigo],Stock[Codigo])</f>
        <v>0</v>
      </c>
      <c r="K22" s="44">
        <f>Stock[[#This Row],[Compra Cultivate]]-Stock[[#This Row],[Salidas]]-Stock[[#This Row],[Usados]]</f>
        <v>6</v>
      </c>
      <c r="L22" s="24">
        <f>Stock[[#This Row],[Stock Deposito]]*Stock[[#This Row],[Precio de Venta]]</f>
        <v>0</v>
      </c>
      <c r="M22" s="6">
        <f>SUMIFS(Tabla9[Cantidad],Tabla9[Codigo],Stock[Codigo])</f>
        <v>6</v>
      </c>
      <c r="N22" s="24">
        <f>Stock[[#This Row],[Precio de Compra]]*Stock[[#This Row],[Stock Cultivate]]</f>
        <v>1080</v>
      </c>
      <c r="O22" s="24">
        <f>Stock[[#This Row],[Stock Cultivate]]*Stock[[#This Row],[Precio de Venta]]</f>
        <v>4200</v>
      </c>
      <c r="R22" s="16"/>
    </row>
    <row r="23" spans="2:18">
      <c r="B23" s="44">
        <v>911</v>
      </c>
      <c r="C23" t="s">
        <v>1104</v>
      </c>
      <c r="D23" s="45">
        <v>700</v>
      </c>
      <c r="E23" s="24">
        <v>1500</v>
      </c>
      <c r="F23" s="44">
        <f>Stock[Entradas]-Stock[Compra Cultivate]</f>
        <v>3</v>
      </c>
      <c r="G23" s="11">
        <f>SUMIFS(Compras[Cantidad],Compras[Codigo],Stock[Codigo])</f>
        <v>3</v>
      </c>
      <c r="H23" s="11">
        <f>SUMIFS(Ventas[Cantidad],Ventas[Codigo],Stock[Codigo])</f>
        <v>0</v>
      </c>
      <c r="I23" s="12">
        <f>Stock[[#This Row],[Stock Deposito]]*Stock[[#This Row],[Precio de Compra]]</f>
        <v>2100</v>
      </c>
      <c r="J23" s="6">
        <f>SUMIFS(ProdDesc[Cantidad],ProdDesc[Codigo],Stock[Codigo])</f>
        <v>0</v>
      </c>
      <c r="K23" s="44">
        <f>Stock[[#This Row],[Compra Cultivate]]-Stock[[#This Row],[Salidas]]-Stock[[#This Row],[Usados]]</f>
        <v>0</v>
      </c>
      <c r="L23" s="24">
        <f>Stock[[#This Row],[Stock Deposito]]*Stock[[#This Row],[Precio de Venta]]</f>
        <v>4500</v>
      </c>
      <c r="M23" s="6">
        <f>SUMIFS(Tabla9[Cantidad],Tabla9[Codigo],Stock[Codigo])</f>
        <v>0</v>
      </c>
      <c r="N23" s="24">
        <f>Stock[[#This Row],[Precio de Compra]]*Stock[[#This Row],[Stock Cultivate]]</f>
        <v>0</v>
      </c>
      <c r="O23" s="24">
        <f>Stock[[#This Row],[Stock Cultivate]]*Stock[[#This Row],[Precio de Venta]]</f>
        <v>0</v>
      </c>
      <c r="R23" s="16"/>
    </row>
    <row r="24" spans="2:18">
      <c r="B24" s="44">
        <v>910</v>
      </c>
      <c r="C24" t="s">
        <v>1103</v>
      </c>
      <c r="D24" s="45">
        <v>800</v>
      </c>
      <c r="E24" s="24">
        <v>2000</v>
      </c>
      <c r="F24" s="44">
        <f>Stock[Entradas]-Stock[Compra Cultivate]</f>
        <v>1</v>
      </c>
      <c r="G24" s="11">
        <f>SUMIFS(Compras[Cantidad],Compras[Codigo],Stock[Codigo])</f>
        <v>1</v>
      </c>
      <c r="H24" s="11">
        <f>SUMIFS(Ventas[Cantidad],Ventas[Codigo],Stock[Codigo])</f>
        <v>0</v>
      </c>
      <c r="I24" s="12">
        <f>Stock[[#This Row],[Stock Deposito]]*Stock[[#This Row],[Precio de Compra]]</f>
        <v>800</v>
      </c>
      <c r="J24" s="6">
        <f>SUMIFS(ProdDesc[Cantidad],ProdDesc[Codigo],Stock[Codigo])</f>
        <v>0</v>
      </c>
      <c r="K24" s="44">
        <f>Stock[[#This Row],[Compra Cultivate]]-Stock[[#This Row],[Salidas]]-Stock[[#This Row],[Usados]]</f>
        <v>0</v>
      </c>
      <c r="L24" s="24">
        <f>Stock[[#This Row],[Stock Deposito]]*Stock[[#This Row],[Precio de Venta]]</f>
        <v>2000</v>
      </c>
      <c r="M24" s="6">
        <f>SUMIFS(Tabla9[Cantidad],Tabla9[Codigo],Stock[Codigo])</f>
        <v>0</v>
      </c>
      <c r="N24" s="24">
        <f>Stock[[#This Row],[Precio de Compra]]*Stock[[#This Row],[Stock Cultivate]]</f>
        <v>0</v>
      </c>
      <c r="O24" s="24">
        <f>Stock[[#This Row],[Stock Cultivate]]*Stock[[#This Row],[Precio de Venta]]</f>
        <v>0</v>
      </c>
      <c r="R24" s="16"/>
    </row>
    <row r="25" spans="2:18">
      <c r="B25" s="44">
        <v>909</v>
      </c>
      <c r="C25" t="s">
        <v>1102</v>
      </c>
      <c r="D25" s="45">
        <v>500</v>
      </c>
      <c r="E25" s="24">
        <v>1200</v>
      </c>
      <c r="F25" s="44">
        <f>Stock[Entradas]-Stock[Compra Cultivate]</f>
        <v>1</v>
      </c>
      <c r="G25" s="11">
        <f>SUMIFS(Compras[Cantidad],Compras[Codigo],Stock[Codigo])</f>
        <v>1</v>
      </c>
      <c r="H25" s="11">
        <f>SUMIFS(Ventas[Cantidad],Ventas[Codigo],Stock[Codigo])</f>
        <v>0</v>
      </c>
      <c r="I25" s="12">
        <f>Stock[[#This Row],[Stock Deposito]]*Stock[[#This Row],[Precio de Compra]]</f>
        <v>500</v>
      </c>
      <c r="J25" s="6">
        <f>SUMIFS(ProdDesc[Cantidad],ProdDesc[Codigo],Stock[Codigo])</f>
        <v>0</v>
      </c>
      <c r="K25" s="44">
        <f>Stock[[#This Row],[Compra Cultivate]]-Stock[[#This Row],[Salidas]]-Stock[[#This Row],[Usados]]</f>
        <v>0</v>
      </c>
      <c r="L25" s="24">
        <f>Stock[[#This Row],[Stock Deposito]]*Stock[[#This Row],[Precio de Venta]]</f>
        <v>1200</v>
      </c>
      <c r="M25" s="6">
        <f>SUMIFS(Tabla9[Cantidad],Tabla9[Codigo],Stock[Codigo])</f>
        <v>0</v>
      </c>
      <c r="N25" s="24">
        <f>Stock[[#This Row],[Precio de Compra]]*Stock[[#This Row],[Stock Cultivate]]</f>
        <v>0</v>
      </c>
      <c r="O25" s="24">
        <f>Stock[[#This Row],[Stock Cultivate]]*Stock[[#This Row],[Precio de Venta]]</f>
        <v>0</v>
      </c>
      <c r="R25" s="16"/>
    </row>
    <row r="26" spans="2:18">
      <c r="B26" s="44">
        <v>908</v>
      </c>
      <c r="C26" t="s">
        <v>1100</v>
      </c>
      <c r="D26" s="45">
        <v>300</v>
      </c>
      <c r="E26" s="24">
        <v>1000</v>
      </c>
      <c r="F26" s="44">
        <f>Stock[Entradas]-Stock[Compra Cultivate]</f>
        <v>0</v>
      </c>
      <c r="G26" s="11">
        <f>SUMIFS(Compras[Cantidad],Compras[Codigo],Stock[Codigo])</f>
        <v>12</v>
      </c>
      <c r="H26" s="11">
        <f>SUMIFS(Ventas[Cantidad],Ventas[Codigo],Stock[Codigo])</f>
        <v>0</v>
      </c>
      <c r="I26" s="12">
        <f>Stock[[#This Row],[Stock Deposito]]*Stock[[#This Row],[Precio de Compra]]</f>
        <v>0</v>
      </c>
      <c r="J26" s="6">
        <f>SUMIFS(ProdDesc[Cantidad],ProdDesc[Codigo],Stock[Codigo])</f>
        <v>0</v>
      </c>
      <c r="K26" s="44">
        <f>Stock[[#This Row],[Compra Cultivate]]-Stock[[#This Row],[Salidas]]-Stock[[#This Row],[Usados]]</f>
        <v>12</v>
      </c>
      <c r="L26" s="24">
        <f>Stock[[#This Row],[Stock Deposito]]*Stock[[#This Row],[Precio de Venta]]</f>
        <v>0</v>
      </c>
      <c r="M26" s="6">
        <f>SUMIFS(Tabla9[Cantidad],Tabla9[Codigo],Stock[Codigo])</f>
        <v>12</v>
      </c>
      <c r="N26" s="24">
        <f>Stock[[#This Row],[Precio de Compra]]*Stock[[#This Row],[Stock Cultivate]]</f>
        <v>3600</v>
      </c>
      <c r="O26" s="24">
        <f>Stock[[#This Row],[Stock Cultivate]]*Stock[[#This Row],[Precio de Venta]]</f>
        <v>12000</v>
      </c>
      <c r="R26" s="16"/>
    </row>
    <row r="27" spans="2:18">
      <c r="B27" s="44">
        <v>907</v>
      </c>
      <c r="C27" t="s">
        <v>1099</v>
      </c>
      <c r="D27" s="45">
        <v>220</v>
      </c>
      <c r="E27" s="24">
        <v>600</v>
      </c>
      <c r="F27" s="44">
        <f>Stock[Entradas]-Stock[Compra Cultivate]</f>
        <v>38</v>
      </c>
      <c r="G27" s="11">
        <f>SUMIFS(Compras[Cantidad],Compras[Codigo],Stock[Codigo])</f>
        <v>38</v>
      </c>
      <c r="H27" s="11">
        <f>SUMIFS(Ventas[Cantidad],Ventas[Codigo],Stock[Codigo])</f>
        <v>0</v>
      </c>
      <c r="I27" s="12">
        <f>Stock[[#This Row],[Stock Deposito]]*Stock[[#This Row],[Precio de Compra]]</f>
        <v>8360</v>
      </c>
      <c r="J27" s="6">
        <f>SUMIFS(ProdDesc[Cantidad],ProdDesc[Codigo],Stock[Codigo])</f>
        <v>0</v>
      </c>
      <c r="K27" s="44">
        <f>Stock[[#This Row],[Compra Cultivate]]-Stock[[#This Row],[Salidas]]-Stock[[#This Row],[Usados]]</f>
        <v>0</v>
      </c>
      <c r="L27" s="24">
        <f>Stock[[#This Row],[Stock Deposito]]*Stock[[#This Row],[Precio de Venta]]</f>
        <v>22800</v>
      </c>
      <c r="M27" s="6">
        <f>SUMIFS(Tabla9[Cantidad],Tabla9[Codigo],Stock[Codigo])</f>
        <v>0</v>
      </c>
      <c r="N27" s="24">
        <f>Stock[[#This Row],[Precio de Compra]]*Stock[[#This Row],[Stock Cultivate]]</f>
        <v>0</v>
      </c>
      <c r="O27" s="24">
        <f>Stock[[#This Row],[Stock Cultivate]]*Stock[[#This Row],[Precio de Venta]]</f>
        <v>0</v>
      </c>
      <c r="R27" s="16"/>
    </row>
    <row r="28" spans="2:18">
      <c r="B28" s="44">
        <v>906</v>
      </c>
      <c r="C28" t="s">
        <v>1098</v>
      </c>
      <c r="D28" s="45">
        <v>300</v>
      </c>
      <c r="E28" s="24">
        <v>700</v>
      </c>
      <c r="F28" s="44">
        <f>Stock[Entradas]-Stock[Compra Cultivate]</f>
        <v>-12</v>
      </c>
      <c r="G28" s="11">
        <f>SUMIFS(Compras[Cantidad],Compras[Codigo],Stock[Codigo])</f>
        <v>12</v>
      </c>
      <c r="H28" s="11">
        <f>SUMIFS(Ventas[Cantidad],Ventas[Codigo],Stock[Codigo])</f>
        <v>0</v>
      </c>
      <c r="I28" s="12">
        <f>Stock[[#This Row],[Stock Deposito]]*Stock[[#This Row],[Precio de Compra]]</f>
        <v>-3600</v>
      </c>
      <c r="J28" s="6">
        <f>SUMIFS(ProdDesc[Cantidad],ProdDesc[Codigo],Stock[Codigo])</f>
        <v>0</v>
      </c>
      <c r="K28" s="44">
        <f>Stock[[#This Row],[Compra Cultivate]]-Stock[[#This Row],[Salidas]]-Stock[[#This Row],[Usados]]</f>
        <v>24</v>
      </c>
      <c r="L28" s="24">
        <f>Stock[[#This Row],[Stock Deposito]]*Stock[[#This Row],[Precio de Venta]]</f>
        <v>-8400</v>
      </c>
      <c r="M28" s="6">
        <f>SUMIFS(Tabla9[Cantidad],Tabla9[Codigo],Stock[Codigo])</f>
        <v>24</v>
      </c>
      <c r="N28" s="24">
        <f>Stock[[#This Row],[Precio de Compra]]*Stock[[#This Row],[Stock Cultivate]]</f>
        <v>7200</v>
      </c>
      <c r="O28" s="24">
        <f>Stock[[#This Row],[Stock Cultivate]]*Stock[[#This Row],[Precio de Venta]]</f>
        <v>16800</v>
      </c>
      <c r="R28" s="16"/>
    </row>
    <row r="29" spans="2:18">
      <c r="B29" s="44">
        <v>905</v>
      </c>
      <c r="C29" t="s">
        <v>1097</v>
      </c>
      <c r="D29" s="45">
        <v>667</v>
      </c>
      <c r="E29" s="24">
        <v>1300</v>
      </c>
      <c r="F29" s="44">
        <f>Stock[Entradas]-Stock[Compra Cultivate]</f>
        <v>-1</v>
      </c>
      <c r="G29" s="11">
        <f>SUMIFS(Compras[Cantidad],Compras[Codigo],Stock[Codigo])</f>
        <v>25</v>
      </c>
      <c r="H29" s="11">
        <f>SUMIFS(Ventas[Cantidad],Ventas[Codigo],Stock[Codigo])</f>
        <v>1</v>
      </c>
      <c r="I29" s="12">
        <f>Stock[[#This Row],[Stock Deposito]]*Stock[[#This Row],[Precio de Compra]]</f>
        <v>-667</v>
      </c>
      <c r="J29" s="6">
        <f>SUMIFS(ProdDesc[Cantidad],ProdDesc[Codigo],Stock[Codigo])</f>
        <v>0</v>
      </c>
      <c r="K29" s="44">
        <f>Stock[[#This Row],[Compra Cultivate]]-Stock[[#This Row],[Salidas]]-Stock[[#This Row],[Usados]]</f>
        <v>25</v>
      </c>
      <c r="L29" s="24">
        <f>Stock[[#This Row],[Stock Deposito]]*Stock[[#This Row],[Precio de Venta]]</f>
        <v>-1300</v>
      </c>
      <c r="M29" s="6">
        <f>SUMIFS(Tabla9[Cantidad],Tabla9[Codigo],Stock[Codigo])</f>
        <v>26</v>
      </c>
      <c r="N29" s="24">
        <f>Stock[[#This Row],[Precio de Compra]]*Stock[[#This Row],[Stock Cultivate]]</f>
        <v>16675</v>
      </c>
      <c r="O29" s="24">
        <f>Stock[[#This Row],[Stock Cultivate]]*Stock[[#This Row],[Precio de Venta]]</f>
        <v>32500</v>
      </c>
      <c r="R29" s="16"/>
    </row>
    <row r="30" spans="2:18">
      <c r="B30" s="44">
        <v>904</v>
      </c>
      <c r="C30" t="s">
        <v>1096</v>
      </c>
      <c r="D30" s="45">
        <v>150</v>
      </c>
      <c r="E30" s="24">
        <v>300</v>
      </c>
      <c r="F30" s="44">
        <f>Stock[Entradas]-Stock[Compra Cultivate]</f>
        <v>72</v>
      </c>
      <c r="G30" s="11">
        <f>SUMIFS(Compras[Cantidad],Compras[Codigo],Stock[Codigo])</f>
        <v>72</v>
      </c>
      <c r="H30" s="11">
        <f>SUMIFS(Ventas[Cantidad],Ventas[Codigo],Stock[Codigo])</f>
        <v>0</v>
      </c>
      <c r="I30" s="12">
        <f>Stock[[#This Row],[Stock Deposito]]*Stock[[#This Row],[Precio de Compra]]</f>
        <v>10800</v>
      </c>
      <c r="J30" s="6">
        <f>SUMIFS(ProdDesc[Cantidad],ProdDesc[Codigo],Stock[Codigo])</f>
        <v>0</v>
      </c>
      <c r="K30" s="44">
        <f>Stock[[#This Row],[Compra Cultivate]]-Stock[[#This Row],[Salidas]]-Stock[[#This Row],[Usados]]</f>
        <v>0</v>
      </c>
      <c r="L30" s="24">
        <f>Stock[[#This Row],[Stock Deposito]]*Stock[[#This Row],[Precio de Venta]]</f>
        <v>21600</v>
      </c>
      <c r="M30" s="6">
        <f>SUMIFS(Tabla9[Cantidad],Tabla9[Codigo],Stock[Codigo])</f>
        <v>0</v>
      </c>
      <c r="N30" s="24">
        <f>Stock[[#This Row],[Precio de Compra]]*Stock[[#This Row],[Stock Cultivate]]</f>
        <v>0</v>
      </c>
      <c r="O30" s="24">
        <f>Stock[[#This Row],[Stock Cultivate]]*Stock[[#This Row],[Precio de Venta]]</f>
        <v>0</v>
      </c>
      <c r="R30" s="16"/>
    </row>
    <row r="31" spans="2:18">
      <c r="B31" s="44">
        <v>903</v>
      </c>
      <c r="C31" t="s">
        <v>1095</v>
      </c>
      <c r="D31" s="45">
        <v>100</v>
      </c>
      <c r="E31" s="24">
        <v>200</v>
      </c>
      <c r="F31" s="44">
        <f>Stock[Entradas]-Stock[Compra Cultivate]</f>
        <v>50</v>
      </c>
      <c r="G31" s="11">
        <f>SUMIFS(Compras[Cantidad],Compras[Codigo],Stock[Codigo])</f>
        <v>50</v>
      </c>
      <c r="H31" s="11">
        <f>SUMIFS(Ventas[Cantidad],Ventas[Codigo],Stock[Codigo])</f>
        <v>0</v>
      </c>
      <c r="I31" s="12">
        <f>Stock[[#This Row],[Stock Deposito]]*Stock[[#This Row],[Precio de Compra]]</f>
        <v>5000</v>
      </c>
      <c r="J31" s="6">
        <f>SUMIFS(ProdDesc[Cantidad],ProdDesc[Codigo],Stock[Codigo])</f>
        <v>0</v>
      </c>
      <c r="K31" s="44">
        <f>Stock[[#This Row],[Compra Cultivate]]-Stock[[#This Row],[Salidas]]-Stock[[#This Row],[Usados]]</f>
        <v>0</v>
      </c>
      <c r="L31" s="24">
        <f>Stock[[#This Row],[Stock Deposito]]*Stock[[#This Row],[Precio de Venta]]</f>
        <v>10000</v>
      </c>
      <c r="M31" s="6">
        <f>SUMIFS(Tabla9[Cantidad],Tabla9[Codigo],Stock[Codigo])</f>
        <v>0</v>
      </c>
      <c r="N31" s="24">
        <f>Stock[[#This Row],[Precio de Compra]]*Stock[[#This Row],[Stock Cultivate]]</f>
        <v>0</v>
      </c>
      <c r="O31" s="24">
        <f>Stock[[#This Row],[Stock Cultivate]]*Stock[[#This Row],[Precio de Venta]]</f>
        <v>0</v>
      </c>
      <c r="R31" s="16"/>
    </row>
    <row r="32" spans="2:18">
      <c r="B32" s="44">
        <v>902</v>
      </c>
      <c r="C32" t="s">
        <v>1094</v>
      </c>
      <c r="D32" s="45">
        <v>100</v>
      </c>
      <c r="E32" s="24">
        <v>200</v>
      </c>
      <c r="F32" s="44">
        <f>Stock[Entradas]-Stock[Compra Cultivate]</f>
        <v>113</v>
      </c>
      <c r="G32" s="11">
        <f>SUMIFS(Compras[Cantidad],Compras[Codigo],Stock[Codigo])</f>
        <v>113</v>
      </c>
      <c r="H32" s="11">
        <f>SUMIFS(Ventas[Cantidad],Ventas[Codigo],Stock[Codigo])</f>
        <v>0</v>
      </c>
      <c r="I32" s="12">
        <f>Stock[[#This Row],[Stock Deposito]]*Stock[[#This Row],[Precio de Compra]]</f>
        <v>11300</v>
      </c>
      <c r="J32" s="6">
        <f>SUMIFS(ProdDesc[Cantidad],ProdDesc[Codigo],Stock[Codigo])</f>
        <v>0</v>
      </c>
      <c r="K32" s="44">
        <f>Stock[[#This Row],[Compra Cultivate]]-Stock[[#This Row],[Salidas]]-Stock[[#This Row],[Usados]]</f>
        <v>0</v>
      </c>
      <c r="L32" s="24">
        <f>Stock[[#This Row],[Stock Deposito]]*Stock[[#This Row],[Precio de Venta]]</f>
        <v>22600</v>
      </c>
      <c r="M32" s="6">
        <f>SUMIFS(Tabla9[Cantidad],Tabla9[Codigo],Stock[Codigo])</f>
        <v>0</v>
      </c>
      <c r="N32" s="24">
        <f>Stock[[#This Row],[Precio de Compra]]*Stock[[#This Row],[Stock Cultivate]]</f>
        <v>0</v>
      </c>
      <c r="O32" s="24">
        <f>Stock[[#This Row],[Stock Cultivate]]*Stock[[#This Row],[Precio de Venta]]</f>
        <v>0</v>
      </c>
      <c r="R32" s="16"/>
    </row>
    <row r="33" spans="2:18">
      <c r="B33" s="44">
        <v>901</v>
      </c>
      <c r="C33" t="s">
        <v>1149</v>
      </c>
      <c r="D33" s="45">
        <v>81</v>
      </c>
      <c r="E33" s="24">
        <v>200</v>
      </c>
      <c r="F33" s="44">
        <f>Stock[Entradas]-Stock[Compra Cultivate]</f>
        <v>94</v>
      </c>
      <c r="G33" s="11">
        <f>SUMIFS(Compras[Cantidad],Compras[Codigo],Stock[Codigo])</f>
        <v>144</v>
      </c>
      <c r="H33" s="11">
        <f>SUMIFS(Ventas[Cantidad],Ventas[Codigo],Stock[Codigo])</f>
        <v>0</v>
      </c>
      <c r="I33" s="12">
        <f>Stock[[#This Row],[Stock Deposito]]*Stock[[#This Row],[Precio de Compra]]</f>
        <v>7614</v>
      </c>
      <c r="J33" s="6">
        <f>SUMIFS(ProdDesc[Cantidad],ProdDesc[Codigo],Stock[Codigo])</f>
        <v>0</v>
      </c>
      <c r="K33" s="44">
        <f>Stock[[#This Row],[Compra Cultivate]]-Stock[[#This Row],[Salidas]]-Stock[[#This Row],[Usados]]</f>
        <v>50</v>
      </c>
      <c r="L33" s="24">
        <f>Stock[[#This Row],[Stock Deposito]]*Stock[[#This Row],[Precio de Venta]]</f>
        <v>18800</v>
      </c>
      <c r="M33" s="6">
        <f>SUMIFS(Tabla9[Cantidad],Tabla9[Codigo],Stock[Codigo])</f>
        <v>50</v>
      </c>
      <c r="N33" s="24">
        <f>Stock[[#This Row],[Precio de Compra]]*Stock[[#This Row],[Stock Cultivate]]</f>
        <v>4050</v>
      </c>
      <c r="O33" s="24">
        <f>Stock[[#This Row],[Stock Cultivate]]*Stock[[#This Row],[Precio de Venta]]</f>
        <v>10000</v>
      </c>
      <c r="R33" s="16"/>
    </row>
    <row r="34" spans="2:18">
      <c r="B34" s="44">
        <v>900</v>
      </c>
      <c r="C34" t="s">
        <v>1125</v>
      </c>
      <c r="D34" s="45">
        <v>100</v>
      </c>
      <c r="E34" s="24">
        <v>400</v>
      </c>
      <c r="F34" s="44">
        <f>Stock[Entradas]-Stock[Compra Cultivate]</f>
        <v>29</v>
      </c>
      <c r="G34" s="11">
        <f>SUMIFS(Compras[Cantidad],Compras[Codigo],Stock[Codigo])</f>
        <v>49</v>
      </c>
      <c r="H34" s="11">
        <f>SUMIFS(Ventas[Cantidad],Ventas[Codigo],Stock[Codigo])</f>
        <v>0</v>
      </c>
      <c r="I34" s="12">
        <f>Stock[[#This Row],[Stock Deposito]]*Stock[[#This Row],[Precio de Compra]]</f>
        <v>2900</v>
      </c>
      <c r="J34" s="6">
        <f>SUMIFS(ProdDesc[Cantidad],ProdDesc[Codigo],Stock[Codigo])</f>
        <v>0</v>
      </c>
      <c r="K34" s="44">
        <f>Stock[[#This Row],[Compra Cultivate]]-Stock[[#This Row],[Salidas]]-Stock[[#This Row],[Usados]]</f>
        <v>20</v>
      </c>
      <c r="L34" s="24">
        <f>Stock[[#This Row],[Stock Deposito]]*Stock[[#This Row],[Precio de Venta]]</f>
        <v>11600</v>
      </c>
      <c r="M34" s="6">
        <f>SUMIFS(Tabla9[Cantidad],Tabla9[Codigo],Stock[Codigo])</f>
        <v>20</v>
      </c>
      <c r="N34" s="24">
        <f>Stock[[#This Row],[Precio de Compra]]*Stock[[#This Row],[Stock Cultivate]]</f>
        <v>2000</v>
      </c>
      <c r="O34" s="24">
        <f>Stock[[#This Row],[Stock Cultivate]]*Stock[[#This Row],[Precio de Venta]]</f>
        <v>8000</v>
      </c>
      <c r="R34" s="16"/>
    </row>
    <row r="35" spans="2:18">
      <c r="B35" s="44">
        <v>899</v>
      </c>
      <c r="C35" t="s">
        <v>1093</v>
      </c>
      <c r="D35" s="45">
        <v>50</v>
      </c>
      <c r="E35" s="24">
        <v>200</v>
      </c>
      <c r="F35" s="44">
        <f>Stock[Entradas]-Stock[Compra Cultivate]</f>
        <v>45</v>
      </c>
      <c r="G35" s="11">
        <f>SUMIFS(Compras[Cantidad],Compras[Codigo],Stock[Codigo])</f>
        <v>45</v>
      </c>
      <c r="H35" s="11">
        <f>SUMIFS(Ventas[Cantidad],Ventas[Codigo],Stock[Codigo])</f>
        <v>0</v>
      </c>
      <c r="I35" s="12">
        <f>Stock[[#This Row],[Stock Deposito]]*Stock[[#This Row],[Precio de Compra]]</f>
        <v>2250</v>
      </c>
      <c r="J35" s="6">
        <f>SUMIFS(ProdDesc[Cantidad],ProdDesc[Codigo],Stock[Codigo])</f>
        <v>0</v>
      </c>
      <c r="K35" s="44">
        <f>Stock[[#This Row],[Compra Cultivate]]-Stock[[#This Row],[Salidas]]-Stock[[#This Row],[Usados]]</f>
        <v>0</v>
      </c>
      <c r="L35" s="24">
        <f>Stock[[#This Row],[Stock Deposito]]*Stock[[#This Row],[Precio de Venta]]</f>
        <v>9000</v>
      </c>
      <c r="M35" s="6">
        <f>SUMIFS(Tabla9[Cantidad],Tabla9[Codigo],Stock[Codigo])</f>
        <v>0</v>
      </c>
      <c r="N35" s="24">
        <f>Stock[[#This Row],[Precio de Compra]]*Stock[[#This Row],[Stock Cultivate]]</f>
        <v>0</v>
      </c>
      <c r="O35" s="24">
        <f>Stock[[#This Row],[Stock Cultivate]]*Stock[[#This Row],[Precio de Venta]]</f>
        <v>0</v>
      </c>
      <c r="R35" s="16"/>
    </row>
    <row r="36" spans="2:18">
      <c r="B36" s="44">
        <v>898</v>
      </c>
      <c r="C36" t="s">
        <v>1092</v>
      </c>
      <c r="D36" s="45">
        <v>50</v>
      </c>
      <c r="E36" s="24">
        <v>200</v>
      </c>
      <c r="F36" s="44">
        <f>Stock[Entradas]-Stock[Compra Cultivate]</f>
        <v>43</v>
      </c>
      <c r="G36" s="11">
        <f>SUMIFS(Compras[Cantidad],Compras[Codigo],Stock[Codigo])</f>
        <v>43</v>
      </c>
      <c r="H36" s="11">
        <f>SUMIFS(Ventas[Cantidad],Ventas[Codigo],Stock[Codigo])</f>
        <v>0</v>
      </c>
      <c r="I36" s="12">
        <f>Stock[[#This Row],[Stock Deposito]]*Stock[[#This Row],[Precio de Compra]]</f>
        <v>2150</v>
      </c>
      <c r="J36" s="6">
        <f>SUMIFS(ProdDesc[Cantidad],ProdDesc[Codigo],Stock[Codigo])</f>
        <v>0</v>
      </c>
      <c r="K36" s="44">
        <f>Stock[[#This Row],[Compra Cultivate]]-Stock[[#This Row],[Salidas]]-Stock[[#This Row],[Usados]]</f>
        <v>0</v>
      </c>
      <c r="L36" s="24">
        <f>Stock[[#This Row],[Stock Deposito]]*Stock[[#This Row],[Precio de Venta]]</f>
        <v>8600</v>
      </c>
      <c r="M36" s="6">
        <f>SUMIFS(Tabla9[Cantidad],Tabla9[Codigo],Stock[Codigo])</f>
        <v>0</v>
      </c>
      <c r="N36" s="24">
        <f>Stock[[#This Row],[Precio de Compra]]*Stock[[#This Row],[Stock Cultivate]]</f>
        <v>0</v>
      </c>
      <c r="O36" s="24">
        <f>Stock[[#This Row],[Stock Cultivate]]*Stock[[#This Row],[Precio de Venta]]</f>
        <v>0</v>
      </c>
      <c r="R36" s="16"/>
    </row>
    <row r="37" spans="2:18">
      <c r="B37" s="44">
        <v>897</v>
      </c>
      <c r="C37" t="s">
        <v>1091</v>
      </c>
      <c r="D37" s="45">
        <v>100</v>
      </c>
      <c r="E37" s="24">
        <v>500</v>
      </c>
      <c r="F37" s="44">
        <f>Stock[Entradas]-Stock[Compra Cultivate]</f>
        <v>42</v>
      </c>
      <c r="G37" s="11">
        <f>SUMIFS(Compras[Cantidad],Compras[Codigo],Stock[Codigo])</f>
        <v>42</v>
      </c>
      <c r="H37" s="11">
        <f>SUMIFS(Ventas[Cantidad],Ventas[Codigo],Stock[Codigo])</f>
        <v>0</v>
      </c>
      <c r="I37" s="12">
        <f>Stock[[#This Row],[Stock Deposito]]*Stock[[#This Row],[Precio de Compra]]</f>
        <v>4200</v>
      </c>
      <c r="J37" s="6">
        <f>SUMIFS(ProdDesc[Cantidad],ProdDesc[Codigo],Stock[Codigo])</f>
        <v>0</v>
      </c>
      <c r="K37" s="44">
        <f>Stock[[#This Row],[Compra Cultivate]]-Stock[[#This Row],[Salidas]]-Stock[[#This Row],[Usados]]</f>
        <v>0</v>
      </c>
      <c r="L37" s="24">
        <f>Stock[[#This Row],[Stock Deposito]]*Stock[[#This Row],[Precio de Venta]]</f>
        <v>21000</v>
      </c>
      <c r="M37" s="6">
        <f>SUMIFS(Tabla9[Cantidad],Tabla9[Codigo],Stock[Codigo])</f>
        <v>0</v>
      </c>
      <c r="N37" s="24">
        <f>Stock[[#This Row],[Precio de Compra]]*Stock[[#This Row],[Stock Cultivate]]</f>
        <v>0</v>
      </c>
      <c r="O37" s="24">
        <f>Stock[[#This Row],[Stock Cultivate]]*Stock[[#This Row],[Precio de Venta]]</f>
        <v>0</v>
      </c>
      <c r="R37" s="16"/>
    </row>
    <row r="38" spans="2:18">
      <c r="B38" s="44">
        <v>896</v>
      </c>
      <c r="C38" t="s">
        <v>1090</v>
      </c>
      <c r="D38" s="45">
        <v>100</v>
      </c>
      <c r="E38" s="24">
        <v>500</v>
      </c>
      <c r="F38" s="44">
        <f>Stock[Entradas]-Stock[Compra Cultivate]</f>
        <v>42</v>
      </c>
      <c r="G38" s="11">
        <f>SUMIFS(Compras[Cantidad],Compras[Codigo],Stock[Codigo])</f>
        <v>42</v>
      </c>
      <c r="H38" s="11">
        <f>SUMIFS(Ventas[Cantidad],Ventas[Codigo],Stock[Codigo])</f>
        <v>0</v>
      </c>
      <c r="I38" s="12">
        <f>Stock[[#This Row],[Stock Deposito]]*Stock[[#This Row],[Precio de Compra]]</f>
        <v>4200</v>
      </c>
      <c r="J38" s="6">
        <f>SUMIFS(ProdDesc[Cantidad],ProdDesc[Codigo],Stock[Codigo])</f>
        <v>0</v>
      </c>
      <c r="K38" s="44">
        <f>Stock[[#This Row],[Compra Cultivate]]-Stock[[#This Row],[Salidas]]-Stock[[#This Row],[Usados]]</f>
        <v>0</v>
      </c>
      <c r="L38" s="24">
        <f>Stock[[#This Row],[Stock Deposito]]*Stock[[#This Row],[Precio de Venta]]</f>
        <v>21000</v>
      </c>
      <c r="M38" s="6">
        <f>SUMIFS(Tabla9[Cantidad],Tabla9[Codigo],Stock[Codigo])</f>
        <v>0</v>
      </c>
      <c r="N38" s="24">
        <f>Stock[[#This Row],[Precio de Compra]]*Stock[[#This Row],[Stock Cultivate]]</f>
        <v>0</v>
      </c>
      <c r="O38" s="24">
        <f>Stock[[#This Row],[Stock Cultivate]]*Stock[[#This Row],[Precio de Venta]]</f>
        <v>0</v>
      </c>
      <c r="R38" s="16"/>
    </row>
    <row r="39" spans="2:18">
      <c r="B39" s="44">
        <v>895</v>
      </c>
      <c r="C39" t="s">
        <v>1089</v>
      </c>
      <c r="D39" s="45">
        <v>100</v>
      </c>
      <c r="E39" s="24">
        <v>500</v>
      </c>
      <c r="F39" s="44">
        <f>Stock[Entradas]-Stock[Compra Cultivate]</f>
        <v>37</v>
      </c>
      <c r="G39" s="11">
        <f>SUMIFS(Compras[Cantidad],Compras[Codigo],Stock[Codigo])</f>
        <v>37</v>
      </c>
      <c r="H39" s="11">
        <f>SUMIFS(Ventas[Cantidad],Ventas[Codigo],Stock[Codigo])</f>
        <v>0</v>
      </c>
      <c r="I39" s="12">
        <f>Stock[[#This Row],[Stock Deposito]]*Stock[[#This Row],[Precio de Compra]]</f>
        <v>3700</v>
      </c>
      <c r="J39" s="6">
        <f>SUMIFS(ProdDesc[Cantidad],ProdDesc[Codigo],Stock[Codigo])</f>
        <v>0</v>
      </c>
      <c r="K39" s="44">
        <f>Stock[[#This Row],[Compra Cultivate]]-Stock[[#This Row],[Salidas]]-Stock[[#This Row],[Usados]]</f>
        <v>0</v>
      </c>
      <c r="L39" s="24">
        <f>Stock[[#This Row],[Stock Deposito]]*Stock[[#This Row],[Precio de Venta]]</f>
        <v>18500</v>
      </c>
      <c r="M39" s="6">
        <f>SUMIFS(Tabla9[Cantidad],Tabla9[Codigo],Stock[Codigo])</f>
        <v>0</v>
      </c>
      <c r="N39" s="24">
        <f>Stock[[#This Row],[Precio de Compra]]*Stock[[#This Row],[Stock Cultivate]]</f>
        <v>0</v>
      </c>
      <c r="O39" s="24">
        <f>Stock[[#This Row],[Stock Cultivate]]*Stock[[#This Row],[Precio de Venta]]</f>
        <v>0</v>
      </c>
      <c r="R39" s="16"/>
    </row>
    <row r="40" spans="2:18">
      <c r="B40" s="44">
        <v>894</v>
      </c>
      <c r="C40" t="s">
        <v>1088</v>
      </c>
      <c r="D40" s="45">
        <v>1028</v>
      </c>
      <c r="E40" s="24">
        <v>2000</v>
      </c>
      <c r="F40" s="44">
        <f>Stock[Entradas]-Stock[Compra Cultivate]</f>
        <v>0</v>
      </c>
      <c r="G40" s="11">
        <f>SUMIFS(Compras[Cantidad],Compras[Codigo],Stock[Codigo])</f>
        <v>12</v>
      </c>
      <c r="H40" s="11">
        <f>SUMIFS(Ventas[Cantidad],Ventas[Codigo],Stock[Codigo])</f>
        <v>1</v>
      </c>
      <c r="I40" s="12">
        <f>Stock[[#This Row],[Stock Deposito]]*Stock[[#This Row],[Precio de Compra]]</f>
        <v>0</v>
      </c>
      <c r="J40" s="6">
        <f>SUMIFS(ProdDesc[Cantidad],ProdDesc[Codigo],Stock[Codigo])</f>
        <v>0</v>
      </c>
      <c r="K40" s="44">
        <f>Stock[[#This Row],[Compra Cultivate]]-Stock[[#This Row],[Salidas]]-Stock[[#This Row],[Usados]]</f>
        <v>11</v>
      </c>
      <c r="L40" s="24">
        <f>Stock[[#This Row],[Stock Deposito]]*Stock[[#This Row],[Precio de Venta]]</f>
        <v>0</v>
      </c>
      <c r="M40" s="6">
        <f>SUMIFS(Tabla9[Cantidad],Tabla9[Codigo],Stock[Codigo])</f>
        <v>12</v>
      </c>
      <c r="N40" s="24">
        <f>Stock[[#This Row],[Precio de Compra]]*Stock[[#This Row],[Stock Cultivate]]</f>
        <v>11308</v>
      </c>
      <c r="O40" s="24">
        <f>Stock[[#This Row],[Stock Cultivate]]*Stock[[#This Row],[Precio de Venta]]</f>
        <v>22000</v>
      </c>
      <c r="R40" s="16"/>
    </row>
    <row r="41" spans="2:18">
      <c r="B41" s="44">
        <v>893</v>
      </c>
      <c r="C41" t="s">
        <v>1087</v>
      </c>
      <c r="D41" s="45">
        <v>100</v>
      </c>
      <c r="E41" s="24">
        <v>300</v>
      </c>
      <c r="F41" s="44">
        <f>Stock[Entradas]-Stock[Compra Cultivate]</f>
        <v>50</v>
      </c>
      <c r="G41" s="11">
        <f>SUMIFS(Compras[Cantidad],Compras[Codigo],Stock[Codigo])</f>
        <v>50</v>
      </c>
      <c r="H41" s="11">
        <f>SUMIFS(Ventas[Cantidad],Ventas[Codigo],Stock[Codigo])</f>
        <v>0</v>
      </c>
      <c r="I41" s="12">
        <f>Stock[[#This Row],[Stock Deposito]]*Stock[[#This Row],[Precio de Compra]]</f>
        <v>5000</v>
      </c>
      <c r="J41" s="6">
        <f>SUMIFS(ProdDesc[Cantidad],ProdDesc[Codigo],Stock[Codigo])</f>
        <v>0</v>
      </c>
      <c r="K41" s="44">
        <f>Stock[[#This Row],[Compra Cultivate]]-Stock[[#This Row],[Salidas]]-Stock[[#This Row],[Usados]]</f>
        <v>0</v>
      </c>
      <c r="L41" s="24">
        <f>Stock[[#This Row],[Stock Deposito]]*Stock[[#This Row],[Precio de Venta]]</f>
        <v>15000</v>
      </c>
      <c r="M41" s="6">
        <f>SUMIFS(Tabla9[Cantidad],Tabla9[Codigo],Stock[Codigo])</f>
        <v>0</v>
      </c>
      <c r="N41" s="24">
        <f>Stock[[#This Row],[Precio de Compra]]*Stock[[#This Row],[Stock Cultivate]]</f>
        <v>0</v>
      </c>
      <c r="O41" s="24">
        <f>Stock[[#This Row],[Stock Cultivate]]*Stock[[#This Row],[Precio de Venta]]</f>
        <v>0</v>
      </c>
      <c r="R41" s="16"/>
    </row>
    <row r="42" spans="2:18">
      <c r="B42" s="44">
        <v>892</v>
      </c>
      <c r="C42" t="s">
        <v>1086</v>
      </c>
      <c r="D42" s="45">
        <v>220</v>
      </c>
      <c r="E42" s="24">
        <v>500</v>
      </c>
      <c r="F42" s="44">
        <f>Stock[Entradas]-Stock[Compra Cultivate]</f>
        <v>11</v>
      </c>
      <c r="G42" s="11">
        <f>SUMIFS(Compras[Cantidad],Compras[Codigo],Stock[Codigo])</f>
        <v>11</v>
      </c>
      <c r="H42" s="11">
        <f>SUMIFS(Ventas[Cantidad],Ventas[Codigo],Stock[Codigo])</f>
        <v>0</v>
      </c>
      <c r="I42" s="12">
        <f>Stock[[#This Row],[Stock Deposito]]*Stock[[#This Row],[Precio de Compra]]</f>
        <v>2420</v>
      </c>
      <c r="J42" s="6">
        <f>SUMIFS(ProdDesc[Cantidad],ProdDesc[Codigo],Stock[Codigo])</f>
        <v>0</v>
      </c>
      <c r="K42" s="44">
        <f>Stock[[#This Row],[Compra Cultivate]]-Stock[[#This Row],[Salidas]]-Stock[[#This Row],[Usados]]</f>
        <v>0</v>
      </c>
      <c r="L42" s="24">
        <f>Stock[[#This Row],[Stock Deposito]]*Stock[[#This Row],[Precio de Venta]]</f>
        <v>5500</v>
      </c>
      <c r="M42" s="6">
        <f>SUMIFS(Tabla9[Cantidad],Tabla9[Codigo],Stock[Codigo])</f>
        <v>0</v>
      </c>
      <c r="N42" s="24">
        <f>Stock[[#This Row],[Precio de Compra]]*Stock[[#This Row],[Stock Cultivate]]</f>
        <v>0</v>
      </c>
      <c r="O42" s="24">
        <f>Stock[[#This Row],[Stock Cultivate]]*Stock[[#This Row],[Precio de Venta]]</f>
        <v>0</v>
      </c>
      <c r="R42" s="16"/>
    </row>
    <row r="43" spans="2:18">
      <c r="B43" s="44">
        <v>891</v>
      </c>
      <c r="C43" t="s">
        <v>1085</v>
      </c>
      <c r="D43" s="45">
        <v>100</v>
      </c>
      <c r="E43" s="24">
        <v>300</v>
      </c>
      <c r="F43" s="44">
        <f>Stock[Entradas]-Stock[Compra Cultivate]</f>
        <v>0</v>
      </c>
      <c r="G43" s="11">
        <f>SUMIFS(Compras[Cantidad],Compras[Codigo],Stock[Codigo])</f>
        <v>48</v>
      </c>
      <c r="H43" s="11">
        <f>SUMIFS(Ventas[Cantidad],Ventas[Codigo],Stock[Codigo])</f>
        <v>0</v>
      </c>
      <c r="I43" s="12">
        <f>Stock[[#This Row],[Stock Deposito]]*Stock[[#This Row],[Precio de Compra]]</f>
        <v>0</v>
      </c>
      <c r="J43" s="6">
        <f>SUMIFS(ProdDesc[Cantidad],ProdDesc[Codigo],Stock[Codigo])</f>
        <v>0</v>
      </c>
      <c r="K43" s="44">
        <f>Stock[[#This Row],[Compra Cultivate]]-Stock[[#This Row],[Salidas]]-Stock[[#This Row],[Usados]]</f>
        <v>48</v>
      </c>
      <c r="L43" s="24">
        <f>Stock[[#This Row],[Stock Deposito]]*Stock[[#This Row],[Precio de Venta]]</f>
        <v>0</v>
      </c>
      <c r="M43" s="6">
        <f>SUMIFS(Tabla9[Cantidad],Tabla9[Codigo],Stock[Codigo])</f>
        <v>48</v>
      </c>
      <c r="N43" s="24">
        <f>Stock[[#This Row],[Precio de Compra]]*Stock[[#This Row],[Stock Cultivate]]</f>
        <v>4800</v>
      </c>
      <c r="O43" s="24">
        <f>Stock[[#This Row],[Stock Cultivate]]*Stock[[#This Row],[Precio de Venta]]</f>
        <v>14400</v>
      </c>
      <c r="R43" s="16"/>
    </row>
    <row r="44" spans="2:18">
      <c r="B44" s="44">
        <v>890</v>
      </c>
      <c r="C44" t="s">
        <v>1084</v>
      </c>
      <c r="D44" s="45">
        <v>100</v>
      </c>
      <c r="E44" s="24">
        <v>300</v>
      </c>
      <c r="F44" s="44">
        <f>Stock[Entradas]-Stock[Compra Cultivate]</f>
        <v>4</v>
      </c>
      <c r="G44" s="11">
        <f>SUMIFS(Compras[Cantidad],Compras[Codigo],Stock[Codigo])</f>
        <v>4</v>
      </c>
      <c r="H44" s="11">
        <f>SUMIFS(Ventas[Cantidad],Ventas[Codigo],Stock[Codigo])</f>
        <v>0</v>
      </c>
      <c r="I44" s="12">
        <f>Stock[[#This Row],[Stock Deposito]]*Stock[[#This Row],[Precio de Compra]]</f>
        <v>400</v>
      </c>
      <c r="J44" s="6">
        <f>SUMIFS(ProdDesc[Cantidad],ProdDesc[Codigo],Stock[Codigo])</f>
        <v>0</v>
      </c>
      <c r="K44" s="44">
        <f>Stock[[#This Row],[Compra Cultivate]]-Stock[[#This Row],[Salidas]]-Stock[[#This Row],[Usados]]</f>
        <v>0</v>
      </c>
      <c r="L44" s="24">
        <f>Stock[[#This Row],[Stock Deposito]]*Stock[[#This Row],[Precio de Venta]]</f>
        <v>1200</v>
      </c>
      <c r="M44" s="6">
        <f>SUMIFS(Tabla9[Cantidad],Tabla9[Codigo],Stock[Codigo])</f>
        <v>0</v>
      </c>
      <c r="N44" s="24">
        <f>Stock[[#This Row],[Precio de Compra]]*Stock[[#This Row],[Stock Cultivate]]</f>
        <v>0</v>
      </c>
      <c r="O44" s="24">
        <f>Stock[[#This Row],[Stock Cultivate]]*Stock[[#This Row],[Precio de Venta]]</f>
        <v>0</v>
      </c>
      <c r="R44" s="16"/>
    </row>
    <row r="45" spans="2:18">
      <c r="B45" s="44">
        <v>889</v>
      </c>
      <c r="C45" t="s">
        <v>1083</v>
      </c>
      <c r="D45" s="45">
        <v>193</v>
      </c>
      <c r="E45" s="24">
        <v>400</v>
      </c>
      <c r="F45" s="44">
        <f>Stock[Entradas]-Stock[Compra Cultivate]</f>
        <v>109</v>
      </c>
      <c r="G45" s="11">
        <f>SUMIFS(Compras[Cantidad],Compras[Codigo],Stock[Codigo])</f>
        <v>109</v>
      </c>
      <c r="H45" s="11">
        <f>SUMIFS(Ventas[Cantidad],Ventas[Codigo],Stock[Codigo])</f>
        <v>0</v>
      </c>
      <c r="I45" s="12">
        <f>Stock[[#This Row],[Stock Deposito]]*Stock[[#This Row],[Precio de Compra]]</f>
        <v>21037</v>
      </c>
      <c r="J45" s="6">
        <f>SUMIFS(ProdDesc[Cantidad],ProdDesc[Codigo],Stock[Codigo])</f>
        <v>0</v>
      </c>
      <c r="K45" s="44">
        <f>Stock[[#This Row],[Compra Cultivate]]-Stock[[#This Row],[Salidas]]-Stock[[#This Row],[Usados]]</f>
        <v>0</v>
      </c>
      <c r="L45" s="24">
        <f>Stock[[#This Row],[Stock Deposito]]*Stock[[#This Row],[Precio de Venta]]</f>
        <v>43600</v>
      </c>
      <c r="M45" s="6">
        <f>SUMIFS(Tabla9[Cantidad],Tabla9[Codigo],Stock[Codigo])</f>
        <v>0</v>
      </c>
      <c r="N45" s="24">
        <f>Stock[[#This Row],[Precio de Compra]]*Stock[[#This Row],[Stock Cultivate]]</f>
        <v>0</v>
      </c>
      <c r="O45" s="24">
        <f>Stock[[#This Row],[Stock Cultivate]]*Stock[[#This Row],[Precio de Venta]]</f>
        <v>0</v>
      </c>
      <c r="R45" s="16"/>
    </row>
    <row r="46" spans="2:18">
      <c r="B46" s="44">
        <v>888</v>
      </c>
      <c r="C46" t="s">
        <v>1082</v>
      </c>
      <c r="D46" s="45">
        <v>99</v>
      </c>
      <c r="E46" s="24">
        <v>200</v>
      </c>
      <c r="F46" s="44">
        <f>Stock[Entradas]-Stock[Compra Cultivate]</f>
        <v>19</v>
      </c>
      <c r="G46" s="11">
        <f>SUMIFS(Compras[Cantidad],Compras[Codigo],Stock[Codigo])</f>
        <v>39</v>
      </c>
      <c r="H46" s="11">
        <f>SUMIFS(Ventas[Cantidad],Ventas[Codigo],Stock[Codigo])</f>
        <v>1</v>
      </c>
      <c r="I46" s="12">
        <f>Stock[[#This Row],[Stock Deposito]]*Stock[[#This Row],[Precio de Compra]]</f>
        <v>1881</v>
      </c>
      <c r="J46" s="6">
        <f>SUMIFS(ProdDesc[Cantidad],ProdDesc[Codigo],Stock[Codigo])</f>
        <v>0</v>
      </c>
      <c r="K46" s="44">
        <f>Stock[[#This Row],[Compra Cultivate]]-Stock[[#This Row],[Salidas]]-Stock[[#This Row],[Usados]]</f>
        <v>19</v>
      </c>
      <c r="L46" s="24">
        <f>Stock[[#This Row],[Stock Deposito]]*Stock[[#This Row],[Precio de Venta]]</f>
        <v>3800</v>
      </c>
      <c r="M46" s="6">
        <f>SUMIFS(Tabla9[Cantidad],Tabla9[Codigo],Stock[Codigo])</f>
        <v>20</v>
      </c>
      <c r="N46" s="24">
        <f>Stock[[#This Row],[Precio de Compra]]*Stock[[#This Row],[Stock Cultivate]]</f>
        <v>1881</v>
      </c>
      <c r="O46" s="24">
        <f>Stock[[#This Row],[Stock Cultivate]]*Stock[[#This Row],[Precio de Venta]]</f>
        <v>3800</v>
      </c>
      <c r="R46" s="16"/>
    </row>
    <row r="47" spans="2:18">
      <c r="B47" s="44">
        <v>887</v>
      </c>
      <c r="C47" t="s">
        <v>1081</v>
      </c>
      <c r="D47" s="45">
        <v>99</v>
      </c>
      <c r="E47" s="24">
        <v>200</v>
      </c>
      <c r="F47" s="44">
        <f>Stock[Entradas]-Stock[Compra Cultivate]</f>
        <v>34</v>
      </c>
      <c r="G47" s="11">
        <f>SUMIFS(Compras[Cantidad],Compras[Codigo],Stock[Codigo])</f>
        <v>34</v>
      </c>
      <c r="H47" s="11">
        <f>SUMIFS(Ventas[Cantidad],Ventas[Codigo],Stock[Codigo])</f>
        <v>0</v>
      </c>
      <c r="I47" s="12">
        <f>Stock[[#This Row],[Stock Deposito]]*Stock[[#This Row],[Precio de Compra]]</f>
        <v>3366</v>
      </c>
      <c r="J47" s="6">
        <f>SUMIFS(ProdDesc[Cantidad],ProdDesc[Codigo],Stock[Codigo])</f>
        <v>0</v>
      </c>
      <c r="K47" s="44">
        <f>Stock[[#This Row],[Compra Cultivate]]-Stock[[#This Row],[Salidas]]-Stock[[#This Row],[Usados]]</f>
        <v>0</v>
      </c>
      <c r="L47" s="24">
        <f>Stock[[#This Row],[Stock Deposito]]*Stock[[#This Row],[Precio de Venta]]</f>
        <v>6800</v>
      </c>
      <c r="M47" s="6">
        <f>SUMIFS(Tabla9[Cantidad],Tabla9[Codigo],Stock[Codigo])</f>
        <v>0</v>
      </c>
      <c r="N47" s="24">
        <f>Stock[[#This Row],[Precio de Compra]]*Stock[[#This Row],[Stock Cultivate]]</f>
        <v>0</v>
      </c>
      <c r="O47" s="24">
        <f>Stock[[#This Row],[Stock Cultivate]]*Stock[[#This Row],[Precio de Venta]]</f>
        <v>0</v>
      </c>
      <c r="R47" s="16"/>
    </row>
    <row r="48" spans="2:18">
      <c r="B48" s="44">
        <v>886</v>
      </c>
      <c r="C48" t="s">
        <v>1080</v>
      </c>
      <c r="D48" s="45">
        <v>413</v>
      </c>
      <c r="E48" s="24">
        <v>900</v>
      </c>
      <c r="F48" s="44">
        <f>Stock[Entradas]-Stock[Compra Cultivate]</f>
        <v>44</v>
      </c>
      <c r="G48" s="11">
        <f>SUMIFS(Compras[Cantidad],Compras[Codigo],Stock[Codigo])</f>
        <v>44</v>
      </c>
      <c r="H48" s="11">
        <f>SUMIFS(Ventas[Cantidad],Ventas[Codigo],Stock[Codigo])</f>
        <v>0</v>
      </c>
      <c r="I48" s="12">
        <f>Stock[[#This Row],[Stock Deposito]]*Stock[[#This Row],[Precio de Compra]]</f>
        <v>18172</v>
      </c>
      <c r="J48" s="6">
        <f>SUMIFS(ProdDesc[Cantidad],ProdDesc[Codigo],Stock[Codigo])</f>
        <v>0</v>
      </c>
      <c r="K48" s="44">
        <f>Stock[[#This Row],[Compra Cultivate]]-Stock[[#This Row],[Salidas]]-Stock[[#This Row],[Usados]]</f>
        <v>0</v>
      </c>
      <c r="L48" s="24">
        <f>Stock[[#This Row],[Stock Deposito]]*Stock[[#This Row],[Precio de Venta]]</f>
        <v>39600</v>
      </c>
      <c r="M48" s="6">
        <f>SUMIFS(Tabla9[Cantidad],Tabla9[Codigo],Stock[Codigo])</f>
        <v>0</v>
      </c>
      <c r="N48" s="24">
        <f>Stock[[#This Row],[Precio de Compra]]*Stock[[#This Row],[Stock Cultivate]]</f>
        <v>0</v>
      </c>
      <c r="O48" s="24">
        <f>Stock[[#This Row],[Stock Cultivate]]*Stock[[#This Row],[Precio de Venta]]</f>
        <v>0</v>
      </c>
      <c r="R48" s="16"/>
    </row>
    <row r="49" spans="2:18">
      <c r="B49" s="44">
        <v>885</v>
      </c>
      <c r="C49" t="s">
        <v>1121</v>
      </c>
      <c r="D49" s="45">
        <v>423</v>
      </c>
      <c r="E49" s="24">
        <v>900</v>
      </c>
      <c r="F49" s="44">
        <f>Stock[Entradas]-Stock[Compra Cultivate]</f>
        <v>0</v>
      </c>
      <c r="G49" s="11">
        <f>SUMIFS(Compras[Cantidad],Compras[Codigo],Stock[Codigo])</f>
        <v>25</v>
      </c>
      <c r="H49" s="11">
        <f>SUMIFS(Ventas[Cantidad],Ventas[Codigo],Stock[Codigo])</f>
        <v>0</v>
      </c>
      <c r="I49" s="12">
        <f>Stock[[#This Row],[Stock Deposito]]*Stock[[#This Row],[Precio de Compra]]</f>
        <v>0</v>
      </c>
      <c r="J49" s="6">
        <f>SUMIFS(ProdDesc[Cantidad],ProdDesc[Codigo],Stock[Codigo])</f>
        <v>1</v>
      </c>
      <c r="K49" s="44">
        <f>Stock[[#This Row],[Compra Cultivate]]-Stock[[#This Row],[Salidas]]-Stock[[#This Row],[Usados]]</f>
        <v>24</v>
      </c>
      <c r="L49" s="24">
        <f>Stock[[#This Row],[Stock Deposito]]*Stock[[#This Row],[Precio de Venta]]</f>
        <v>0</v>
      </c>
      <c r="M49" s="6">
        <f>SUMIFS(Tabla9[Cantidad],Tabla9[Codigo],Stock[Codigo])</f>
        <v>25</v>
      </c>
      <c r="N49" s="24">
        <f>Stock[[#This Row],[Precio de Compra]]*Stock[[#This Row],[Stock Cultivate]]</f>
        <v>10152</v>
      </c>
      <c r="O49" s="24">
        <f>Stock[[#This Row],[Stock Cultivate]]*Stock[[#This Row],[Precio de Venta]]</f>
        <v>21600</v>
      </c>
      <c r="R49" s="16"/>
    </row>
    <row r="50" spans="2:18">
      <c r="B50" s="44">
        <v>884</v>
      </c>
      <c r="C50" t="s">
        <v>1079</v>
      </c>
      <c r="D50" s="45">
        <v>165</v>
      </c>
      <c r="E50" s="24">
        <v>350</v>
      </c>
      <c r="F50" s="44">
        <f>Stock[Entradas]-Stock[Compra Cultivate]</f>
        <v>48</v>
      </c>
      <c r="G50" s="11">
        <f>SUMIFS(Compras[Cantidad],Compras[Codigo],Stock[Codigo])</f>
        <v>48</v>
      </c>
      <c r="H50" s="11">
        <f>SUMIFS(Ventas[Cantidad],Ventas[Codigo],Stock[Codigo])</f>
        <v>0</v>
      </c>
      <c r="I50" s="12">
        <f>Stock[[#This Row],[Stock Deposito]]*Stock[[#This Row],[Precio de Compra]]</f>
        <v>7920</v>
      </c>
      <c r="J50" s="6">
        <f>SUMIFS(ProdDesc[Cantidad],ProdDesc[Codigo],Stock[Codigo])</f>
        <v>0</v>
      </c>
      <c r="K50" s="44">
        <f>Stock[[#This Row],[Compra Cultivate]]-Stock[[#This Row],[Salidas]]-Stock[[#This Row],[Usados]]</f>
        <v>0</v>
      </c>
      <c r="L50" s="24">
        <f>Stock[[#This Row],[Stock Deposito]]*Stock[[#This Row],[Precio de Venta]]</f>
        <v>16800</v>
      </c>
      <c r="M50" s="6">
        <f>SUMIFS(Tabla9[Cantidad],Tabla9[Codigo],Stock[Codigo])</f>
        <v>0</v>
      </c>
      <c r="N50" s="24">
        <f>Stock[[#This Row],[Precio de Compra]]*Stock[[#This Row],[Stock Cultivate]]</f>
        <v>0</v>
      </c>
      <c r="O50" s="24">
        <f>Stock[[#This Row],[Stock Cultivate]]*Stock[[#This Row],[Precio de Venta]]</f>
        <v>0</v>
      </c>
      <c r="R50" s="16"/>
    </row>
    <row r="51" spans="2:18">
      <c r="B51" s="44">
        <v>883</v>
      </c>
      <c r="C51" t="s">
        <v>1078</v>
      </c>
      <c r="D51" s="45">
        <v>910</v>
      </c>
      <c r="E51" s="24">
        <v>2000</v>
      </c>
      <c r="F51" s="44">
        <f>Stock[Entradas]-Stock[Compra Cultivate]</f>
        <v>0</v>
      </c>
      <c r="G51" s="11">
        <f>SUMIFS(Compras[Cantidad],Compras[Codigo],Stock[Codigo])</f>
        <v>12</v>
      </c>
      <c r="H51" s="11">
        <f>SUMIFS(Ventas[Cantidad],Ventas[Codigo],Stock[Codigo])</f>
        <v>1</v>
      </c>
      <c r="I51" s="12">
        <f>Stock[[#This Row],[Stock Deposito]]*Stock[[#This Row],[Precio de Compra]]</f>
        <v>0</v>
      </c>
      <c r="J51" s="6">
        <f>SUMIFS(ProdDesc[Cantidad],ProdDesc[Codigo],Stock[Codigo])</f>
        <v>0</v>
      </c>
      <c r="K51" s="44">
        <f>Stock[[#This Row],[Compra Cultivate]]-Stock[[#This Row],[Salidas]]-Stock[[#This Row],[Usados]]</f>
        <v>11</v>
      </c>
      <c r="L51" s="24">
        <f>Stock[[#This Row],[Stock Deposito]]*Stock[[#This Row],[Precio de Venta]]</f>
        <v>0</v>
      </c>
      <c r="M51" s="6">
        <f>SUMIFS(Tabla9[Cantidad],Tabla9[Codigo],Stock[Codigo])</f>
        <v>12</v>
      </c>
      <c r="N51" s="24">
        <f>Stock[[#This Row],[Precio de Compra]]*Stock[[#This Row],[Stock Cultivate]]</f>
        <v>10010</v>
      </c>
      <c r="O51" s="24">
        <f>Stock[[#This Row],[Stock Cultivate]]*Stock[[#This Row],[Precio de Venta]]</f>
        <v>22000</v>
      </c>
      <c r="R51" s="16"/>
    </row>
    <row r="52" spans="2:18">
      <c r="B52" s="44">
        <v>882</v>
      </c>
      <c r="C52" t="s">
        <v>1077</v>
      </c>
      <c r="D52" s="45">
        <v>1500</v>
      </c>
      <c r="E52" s="24">
        <v>3200</v>
      </c>
      <c r="F52" s="44">
        <f>Stock[Entradas]-Stock[Compra Cultivate]</f>
        <v>0</v>
      </c>
      <c r="G52" s="11">
        <f>SUMIFS(Compras[Cantidad],Compras[Codigo],Stock[Codigo])</f>
        <v>1</v>
      </c>
      <c r="H52" s="11">
        <f>SUMIFS(Ventas[Cantidad],Ventas[Codigo],Stock[Codigo])</f>
        <v>0</v>
      </c>
      <c r="I52" s="12">
        <f>Stock[[#This Row],[Stock Deposito]]*Stock[[#This Row],[Precio de Compra]]</f>
        <v>0</v>
      </c>
      <c r="J52" s="6">
        <f>SUMIFS(ProdDesc[Cantidad],ProdDesc[Codigo],Stock[Codigo])</f>
        <v>0</v>
      </c>
      <c r="K52" s="44">
        <f>Stock[[#This Row],[Compra Cultivate]]-Stock[[#This Row],[Salidas]]-Stock[[#This Row],[Usados]]</f>
        <v>1</v>
      </c>
      <c r="L52" s="24">
        <f>Stock[[#This Row],[Stock Deposito]]*Stock[[#This Row],[Precio de Venta]]</f>
        <v>0</v>
      </c>
      <c r="M52" s="6">
        <f>SUMIFS(Tabla9[Cantidad],Tabla9[Codigo],Stock[Codigo])</f>
        <v>1</v>
      </c>
      <c r="N52" s="24">
        <f>Stock[[#This Row],[Precio de Compra]]*Stock[[#This Row],[Stock Cultivate]]</f>
        <v>1500</v>
      </c>
      <c r="O52" s="24">
        <f>Stock[[#This Row],[Stock Cultivate]]*Stock[[#This Row],[Precio de Venta]]</f>
        <v>3200</v>
      </c>
      <c r="R52" s="16"/>
    </row>
    <row r="53" spans="2:18">
      <c r="B53" s="44">
        <v>881</v>
      </c>
      <c r="C53" t="s">
        <v>1076</v>
      </c>
      <c r="D53" s="45">
        <v>2200</v>
      </c>
      <c r="E53" s="24">
        <v>5000</v>
      </c>
      <c r="F53" s="44">
        <f>Stock[Entradas]-Stock[Compra Cultivate]</f>
        <v>0</v>
      </c>
      <c r="G53" s="11">
        <f>SUMIFS(Compras[Cantidad],Compras[Codigo],Stock[Codigo])</f>
        <v>1</v>
      </c>
      <c r="H53" s="11">
        <f>SUMIFS(Ventas[Cantidad],Ventas[Codigo],Stock[Codigo])</f>
        <v>0</v>
      </c>
      <c r="I53" s="12">
        <f>Stock[[#This Row],[Stock Deposito]]*Stock[[#This Row],[Precio de Compra]]</f>
        <v>0</v>
      </c>
      <c r="J53" s="6">
        <f>SUMIFS(ProdDesc[Cantidad],ProdDesc[Codigo],Stock[Codigo])</f>
        <v>0</v>
      </c>
      <c r="K53" s="44">
        <f>Stock[[#This Row],[Compra Cultivate]]-Stock[[#This Row],[Salidas]]-Stock[[#This Row],[Usados]]</f>
        <v>1</v>
      </c>
      <c r="L53" s="24">
        <f>Stock[[#This Row],[Stock Deposito]]*Stock[[#This Row],[Precio de Venta]]</f>
        <v>0</v>
      </c>
      <c r="M53" s="6">
        <f>SUMIFS(Tabla9[Cantidad],Tabla9[Codigo],Stock[Codigo])</f>
        <v>1</v>
      </c>
      <c r="N53" s="24">
        <f>Stock[[#This Row],[Precio de Compra]]*Stock[[#This Row],[Stock Cultivate]]</f>
        <v>2200</v>
      </c>
      <c r="O53" s="24">
        <f>Stock[[#This Row],[Stock Cultivate]]*Stock[[#This Row],[Precio de Venta]]</f>
        <v>5000</v>
      </c>
      <c r="R53" s="16"/>
    </row>
    <row r="54" spans="2:18">
      <c r="B54" s="44">
        <v>880</v>
      </c>
      <c r="C54" t="s">
        <v>1075</v>
      </c>
      <c r="D54" s="45">
        <v>1000</v>
      </c>
      <c r="E54" s="24">
        <v>2500</v>
      </c>
      <c r="F54" s="44">
        <f>Stock[Entradas]-Stock[Compra Cultivate]</f>
        <v>0</v>
      </c>
      <c r="G54" s="11">
        <f>SUMIFS(Compras[Cantidad],Compras[Codigo],Stock[Codigo])</f>
        <v>2</v>
      </c>
      <c r="H54" s="11">
        <f>SUMIFS(Ventas[Cantidad],Ventas[Codigo],Stock[Codigo])</f>
        <v>0</v>
      </c>
      <c r="I54" s="12">
        <f>Stock[[#This Row],[Stock Deposito]]*Stock[[#This Row],[Precio de Compra]]</f>
        <v>0</v>
      </c>
      <c r="J54" s="6">
        <f>SUMIFS(ProdDesc[Cantidad],ProdDesc[Codigo],Stock[Codigo])</f>
        <v>0</v>
      </c>
      <c r="K54" s="44">
        <f>Stock[[#This Row],[Compra Cultivate]]-Stock[[#This Row],[Salidas]]-Stock[[#This Row],[Usados]]</f>
        <v>2</v>
      </c>
      <c r="L54" s="24">
        <f>Stock[[#This Row],[Stock Deposito]]*Stock[[#This Row],[Precio de Venta]]</f>
        <v>0</v>
      </c>
      <c r="M54" s="6">
        <f>SUMIFS(Tabla9[Cantidad],Tabla9[Codigo],Stock[Codigo])</f>
        <v>2</v>
      </c>
      <c r="N54" s="24">
        <f>Stock[[#This Row],[Precio de Compra]]*Stock[[#This Row],[Stock Cultivate]]</f>
        <v>2000</v>
      </c>
      <c r="O54" s="24">
        <f>Stock[[#This Row],[Stock Cultivate]]*Stock[[#This Row],[Precio de Venta]]</f>
        <v>5000</v>
      </c>
      <c r="R54" s="16"/>
    </row>
    <row r="55" spans="2:18">
      <c r="B55" s="44">
        <v>879</v>
      </c>
      <c r="C55" t="s">
        <v>1074</v>
      </c>
      <c r="D55" s="45">
        <v>800</v>
      </c>
      <c r="E55" s="24">
        <v>2000</v>
      </c>
      <c r="F55" s="44">
        <f>Stock[Entradas]-Stock[Compra Cultivate]</f>
        <v>1</v>
      </c>
      <c r="G55" s="11">
        <f>SUMIFS(Compras[Cantidad],Compras[Codigo],Stock[Codigo])</f>
        <v>1</v>
      </c>
      <c r="H55" s="11">
        <f>SUMIFS(Ventas[Cantidad],Ventas[Codigo],Stock[Codigo])</f>
        <v>0</v>
      </c>
      <c r="I55" s="12">
        <f>Stock[[#This Row],[Stock Deposito]]*Stock[[#This Row],[Precio de Compra]]</f>
        <v>800</v>
      </c>
      <c r="J55" s="6">
        <f>SUMIFS(ProdDesc[Cantidad],ProdDesc[Codigo],Stock[Codigo])</f>
        <v>0</v>
      </c>
      <c r="K55" s="44">
        <f>Stock[[#This Row],[Compra Cultivate]]-Stock[[#This Row],[Salidas]]-Stock[[#This Row],[Usados]]</f>
        <v>0</v>
      </c>
      <c r="L55" s="24">
        <f>Stock[[#This Row],[Stock Deposito]]*Stock[[#This Row],[Precio de Venta]]</f>
        <v>2000</v>
      </c>
      <c r="M55" s="6">
        <f>SUMIFS(Tabla9[Cantidad],Tabla9[Codigo],Stock[Codigo])</f>
        <v>0</v>
      </c>
      <c r="N55" s="24">
        <f>Stock[[#This Row],[Precio de Compra]]*Stock[[#This Row],[Stock Cultivate]]</f>
        <v>0</v>
      </c>
      <c r="O55" s="24">
        <f>Stock[[#This Row],[Stock Cultivate]]*Stock[[#This Row],[Precio de Venta]]</f>
        <v>0</v>
      </c>
      <c r="R55" s="16"/>
    </row>
    <row r="56" spans="2:18">
      <c r="B56" s="44">
        <v>878</v>
      </c>
      <c r="C56" t="s">
        <v>1073</v>
      </c>
      <c r="D56" s="45">
        <v>250</v>
      </c>
      <c r="E56" s="24">
        <v>1000</v>
      </c>
      <c r="F56" s="44">
        <f>Stock[Entradas]-Stock[Compra Cultivate]</f>
        <v>1</v>
      </c>
      <c r="G56" s="11">
        <f>SUMIFS(Compras[Cantidad],Compras[Codigo],Stock[Codigo])</f>
        <v>1</v>
      </c>
      <c r="H56" s="11">
        <f>SUMIFS(Ventas[Cantidad],Ventas[Codigo],Stock[Codigo])</f>
        <v>0</v>
      </c>
      <c r="I56" s="12">
        <f>Stock[[#This Row],[Stock Deposito]]*Stock[[#This Row],[Precio de Compra]]</f>
        <v>250</v>
      </c>
      <c r="J56" s="6">
        <f>SUMIFS(ProdDesc[Cantidad],ProdDesc[Codigo],Stock[Codigo])</f>
        <v>0</v>
      </c>
      <c r="K56" s="44">
        <f>Stock[[#This Row],[Compra Cultivate]]-Stock[[#This Row],[Salidas]]-Stock[[#This Row],[Usados]]</f>
        <v>0</v>
      </c>
      <c r="L56" s="24">
        <f>Stock[[#This Row],[Stock Deposito]]*Stock[[#This Row],[Precio de Venta]]</f>
        <v>1000</v>
      </c>
      <c r="M56" s="6">
        <f>SUMIFS(Tabla9[Cantidad],Tabla9[Codigo],Stock[Codigo])</f>
        <v>0</v>
      </c>
      <c r="N56" s="24">
        <f>Stock[[#This Row],[Precio de Compra]]*Stock[[#This Row],[Stock Cultivate]]</f>
        <v>0</v>
      </c>
      <c r="O56" s="24">
        <f>Stock[[#This Row],[Stock Cultivate]]*Stock[[#This Row],[Precio de Venta]]</f>
        <v>0</v>
      </c>
      <c r="R56" s="16"/>
    </row>
    <row r="57" spans="2:18">
      <c r="B57" s="44">
        <v>877</v>
      </c>
      <c r="C57" t="s">
        <v>1072</v>
      </c>
      <c r="D57" s="45">
        <v>200</v>
      </c>
      <c r="E57" s="24">
        <v>800</v>
      </c>
      <c r="F57" s="44">
        <f>Stock[Entradas]-Stock[Compra Cultivate]</f>
        <v>2</v>
      </c>
      <c r="G57" s="11">
        <f>SUMIFS(Compras[Cantidad],Compras[Codigo],Stock[Codigo])</f>
        <v>2</v>
      </c>
      <c r="H57" s="11">
        <f>SUMIFS(Ventas[Cantidad],Ventas[Codigo],Stock[Codigo])</f>
        <v>0</v>
      </c>
      <c r="I57" s="12">
        <f>Stock[[#This Row],[Stock Deposito]]*Stock[[#This Row],[Precio de Compra]]</f>
        <v>400</v>
      </c>
      <c r="J57" s="6">
        <f>SUMIFS(ProdDesc[Cantidad],ProdDesc[Codigo],Stock[Codigo])</f>
        <v>0</v>
      </c>
      <c r="K57" s="44">
        <f>Stock[[#This Row],[Compra Cultivate]]-Stock[[#This Row],[Salidas]]-Stock[[#This Row],[Usados]]</f>
        <v>0</v>
      </c>
      <c r="L57" s="24">
        <f>Stock[[#This Row],[Stock Deposito]]*Stock[[#This Row],[Precio de Venta]]</f>
        <v>1600</v>
      </c>
      <c r="M57" s="6">
        <f>SUMIFS(Tabla9[Cantidad],Tabla9[Codigo],Stock[Codigo])</f>
        <v>0</v>
      </c>
      <c r="N57" s="24">
        <f>Stock[[#This Row],[Precio de Compra]]*Stock[[#This Row],[Stock Cultivate]]</f>
        <v>0</v>
      </c>
      <c r="O57" s="24">
        <f>Stock[[#This Row],[Stock Cultivate]]*Stock[[#This Row],[Precio de Venta]]</f>
        <v>0</v>
      </c>
      <c r="R57" s="16"/>
    </row>
    <row r="58" spans="2:18">
      <c r="B58" s="44">
        <v>876</v>
      </c>
      <c r="C58" t="s">
        <v>1071</v>
      </c>
      <c r="D58" s="45">
        <v>1000</v>
      </c>
      <c r="E58" s="24">
        <v>2000</v>
      </c>
      <c r="F58" s="44">
        <f>Stock[Entradas]-Stock[Compra Cultivate]</f>
        <v>1</v>
      </c>
      <c r="G58" s="11">
        <f>SUMIFS(Compras[Cantidad],Compras[Codigo],Stock[Codigo])</f>
        <v>1</v>
      </c>
      <c r="H58" s="11">
        <f>SUMIFS(Ventas[Cantidad],Ventas[Codigo],Stock[Codigo])</f>
        <v>0</v>
      </c>
      <c r="I58" s="12">
        <f>Stock[[#This Row],[Stock Deposito]]*Stock[[#This Row],[Precio de Compra]]</f>
        <v>1000</v>
      </c>
      <c r="J58" s="6">
        <f>SUMIFS(ProdDesc[Cantidad],ProdDesc[Codigo],Stock[Codigo])</f>
        <v>0</v>
      </c>
      <c r="K58" s="44">
        <f>Stock[[#This Row],[Compra Cultivate]]-Stock[[#This Row],[Salidas]]-Stock[[#This Row],[Usados]]</f>
        <v>0</v>
      </c>
      <c r="L58" s="24">
        <f>Stock[[#This Row],[Stock Deposito]]*Stock[[#This Row],[Precio de Venta]]</f>
        <v>2000</v>
      </c>
      <c r="M58" s="6">
        <f>SUMIFS(Tabla9[Cantidad],Tabla9[Codigo],Stock[Codigo])</f>
        <v>0</v>
      </c>
      <c r="N58" s="24">
        <f>Stock[[#This Row],[Precio de Compra]]*Stock[[#This Row],[Stock Cultivate]]</f>
        <v>0</v>
      </c>
      <c r="O58" s="24">
        <f>Stock[[#This Row],[Stock Cultivate]]*Stock[[#This Row],[Precio de Venta]]</f>
        <v>0</v>
      </c>
      <c r="R58" s="16"/>
    </row>
    <row r="59" spans="2:18">
      <c r="B59" s="44">
        <v>875</v>
      </c>
      <c r="C59" t="s">
        <v>1070</v>
      </c>
      <c r="D59" s="45">
        <v>434</v>
      </c>
      <c r="E59" s="24">
        <v>900</v>
      </c>
      <c r="F59" s="44">
        <f>Stock[Entradas]-Stock[Compra Cultivate]</f>
        <v>4</v>
      </c>
      <c r="G59" s="11">
        <f>SUMIFS(Compras[Cantidad],Compras[Codigo],Stock[Codigo])</f>
        <v>4</v>
      </c>
      <c r="H59" s="11">
        <f>SUMIFS(Ventas[Cantidad],Ventas[Codigo],Stock[Codigo])</f>
        <v>0</v>
      </c>
      <c r="I59" s="12">
        <f>Stock[[#This Row],[Stock Deposito]]*Stock[[#This Row],[Precio de Compra]]</f>
        <v>1736</v>
      </c>
      <c r="J59" s="6">
        <f>SUMIFS(ProdDesc[Cantidad],ProdDesc[Codigo],Stock[Codigo])</f>
        <v>0</v>
      </c>
      <c r="K59" s="44">
        <f>Stock[[#This Row],[Compra Cultivate]]-Stock[[#This Row],[Salidas]]-Stock[[#This Row],[Usados]]</f>
        <v>0</v>
      </c>
      <c r="L59" s="24">
        <f>Stock[[#This Row],[Stock Deposito]]*Stock[[#This Row],[Precio de Venta]]</f>
        <v>3600</v>
      </c>
      <c r="M59" s="6">
        <f>SUMIFS(Tabla9[Cantidad],Tabla9[Codigo],Stock[Codigo])</f>
        <v>0</v>
      </c>
      <c r="N59" s="24">
        <f>Stock[[#This Row],[Precio de Compra]]*Stock[[#This Row],[Stock Cultivate]]</f>
        <v>0</v>
      </c>
      <c r="O59" s="24">
        <f>Stock[[#This Row],[Stock Cultivate]]*Stock[[#This Row],[Precio de Venta]]</f>
        <v>0</v>
      </c>
      <c r="R59" s="16"/>
    </row>
    <row r="60" spans="2:18">
      <c r="B60" s="44">
        <v>874</v>
      </c>
      <c r="C60" t="s">
        <v>1069</v>
      </c>
      <c r="D60" s="45">
        <v>300</v>
      </c>
      <c r="E60" s="24">
        <v>1200</v>
      </c>
      <c r="F60" s="44">
        <f>Stock[Entradas]-Stock[Compra Cultivate]</f>
        <v>1</v>
      </c>
      <c r="G60" s="11">
        <f>SUMIFS(Compras[Cantidad],Compras[Codigo],Stock[Codigo])</f>
        <v>1</v>
      </c>
      <c r="H60" s="11">
        <f>SUMIFS(Ventas[Cantidad],Ventas[Codigo],Stock[Codigo])</f>
        <v>0</v>
      </c>
      <c r="I60" s="12">
        <f>Stock[[#This Row],[Stock Deposito]]*Stock[[#This Row],[Precio de Compra]]</f>
        <v>300</v>
      </c>
      <c r="J60" s="6">
        <f>SUMIFS(ProdDesc[Cantidad],ProdDesc[Codigo],Stock[Codigo])</f>
        <v>0</v>
      </c>
      <c r="K60" s="44">
        <f>Stock[[#This Row],[Compra Cultivate]]-Stock[[#This Row],[Salidas]]-Stock[[#This Row],[Usados]]</f>
        <v>0</v>
      </c>
      <c r="L60" s="24">
        <f>Stock[[#This Row],[Stock Deposito]]*Stock[[#This Row],[Precio de Venta]]</f>
        <v>1200</v>
      </c>
      <c r="M60" s="6">
        <f>SUMIFS(Tabla9[Cantidad],Tabla9[Codigo],Stock[Codigo])</f>
        <v>0</v>
      </c>
      <c r="N60" s="24">
        <f>Stock[[#This Row],[Precio de Compra]]*Stock[[#This Row],[Stock Cultivate]]</f>
        <v>0</v>
      </c>
      <c r="O60" s="24">
        <f>Stock[[#This Row],[Stock Cultivate]]*Stock[[#This Row],[Precio de Venta]]</f>
        <v>0</v>
      </c>
      <c r="R60" s="16"/>
    </row>
    <row r="61" spans="2:18">
      <c r="B61" s="44">
        <v>873</v>
      </c>
      <c r="C61" t="s">
        <v>1068</v>
      </c>
      <c r="D61" s="45">
        <v>200</v>
      </c>
      <c r="E61" s="24">
        <v>800</v>
      </c>
      <c r="F61" s="44">
        <f>Stock[Entradas]-Stock[Compra Cultivate]</f>
        <v>2</v>
      </c>
      <c r="G61" s="11">
        <f>SUMIFS(Compras[Cantidad],Compras[Codigo],Stock[Codigo])</f>
        <v>2</v>
      </c>
      <c r="H61" s="11">
        <f>SUMIFS(Ventas[Cantidad],Ventas[Codigo],Stock[Codigo])</f>
        <v>0</v>
      </c>
      <c r="I61" s="12">
        <f>Stock[[#This Row],[Stock Deposito]]*Stock[[#This Row],[Precio de Compra]]</f>
        <v>400</v>
      </c>
      <c r="J61" s="6">
        <f>SUMIFS(ProdDesc[Cantidad],ProdDesc[Codigo],Stock[Codigo])</f>
        <v>0</v>
      </c>
      <c r="K61" s="44">
        <f>Stock[[#This Row],[Compra Cultivate]]-Stock[[#This Row],[Salidas]]-Stock[[#This Row],[Usados]]</f>
        <v>0</v>
      </c>
      <c r="L61" s="24">
        <f>Stock[[#This Row],[Stock Deposito]]*Stock[[#This Row],[Precio de Venta]]</f>
        <v>1600</v>
      </c>
      <c r="M61" s="6">
        <f>SUMIFS(Tabla9[Cantidad],Tabla9[Codigo],Stock[Codigo])</f>
        <v>0</v>
      </c>
      <c r="N61" s="24">
        <f>Stock[[#This Row],[Precio de Compra]]*Stock[[#This Row],[Stock Cultivate]]</f>
        <v>0</v>
      </c>
      <c r="O61" s="24">
        <f>Stock[[#This Row],[Stock Cultivate]]*Stock[[#This Row],[Precio de Venta]]</f>
        <v>0</v>
      </c>
      <c r="R61" s="16"/>
    </row>
    <row r="62" spans="2:18">
      <c r="B62" s="44">
        <v>872</v>
      </c>
      <c r="C62" t="s">
        <v>1067</v>
      </c>
      <c r="D62" s="45">
        <v>1400</v>
      </c>
      <c r="E62" s="24">
        <v>2800</v>
      </c>
      <c r="F62" s="44">
        <f>Stock[Entradas]-Stock[Compra Cultivate]</f>
        <v>3</v>
      </c>
      <c r="G62" s="11">
        <f>SUMIFS(Compras[Cantidad],Compras[Codigo],Stock[Codigo])</f>
        <v>3</v>
      </c>
      <c r="H62" s="11">
        <f>SUMIFS(Ventas[Cantidad],Ventas[Codigo],Stock[Codigo])</f>
        <v>0</v>
      </c>
      <c r="I62" s="12">
        <f>Stock[[#This Row],[Stock Deposito]]*Stock[[#This Row],[Precio de Compra]]</f>
        <v>4200</v>
      </c>
      <c r="J62" s="6">
        <f>SUMIFS(ProdDesc[Cantidad],ProdDesc[Codigo],Stock[Codigo])</f>
        <v>0</v>
      </c>
      <c r="K62" s="44">
        <f>Stock[[#This Row],[Compra Cultivate]]-Stock[[#This Row],[Salidas]]-Stock[[#This Row],[Usados]]</f>
        <v>0</v>
      </c>
      <c r="L62" s="24">
        <f>Stock[[#This Row],[Stock Deposito]]*Stock[[#This Row],[Precio de Venta]]</f>
        <v>8400</v>
      </c>
      <c r="M62" s="6">
        <f>SUMIFS(Tabla9[Cantidad],Tabla9[Codigo],Stock[Codigo])</f>
        <v>0</v>
      </c>
      <c r="N62" s="24">
        <f>Stock[[#This Row],[Precio de Compra]]*Stock[[#This Row],[Stock Cultivate]]</f>
        <v>0</v>
      </c>
      <c r="O62" s="24">
        <f>Stock[[#This Row],[Stock Cultivate]]*Stock[[#This Row],[Precio de Venta]]</f>
        <v>0</v>
      </c>
      <c r="R62" s="16"/>
    </row>
    <row r="63" spans="2:18">
      <c r="B63" s="44">
        <v>871</v>
      </c>
      <c r="C63" t="s">
        <v>1066</v>
      </c>
      <c r="D63" s="45">
        <v>1100</v>
      </c>
      <c r="E63" s="24">
        <v>2200</v>
      </c>
      <c r="F63" s="44">
        <f>Stock[Entradas]-Stock[Compra Cultivate]</f>
        <v>2</v>
      </c>
      <c r="G63" s="11">
        <f>SUMIFS(Compras[Cantidad],Compras[Codigo],Stock[Codigo])</f>
        <v>2</v>
      </c>
      <c r="H63" s="11">
        <f>SUMIFS(Ventas[Cantidad],Ventas[Codigo],Stock[Codigo])</f>
        <v>0</v>
      </c>
      <c r="I63" s="12">
        <f>Stock[[#This Row],[Stock Deposito]]*Stock[[#This Row],[Precio de Compra]]</f>
        <v>2200</v>
      </c>
      <c r="J63" s="6">
        <f>SUMIFS(ProdDesc[Cantidad],ProdDesc[Codigo],Stock[Codigo])</f>
        <v>0</v>
      </c>
      <c r="K63" s="44">
        <f>Stock[[#This Row],[Compra Cultivate]]-Stock[[#This Row],[Salidas]]-Stock[[#This Row],[Usados]]</f>
        <v>0</v>
      </c>
      <c r="L63" s="24">
        <f>Stock[[#This Row],[Stock Deposito]]*Stock[[#This Row],[Precio de Venta]]</f>
        <v>4400</v>
      </c>
      <c r="M63" s="6">
        <f>SUMIFS(Tabla9[Cantidad],Tabla9[Codigo],Stock[Codigo])</f>
        <v>0</v>
      </c>
      <c r="N63" s="24">
        <f>Stock[[#This Row],[Precio de Compra]]*Stock[[#This Row],[Stock Cultivate]]</f>
        <v>0</v>
      </c>
      <c r="O63" s="24">
        <f>Stock[[#This Row],[Stock Cultivate]]*Stock[[#This Row],[Precio de Venta]]</f>
        <v>0</v>
      </c>
      <c r="R63" s="16"/>
    </row>
    <row r="64" spans="2:18">
      <c r="B64" s="44">
        <v>870</v>
      </c>
      <c r="C64" t="s">
        <v>1065</v>
      </c>
      <c r="D64" s="45">
        <v>900</v>
      </c>
      <c r="E64" s="24">
        <v>1800</v>
      </c>
      <c r="F64" s="44">
        <f>Stock[Entradas]-Stock[Compra Cultivate]</f>
        <v>1</v>
      </c>
      <c r="G64" s="11">
        <f>SUMIFS(Compras[Cantidad],Compras[Codigo],Stock[Codigo])</f>
        <v>1</v>
      </c>
      <c r="H64" s="11">
        <f>SUMIFS(Ventas[Cantidad],Ventas[Codigo],Stock[Codigo])</f>
        <v>0</v>
      </c>
      <c r="I64" s="12">
        <f>Stock[[#This Row],[Stock Deposito]]*Stock[[#This Row],[Precio de Compra]]</f>
        <v>900</v>
      </c>
      <c r="J64" s="6">
        <f>SUMIFS(ProdDesc[Cantidad],ProdDesc[Codigo],Stock[Codigo])</f>
        <v>0</v>
      </c>
      <c r="K64" s="44">
        <f>Stock[[#This Row],[Compra Cultivate]]-Stock[[#This Row],[Salidas]]-Stock[[#This Row],[Usados]]</f>
        <v>0</v>
      </c>
      <c r="L64" s="24">
        <f>Stock[[#This Row],[Stock Deposito]]*Stock[[#This Row],[Precio de Venta]]</f>
        <v>1800</v>
      </c>
      <c r="M64" s="6">
        <f>SUMIFS(Tabla9[Cantidad],Tabla9[Codigo],Stock[Codigo])</f>
        <v>0</v>
      </c>
      <c r="N64" s="24">
        <f>Stock[[#This Row],[Precio de Compra]]*Stock[[#This Row],[Stock Cultivate]]</f>
        <v>0</v>
      </c>
      <c r="O64" s="24">
        <f>Stock[[#This Row],[Stock Cultivate]]*Stock[[#This Row],[Precio de Venta]]</f>
        <v>0</v>
      </c>
      <c r="R64" s="16"/>
    </row>
    <row r="65" spans="2:18">
      <c r="B65" s="44">
        <v>869</v>
      </c>
      <c r="C65" t="s">
        <v>1064</v>
      </c>
      <c r="D65" s="45">
        <v>700</v>
      </c>
      <c r="E65" s="24">
        <v>1500</v>
      </c>
      <c r="F65" s="44">
        <f>Stock[Entradas]-Stock[Compra Cultivate]</f>
        <v>3</v>
      </c>
      <c r="G65" s="11">
        <f>SUMIFS(Compras[Cantidad],Compras[Codigo],Stock[Codigo])</f>
        <v>3</v>
      </c>
      <c r="H65" s="11">
        <f>SUMIFS(Ventas[Cantidad],Ventas[Codigo],Stock[Codigo])</f>
        <v>0</v>
      </c>
      <c r="I65" s="12">
        <f>Stock[[#This Row],[Stock Deposito]]*Stock[[#This Row],[Precio de Compra]]</f>
        <v>2100</v>
      </c>
      <c r="J65" s="6">
        <f>SUMIFS(ProdDesc[Cantidad],ProdDesc[Codigo],Stock[Codigo])</f>
        <v>0</v>
      </c>
      <c r="K65" s="44">
        <f>Stock[[#This Row],[Compra Cultivate]]-Stock[[#This Row],[Salidas]]-Stock[[#This Row],[Usados]]</f>
        <v>0</v>
      </c>
      <c r="L65" s="24">
        <f>Stock[[#This Row],[Stock Deposito]]*Stock[[#This Row],[Precio de Venta]]</f>
        <v>4500</v>
      </c>
      <c r="M65" s="6">
        <f>SUMIFS(Tabla9[Cantidad],Tabla9[Codigo],Stock[Codigo])</f>
        <v>0</v>
      </c>
      <c r="N65" s="24">
        <f>Stock[[#This Row],[Precio de Compra]]*Stock[[#This Row],[Stock Cultivate]]</f>
        <v>0</v>
      </c>
      <c r="O65" s="24">
        <f>Stock[[#This Row],[Stock Cultivate]]*Stock[[#This Row],[Precio de Venta]]</f>
        <v>0</v>
      </c>
      <c r="R65" s="16"/>
    </row>
    <row r="66" spans="2:18">
      <c r="B66" s="44">
        <v>868</v>
      </c>
      <c r="C66" t="s">
        <v>1063</v>
      </c>
      <c r="D66" s="45">
        <v>500</v>
      </c>
      <c r="E66" s="24">
        <v>1200</v>
      </c>
      <c r="F66" s="44">
        <f>Stock[Entradas]-Stock[Compra Cultivate]</f>
        <v>3</v>
      </c>
      <c r="G66" s="11">
        <f>SUMIFS(Compras[Cantidad],Compras[Codigo],Stock[Codigo])</f>
        <v>3</v>
      </c>
      <c r="H66" s="11">
        <f>SUMIFS(Ventas[Cantidad],Ventas[Codigo],Stock[Codigo])</f>
        <v>0</v>
      </c>
      <c r="I66" s="12">
        <f>Stock[[#This Row],[Stock Deposito]]*Stock[[#This Row],[Precio de Compra]]</f>
        <v>1500</v>
      </c>
      <c r="J66" s="6">
        <f>SUMIFS(ProdDesc[Cantidad],ProdDesc[Codigo],Stock[Codigo])</f>
        <v>0</v>
      </c>
      <c r="K66" s="44">
        <f>Stock[[#This Row],[Compra Cultivate]]-Stock[[#This Row],[Salidas]]-Stock[[#This Row],[Usados]]</f>
        <v>0</v>
      </c>
      <c r="L66" s="24">
        <f>Stock[[#This Row],[Stock Deposito]]*Stock[[#This Row],[Precio de Venta]]</f>
        <v>3600</v>
      </c>
      <c r="M66" s="6">
        <f>SUMIFS(Tabla9[Cantidad],Tabla9[Codigo],Stock[Codigo])</f>
        <v>0</v>
      </c>
      <c r="N66" s="24">
        <f>Stock[[#This Row],[Precio de Compra]]*Stock[[#This Row],[Stock Cultivate]]</f>
        <v>0</v>
      </c>
      <c r="O66" s="24">
        <f>Stock[[#This Row],[Stock Cultivate]]*Stock[[#This Row],[Precio de Venta]]</f>
        <v>0</v>
      </c>
      <c r="R66" s="16"/>
    </row>
    <row r="67" spans="2:18">
      <c r="B67" s="44">
        <v>866</v>
      </c>
      <c r="C67" t="s">
        <v>1062</v>
      </c>
      <c r="D67" s="45">
        <v>800</v>
      </c>
      <c r="E67" s="24">
        <v>2000</v>
      </c>
      <c r="F67" s="44">
        <f>Stock[Entradas]-Stock[Compra Cultivate]</f>
        <v>1</v>
      </c>
      <c r="G67" s="11">
        <f>SUMIFS(Compras[Cantidad],Compras[Codigo],Stock[Codigo])</f>
        <v>1</v>
      </c>
      <c r="H67" s="11">
        <f>SUMIFS(Ventas[Cantidad],Ventas[Codigo],Stock[Codigo])</f>
        <v>0</v>
      </c>
      <c r="I67" s="12">
        <f>Stock[[#This Row],[Stock Deposito]]*Stock[[#This Row],[Precio de Compra]]</f>
        <v>800</v>
      </c>
      <c r="J67" s="6">
        <f>SUMIFS(ProdDesc[Cantidad],ProdDesc[Codigo],Stock[Codigo])</f>
        <v>0</v>
      </c>
      <c r="K67" s="44">
        <f>Stock[[#This Row],[Compra Cultivate]]-Stock[[#This Row],[Salidas]]-Stock[[#This Row],[Usados]]</f>
        <v>0</v>
      </c>
      <c r="L67" s="24">
        <f>Stock[[#This Row],[Stock Deposito]]*Stock[[#This Row],[Precio de Venta]]</f>
        <v>2000</v>
      </c>
      <c r="M67" s="6">
        <f>SUMIFS(Tabla9[Cantidad],Tabla9[Codigo],Stock[Codigo])</f>
        <v>0</v>
      </c>
      <c r="N67" s="24">
        <f>Stock[[#This Row],[Precio de Compra]]*Stock[[#This Row],[Stock Cultivate]]</f>
        <v>0</v>
      </c>
      <c r="O67" s="24">
        <f>Stock[[#This Row],[Stock Cultivate]]*Stock[[#This Row],[Precio de Venta]]</f>
        <v>0</v>
      </c>
      <c r="R67" s="16"/>
    </row>
    <row r="68" spans="2:18">
      <c r="B68" s="44">
        <v>865</v>
      </c>
      <c r="C68" t="s">
        <v>1061</v>
      </c>
      <c r="D68" s="45">
        <v>8000</v>
      </c>
      <c r="E68" s="24">
        <v>17000</v>
      </c>
      <c r="F68" s="44">
        <f>Stock[Entradas]-Stock[Compra Cultivate]</f>
        <v>0</v>
      </c>
      <c r="G68" s="11">
        <f>SUMIFS(Compras[Cantidad],Compras[Codigo],Stock[Codigo])</f>
        <v>1</v>
      </c>
      <c r="H68" s="11">
        <f>SUMIFS(Ventas[Cantidad],Ventas[Codigo],Stock[Codigo])</f>
        <v>0</v>
      </c>
      <c r="I68" s="12">
        <f>Stock[[#This Row],[Stock Deposito]]*Stock[[#This Row],[Precio de Compra]]</f>
        <v>0</v>
      </c>
      <c r="J68" s="6">
        <f>SUMIFS(ProdDesc[Cantidad],ProdDesc[Codigo],Stock[Codigo])</f>
        <v>0</v>
      </c>
      <c r="K68" s="44">
        <f>Stock[[#This Row],[Compra Cultivate]]-Stock[[#This Row],[Salidas]]-Stock[[#This Row],[Usados]]</f>
        <v>1</v>
      </c>
      <c r="L68" s="24">
        <f>Stock[[#This Row],[Stock Deposito]]*Stock[[#This Row],[Precio de Venta]]</f>
        <v>0</v>
      </c>
      <c r="M68" s="6">
        <f>SUMIFS(Tabla9[Cantidad],Tabla9[Codigo],Stock[Codigo])</f>
        <v>1</v>
      </c>
      <c r="N68" s="24">
        <f>Stock[[#This Row],[Precio de Compra]]*Stock[[#This Row],[Stock Cultivate]]</f>
        <v>8000</v>
      </c>
      <c r="O68" s="24">
        <f>Stock[[#This Row],[Stock Cultivate]]*Stock[[#This Row],[Precio de Venta]]</f>
        <v>17000</v>
      </c>
      <c r="R68" s="16"/>
    </row>
    <row r="69" spans="2:18">
      <c r="B69" s="44">
        <v>864</v>
      </c>
      <c r="C69" t="s">
        <v>1060</v>
      </c>
      <c r="D69" s="45">
        <v>200</v>
      </c>
      <c r="E69" s="24">
        <v>500</v>
      </c>
      <c r="F69" s="44">
        <f>Stock[Entradas]-Stock[Compra Cultivate]</f>
        <v>1</v>
      </c>
      <c r="G69" s="11">
        <f>SUMIFS(Compras[Cantidad],Compras[Codigo],Stock[Codigo])</f>
        <v>1</v>
      </c>
      <c r="H69" s="11">
        <f>SUMIFS(Ventas[Cantidad],Ventas[Codigo],Stock[Codigo])</f>
        <v>0</v>
      </c>
      <c r="I69" s="12">
        <f>Stock[[#This Row],[Stock Deposito]]*Stock[[#This Row],[Precio de Compra]]</f>
        <v>200</v>
      </c>
      <c r="J69" s="6">
        <f>SUMIFS(ProdDesc[Cantidad],ProdDesc[Codigo],Stock[Codigo])</f>
        <v>0</v>
      </c>
      <c r="K69" s="44">
        <f>Stock[[#This Row],[Compra Cultivate]]-Stock[[#This Row],[Salidas]]-Stock[[#This Row],[Usados]]</f>
        <v>0</v>
      </c>
      <c r="L69" s="24">
        <f>Stock[[#This Row],[Stock Deposito]]*Stock[[#This Row],[Precio de Venta]]</f>
        <v>500</v>
      </c>
      <c r="M69" s="6">
        <f>SUMIFS(Tabla9[Cantidad],Tabla9[Codigo],Stock[Codigo])</f>
        <v>0</v>
      </c>
      <c r="N69" s="24">
        <f>Stock[[#This Row],[Precio de Compra]]*Stock[[#This Row],[Stock Cultivate]]</f>
        <v>0</v>
      </c>
      <c r="O69" s="24">
        <f>Stock[[#This Row],[Stock Cultivate]]*Stock[[#This Row],[Precio de Venta]]</f>
        <v>0</v>
      </c>
      <c r="R69" s="16"/>
    </row>
    <row r="70" spans="2:18">
      <c r="B70" s="44">
        <v>863</v>
      </c>
      <c r="C70" t="s">
        <v>1059</v>
      </c>
      <c r="D70" s="45">
        <v>800</v>
      </c>
      <c r="E70" s="24">
        <v>1600</v>
      </c>
      <c r="F70" s="44">
        <f>Stock[Entradas]-Stock[Compra Cultivate]</f>
        <v>1</v>
      </c>
      <c r="G70" s="11">
        <f>SUMIFS(Compras[Cantidad],Compras[Codigo],Stock[Codigo])</f>
        <v>1</v>
      </c>
      <c r="H70" s="11">
        <f>SUMIFS(Ventas[Cantidad],Ventas[Codigo],Stock[Codigo])</f>
        <v>0</v>
      </c>
      <c r="I70" s="12">
        <f>Stock[[#This Row],[Stock Deposito]]*Stock[[#This Row],[Precio de Compra]]</f>
        <v>800</v>
      </c>
      <c r="J70" s="6">
        <f>SUMIFS(ProdDesc[Cantidad],ProdDesc[Codigo],Stock[Codigo])</f>
        <v>0</v>
      </c>
      <c r="K70" s="44">
        <f>Stock[[#This Row],[Compra Cultivate]]-Stock[[#This Row],[Salidas]]-Stock[[#This Row],[Usados]]</f>
        <v>0</v>
      </c>
      <c r="L70" s="24">
        <f>Stock[[#This Row],[Stock Deposito]]*Stock[[#This Row],[Precio de Venta]]</f>
        <v>1600</v>
      </c>
      <c r="M70" s="6">
        <f>SUMIFS(Tabla9[Cantidad],Tabla9[Codigo],Stock[Codigo])</f>
        <v>0</v>
      </c>
      <c r="N70" s="24">
        <f>Stock[[#This Row],[Precio de Compra]]*Stock[[#This Row],[Stock Cultivate]]</f>
        <v>0</v>
      </c>
      <c r="O70" s="24">
        <f>Stock[[#This Row],[Stock Cultivate]]*Stock[[#This Row],[Precio de Venta]]</f>
        <v>0</v>
      </c>
      <c r="R70" s="16"/>
    </row>
    <row r="71" spans="2:18">
      <c r="B71" s="44">
        <v>862</v>
      </c>
      <c r="C71" t="s">
        <v>1058</v>
      </c>
      <c r="D71" s="45">
        <v>2520</v>
      </c>
      <c r="E71" s="24">
        <v>4000</v>
      </c>
      <c r="F71" s="44">
        <f>Stock[Entradas]-Stock[Compra Cultivate]</f>
        <v>0</v>
      </c>
      <c r="G71" s="11">
        <f>SUMIFS(Compras[Cantidad],Compras[Codigo],Stock[Codigo])</f>
        <v>2</v>
      </c>
      <c r="H71" s="11">
        <f>SUMIFS(Ventas[Cantidad],Ventas[Codigo],Stock[Codigo])</f>
        <v>0</v>
      </c>
      <c r="I71" s="12">
        <f>Stock[[#This Row],[Stock Deposito]]*Stock[[#This Row],[Precio de Compra]]</f>
        <v>0</v>
      </c>
      <c r="J71" s="6">
        <f>SUMIFS(ProdDesc[Cantidad],ProdDesc[Codigo],Stock[Codigo])</f>
        <v>0</v>
      </c>
      <c r="K71" s="44">
        <f>Stock[[#This Row],[Compra Cultivate]]-Stock[[#This Row],[Salidas]]-Stock[[#This Row],[Usados]]</f>
        <v>2</v>
      </c>
      <c r="L71" s="24">
        <f>Stock[[#This Row],[Stock Deposito]]*Stock[[#This Row],[Precio de Venta]]</f>
        <v>0</v>
      </c>
      <c r="M71" s="6">
        <f>SUMIFS(Tabla9[Cantidad],Tabla9[Codigo],Stock[Codigo])</f>
        <v>2</v>
      </c>
      <c r="N71" s="24">
        <f>Stock[[#This Row],[Precio de Compra]]*Stock[[#This Row],[Stock Cultivate]]</f>
        <v>5040</v>
      </c>
      <c r="O71" s="24">
        <f>Stock[[#This Row],[Stock Cultivate]]*Stock[[#This Row],[Precio de Venta]]</f>
        <v>8000</v>
      </c>
      <c r="R71" s="16"/>
    </row>
    <row r="72" spans="2:18">
      <c r="B72" s="44">
        <v>861</v>
      </c>
      <c r="C72" t="s">
        <v>1057</v>
      </c>
      <c r="D72" s="45">
        <v>700</v>
      </c>
      <c r="E72" s="24">
        <v>1500</v>
      </c>
      <c r="F72" s="44">
        <f>Stock[Entradas]-Stock[Compra Cultivate]</f>
        <v>3</v>
      </c>
      <c r="G72" s="11">
        <f>SUMIFS(Compras[Cantidad],Compras[Codigo],Stock[Codigo])</f>
        <v>3</v>
      </c>
      <c r="H72" s="11">
        <f>SUMIFS(Ventas[Cantidad],Ventas[Codigo],Stock[Codigo])</f>
        <v>0</v>
      </c>
      <c r="I72" s="12">
        <f>Stock[[#This Row],[Stock Deposito]]*Stock[[#This Row],[Precio de Compra]]</f>
        <v>2100</v>
      </c>
      <c r="J72" s="6">
        <f>SUMIFS(ProdDesc[Cantidad],ProdDesc[Codigo],Stock[Codigo])</f>
        <v>0</v>
      </c>
      <c r="K72" s="44">
        <f>Stock[[#This Row],[Compra Cultivate]]-Stock[[#This Row],[Salidas]]-Stock[[#This Row],[Usados]]</f>
        <v>0</v>
      </c>
      <c r="L72" s="24">
        <f>Stock[[#This Row],[Stock Deposito]]*Stock[[#This Row],[Precio de Venta]]</f>
        <v>4500</v>
      </c>
      <c r="M72" s="6">
        <f>SUMIFS(Tabla9[Cantidad],Tabla9[Codigo],Stock[Codigo])</f>
        <v>0</v>
      </c>
      <c r="N72" s="24">
        <f>Stock[[#This Row],[Precio de Compra]]*Stock[[#This Row],[Stock Cultivate]]</f>
        <v>0</v>
      </c>
      <c r="O72" s="24">
        <f>Stock[[#This Row],[Stock Cultivate]]*Stock[[#This Row],[Precio de Venta]]</f>
        <v>0</v>
      </c>
      <c r="R72" s="16"/>
    </row>
    <row r="73" spans="2:18">
      <c r="B73" s="44">
        <v>860</v>
      </c>
      <c r="C73" t="s">
        <v>1151</v>
      </c>
      <c r="D73" s="45">
        <v>1511</v>
      </c>
      <c r="E73" s="24">
        <v>2500</v>
      </c>
      <c r="F73" s="44">
        <f>Stock[Entradas]-Stock[Compra Cultivate]</f>
        <v>2</v>
      </c>
      <c r="G73" s="11">
        <f>SUMIFS(Compras[Cantidad],Compras[Codigo],Stock[Codigo])</f>
        <v>3</v>
      </c>
      <c r="H73" s="11">
        <f>SUMIFS(Ventas[Cantidad],Ventas[Codigo],Stock[Codigo])</f>
        <v>0</v>
      </c>
      <c r="I73" s="12">
        <f>Stock[[#This Row],[Stock Deposito]]*Stock[[#This Row],[Precio de Compra]]</f>
        <v>3022</v>
      </c>
      <c r="J73" s="6">
        <f>SUMIFS(ProdDesc[Cantidad],ProdDesc[Codigo],Stock[Codigo])</f>
        <v>0</v>
      </c>
      <c r="K73" s="44">
        <f>Stock[[#This Row],[Compra Cultivate]]-Stock[[#This Row],[Salidas]]-Stock[[#This Row],[Usados]]</f>
        <v>1</v>
      </c>
      <c r="L73" s="24">
        <f>Stock[[#This Row],[Stock Deposito]]*Stock[[#This Row],[Precio de Venta]]</f>
        <v>5000</v>
      </c>
      <c r="M73" s="6">
        <f>SUMIFS(Tabla9[Cantidad],Tabla9[Codigo],Stock[Codigo])</f>
        <v>1</v>
      </c>
      <c r="N73" s="24">
        <f>Stock[[#This Row],[Precio de Compra]]*Stock[[#This Row],[Stock Cultivate]]</f>
        <v>1511</v>
      </c>
      <c r="O73" s="24">
        <f>Stock[[#This Row],[Stock Cultivate]]*Stock[[#This Row],[Precio de Venta]]</f>
        <v>2500</v>
      </c>
      <c r="R73" s="16"/>
    </row>
    <row r="74" spans="2:18">
      <c r="B74" s="44">
        <v>859</v>
      </c>
      <c r="C74" t="s">
        <v>1056</v>
      </c>
      <c r="D74" s="45">
        <v>1700</v>
      </c>
      <c r="E74" s="24">
        <v>4000</v>
      </c>
      <c r="F74" s="44">
        <f>Stock[Entradas]-Stock[Compra Cultivate]</f>
        <v>0</v>
      </c>
      <c r="G74" s="11">
        <f>SUMIFS(Compras[Cantidad],Compras[Codigo],Stock[Codigo])</f>
        <v>2</v>
      </c>
      <c r="H74" s="11">
        <f>SUMIFS(Ventas[Cantidad],Ventas[Codigo],Stock[Codigo])</f>
        <v>0</v>
      </c>
      <c r="I74" s="12">
        <f>Stock[[#This Row],[Stock Deposito]]*Stock[[#This Row],[Precio de Compra]]</f>
        <v>0</v>
      </c>
      <c r="J74" s="6">
        <f>SUMIFS(ProdDesc[Cantidad],ProdDesc[Codigo],Stock[Codigo])</f>
        <v>0</v>
      </c>
      <c r="K74" s="44">
        <f>Stock[[#This Row],[Compra Cultivate]]-Stock[[#This Row],[Salidas]]-Stock[[#This Row],[Usados]]</f>
        <v>2</v>
      </c>
      <c r="L74" s="24">
        <f>Stock[[#This Row],[Stock Deposito]]*Stock[[#This Row],[Precio de Venta]]</f>
        <v>0</v>
      </c>
      <c r="M74" s="6">
        <f>SUMIFS(Tabla9[Cantidad],Tabla9[Codigo],Stock[Codigo])</f>
        <v>2</v>
      </c>
      <c r="N74" s="24">
        <f>Stock[[#This Row],[Precio de Compra]]*Stock[[#This Row],[Stock Cultivate]]</f>
        <v>3400</v>
      </c>
      <c r="O74" s="24">
        <f>Stock[[#This Row],[Stock Cultivate]]*Stock[[#This Row],[Precio de Venta]]</f>
        <v>8000</v>
      </c>
      <c r="R74" s="16"/>
    </row>
    <row r="75" spans="2:18">
      <c r="B75" s="44">
        <v>858</v>
      </c>
      <c r="C75" t="s">
        <v>1055</v>
      </c>
      <c r="D75" s="45">
        <v>200</v>
      </c>
      <c r="E75" s="24">
        <v>600</v>
      </c>
      <c r="F75" s="44">
        <f>Stock[Entradas]-Stock[Compra Cultivate]</f>
        <v>0</v>
      </c>
      <c r="G75" s="11">
        <f>SUMIFS(Compras[Cantidad],Compras[Codigo],Stock[Codigo])</f>
        <v>2</v>
      </c>
      <c r="H75" s="11">
        <f>SUMIFS(Ventas[Cantidad],Ventas[Codigo],Stock[Codigo])</f>
        <v>0</v>
      </c>
      <c r="I75" s="12">
        <f>Stock[[#This Row],[Stock Deposito]]*Stock[[#This Row],[Precio de Compra]]</f>
        <v>0</v>
      </c>
      <c r="J75" s="6">
        <f>SUMIFS(ProdDesc[Cantidad],ProdDesc[Codigo],Stock[Codigo])</f>
        <v>0</v>
      </c>
      <c r="K75" s="44">
        <f>Stock[[#This Row],[Compra Cultivate]]-Stock[[#This Row],[Salidas]]-Stock[[#This Row],[Usados]]</f>
        <v>2</v>
      </c>
      <c r="L75" s="24">
        <f>Stock[[#This Row],[Stock Deposito]]*Stock[[#This Row],[Precio de Venta]]</f>
        <v>0</v>
      </c>
      <c r="M75" s="6">
        <f>SUMIFS(Tabla9[Cantidad],Tabla9[Codigo],Stock[Codigo])</f>
        <v>2</v>
      </c>
      <c r="N75" s="24">
        <f>Stock[[#This Row],[Precio de Compra]]*Stock[[#This Row],[Stock Cultivate]]</f>
        <v>400</v>
      </c>
      <c r="O75" s="24">
        <f>Stock[[#This Row],[Stock Cultivate]]*Stock[[#This Row],[Precio de Venta]]</f>
        <v>1200</v>
      </c>
      <c r="R75" s="16"/>
    </row>
    <row r="76" spans="2:18">
      <c r="B76" s="44">
        <v>857</v>
      </c>
      <c r="C76" t="s">
        <v>1054</v>
      </c>
      <c r="D76" s="45">
        <v>2200</v>
      </c>
      <c r="E76" s="24">
        <v>5000</v>
      </c>
      <c r="F76" s="44">
        <f>Stock[Entradas]-Stock[Compra Cultivate]</f>
        <v>0</v>
      </c>
      <c r="G76" s="11">
        <f>SUMIFS(Compras[Cantidad],Compras[Codigo],Stock[Codigo])</f>
        <v>1</v>
      </c>
      <c r="H76" s="11">
        <f>SUMIFS(Ventas[Cantidad],Ventas[Codigo],Stock[Codigo])</f>
        <v>0</v>
      </c>
      <c r="I76" s="12">
        <f>Stock[[#This Row],[Stock Deposito]]*Stock[[#This Row],[Precio de Compra]]</f>
        <v>0</v>
      </c>
      <c r="J76" s="6">
        <f>SUMIFS(ProdDesc[Cantidad],ProdDesc[Codigo],Stock[Codigo])</f>
        <v>0</v>
      </c>
      <c r="K76" s="44">
        <f>Stock[[#This Row],[Compra Cultivate]]-Stock[[#This Row],[Salidas]]-Stock[[#This Row],[Usados]]</f>
        <v>1</v>
      </c>
      <c r="L76" s="24">
        <f>Stock[[#This Row],[Stock Deposito]]*Stock[[#This Row],[Precio de Venta]]</f>
        <v>0</v>
      </c>
      <c r="M76" s="6">
        <f>SUMIFS(Tabla9[Cantidad],Tabla9[Codigo],Stock[Codigo])</f>
        <v>1</v>
      </c>
      <c r="N76" s="24">
        <f>Stock[[#This Row],[Precio de Compra]]*Stock[[#This Row],[Stock Cultivate]]</f>
        <v>2200</v>
      </c>
      <c r="O76" s="24">
        <f>Stock[[#This Row],[Stock Cultivate]]*Stock[[#This Row],[Precio de Venta]]</f>
        <v>5000</v>
      </c>
      <c r="R76" s="16"/>
    </row>
    <row r="77" spans="2:18">
      <c r="B77" s="44">
        <v>856</v>
      </c>
      <c r="C77" t="s">
        <v>1053</v>
      </c>
      <c r="D77" s="45">
        <v>900</v>
      </c>
      <c r="E77" s="24">
        <v>2200</v>
      </c>
      <c r="F77" s="44">
        <f>Stock[Entradas]-Stock[Compra Cultivate]</f>
        <v>0</v>
      </c>
      <c r="G77" s="11">
        <f>SUMIFS(Compras[Cantidad],Compras[Codigo],Stock[Codigo])</f>
        <v>2</v>
      </c>
      <c r="H77" s="11">
        <f>SUMIFS(Ventas[Cantidad],Ventas[Codigo],Stock[Codigo])</f>
        <v>0</v>
      </c>
      <c r="I77" s="12">
        <f>Stock[[#This Row],[Stock Deposito]]*Stock[[#This Row],[Precio de Compra]]</f>
        <v>0</v>
      </c>
      <c r="J77" s="6">
        <f>SUMIFS(ProdDesc[Cantidad],ProdDesc[Codigo],Stock[Codigo])</f>
        <v>0</v>
      </c>
      <c r="K77" s="44">
        <f>Stock[[#This Row],[Compra Cultivate]]-Stock[[#This Row],[Salidas]]-Stock[[#This Row],[Usados]]</f>
        <v>2</v>
      </c>
      <c r="L77" s="24">
        <f>Stock[[#This Row],[Stock Deposito]]*Stock[[#This Row],[Precio de Venta]]</f>
        <v>0</v>
      </c>
      <c r="M77" s="6">
        <f>SUMIFS(Tabla9[Cantidad],Tabla9[Codigo],Stock[Codigo])</f>
        <v>2</v>
      </c>
      <c r="N77" s="24">
        <f>Stock[[#This Row],[Precio de Compra]]*Stock[[#This Row],[Stock Cultivate]]</f>
        <v>1800</v>
      </c>
      <c r="O77" s="24">
        <f>Stock[[#This Row],[Stock Cultivate]]*Stock[[#This Row],[Precio de Venta]]</f>
        <v>4400</v>
      </c>
      <c r="R77" s="16"/>
    </row>
    <row r="78" spans="2:18">
      <c r="B78" s="44">
        <v>855</v>
      </c>
      <c r="C78" t="s">
        <v>1052</v>
      </c>
      <c r="D78" s="45">
        <v>700</v>
      </c>
      <c r="E78" s="24">
        <v>1800</v>
      </c>
      <c r="F78" s="44">
        <f>Stock[Entradas]-Stock[Compra Cultivate]</f>
        <v>0</v>
      </c>
      <c r="G78" s="11">
        <f>SUMIFS(Compras[Cantidad],Compras[Codigo],Stock[Codigo])</f>
        <v>2</v>
      </c>
      <c r="H78" s="11">
        <f>SUMIFS(Ventas[Cantidad],Ventas[Codigo],Stock[Codigo])</f>
        <v>0</v>
      </c>
      <c r="I78" s="12">
        <f>Stock[[#This Row],[Stock Deposito]]*Stock[[#This Row],[Precio de Compra]]</f>
        <v>0</v>
      </c>
      <c r="J78" s="6">
        <f>SUMIFS(ProdDesc[Cantidad],ProdDesc[Codigo],Stock[Codigo])</f>
        <v>0</v>
      </c>
      <c r="K78" s="44">
        <f>Stock[[#This Row],[Compra Cultivate]]-Stock[[#This Row],[Salidas]]-Stock[[#This Row],[Usados]]</f>
        <v>2</v>
      </c>
      <c r="L78" s="24">
        <f>Stock[[#This Row],[Stock Deposito]]*Stock[[#This Row],[Precio de Venta]]</f>
        <v>0</v>
      </c>
      <c r="M78" s="6">
        <f>SUMIFS(Tabla9[Cantidad],Tabla9[Codigo],Stock[Codigo])</f>
        <v>2</v>
      </c>
      <c r="N78" s="24">
        <f>Stock[[#This Row],[Precio de Compra]]*Stock[[#This Row],[Stock Cultivate]]</f>
        <v>1400</v>
      </c>
      <c r="O78" s="24">
        <f>Stock[[#This Row],[Stock Cultivate]]*Stock[[#This Row],[Precio de Venta]]</f>
        <v>3600</v>
      </c>
      <c r="R78" s="16"/>
    </row>
    <row r="79" spans="2:18">
      <c r="B79" s="44">
        <v>854</v>
      </c>
      <c r="C79" t="s">
        <v>1051</v>
      </c>
      <c r="D79" s="45">
        <v>1612</v>
      </c>
      <c r="E79" s="24">
        <v>3200</v>
      </c>
      <c r="F79" s="44">
        <f>Stock[Entradas]-Stock[Compra Cultivate]</f>
        <v>0</v>
      </c>
      <c r="G79" s="11">
        <f>SUMIFS(Compras[Cantidad],Compras[Codigo],Stock[Codigo])</f>
        <v>4</v>
      </c>
      <c r="H79" s="11">
        <f>SUMIFS(Ventas[Cantidad],Ventas[Codigo],Stock[Codigo])</f>
        <v>0</v>
      </c>
      <c r="I79" s="12">
        <f>Stock[[#This Row],[Stock Deposito]]*Stock[[#This Row],[Precio de Compra]]</f>
        <v>0</v>
      </c>
      <c r="J79" s="6">
        <f>SUMIFS(ProdDesc[Cantidad],ProdDesc[Codigo],Stock[Codigo])</f>
        <v>0</v>
      </c>
      <c r="K79" s="44">
        <f>Stock[[#This Row],[Compra Cultivate]]-Stock[[#This Row],[Salidas]]-Stock[[#This Row],[Usados]]</f>
        <v>4</v>
      </c>
      <c r="L79" s="24">
        <f>Stock[[#This Row],[Stock Deposito]]*Stock[[#This Row],[Precio de Venta]]</f>
        <v>0</v>
      </c>
      <c r="M79" s="6">
        <f>SUMIFS(Tabla9[Cantidad],Tabla9[Codigo],Stock[Codigo])</f>
        <v>4</v>
      </c>
      <c r="N79" s="24">
        <f>Stock[[#This Row],[Precio de Compra]]*Stock[[#This Row],[Stock Cultivate]]</f>
        <v>6448</v>
      </c>
      <c r="O79" s="24">
        <f>Stock[[#This Row],[Stock Cultivate]]*Stock[[#This Row],[Precio de Venta]]</f>
        <v>12800</v>
      </c>
      <c r="R79" s="16"/>
    </row>
    <row r="80" spans="2:18">
      <c r="B80" s="44">
        <v>853</v>
      </c>
      <c r="C80" t="s">
        <v>1050</v>
      </c>
      <c r="D80" s="45">
        <v>700</v>
      </c>
      <c r="E80" s="24">
        <v>2000</v>
      </c>
      <c r="F80" s="44">
        <f>Stock[Entradas]-Stock[Compra Cultivate]</f>
        <v>0</v>
      </c>
      <c r="G80" s="11">
        <f>SUMIFS(Compras[Cantidad],Compras[Codigo],Stock[Codigo])</f>
        <v>2</v>
      </c>
      <c r="H80" s="11">
        <f>SUMIFS(Ventas[Cantidad],Ventas[Codigo],Stock[Codigo])</f>
        <v>0</v>
      </c>
      <c r="I80" s="12">
        <f>Stock[[#This Row],[Stock Deposito]]*Stock[[#This Row],[Precio de Compra]]</f>
        <v>0</v>
      </c>
      <c r="J80" s="6">
        <f>SUMIFS(ProdDesc[Cantidad],ProdDesc[Codigo],Stock[Codigo])</f>
        <v>0</v>
      </c>
      <c r="K80" s="44">
        <f>Stock[[#This Row],[Compra Cultivate]]-Stock[[#This Row],[Salidas]]-Stock[[#This Row],[Usados]]</f>
        <v>2</v>
      </c>
      <c r="L80" s="24">
        <f>Stock[[#This Row],[Stock Deposito]]*Stock[[#This Row],[Precio de Venta]]</f>
        <v>0</v>
      </c>
      <c r="M80" s="6">
        <f>SUMIFS(Tabla9[Cantidad],Tabla9[Codigo],Stock[Codigo])</f>
        <v>2</v>
      </c>
      <c r="N80" s="24">
        <f>Stock[[#This Row],[Precio de Compra]]*Stock[[#This Row],[Stock Cultivate]]</f>
        <v>1400</v>
      </c>
      <c r="O80" s="24">
        <f>Stock[[#This Row],[Stock Cultivate]]*Stock[[#This Row],[Precio de Venta]]</f>
        <v>4000</v>
      </c>
      <c r="R80" s="16"/>
    </row>
    <row r="81" spans="2:18">
      <c r="B81" s="44">
        <v>852</v>
      </c>
      <c r="C81" t="s">
        <v>1049</v>
      </c>
      <c r="D81" s="45">
        <v>500</v>
      </c>
      <c r="E81" s="24">
        <v>1500</v>
      </c>
      <c r="F81" s="44">
        <f>Stock[Entradas]-Stock[Compra Cultivate]</f>
        <v>0</v>
      </c>
      <c r="G81" s="11">
        <f>SUMIFS(Compras[Cantidad],Compras[Codigo],Stock[Codigo])</f>
        <v>1</v>
      </c>
      <c r="H81" s="11">
        <f>SUMIFS(Ventas[Cantidad],Ventas[Codigo],Stock[Codigo])</f>
        <v>0</v>
      </c>
      <c r="I81" s="12">
        <f>Stock[[#This Row],[Stock Deposito]]*Stock[[#This Row],[Precio de Compra]]</f>
        <v>0</v>
      </c>
      <c r="J81" s="6">
        <f>SUMIFS(ProdDesc[Cantidad],ProdDesc[Codigo],Stock[Codigo])</f>
        <v>0</v>
      </c>
      <c r="K81" s="44">
        <f>Stock[[#This Row],[Compra Cultivate]]-Stock[[#This Row],[Salidas]]-Stock[[#This Row],[Usados]]</f>
        <v>1</v>
      </c>
      <c r="L81" s="24">
        <f>Stock[[#This Row],[Stock Deposito]]*Stock[[#This Row],[Precio de Venta]]</f>
        <v>0</v>
      </c>
      <c r="M81" s="6">
        <f>SUMIFS(Tabla9[Cantidad],Tabla9[Codigo],Stock[Codigo])</f>
        <v>1</v>
      </c>
      <c r="N81" s="24">
        <f>Stock[[#This Row],[Precio de Compra]]*Stock[[#This Row],[Stock Cultivate]]</f>
        <v>500</v>
      </c>
      <c r="O81" s="24">
        <f>Stock[[#This Row],[Stock Cultivate]]*Stock[[#This Row],[Precio de Venta]]</f>
        <v>1500</v>
      </c>
      <c r="R81" s="16"/>
    </row>
    <row r="82" spans="2:18">
      <c r="B82" s="44">
        <v>851</v>
      </c>
      <c r="C82" t="s">
        <v>1048</v>
      </c>
      <c r="D82" s="45">
        <v>9000</v>
      </c>
      <c r="E82" s="24">
        <v>26000</v>
      </c>
      <c r="F82" s="44">
        <f>Stock[Entradas]-Stock[Compra Cultivate]</f>
        <v>0</v>
      </c>
      <c r="G82" s="11">
        <f>SUMIFS(Compras[Cantidad],Compras[Codigo],Stock[Codigo])</f>
        <v>1</v>
      </c>
      <c r="H82" s="11">
        <f>SUMIFS(Ventas[Cantidad],Ventas[Codigo],Stock[Codigo])</f>
        <v>0</v>
      </c>
      <c r="I82" s="12">
        <f>Stock[[#This Row],[Stock Deposito]]*Stock[[#This Row],[Precio de Compra]]</f>
        <v>0</v>
      </c>
      <c r="J82" s="6">
        <f>SUMIFS(ProdDesc[Cantidad],ProdDesc[Codigo],Stock[Codigo])</f>
        <v>0</v>
      </c>
      <c r="K82" s="44">
        <f>Stock[[#This Row],[Compra Cultivate]]-Stock[[#This Row],[Salidas]]-Stock[[#This Row],[Usados]]</f>
        <v>1</v>
      </c>
      <c r="L82" s="24">
        <f>Stock[[#This Row],[Stock Deposito]]*Stock[[#This Row],[Precio de Venta]]</f>
        <v>0</v>
      </c>
      <c r="M82" s="6">
        <f>SUMIFS(Tabla9[Cantidad],Tabla9[Codigo],Stock[Codigo])</f>
        <v>1</v>
      </c>
      <c r="N82" s="24">
        <f>Stock[[#This Row],[Precio de Compra]]*Stock[[#This Row],[Stock Cultivate]]</f>
        <v>9000</v>
      </c>
      <c r="O82" s="24">
        <f>Stock[[#This Row],[Stock Cultivate]]*Stock[[#This Row],[Precio de Venta]]</f>
        <v>26000</v>
      </c>
      <c r="R82" s="16"/>
    </row>
    <row r="83" spans="2:18">
      <c r="B83" s="44">
        <v>850</v>
      </c>
      <c r="C83" t="s">
        <v>1047</v>
      </c>
      <c r="D83" s="45">
        <v>719</v>
      </c>
      <c r="E83" s="24">
        <v>1400</v>
      </c>
      <c r="F83" s="44">
        <f>Stock[Entradas]-Stock[Compra Cultivate]</f>
        <v>0</v>
      </c>
      <c r="G83" s="11">
        <f>SUMIFS(Compras[Cantidad],Compras[Codigo],Stock[Codigo])</f>
        <v>1</v>
      </c>
      <c r="H83" s="11">
        <f>SUMIFS(Ventas[Cantidad],Ventas[Codigo],Stock[Codigo])</f>
        <v>0</v>
      </c>
      <c r="I83" s="12">
        <f>Stock[[#This Row],[Stock Deposito]]*Stock[[#This Row],[Precio de Compra]]</f>
        <v>0</v>
      </c>
      <c r="J83" s="6">
        <f>SUMIFS(ProdDesc[Cantidad],ProdDesc[Codigo],Stock[Codigo])</f>
        <v>0</v>
      </c>
      <c r="K83" s="44">
        <f>Stock[[#This Row],[Compra Cultivate]]-Stock[[#This Row],[Salidas]]-Stock[[#This Row],[Usados]]</f>
        <v>1</v>
      </c>
      <c r="L83" s="24">
        <f>Stock[[#This Row],[Stock Deposito]]*Stock[[#This Row],[Precio de Venta]]</f>
        <v>0</v>
      </c>
      <c r="M83" s="6">
        <f>SUMIFS(Tabla9[Cantidad],Tabla9[Codigo],Stock[Codigo])</f>
        <v>1</v>
      </c>
      <c r="N83" s="24">
        <f>Stock[[#This Row],[Precio de Compra]]*Stock[[#This Row],[Stock Cultivate]]</f>
        <v>719</v>
      </c>
      <c r="O83" s="24">
        <f>Stock[[#This Row],[Stock Cultivate]]*Stock[[#This Row],[Precio de Venta]]</f>
        <v>1400</v>
      </c>
      <c r="R83" s="16"/>
    </row>
    <row r="84" spans="2:18">
      <c r="B84" s="44">
        <v>849</v>
      </c>
      <c r="C84" t="s">
        <v>1046</v>
      </c>
      <c r="D84" s="45">
        <v>1032</v>
      </c>
      <c r="E84" s="24">
        <v>2000</v>
      </c>
      <c r="F84" s="44">
        <f>Stock[Entradas]-Stock[Compra Cultivate]</f>
        <v>0</v>
      </c>
      <c r="G84" s="11">
        <f>SUMIFS(Compras[Cantidad],Compras[Codigo],Stock[Codigo])</f>
        <v>6</v>
      </c>
      <c r="H84" s="11">
        <f>SUMIFS(Ventas[Cantidad],Ventas[Codigo],Stock[Codigo])</f>
        <v>0</v>
      </c>
      <c r="I84" s="12">
        <f>Stock[[#This Row],[Stock Deposito]]*Stock[[#This Row],[Precio de Compra]]</f>
        <v>0</v>
      </c>
      <c r="J84" s="6">
        <f>SUMIFS(ProdDesc[Cantidad],ProdDesc[Codigo],Stock[Codigo])</f>
        <v>0</v>
      </c>
      <c r="K84" s="44">
        <f>Stock[[#This Row],[Compra Cultivate]]-Stock[[#This Row],[Salidas]]-Stock[[#This Row],[Usados]]</f>
        <v>6</v>
      </c>
      <c r="L84" s="24">
        <f>Stock[[#This Row],[Stock Deposito]]*Stock[[#This Row],[Precio de Venta]]</f>
        <v>0</v>
      </c>
      <c r="M84" s="6">
        <f>SUMIFS(Tabla9[Cantidad],Tabla9[Codigo],Stock[Codigo])</f>
        <v>6</v>
      </c>
      <c r="N84" s="24">
        <f>Stock[[#This Row],[Precio de Compra]]*Stock[[#This Row],[Stock Cultivate]]</f>
        <v>6192</v>
      </c>
      <c r="O84" s="24">
        <f>Stock[[#This Row],[Stock Cultivate]]*Stock[[#This Row],[Precio de Venta]]</f>
        <v>12000</v>
      </c>
      <c r="R84" s="16"/>
    </row>
    <row r="85" spans="2:18">
      <c r="B85" s="44">
        <v>848</v>
      </c>
      <c r="C85" t="s">
        <v>1045</v>
      </c>
      <c r="D85" s="45">
        <v>3500</v>
      </c>
      <c r="E85" s="24">
        <v>17000</v>
      </c>
      <c r="F85" s="44">
        <f>Stock[Entradas]-Stock[Compra Cultivate]</f>
        <v>0</v>
      </c>
      <c r="G85" s="11">
        <f>SUMIFS(Compras[Cantidad],Compras[Codigo],Stock[Codigo])</f>
        <v>1</v>
      </c>
      <c r="H85" s="11">
        <f>SUMIFS(Ventas[Cantidad],Ventas[Codigo],Stock[Codigo])</f>
        <v>1</v>
      </c>
      <c r="I85" s="12">
        <f>Stock[[#This Row],[Stock Deposito]]*Stock[[#This Row],[Precio de Compra]]</f>
        <v>0</v>
      </c>
      <c r="J85" s="6">
        <f>SUMIFS(ProdDesc[Cantidad],ProdDesc[Codigo],Stock[Codigo])</f>
        <v>0</v>
      </c>
      <c r="K85" s="44">
        <f>Stock[[#This Row],[Compra Cultivate]]-Stock[[#This Row],[Salidas]]-Stock[[#This Row],[Usados]]</f>
        <v>0</v>
      </c>
      <c r="L85" s="24">
        <f>Stock[[#This Row],[Stock Deposito]]*Stock[[#This Row],[Precio de Venta]]</f>
        <v>0</v>
      </c>
      <c r="M85" s="6">
        <f>SUMIFS(Tabla9[Cantidad],Tabla9[Codigo],Stock[Codigo])</f>
        <v>1</v>
      </c>
      <c r="N85" s="24">
        <f>Stock[[#This Row],[Precio de Compra]]*Stock[[#This Row],[Stock Cultivate]]</f>
        <v>0</v>
      </c>
      <c r="O85" s="24">
        <f>Stock[[#This Row],[Stock Cultivate]]*Stock[[#This Row],[Precio de Venta]]</f>
        <v>0</v>
      </c>
      <c r="R85" s="16"/>
    </row>
    <row r="86" spans="2:18">
      <c r="B86" s="44">
        <v>847</v>
      </c>
      <c r="C86" t="s">
        <v>1044</v>
      </c>
      <c r="D86" s="45">
        <v>1176</v>
      </c>
      <c r="E86" s="24">
        <v>2300</v>
      </c>
      <c r="F86" s="44">
        <f>Stock[Entradas]-Stock[Compra Cultivate]</f>
        <v>4</v>
      </c>
      <c r="G86" s="11">
        <f>SUMIFS(Compras[Cantidad],Compras[Codigo],Stock[Codigo])</f>
        <v>6</v>
      </c>
      <c r="H86" s="11">
        <f>SUMIFS(Ventas[Cantidad],Ventas[Codigo],Stock[Codigo])</f>
        <v>0</v>
      </c>
      <c r="I86" s="12">
        <f>Stock[[#This Row],[Stock Deposito]]*Stock[[#This Row],[Precio de Compra]]</f>
        <v>4704</v>
      </c>
      <c r="J86" s="6">
        <f>SUMIFS(ProdDesc[Cantidad],ProdDesc[Codigo],Stock[Codigo])</f>
        <v>0</v>
      </c>
      <c r="K86" s="44">
        <f>Stock[[#This Row],[Compra Cultivate]]-Stock[[#This Row],[Salidas]]-Stock[[#This Row],[Usados]]</f>
        <v>2</v>
      </c>
      <c r="L86" s="24">
        <f>Stock[[#This Row],[Stock Deposito]]*Stock[[#This Row],[Precio de Venta]]</f>
        <v>9200</v>
      </c>
      <c r="M86" s="6">
        <f>SUMIFS(Tabla9[Cantidad],Tabla9[Codigo],Stock[Codigo])</f>
        <v>2</v>
      </c>
      <c r="N86" s="24">
        <f>Stock[[#This Row],[Precio de Compra]]*Stock[[#This Row],[Stock Cultivate]]</f>
        <v>2352</v>
      </c>
      <c r="O86" s="24">
        <f>Stock[[#This Row],[Stock Cultivate]]*Stock[[#This Row],[Precio de Venta]]</f>
        <v>4600</v>
      </c>
      <c r="R86" s="16"/>
    </row>
    <row r="87" spans="2:18">
      <c r="B87" s="44">
        <v>846</v>
      </c>
      <c r="C87" t="s">
        <v>1043</v>
      </c>
      <c r="D87" s="45">
        <v>500</v>
      </c>
      <c r="E87" s="24">
        <v>1200</v>
      </c>
      <c r="F87" s="44">
        <f>Stock[Entradas]-Stock[Compra Cultivate]</f>
        <v>2</v>
      </c>
      <c r="G87" s="11">
        <f>SUMIFS(Compras[Cantidad],Compras[Codigo],Stock[Codigo])</f>
        <v>2</v>
      </c>
      <c r="H87" s="11">
        <f>SUMIFS(Ventas[Cantidad],Ventas[Codigo],Stock[Codigo])</f>
        <v>0</v>
      </c>
      <c r="I87" s="12">
        <f>Stock[[#This Row],[Stock Deposito]]*Stock[[#This Row],[Precio de Compra]]</f>
        <v>1000</v>
      </c>
      <c r="J87" s="6">
        <f>SUMIFS(ProdDesc[Cantidad],ProdDesc[Codigo],Stock[Codigo])</f>
        <v>0</v>
      </c>
      <c r="K87" s="44">
        <f>Stock[[#This Row],[Compra Cultivate]]-Stock[[#This Row],[Salidas]]-Stock[[#This Row],[Usados]]</f>
        <v>0</v>
      </c>
      <c r="L87" s="24">
        <f>Stock[[#This Row],[Stock Deposito]]*Stock[[#This Row],[Precio de Venta]]</f>
        <v>2400</v>
      </c>
      <c r="M87" s="6">
        <f>SUMIFS(Tabla9[Cantidad],Tabla9[Codigo],Stock[Codigo])</f>
        <v>0</v>
      </c>
      <c r="N87" s="24">
        <f>Stock[[#This Row],[Precio de Compra]]*Stock[[#This Row],[Stock Cultivate]]</f>
        <v>0</v>
      </c>
      <c r="O87" s="24">
        <f>Stock[[#This Row],[Stock Cultivate]]*Stock[[#This Row],[Precio de Venta]]</f>
        <v>0</v>
      </c>
      <c r="R87" s="16"/>
    </row>
    <row r="88" spans="2:18">
      <c r="B88" s="44">
        <v>845</v>
      </c>
      <c r="C88" t="s">
        <v>1042</v>
      </c>
      <c r="D88" s="45">
        <v>250</v>
      </c>
      <c r="E88" s="24">
        <v>800</v>
      </c>
      <c r="F88" s="44">
        <f>Stock[Entradas]-Stock[Compra Cultivate]</f>
        <v>2</v>
      </c>
      <c r="G88" s="11">
        <f>SUMIFS(Compras[Cantidad],Compras[Codigo],Stock[Codigo])</f>
        <v>2</v>
      </c>
      <c r="H88" s="11">
        <f>SUMIFS(Ventas[Cantidad],Ventas[Codigo],Stock[Codigo])</f>
        <v>0</v>
      </c>
      <c r="I88" s="12">
        <f>Stock[[#This Row],[Stock Deposito]]*Stock[[#This Row],[Precio de Compra]]</f>
        <v>500</v>
      </c>
      <c r="J88" s="6">
        <f>SUMIFS(ProdDesc[Cantidad],ProdDesc[Codigo],Stock[Codigo])</f>
        <v>0</v>
      </c>
      <c r="K88" s="44">
        <f>Stock[[#This Row],[Compra Cultivate]]-Stock[[#This Row],[Salidas]]-Stock[[#This Row],[Usados]]</f>
        <v>0</v>
      </c>
      <c r="L88" s="24">
        <f>Stock[[#This Row],[Stock Deposito]]*Stock[[#This Row],[Precio de Venta]]</f>
        <v>1600</v>
      </c>
      <c r="M88" s="6">
        <f>SUMIFS(Tabla9[Cantidad],Tabla9[Codigo],Stock[Codigo])</f>
        <v>0</v>
      </c>
      <c r="N88" s="24">
        <f>Stock[[#This Row],[Precio de Compra]]*Stock[[#This Row],[Stock Cultivate]]</f>
        <v>0</v>
      </c>
      <c r="O88" s="24">
        <f>Stock[[#This Row],[Stock Cultivate]]*Stock[[#This Row],[Precio de Venta]]</f>
        <v>0</v>
      </c>
      <c r="R88" s="16"/>
    </row>
    <row r="89" spans="2:18">
      <c r="B89" s="44">
        <v>844</v>
      </c>
      <c r="C89" t="s">
        <v>1041</v>
      </c>
      <c r="D89" s="45">
        <v>200</v>
      </c>
      <c r="E89" s="24">
        <v>800</v>
      </c>
      <c r="F89" s="44">
        <f>Stock[Entradas]-Stock[Compra Cultivate]</f>
        <v>4</v>
      </c>
      <c r="G89" s="11">
        <f>SUMIFS(Compras[Cantidad],Compras[Codigo],Stock[Codigo])</f>
        <v>4</v>
      </c>
      <c r="H89" s="11">
        <f>SUMIFS(Ventas[Cantidad],Ventas[Codigo],Stock[Codigo])</f>
        <v>0</v>
      </c>
      <c r="I89" s="12">
        <f>Stock[[#This Row],[Stock Deposito]]*Stock[[#This Row],[Precio de Compra]]</f>
        <v>800</v>
      </c>
      <c r="J89" s="6">
        <f>SUMIFS(ProdDesc[Cantidad],ProdDesc[Codigo],Stock[Codigo])</f>
        <v>0</v>
      </c>
      <c r="K89" s="44">
        <f>Stock[[#This Row],[Compra Cultivate]]-Stock[[#This Row],[Salidas]]-Stock[[#This Row],[Usados]]</f>
        <v>0</v>
      </c>
      <c r="L89" s="24">
        <f>Stock[[#This Row],[Stock Deposito]]*Stock[[#This Row],[Precio de Venta]]</f>
        <v>3200</v>
      </c>
      <c r="M89" s="6">
        <f>SUMIFS(Tabla9[Cantidad],Tabla9[Codigo],Stock[Codigo])</f>
        <v>0</v>
      </c>
      <c r="N89" s="24">
        <f>Stock[[#This Row],[Precio de Compra]]*Stock[[#This Row],[Stock Cultivate]]</f>
        <v>0</v>
      </c>
      <c r="O89" s="24">
        <f>Stock[[#This Row],[Stock Cultivate]]*Stock[[#This Row],[Precio de Venta]]</f>
        <v>0</v>
      </c>
      <c r="R89" s="16"/>
    </row>
    <row r="90" spans="2:18">
      <c r="B90" s="44">
        <v>843</v>
      </c>
      <c r="C90" t="s">
        <v>1040</v>
      </c>
      <c r="D90" s="45">
        <v>300</v>
      </c>
      <c r="E90" s="24">
        <v>1000</v>
      </c>
      <c r="F90" s="44">
        <f>Stock[Entradas]-Stock[Compra Cultivate]</f>
        <v>1</v>
      </c>
      <c r="G90" s="11">
        <f>SUMIFS(Compras[Cantidad],Compras[Codigo],Stock[Codigo])</f>
        <v>1</v>
      </c>
      <c r="H90" s="11">
        <f>SUMIFS(Ventas[Cantidad],Ventas[Codigo],Stock[Codigo])</f>
        <v>0</v>
      </c>
      <c r="I90" s="12">
        <f>Stock[[#This Row],[Stock Deposito]]*Stock[[#This Row],[Precio de Compra]]</f>
        <v>300</v>
      </c>
      <c r="J90" s="6">
        <f>SUMIFS(ProdDesc[Cantidad],ProdDesc[Codigo],Stock[Codigo])</f>
        <v>0</v>
      </c>
      <c r="K90" s="44">
        <f>Stock[[#This Row],[Compra Cultivate]]-Stock[[#This Row],[Salidas]]-Stock[[#This Row],[Usados]]</f>
        <v>0</v>
      </c>
      <c r="L90" s="24">
        <f>Stock[[#This Row],[Stock Deposito]]*Stock[[#This Row],[Precio de Venta]]</f>
        <v>1000</v>
      </c>
      <c r="M90" s="6">
        <f>SUMIFS(Tabla9[Cantidad],Tabla9[Codigo],Stock[Codigo])</f>
        <v>0</v>
      </c>
      <c r="N90" s="24">
        <f>Stock[[#This Row],[Precio de Compra]]*Stock[[#This Row],[Stock Cultivate]]</f>
        <v>0</v>
      </c>
      <c r="O90" s="24">
        <f>Stock[[#This Row],[Stock Cultivate]]*Stock[[#This Row],[Precio de Venta]]</f>
        <v>0</v>
      </c>
      <c r="R90" s="16"/>
    </row>
    <row r="91" spans="2:18">
      <c r="B91" s="44">
        <v>842</v>
      </c>
      <c r="C91" t="s">
        <v>1039</v>
      </c>
      <c r="D91" s="45">
        <v>520</v>
      </c>
      <c r="E91" s="24">
        <v>1500</v>
      </c>
      <c r="F91" s="44">
        <f>Stock[Entradas]-Stock[Compra Cultivate]</f>
        <v>2</v>
      </c>
      <c r="G91" s="11">
        <f>SUMIFS(Compras[Cantidad],Compras[Codigo],Stock[Codigo])</f>
        <v>2</v>
      </c>
      <c r="H91" s="11">
        <f>SUMIFS(Ventas[Cantidad],Ventas[Codigo],Stock[Codigo])</f>
        <v>0</v>
      </c>
      <c r="I91" s="12">
        <f>Stock[[#This Row],[Stock Deposito]]*Stock[[#This Row],[Precio de Compra]]</f>
        <v>1040</v>
      </c>
      <c r="J91" s="6">
        <f>SUMIFS(ProdDesc[Cantidad],ProdDesc[Codigo],Stock[Codigo])</f>
        <v>0</v>
      </c>
      <c r="K91" s="44">
        <f>Stock[[#This Row],[Compra Cultivate]]-Stock[[#This Row],[Salidas]]-Stock[[#This Row],[Usados]]</f>
        <v>0</v>
      </c>
      <c r="L91" s="24">
        <f>Stock[[#This Row],[Stock Deposito]]*Stock[[#This Row],[Precio de Venta]]</f>
        <v>3000</v>
      </c>
      <c r="M91" s="6">
        <f>SUMIFS(Tabla9[Cantidad],Tabla9[Codigo],Stock[Codigo])</f>
        <v>0</v>
      </c>
      <c r="N91" s="24">
        <f>Stock[[#This Row],[Precio de Compra]]*Stock[[#This Row],[Stock Cultivate]]</f>
        <v>0</v>
      </c>
      <c r="O91" s="24">
        <f>Stock[[#This Row],[Stock Cultivate]]*Stock[[#This Row],[Precio de Venta]]</f>
        <v>0</v>
      </c>
      <c r="R91" s="16"/>
    </row>
    <row r="92" spans="2:18">
      <c r="B92" s="44">
        <v>841</v>
      </c>
      <c r="C92" t="s">
        <v>1038</v>
      </c>
      <c r="D92" s="45">
        <v>500</v>
      </c>
      <c r="E92" s="24">
        <v>1200</v>
      </c>
      <c r="F92" s="44">
        <f>Stock[Entradas]-Stock[Compra Cultivate]</f>
        <v>2</v>
      </c>
      <c r="G92" s="11">
        <f>SUMIFS(Compras[Cantidad],Compras[Codigo],Stock[Codigo])</f>
        <v>2</v>
      </c>
      <c r="H92" s="11">
        <f>SUMIFS(Ventas[Cantidad],Ventas[Codigo],Stock[Codigo])</f>
        <v>0</v>
      </c>
      <c r="I92" s="12">
        <f>Stock[[#This Row],[Stock Deposito]]*Stock[[#This Row],[Precio de Compra]]</f>
        <v>1000</v>
      </c>
      <c r="J92" s="6">
        <f>SUMIFS(ProdDesc[Cantidad],ProdDesc[Codigo],Stock[Codigo])</f>
        <v>0</v>
      </c>
      <c r="K92" s="44">
        <f>Stock[[#This Row],[Compra Cultivate]]-Stock[[#This Row],[Salidas]]-Stock[[#This Row],[Usados]]</f>
        <v>0</v>
      </c>
      <c r="L92" s="24">
        <f>Stock[[#This Row],[Stock Deposito]]*Stock[[#This Row],[Precio de Venta]]</f>
        <v>2400</v>
      </c>
      <c r="M92" s="6">
        <f>SUMIFS(Tabla9[Cantidad],Tabla9[Codigo],Stock[Codigo])</f>
        <v>0</v>
      </c>
      <c r="N92" s="24">
        <f>Stock[[#This Row],[Precio de Compra]]*Stock[[#This Row],[Stock Cultivate]]</f>
        <v>0</v>
      </c>
      <c r="O92" s="24">
        <f>Stock[[#This Row],[Stock Cultivate]]*Stock[[#This Row],[Precio de Venta]]</f>
        <v>0</v>
      </c>
      <c r="R92" s="16"/>
    </row>
    <row r="93" spans="2:18">
      <c r="B93" s="44">
        <v>840</v>
      </c>
      <c r="C93" t="s">
        <v>1037</v>
      </c>
      <c r="D93" s="45">
        <v>500</v>
      </c>
      <c r="E93" s="24">
        <v>1200</v>
      </c>
      <c r="F93" s="44">
        <f>Stock[Entradas]-Stock[Compra Cultivate]</f>
        <v>0</v>
      </c>
      <c r="G93" s="11">
        <f>SUMIFS(Compras[Cantidad],Compras[Codigo],Stock[Codigo])</f>
        <v>2</v>
      </c>
      <c r="H93" s="11">
        <f>SUMIFS(Ventas[Cantidad],Ventas[Codigo],Stock[Codigo])</f>
        <v>0</v>
      </c>
      <c r="I93" s="12">
        <f>Stock[[#This Row],[Stock Deposito]]*Stock[[#This Row],[Precio de Compra]]</f>
        <v>0</v>
      </c>
      <c r="J93" s="6">
        <f>SUMIFS(ProdDesc[Cantidad],ProdDesc[Codigo],Stock[Codigo])</f>
        <v>0</v>
      </c>
      <c r="K93" s="44">
        <f>Stock[[#This Row],[Compra Cultivate]]-Stock[[#This Row],[Salidas]]-Stock[[#This Row],[Usados]]</f>
        <v>2</v>
      </c>
      <c r="L93" s="24">
        <f>Stock[[#This Row],[Stock Deposito]]*Stock[[#This Row],[Precio de Venta]]</f>
        <v>0</v>
      </c>
      <c r="M93" s="6">
        <f>SUMIFS(Tabla9[Cantidad],Tabla9[Codigo],Stock[Codigo])</f>
        <v>2</v>
      </c>
      <c r="N93" s="24">
        <f>Stock[[#This Row],[Precio de Compra]]*Stock[[#This Row],[Stock Cultivate]]</f>
        <v>1000</v>
      </c>
      <c r="O93" s="24">
        <f>Stock[[#This Row],[Stock Cultivate]]*Stock[[#This Row],[Precio de Venta]]</f>
        <v>2400</v>
      </c>
      <c r="R93" s="16"/>
    </row>
    <row r="94" spans="2:18">
      <c r="B94" s="44">
        <v>839</v>
      </c>
      <c r="C94" t="s">
        <v>1036</v>
      </c>
      <c r="D94" s="45">
        <v>500</v>
      </c>
      <c r="E94" s="24">
        <v>1500</v>
      </c>
      <c r="F94" s="44">
        <f>Stock[Entradas]-Stock[Compra Cultivate]</f>
        <v>1</v>
      </c>
      <c r="G94" s="11">
        <f>SUMIFS(Compras[Cantidad],Compras[Codigo],Stock[Codigo])</f>
        <v>1</v>
      </c>
      <c r="H94" s="11">
        <f>SUMIFS(Ventas[Cantidad],Ventas[Codigo],Stock[Codigo])</f>
        <v>0</v>
      </c>
      <c r="I94" s="12">
        <f>Stock[[#This Row],[Stock Deposito]]*Stock[[#This Row],[Precio de Compra]]</f>
        <v>500</v>
      </c>
      <c r="J94" s="6">
        <f>SUMIFS(ProdDesc[Cantidad],ProdDesc[Codigo],Stock[Codigo])</f>
        <v>0</v>
      </c>
      <c r="K94" s="44">
        <f>Stock[[#This Row],[Compra Cultivate]]-Stock[[#This Row],[Salidas]]-Stock[[#This Row],[Usados]]</f>
        <v>0</v>
      </c>
      <c r="L94" s="24">
        <f>Stock[[#This Row],[Stock Deposito]]*Stock[[#This Row],[Precio de Venta]]</f>
        <v>1500</v>
      </c>
      <c r="M94" s="6">
        <f>SUMIFS(Tabla9[Cantidad],Tabla9[Codigo],Stock[Codigo])</f>
        <v>0</v>
      </c>
      <c r="N94" s="24">
        <f>Stock[[#This Row],[Precio de Compra]]*Stock[[#This Row],[Stock Cultivate]]</f>
        <v>0</v>
      </c>
      <c r="O94" s="24">
        <f>Stock[[#This Row],[Stock Cultivate]]*Stock[[#This Row],[Precio de Venta]]</f>
        <v>0</v>
      </c>
      <c r="R94" s="16"/>
    </row>
    <row r="95" spans="2:18">
      <c r="B95" s="44">
        <v>838</v>
      </c>
      <c r="C95" t="s">
        <v>1035</v>
      </c>
      <c r="D95" s="45">
        <v>200</v>
      </c>
      <c r="E95" s="24">
        <v>700</v>
      </c>
      <c r="F95" s="44">
        <f>Stock[Entradas]-Stock[Compra Cultivate]</f>
        <v>0</v>
      </c>
      <c r="G95" s="11">
        <f>SUMIFS(Compras[Cantidad],Compras[Codigo],Stock[Codigo])</f>
        <v>1</v>
      </c>
      <c r="H95" s="11">
        <f>SUMIFS(Ventas[Cantidad],Ventas[Codigo],Stock[Codigo])</f>
        <v>0</v>
      </c>
      <c r="I95" s="12">
        <f>Stock[[#This Row],[Stock Deposito]]*Stock[[#This Row],[Precio de Compra]]</f>
        <v>0</v>
      </c>
      <c r="J95" s="6">
        <f>SUMIFS(ProdDesc[Cantidad],ProdDesc[Codigo],Stock[Codigo])</f>
        <v>0</v>
      </c>
      <c r="K95" s="44">
        <f>Stock[[#This Row],[Compra Cultivate]]-Stock[[#This Row],[Salidas]]-Stock[[#This Row],[Usados]]</f>
        <v>1</v>
      </c>
      <c r="L95" s="24">
        <f>Stock[[#This Row],[Stock Deposito]]*Stock[[#This Row],[Precio de Venta]]</f>
        <v>0</v>
      </c>
      <c r="M95" s="6">
        <f>SUMIFS(Tabla9[Cantidad],Tabla9[Codigo],Stock[Codigo])</f>
        <v>1</v>
      </c>
      <c r="N95" s="24">
        <f>Stock[[#This Row],[Precio de Compra]]*Stock[[#This Row],[Stock Cultivate]]</f>
        <v>200</v>
      </c>
      <c r="O95" s="24">
        <f>Stock[[#This Row],[Stock Cultivate]]*Stock[[#This Row],[Precio de Venta]]</f>
        <v>700</v>
      </c>
      <c r="R95" s="16"/>
    </row>
    <row r="96" spans="2:18">
      <c r="B96" s="44">
        <v>837</v>
      </c>
      <c r="C96" t="s">
        <v>1034</v>
      </c>
      <c r="D96" s="45">
        <v>350</v>
      </c>
      <c r="E96" s="24">
        <v>1000</v>
      </c>
      <c r="F96" s="44">
        <f>Stock[Entradas]-Stock[Compra Cultivate]</f>
        <v>0</v>
      </c>
      <c r="G96" s="11">
        <f>SUMIFS(Compras[Cantidad],Compras[Codigo],Stock[Codigo])</f>
        <v>2</v>
      </c>
      <c r="H96" s="11">
        <f>SUMIFS(Ventas[Cantidad],Ventas[Codigo],Stock[Codigo])</f>
        <v>0</v>
      </c>
      <c r="I96" s="12">
        <f>Stock[[#This Row],[Stock Deposito]]*Stock[[#This Row],[Precio de Compra]]</f>
        <v>0</v>
      </c>
      <c r="J96" s="6">
        <f>SUMIFS(ProdDesc[Cantidad],ProdDesc[Codigo],Stock[Codigo])</f>
        <v>0</v>
      </c>
      <c r="K96" s="44">
        <f>Stock[[#This Row],[Compra Cultivate]]-Stock[[#This Row],[Salidas]]-Stock[[#This Row],[Usados]]</f>
        <v>2</v>
      </c>
      <c r="L96" s="24">
        <f>Stock[[#This Row],[Stock Deposito]]*Stock[[#This Row],[Precio de Venta]]</f>
        <v>0</v>
      </c>
      <c r="M96" s="6">
        <f>SUMIFS(Tabla9[Cantidad],Tabla9[Codigo],Stock[Codigo])</f>
        <v>2</v>
      </c>
      <c r="N96" s="24">
        <f>Stock[[#This Row],[Precio de Compra]]*Stock[[#This Row],[Stock Cultivate]]</f>
        <v>700</v>
      </c>
      <c r="O96" s="24">
        <f>Stock[[#This Row],[Stock Cultivate]]*Stock[[#This Row],[Precio de Venta]]</f>
        <v>2000</v>
      </c>
      <c r="R96" s="16"/>
    </row>
    <row r="97" spans="2:18">
      <c r="B97" s="44">
        <v>836</v>
      </c>
      <c r="C97" t="s">
        <v>1033</v>
      </c>
      <c r="D97" s="45">
        <v>200</v>
      </c>
      <c r="E97" s="24">
        <v>700</v>
      </c>
      <c r="F97" s="44">
        <f>Stock[Entradas]-Stock[Compra Cultivate]</f>
        <v>1</v>
      </c>
      <c r="G97" s="11">
        <f>SUMIFS(Compras[Cantidad],Compras[Codigo],Stock[Codigo])</f>
        <v>2</v>
      </c>
      <c r="H97" s="11">
        <f>SUMIFS(Ventas[Cantidad],Ventas[Codigo],Stock[Codigo])</f>
        <v>0</v>
      </c>
      <c r="I97" s="12">
        <f>Stock[[#This Row],[Stock Deposito]]*Stock[[#This Row],[Precio de Compra]]</f>
        <v>200</v>
      </c>
      <c r="J97" s="6">
        <f>SUMIFS(ProdDesc[Cantidad],ProdDesc[Codigo],Stock[Codigo])</f>
        <v>0</v>
      </c>
      <c r="K97" s="44">
        <f>Stock[[#This Row],[Compra Cultivate]]-Stock[[#This Row],[Salidas]]-Stock[[#This Row],[Usados]]</f>
        <v>1</v>
      </c>
      <c r="L97" s="24">
        <f>Stock[[#This Row],[Stock Deposito]]*Stock[[#This Row],[Precio de Venta]]</f>
        <v>700</v>
      </c>
      <c r="M97" s="6">
        <f>SUMIFS(Tabla9[Cantidad],Tabla9[Codigo],Stock[Codigo])</f>
        <v>1</v>
      </c>
      <c r="N97" s="24">
        <f>Stock[[#This Row],[Precio de Compra]]*Stock[[#This Row],[Stock Cultivate]]</f>
        <v>200</v>
      </c>
      <c r="O97" s="24">
        <f>Stock[[#This Row],[Stock Cultivate]]*Stock[[#This Row],[Precio de Venta]]</f>
        <v>700</v>
      </c>
      <c r="R97" s="16"/>
    </row>
    <row r="98" spans="2:18">
      <c r="B98" s="44">
        <v>835</v>
      </c>
      <c r="C98" t="s">
        <v>1032</v>
      </c>
      <c r="D98" s="45">
        <v>734</v>
      </c>
      <c r="E98" s="24">
        <v>1500</v>
      </c>
      <c r="F98" s="44">
        <f>Stock[Entradas]-Stock[Compra Cultivate]</f>
        <v>1</v>
      </c>
      <c r="G98" s="11">
        <f>SUMIFS(Compras[Cantidad],Compras[Codigo],Stock[Codigo])</f>
        <v>1</v>
      </c>
      <c r="H98" s="11">
        <f>SUMIFS(Ventas[Cantidad],Ventas[Codigo],Stock[Codigo])</f>
        <v>0</v>
      </c>
      <c r="I98" s="12">
        <f>Stock[[#This Row],[Stock Deposito]]*Stock[[#This Row],[Precio de Compra]]</f>
        <v>734</v>
      </c>
      <c r="J98" s="6">
        <f>SUMIFS(ProdDesc[Cantidad],ProdDesc[Codigo],Stock[Codigo])</f>
        <v>0</v>
      </c>
      <c r="K98" s="44">
        <f>Stock[[#This Row],[Compra Cultivate]]-Stock[[#This Row],[Salidas]]-Stock[[#This Row],[Usados]]</f>
        <v>0</v>
      </c>
      <c r="L98" s="24">
        <f>Stock[[#This Row],[Stock Deposito]]*Stock[[#This Row],[Precio de Venta]]</f>
        <v>1500</v>
      </c>
      <c r="M98" s="6">
        <f>SUMIFS(Tabla9[Cantidad],Tabla9[Codigo],Stock[Codigo])</f>
        <v>0</v>
      </c>
      <c r="N98" s="24">
        <f>Stock[[#This Row],[Precio de Compra]]*Stock[[#This Row],[Stock Cultivate]]</f>
        <v>0</v>
      </c>
      <c r="O98" s="24">
        <f>Stock[[#This Row],[Stock Cultivate]]*Stock[[#This Row],[Precio de Venta]]</f>
        <v>0</v>
      </c>
      <c r="R98" s="16"/>
    </row>
    <row r="99" spans="2:18">
      <c r="B99" s="44">
        <v>834</v>
      </c>
      <c r="C99" t="s">
        <v>1031</v>
      </c>
      <c r="D99" s="45">
        <v>150</v>
      </c>
      <c r="E99" s="24">
        <v>500</v>
      </c>
      <c r="F99" s="44">
        <f>Stock[Entradas]-Stock[Compra Cultivate]</f>
        <v>1</v>
      </c>
      <c r="G99" s="11">
        <f>SUMIFS(Compras[Cantidad],Compras[Codigo],Stock[Codigo])</f>
        <v>1</v>
      </c>
      <c r="H99" s="11">
        <f>SUMIFS(Ventas[Cantidad],Ventas[Codigo],Stock[Codigo])</f>
        <v>0</v>
      </c>
      <c r="I99" s="12">
        <f>Stock[[#This Row],[Stock Deposito]]*Stock[[#This Row],[Precio de Compra]]</f>
        <v>150</v>
      </c>
      <c r="J99" s="6">
        <f>SUMIFS(ProdDesc[Cantidad],ProdDesc[Codigo],Stock[Codigo])</f>
        <v>0</v>
      </c>
      <c r="K99" s="44">
        <f>Stock[[#This Row],[Compra Cultivate]]-Stock[[#This Row],[Salidas]]-Stock[[#This Row],[Usados]]</f>
        <v>0</v>
      </c>
      <c r="L99" s="24">
        <f>Stock[[#This Row],[Stock Deposito]]*Stock[[#This Row],[Precio de Venta]]</f>
        <v>500</v>
      </c>
      <c r="M99" s="6">
        <f>SUMIFS(Tabla9[Cantidad],Tabla9[Codigo],Stock[Codigo])</f>
        <v>0</v>
      </c>
      <c r="N99" s="24">
        <f>Stock[[#This Row],[Precio de Compra]]*Stock[[#This Row],[Stock Cultivate]]</f>
        <v>0</v>
      </c>
      <c r="O99" s="24">
        <f>Stock[[#This Row],[Stock Cultivate]]*Stock[[#This Row],[Precio de Venta]]</f>
        <v>0</v>
      </c>
      <c r="R99" s="16"/>
    </row>
    <row r="100" spans="2:18">
      <c r="B100" s="44">
        <v>833</v>
      </c>
      <c r="C100" t="s">
        <v>1030</v>
      </c>
      <c r="D100" s="45">
        <v>760</v>
      </c>
      <c r="E100" s="24">
        <v>1700</v>
      </c>
      <c r="F100" s="44">
        <f>Stock[Entradas]-Stock[Compra Cultivate]</f>
        <v>1</v>
      </c>
      <c r="G100" s="11">
        <f>SUMIFS(Compras[Cantidad],Compras[Codigo],Stock[Codigo])</f>
        <v>1</v>
      </c>
      <c r="H100" s="11">
        <f>SUMIFS(Ventas[Cantidad],Ventas[Codigo],Stock[Codigo])</f>
        <v>0</v>
      </c>
      <c r="I100" s="12">
        <f>Stock[[#This Row],[Stock Deposito]]*Stock[[#This Row],[Precio de Compra]]</f>
        <v>760</v>
      </c>
      <c r="J100" s="6">
        <f>SUMIFS(ProdDesc[Cantidad],ProdDesc[Codigo],Stock[Codigo])</f>
        <v>0</v>
      </c>
      <c r="K100" s="44">
        <f>Stock[[#This Row],[Compra Cultivate]]-Stock[[#This Row],[Salidas]]-Stock[[#This Row],[Usados]]</f>
        <v>0</v>
      </c>
      <c r="L100" s="24">
        <f>Stock[[#This Row],[Stock Deposito]]*Stock[[#This Row],[Precio de Venta]]</f>
        <v>1700</v>
      </c>
      <c r="M100" s="6">
        <f>SUMIFS(Tabla9[Cantidad],Tabla9[Codigo],Stock[Codigo])</f>
        <v>0</v>
      </c>
      <c r="N100" s="24">
        <f>Stock[[#This Row],[Precio de Compra]]*Stock[[#This Row],[Stock Cultivate]]</f>
        <v>0</v>
      </c>
      <c r="O100" s="24">
        <f>Stock[[#This Row],[Stock Cultivate]]*Stock[[#This Row],[Precio de Venta]]</f>
        <v>0</v>
      </c>
      <c r="R100" s="16"/>
    </row>
    <row r="101" spans="2:18">
      <c r="B101" s="44">
        <v>832</v>
      </c>
      <c r="C101" t="s">
        <v>1029</v>
      </c>
      <c r="D101" s="45">
        <v>400</v>
      </c>
      <c r="E101" s="24">
        <v>1000</v>
      </c>
      <c r="F101" s="44">
        <f>Stock[Entradas]-Stock[Compra Cultivate]</f>
        <v>1</v>
      </c>
      <c r="G101" s="11">
        <f>SUMIFS(Compras[Cantidad],Compras[Codigo],Stock[Codigo])</f>
        <v>1</v>
      </c>
      <c r="H101" s="11">
        <f>SUMIFS(Ventas[Cantidad],Ventas[Codigo],Stock[Codigo])</f>
        <v>0</v>
      </c>
      <c r="I101" s="12">
        <f>Stock[[#This Row],[Stock Deposito]]*Stock[[#This Row],[Precio de Compra]]</f>
        <v>400</v>
      </c>
      <c r="J101" s="6">
        <f>SUMIFS(ProdDesc[Cantidad],ProdDesc[Codigo],Stock[Codigo])</f>
        <v>0</v>
      </c>
      <c r="K101" s="44">
        <f>Stock[[#This Row],[Compra Cultivate]]-Stock[[#This Row],[Salidas]]-Stock[[#This Row],[Usados]]</f>
        <v>0</v>
      </c>
      <c r="L101" s="24">
        <f>Stock[[#This Row],[Stock Deposito]]*Stock[[#This Row],[Precio de Venta]]</f>
        <v>1000</v>
      </c>
      <c r="M101" s="6">
        <f>SUMIFS(Tabla9[Cantidad],Tabla9[Codigo],Stock[Codigo])</f>
        <v>0</v>
      </c>
      <c r="N101" s="24">
        <f>Stock[[#This Row],[Precio de Compra]]*Stock[[#This Row],[Stock Cultivate]]</f>
        <v>0</v>
      </c>
      <c r="O101" s="24">
        <f>Stock[[#This Row],[Stock Cultivate]]*Stock[[#This Row],[Precio de Venta]]</f>
        <v>0</v>
      </c>
      <c r="R101" s="16"/>
    </row>
    <row r="102" spans="2:18">
      <c r="B102" s="44">
        <v>831</v>
      </c>
      <c r="C102" t="s">
        <v>1028</v>
      </c>
      <c r="D102" s="45">
        <v>500</v>
      </c>
      <c r="E102" s="24">
        <v>1200</v>
      </c>
      <c r="F102" s="44">
        <f>Stock[Entradas]-Stock[Compra Cultivate]</f>
        <v>1</v>
      </c>
      <c r="G102" s="11">
        <f>SUMIFS(Compras[Cantidad],Compras[Codigo],Stock[Codigo])</f>
        <v>1</v>
      </c>
      <c r="H102" s="11">
        <f>SUMIFS(Ventas[Cantidad],Ventas[Codigo],Stock[Codigo])</f>
        <v>0</v>
      </c>
      <c r="I102" s="12">
        <f>Stock[[#This Row],[Stock Deposito]]*Stock[[#This Row],[Precio de Compra]]</f>
        <v>500</v>
      </c>
      <c r="J102" s="6">
        <f>SUMIFS(ProdDesc[Cantidad],ProdDesc[Codigo],Stock[Codigo])</f>
        <v>0</v>
      </c>
      <c r="K102" s="44">
        <f>Stock[[#This Row],[Compra Cultivate]]-Stock[[#This Row],[Salidas]]-Stock[[#This Row],[Usados]]</f>
        <v>0</v>
      </c>
      <c r="L102" s="24">
        <f>Stock[[#This Row],[Stock Deposito]]*Stock[[#This Row],[Precio de Venta]]</f>
        <v>1200</v>
      </c>
      <c r="M102" s="6">
        <f>SUMIFS(Tabla9[Cantidad],Tabla9[Codigo],Stock[Codigo])</f>
        <v>0</v>
      </c>
      <c r="N102" s="24">
        <f>Stock[[#This Row],[Precio de Compra]]*Stock[[#This Row],[Stock Cultivate]]</f>
        <v>0</v>
      </c>
      <c r="O102" s="24">
        <f>Stock[[#This Row],[Stock Cultivate]]*Stock[[#This Row],[Precio de Venta]]</f>
        <v>0</v>
      </c>
      <c r="R102" s="16"/>
    </row>
    <row r="103" spans="2:18">
      <c r="B103" s="44">
        <v>830</v>
      </c>
      <c r="C103" t="s">
        <v>1027</v>
      </c>
      <c r="D103" s="45">
        <v>250</v>
      </c>
      <c r="E103" s="24">
        <v>600</v>
      </c>
      <c r="F103" s="44">
        <f>Stock[Entradas]-Stock[Compra Cultivate]</f>
        <v>5</v>
      </c>
      <c r="G103" s="11">
        <f>SUMIFS(Compras[Cantidad],Compras[Codigo],Stock[Codigo])</f>
        <v>5</v>
      </c>
      <c r="H103" s="11">
        <f>SUMIFS(Ventas[Cantidad],Ventas[Codigo],Stock[Codigo])</f>
        <v>0</v>
      </c>
      <c r="I103" s="12">
        <f>Stock[[#This Row],[Stock Deposito]]*Stock[[#This Row],[Precio de Compra]]</f>
        <v>1250</v>
      </c>
      <c r="J103" s="6">
        <f>SUMIFS(ProdDesc[Cantidad],ProdDesc[Codigo],Stock[Codigo])</f>
        <v>0</v>
      </c>
      <c r="K103" s="44">
        <f>Stock[[#This Row],[Compra Cultivate]]-Stock[[#This Row],[Salidas]]-Stock[[#This Row],[Usados]]</f>
        <v>0</v>
      </c>
      <c r="L103" s="24">
        <f>Stock[[#This Row],[Stock Deposito]]*Stock[[#This Row],[Precio de Venta]]</f>
        <v>3000</v>
      </c>
      <c r="M103" s="6">
        <f>SUMIFS(Tabla9[Cantidad],Tabla9[Codigo],Stock[Codigo])</f>
        <v>0</v>
      </c>
      <c r="N103" s="24">
        <f>Stock[[#This Row],[Precio de Compra]]*Stock[[#This Row],[Stock Cultivate]]</f>
        <v>0</v>
      </c>
      <c r="O103" s="24">
        <f>Stock[[#This Row],[Stock Cultivate]]*Stock[[#This Row],[Precio de Venta]]</f>
        <v>0</v>
      </c>
      <c r="R103" s="16"/>
    </row>
    <row r="104" spans="2:18">
      <c r="B104" s="44">
        <v>829</v>
      </c>
      <c r="C104" t="s">
        <v>1026</v>
      </c>
      <c r="D104" s="45">
        <v>523</v>
      </c>
      <c r="E104" s="24">
        <v>1100</v>
      </c>
      <c r="F104" s="44">
        <f>Stock[Entradas]-Stock[Compra Cultivate]</f>
        <v>9</v>
      </c>
      <c r="G104" s="11">
        <f>SUMIFS(Compras[Cantidad],Compras[Codigo],Stock[Codigo])</f>
        <v>9</v>
      </c>
      <c r="H104" s="11">
        <f>SUMIFS(Ventas[Cantidad],Ventas[Codigo],Stock[Codigo])</f>
        <v>0</v>
      </c>
      <c r="I104" s="12">
        <f>Stock[[#This Row],[Stock Deposito]]*Stock[[#This Row],[Precio de Compra]]</f>
        <v>4707</v>
      </c>
      <c r="J104" s="6">
        <f>SUMIFS(ProdDesc[Cantidad],ProdDesc[Codigo],Stock[Codigo])</f>
        <v>0</v>
      </c>
      <c r="K104" s="44">
        <f>Stock[[#This Row],[Compra Cultivate]]-Stock[[#This Row],[Salidas]]-Stock[[#This Row],[Usados]]</f>
        <v>0</v>
      </c>
      <c r="L104" s="24">
        <f>Stock[[#This Row],[Stock Deposito]]*Stock[[#This Row],[Precio de Venta]]</f>
        <v>9900</v>
      </c>
      <c r="M104" s="6">
        <f>SUMIFS(Tabla9[Cantidad],Tabla9[Codigo],Stock[Codigo])</f>
        <v>0</v>
      </c>
      <c r="N104" s="24">
        <f>Stock[[#This Row],[Precio de Compra]]*Stock[[#This Row],[Stock Cultivate]]</f>
        <v>0</v>
      </c>
      <c r="O104" s="24">
        <f>Stock[[#This Row],[Stock Cultivate]]*Stock[[#This Row],[Precio de Venta]]</f>
        <v>0</v>
      </c>
      <c r="R104" s="16"/>
    </row>
    <row r="105" spans="2:18">
      <c r="B105" s="44">
        <v>828</v>
      </c>
      <c r="C105" t="s">
        <v>1025</v>
      </c>
      <c r="D105" s="45">
        <v>468</v>
      </c>
      <c r="E105" s="24">
        <v>900</v>
      </c>
      <c r="F105" s="44">
        <f>Stock[Entradas]-Stock[Compra Cultivate]</f>
        <v>8</v>
      </c>
      <c r="G105" s="11">
        <f>SUMIFS(Compras[Cantidad],Compras[Codigo],Stock[Codigo])</f>
        <v>8</v>
      </c>
      <c r="H105" s="11">
        <f>SUMIFS(Ventas[Cantidad],Ventas[Codigo],Stock[Codigo])</f>
        <v>0</v>
      </c>
      <c r="I105" s="12">
        <f>Stock[[#This Row],[Stock Deposito]]*Stock[[#This Row],[Precio de Compra]]</f>
        <v>3744</v>
      </c>
      <c r="J105" s="6">
        <f>SUMIFS(ProdDesc[Cantidad],ProdDesc[Codigo],Stock[Codigo])</f>
        <v>0</v>
      </c>
      <c r="K105" s="44">
        <f>Stock[[#This Row],[Compra Cultivate]]-Stock[[#This Row],[Salidas]]-Stock[[#This Row],[Usados]]</f>
        <v>0</v>
      </c>
      <c r="L105" s="24">
        <f>Stock[[#This Row],[Stock Deposito]]*Stock[[#This Row],[Precio de Venta]]</f>
        <v>7200</v>
      </c>
      <c r="M105" s="6">
        <f>SUMIFS(Tabla9[Cantidad],Tabla9[Codigo],Stock[Codigo])</f>
        <v>0</v>
      </c>
      <c r="N105" s="24">
        <f>Stock[[#This Row],[Precio de Compra]]*Stock[[#This Row],[Stock Cultivate]]</f>
        <v>0</v>
      </c>
      <c r="O105" s="24">
        <f>Stock[[#This Row],[Stock Cultivate]]*Stock[[#This Row],[Precio de Venta]]</f>
        <v>0</v>
      </c>
      <c r="R105" s="16"/>
    </row>
    <row r="106" spans="2:18">
      <c r="B106" s="44">
        <v>827</v>
      </c>
      <c r="C106" t="s">
        <v>1024</v>
      </c>
      <c r="D106" s="45">
        <v>1081</v>
      </c>
      <c r="E106" s="24">
        <v>2200</v>
      </c>
      <c r="F106" s="44">
        <f>Stock[Entradas]-Stock[Compra Cultivate]</f>
        <v>2</v>
      </c>
      <c r="G106" s="11">
        <f>SUMIFS(Compras[Cantidad],Compras[Codigo],Stock[Codigo])</f>
        <v>2</v>
      </c>
      <c r="H106" s="11">
        <f>SUMIFS(Ventas[Cantidad],Ventas[Codigo],Stock[Codigo])</f>
        <v>0</v>
      </c>
      <c r="I106" s="12">
        <f>Stock[[#This Row],[Stock Deposito]]*Stock[[#This Row],[Precio de Compra]]</f>
        <v>2162</v>
      </c>
      <c r="J106" s="6">
        <f>SUMIFS(ProdDesc[Cantidad],ProdDesc[Codigo],Stock[Codigo])</f>
        <v>0</v>
      </c>
      <c r="K106" s="44">
        <f>Stock[[#This Row],[Compra Cultivate]]-Stock[[#This Row],[Salidas]]-Stock[[#This Row],[Usados]]</f>
        <v>0</v>
      </c>
      <c r="L106" s="24">
        <f>Stock[[#This Row],[Stock Deposito]]*Stock[[#This Row],[Precio de Venta]]</f>
        <v>4400</v>
      </c>
      <c r="M106" s="6">
        <f>SUMIFS(Tabla9[Cantidad],Tabla9[Codigo],Stock[Codigo])</f>
        <v>0</v>
      </c>
      <c r="N106" s="24">
        <f>Stock[[#This Row],[Precio de Compra]]*Stock[[#This Row],[Stock Cultivate]]</f>
        <v>0</v>
      </c>
      <c r="O106" s="24">
        <f>Stock[[#This Row],[Stock Cultivate]]*Stock[[#This Row],[Precio de Venta]]</f>
        <v>0</v>
      </c>
      <c r="R106" s="16"/>
    </row>
    <row r="107" spans="2:18">
      <c r="B107" s="44">
        <v>826</v>
      </c>
      <c r="C107" t="s">
        <v>1023</v>
      </c>
      <c r="D107" s="45">
        <v>180</v>
      </c>
      <c r="E107" s="24">
        <v>700</v>
      </c>
      <c r="F107" s="44">
        <f>Stock[Entradas]-Stock[Compra Cultivate]</f>
        <v>3</v>
      </c>
      <c r="G107" s="11">
        <f>SUMIFS(Compras[Cantidad],Compras[Codigo],Stock[Codigo])</f>
        <v>7</v>
      </c>
      <c r="H107" s="11">
        <f>SUMIFS(Ventas[Cantidad],Ventas[Codigo],Stock[Codigo])</f>
        <v>0</v>
      </c>
      <c r="I107" s="12">
        <f>Stock[[#This Row],[Stock Deposito]]*Stock[[#This Row],[Precio de Compra]]</f>
        <v>540</v>
      </c>
      <c r="J107" s="6">
        <f>SUMIFS(ProdDesc[Cantidad],ProdDesc[Codigo],Stock[Codigo])</f>
        <v>0</v>
      </c>
      <c r="K107" s="44">
        <f>Stock[[#This Row],[Compra Cultivate]]-Stock[[#This Row],[Salidas]]-Stock[[#This Row],[Usados]]</f>
        <v>4</v>
      </c>
      <c r="L107" s="24">
        <f>Stock[[#This Row],[Stock Deposito]]*Stock[[#This Row],[Precio de Venta]]</f>
        <v>2100</v>
      </c>
      <c r="M107" s="6">
        <f>SUMIFS(Tabla9[Cantidad],Tabla9[Codigo],Stock[Codigo])</f>
        <v>4</v>
      </c>
      <c r="N107" s="24">
        <f>Stock[[#This Row],[Precio de Compra]]*Stock[[#This Row],[Stock Cultivate]]</f>
        <v>720</v>
      </c>
      <c r="O107" s="24">
        <f>Stock[[#This Row],[Stock Cultivate]]*Stock[[#This Row],[Precio de Venta]]</f>
        <v>2800</v>
      </c>
      <c r="R107" s="16"/>
    </row>
    <row r="108" spans="2:18">
      <c r="B108" s="44">
        <v>825</v>
      </c>
      <c r="C108" t="s">
        <v>1022</v>
      </c>
      <c r="D108" s="45">
        <v>250</v>
      </c>
      <c r="E108" s="24">
        <v>2500</v>
      </c>
      <c r="F108" s="44">
        <f>Stock[Entradas]-Stock[Compra Cultivate]</f>
        <v>2</v>
      </c>
      <c r="G108" s="11">
        <f>SUMIFS(Compras[Cantidad],Compras[Codigo],Stock[Codigo])</f>
        <v>2</v>
      </c>
      <c r="H108" s="11">
        <f>SUMIFS(Ventas[Cantidad],Ventas[Codigo],Stock[Codigo])</f>
        <v>0</v>
      </c>
      <c r="I108" s="12">
        <f>Stock[[#This Row],[Stock Deposito]]*Stock[[#This Row],[Precio de Compra]]</f>
        <v>500</v>
      </c>
      <c r="J108" s="6">
        <f>SUMIFS(ProdDesc[Cantidad],ProdDesc[Codigo],Stock[Codigo])</f>
        <v>0</v>
      </c>
      <c r="K108" s="44">
        <f>Stock[[#This Row],[Compra Cultivate]]-Stock[[#This Row],[Salidas]]-Stock[[#This Row],[Usados]]</f>
        <v>0</v>
      </c>
      <c r="L108" s="24">
        <f>Stock[[#This Row],[Stock Deposito]]*Stock[[#This Row],[Precio de Venta]]</f>
        <v>5000</v>
      </c>
      <c r="M108" s="6">
        <f>SUMIFS(Tabla9[Cantidad],Tabla9[Codigo],Stock[Codigo])</f>
        <v>0</v>
      </c>
      <c r="N108" s="24">
        <f>Stock[[#This Row],[Precio de Compra]]*Stock[[#This Row],[Stock Cultivate]]</f>
        <v>0</v>
      </c>
      <c r="O108" s="24">
        <f>Stock[[#This Row],[Stock Cultivate]]*Stock[[#This Row],[Precio de Venta]]</f>
        <v>0</v>
      </c>
      <c r="R108" s="16"/>
    </row>
    <row r="109" spans="2:18">
      <c r="B109" s="44">
        <v>824</v>
      </c>
      <c r="C109" t="s">
        <v>1021</v>
      </c>
      <c r="D109" s="45">
        <v>2300</v>
      </c>
      <c r="E109" s="24">
        <v>6000</v>
      </c>
      <c r="F109" s="44">
        <f>Stock[Entradas]-Stock[Compra Cultivate]</f>
        <v>1</v>
      </c>
      <c r="G109" s="11">
        <f>SUMIFS(Compras[Cantidad],Compras[Codigo],Stock[Codigo])</f>
        <v>1</v>
      </c>
      <c r="H109" s="11">
        <f>SUMIFS(Ventas[Cantidad],Ventas[Codigo],Stock[Codigo])</f>
        <v>0</v>
      </c>
      <c r="I109" s="12">
        <f>Stock[[#This Row],[Stock Deposito]]*Stock[[#This Row],[Precio de Compra]]</f>
        <v>2300</v>
      </c>
      <c r="J109" s="6">
        <f>SUMIFS(ProdDesc[Cantidad],ProdDesc[Codigo],Stock[Codigo])</f>
        <v>0</v>
      </c>
      <c r="K109" s="44">
        <f>Stock[[#This Row],[Compra Cultivate]]-Stock[[#This Row],[Salidas]]-Stock[[#This Row],[Usados]]</f>
        <v>0</v>
      </c>
      <c r="L109" s="24">
        <f>Stock[[#This Row],[Stock Deposito]]*Stock[[#This Row],[Precio de Venta]]</f>
        <v>6000</v>
      </c>
      <c r="M109" s="6">
        <f>SUMIFS(Tabla9[Cantidad],Tabla9[Codigo],Stock[Codigo])</f>
        <v>0</v>
      </c>
      <c r="N109" s="24">
        <f>Stock[[#This Row],[Precio de Compra]]*Stock[[#This Row],[Stock Cultivate]]</f>
        <v>0</v>
      </c>
      <c r="O109" s="24">
        <f>Stock[[#This Row],[Stock Cultivate]]*Stock[[#This Row],[Precio de Venta]]</f>
        <v>0</v>
      </c>
      <c r="R109" s="16"/>
    </row>
    <row r="110" spans="2:18">
      <c r="B110" s="44">
        <v>823</v>
      </c>
      <c r="C110" t="s">
        <v>1020</v>
      </c>
      <c r="D110" s="45">
        <v>2250</v>
      </c>
      <c r="E110" s="24">
        <v>4500</v>
      </c>
      <c r="F110" s="44">
        <f>Stock[Entradas]-Stock[Compra Cultivate]</f>
        <v>3</v>
      </c>
      <c r="G110" s="11">
        <f>SUMIFS(Compras[Cantidad],Compras[Codigo],Stock[Codigo])</f>
        <v>3</v>
      </c>
      <c r="H110" s="11">
        <f>SUMIFS(Ventas[Cantidad],Ventas[Codigo],Stock[Codigo])</f>
        <v>0</v>
      </c>
      <c r="I110" s="12">
        <f>Stock[[#This Row],[Stock Deposito]]*Stock[[#This Row],[Precio de Compra]]</f>
        <v>6750</v>
      </c>
      <c r="J110" s="6">
        <f>SUMIFS(ProdDesc[Cantidad],ProdDesc[Codigo],Stock[Codigo])</f>
        <v>0</v>
      </c>
      <c r="K110" s="44">
        <f>Stock[[#This Row],[Compra Cultivate]]-Stock[[#This Row],[Salidas]]-Stock[[#This Row],[Usados]]</f>
        <v>0</v>
      </c>
      <c r="L110" s="24">
        <f>Stock[[#This Row],[Stock Deposito]]*Stock[[#This Row],[Precio de Venta]]</f>
        <v>13500</v>
      </c>
      <c r="M110" s="6">
        <f>SUMIFS(Tabla9[Cantidad],Tabla9[Codigo],Stock[Codigo])</f>
        <v>0</v>
      </c>
      <c r="N110" s="24">
        <f>Stock[[#This Row],[Precio de Compra]]*Stock[[#This Row],[Stock Cultivate]]</f>
        <v>0</v>
      </c>
      <c r="O110" s="24">
        <f>Stock[[#This Row],[Stock Cultivate]]*Stock[[#This Row],[Precio de Venta]]</f>
        <v>0</v>
      </c>
      <c r="R110" s="16"/>
    </row>
    <row r="111" spans="2:18">
      <c r="B111" s="44">
        <v>822</v>
      </c>
      <c r="C111" t="s">
        <v>1019</v>
      </c>
      <c r="D111" s="45">
        <v>3000</v>
      </c>
      <c r="E111" s="24">
        <v>8000</v>
      </c>
      <c r="F111" s="44">
        <f>Stock[Entradas]-Stock[Compra Cultivate]</f>
        <v>0</v>
      </c>
      <c r="G111" s="11">
        <f>SUMIFS(Compras[Cantidad],Compras[Codigo],Stock[Codigo])</f>
        <v>1</v>
      </c>
      <c r="H111" s="11">
        <f>SUMIFS(Ventas[Cantidad],Ventas[Codigo],Stock[Codigo])</f>
        <v>0</v>
      </c>
      <c r="I111" s="12">
        <f>Stock[[#This Row],[Stock Deposito]]*Stock[[#This Row],[Precio de Compra]]</f>
        <v>0</v>
      </c>
      <c r="J111" s="6">
        <f>SUMIFS(ProdDesc[Cantidad],ProdDesc[Codigo],Stock[Codigo])</f>
        <v>0</v>
      </c>
      <c r="K111" s="44">
        <f>Stock[[#This Row],[Compra Cultivate]]-Stock[[#This Row],[Salidas]]-Stock[[#This Row],[Usados]]</f>
        <v>1</v>
      </c>
      <c r="L111" s="24">
        <f>Stock[[#This Row],[Stock Deposito]]*Stock[[#This Row],[Precio de Venta]]</f>
        <v>0</v>
      </c>
      <c r="M111" s="6">
        <f>SUMIFS(Tabla9[Cantidad],Tabla9[Codigo],Stock[Codigo])</f>
        <v>1</v>
      </c>
      <c r="N111" s="24">
        <f>Stock[[#This Row],[Precio de Compra]]*Stock[[#This Row],[Stock Cultivate]]</f>
        <v>3000</v>
      </c>
      <c r="O111" s="24">
        <f>Stock[[#This Row],[Stock Cultivate]]*Stock[[#This Row],[Precio de Venta]]</f>
        <v>8000</v>
      </c>
      <c r="R111" s="16"/>
    </row>
    <row r="112" spans="2:18">
      <c r="B112" s="44">
        <v>821</v>
      </c>
      <c r="C112" t="s">
        <v>1018</v>
      </c>
      <c r="D112" s="45">
        <v>200</v>
      </c>
      <c r="E112" s="24">
        <v>700</v>
      </c>
      <c r="F112" s="44">
        <f>Stock[Entradas]-Stock[Compra Cultivate]</f>
        <v>2</v>
      </c>
      <c r="G112" s="11">
        <f>SUMIFS(Compras[Cantidad],Compras[Codigo],Stock[Codigo])</f>
        <v>2</v>
      </c>
      <c r="H112" s="11">
        <f>SUMIFS(Ventas[Cantidad],Ventas[Codigo],Stock[Codigo])</f>
        <v>0</v>
      </c>
      <c r="I112" s="12">
        <f>Stock[[#This Row],[Stock Deposito]]*Stock[[#This Row],[Precio de Compra]]</f>
        <v>400</v>
      </c>
      <c r="J112" s="6">
        <f>SUMIFS(ProdDesc[Cantidad],ProdDesc[Codigo],Stock[Codigo])</f>
        <v>0</v>
      </c>
      <c r="K112" s="44">
        <f>Stock[[#This Row],[Compra Cultivate]]-Stock[[#This Row],[Salidas]]-Stock[[#This Row],[Usados]]</f>
        <v>0</v>
      </c>
      <c r="L112" s="24">
        <f>Stock[[#This Row],[Stock Deposito]]*Stock[[#This Row],[Precio de Venta]]</f>
        <v>1400</v>
      </c>
      <c r="M112" s="6">
        <f>SUMIFS(Tabla9[Cantidad],Tabla9[Codigo],Stock[Codigo])</f>
        <v>0</v>
      </c>
      <c r="N112" s="24">
        <f>Stock[[#This Row],[Precio de Compra]]*Stock[[#This Row],[Stock Cultivate]]</f>
        <v>0</v>
      </c>
      <c r="O112" s="24">
        <f>Stock[[#This Row],[Stock Cultivate]]*Stock[[#This Row],[Precio de Venta]]</f>
        <v>0</v>
      </c>
      <c r="R112" s="16"/>
    </row>
    <row r="113" spans="2:18">
      <c r="B113" s="44">
        <v>820</v>
      </c>
      <c r="C113" t="s">
        <v>1017</v>
      </c>
      <c r="D113" s="45">
        <v>250</v>
      </c>
      <c r="E113" s="24">
        <v>800</v>
      </c>
      <c r="F113" s="44">
        <f>Stock[Entradas]-Stock[Compra Cultivate]</f>
        <v>1</v>
      </c>
      <c r="G113" s="11">
        <f>SUMIFS(Compras[Cantidad],Compras[Codigo],Stock[Codigo])</f>
        <v>1</v>
      </c>
      <c r="H113" s="11">
        <f>SUMIFS(Ventas[Cantidad],Ventas[Codigo],Stock[Codigo])</f>
        <v>0</v>
      </c>
      <c r="I113" s="12">
        <f>Stock[[#This Row],[Stock Deposito]]*Stock[[#This Row],[Precio de Compra]]</f>
        <v>250</v>
      </c>
      <c r="J113" s="6">
        <f>SUMIFS(ProdDesc[Cantidad],ProdDesc[Codigo],Stock[Codigo])</f>
        <v>0</v>
      </c>
      <c r="K113" s="44">
        <f>Stock[[#This Row],[Compra Cultivate]]-Stock[[#This Row],[Salidas]]-Stock[[#This Row],[Usados]]</f>
        <v>0</v>
      </c>
      <c r="L113" s="24">
        <f>Stock[[#This Row],[Stock Deposito]]*Stock[[#This Row],[Precio de Venta]]</f>
        <v>800</v>
      </c>
      <c r="M113" s="6">
        <f>SUMIFS(Tabla9[Cantidad],Tabla9[Codigo],Stock[Codigo])</f>
        <v>0</v>
      </c>
      <c r="N113" s="24">
        <f>Stock[[#This Row],[Precio de Compra]]*Stock[[#This Row],[Stock Cultivate]]</f>
        <v>0</v>
      </c>
      <c r="O113" s="24">
        <f>Stock[[#This Row],[Stock Cultivate]]*Stock[[#This Row],[Precio de Venta]]</f>
        <v>0</v>
      </c>
      <c r="R113" s="16"/>
    </row>
    <row r="114" spans="2:18">
      <c r="B114" s="44">
        <v>819</v>
      </c>
      <c r="C114" t="s">
        <v>1016</v>
      </c>
      <c r="D114" s="45">
        <v>100</v>
      </c>
      <c r="E114" s="24">
        <v>500</v>
      </c>
      <c r="F114" s="44">
        <f>Stock[Entradas]-Stock[Compra Cultivate]</f>
        <v>4</v>
      </c>
      <c r="G114" s="11">
        <f>SUMIFS(Compras[Cantidad],Compras[Codigo],Stock[Codigo])</f>
        <v>4</v>
      </c>
      <c r="H114" s="11">
        <f>SUMIFS(Ventas[Cantidad],Ventas[Codigo],Stock[Codigo])</f>
        <v>0</v>
      </c>
      <c r="I114" s="12">
        <f>Stock[[#This Row],[Stock Deposito]]*Stock[[#This Row],[Precio de Compra]]</f>
        <v>400</v>
      </c>
      <c r="J114" s="6">
        <f>SUMIFS(ProdDesc[Cantidad],ProdDesc[Codigo],Stock[Codigo])</f>
        <v>0</v>
      </c>
      <c r="K114" s="44">
        <f>Stock[[#This Row],[Compra Cultivate]]-Stock[[#This Row],[Salidas]]-Stock[[#This Row],[Usados]]</f>
        <v>0</v>
      </c>
      <c r="L114" s="24">
        <f>Stock[[#This Row],[Stock Deposito]]*Stock[[#This Row],[Precio de Venta]]</f>
        <v>2000</v>
      </c>
      <c r="M114" s="6">
        <f>SUMIFS(Tabla9[Cantidad],Tabla9[Codigo],Stock[Codigo])</f>
        <v>0</v>
      </c>
      <c r="N114" s="24">
        <f>Stock[[#This Row],[Precio de Compra]]*Stock[[#This Row],[Stock Cultivate]]</f>
        <v>0</v>
      </c>
      <c r="O114" s="24">
        <f>Stock[[#This Row],[Stock Cultivate]]*Stock[[#This Row],[Precio de Venta]]</f>
        <v>0</v>
      </c>
      <c r="R114" s="16"/>
    </row>
    <row r="115" spans="2:18">
      <c r="B115" s="44">
        <v>818</v>
      </c>
      <c r="C115" t="s">
        <v>1015</v>
      </c>
      <c r="D115" s="45">
        <v>200</v>
      </c>
      <c r="E115" s="24">
        <v>700</v>
      </c>
      <c r="F115" s="44">
        <f>Stock[Entradas]-Stock[Compra Cultivate]</f>
        <v>4</v>
      </c>
      <c r="G115" s="11">
        <f>SUMIFS(Compras[Cantidad],Compras[Codigo],Stock[Codigo])</f>
        <v>4</v>
      </c>
      <c r="H115" s="11">
        <f>SUMIFS(Ventas[Cantidad],Ventas[Codigo],Stock[Codigo])</f>
        <v>0</v>
      </c>
      <c r="I115" s="12">
        <f>Stock[[#This Row],[Stock Deposito]]*Stock[[#This Row],[Precio de Compra]]</f>
        <v>800</v>
      </c>
      <c r="J115" s="6">
        <f>SUMIFS(ProdDesc[Cantidad],ProdDesc[Codigo],Stock[Codigo])</f>
        <v>0</v>
      </c>
      <c r="K115" s="44">
        <f>Stock[[#This Row],[Compra Cultivate]]-Stock[[#This Row],[Salidas]]-Stock[[#This Row],[Usados]]</f>
        <v>0</v>
      </c>
      <c r="L115" s="24">
        <f>Stock[[#This Row],[Stock Deposito]]*Stock[[#This Row],[Precio de Venta]]</f>
        <v>2800</v>
      </c>
      <c r="M115" s="6">
        <f>SUMIFS(Tabla9[Cantidad],Tabla9[Codigo],Stock[Codigo])</f>
        <v>0</v>
      </c>
      <c r="N115" s="24">
        <f>Stock[[#This Row],[Precio de Compra]]*Stock[[#This Row],[Stock Cultivate]]</f>
        <v>0</v>
      </c>
      <c r="O115" s="24">
        <f>Stock[[#This Row],[Stock Cultivate]]*Stock[[#This Row],[Precio de Venta]]</f>
        <v>0</v>
      </c>
      <c r="R115" s="16"/>
    </row>
    <row r="116" spans="2:18">
      <c r="B116" s="44">
        <v>817</v>
      </c>
      <c r="C116" t="s">
        <v>1014</v>
      </c>
      <c r="D116" s="45">
        <v>400</v>
      </c>
      <c r="E116" s="24">
        <v>2000</v>
      </c>
      <c r="F116" s="44">
        <f>Stock[Entradas]-Stock[Compra Cultivate]</f>
        <v>4</v>
      </c>
      <c r="G116" s="11">
        <f>SUMIFS(Compras[Cantidad],Compras[Codigo],Stock[Codigo])</f>
        <v>4</v>
      </c>
      <c r="H116" s="11">
        <f>SUMIFS(Ventas[Cantidad],Ventas[Codigo],Stock[Codigo])</f>
        <v>0</v>
      </c>
      <c r="I116" s="12">
        <f>Stock[[#This Row],[Stock Deposito]]*Stock[[#This Row],[Precio de Compra]]</f>
        <v>1600</v>
      </c>
      <c r="J116" s="6">
        <f>SUMIFS(ProdDesc[Cantidad],ProdDesc[Codigo],Stock[Codigo])</f>
        <v>0</v>
      </c>
      <c r="K116" s="44">
        <f>Stock[[#This Row],[Compra Cultivate]]-Stock[[#This Row],[Salidas]]-Stock[[#This Row],[Usados]]</f>
        <v>0</v>
      </c>
      <c r="L116" s="24">
        <f>Stock[[#This Row],[Stock Deposito]]*Stock[[#This Row],[Precio de Venta]]</f>
        <v>8000</v>
      </c>
      <c r="M116" s="6">
        <f>SUMIFS(Tabla9[Cantidad],Tabla9[Codigo],Stock[Codigo])</f>
        <v>0</v>
      </c>
      <c r="N116" s="24">
        <f>Stock[[#This Row],[Precio de Compra]]*Stock[[#This Row],[Stock Cultivate]]</f>
        <v>0</v>
      </c>
      <c r="O116" s="24">
        <f>Stock[[#This Row],[Stock Cultivate]]*Stock[[#This Row],[Precio de Venta]]</f>
        <v>0</v>
      </c>
      <c r="R116" s="16"/>
    </row>
    <row r="117" spans="2:18">
      <c r="B117" s="44">
        <v>816</v>
      </c>
      <c r="C117" t="s">
        <v>1013</v>
      </c>
      <c r="D117" s="45">
        <v>370</v>
      </c>
      <c r="E117" s="24">
        <v>1100</v>
      </c>
      <c r="F117" s="44">
        <f>Stock[Entradas]-Stock[Compra Cultivate]</f>
        <v>0</v>
      </c>
      <c r="G117" s="11">
        <f>SUMIFS(Compras[Cantidad],Compras[Codigo],Stock[Codigo])</f>
        <v>2</v>
      </c>
      <c r="H117" s="11">
        <f>SUMIFS(Ventas[Cantidad],Ventas[Codigo],Stock[Codigo])</f>
        <v>0</v>
      </c>
      <c r="I117" s="12">
        <f>Stock[[#This Row],[Stock Deposito]]*Stock[[#This Row],[Precio de Compra]]</f>
        <v>0</v>
      </c>
      <c r="J117" s="6">
        <f>SUMIFS(ProdDesc[Cantidad],ProdDesc[Codigo],Stock[Codigo])</f>
        <v>0</v>
      </c>
      <c r="K117" s="44">
        <f>Stock[[#This Row],[Compra Cultivate]]-Stock[[#This Row],[Salidas]]-Stock[[#This Row],[Usados]]</f>
        <v>2</v>
      </c>
      <c r="L117" s="24">
        <f>Stock[[#This Row],[Stock Deposito]]*Stock[[#This Row],[Precio de Venta]]</f>
        <v>0</v>
      </c>
      <c r="M117" s="6">
        <f>SUMIFS(Tabla9[Cantidad],Tabla9[Codigo],Stock[Codigo])</f>
        <v>2</v>
      </c>
      <c r="N117" s="24">
        <f>Stock[[#This Row],[Precio de Compra]]*Stock[[#This Row],[Stock Cultivate]]</f>
        <v>740</v>
      </c>
      <c r="O117" s="24">
        <f>Stock[[#This Row],[Stock Cultivate]]*Stock[[#This Row],[Precio de Venta]]</f>
        <v>2200</v>
      </c>
      <c r="R117" s="16"/>
    </row>
    <row r="118" spans="2:18">
      <c r="B118" s="44">
        <v>815</v>
      </c>
      <c r="C118" t="s">
        <v>1012</v>
      </c>
      <c r="D118" s="45">
        <v>220</v>
      </c>
      <c r="E118" s="24">
        <v>700</v>
      </c>
      <c r="F118" s="44">
        <f>Stock[Entradas]-Stock[Compra Cultivate]</f>
        <v>0</v>
      </c>
      <c r="G118" s="11">
        <f>SUMIFS(Compras[Cantidad],Compras[Codigo],Stock[Codigo])</f>
        <v>3</v>
      </c>
      <c r="H118" s="11">
        <f>SUMIFS(Ventas[Cantidad],Ventas[Codigo],Stock[Codigo])</f>
        <v>0</v>
      </c>
      <c r="I118" s="12">
        <f>Stock[[#This Row],[Stock Deposito]]*Stock[[#This Row],[Precio de Compra]]</f>
        <v>0</v>
      </c>
      <c r="J118" s="6">
        <f>SUMIFS(ProdDesc[Cantidad],ProdDesc[Codigo],Stock[Codigo])</f>
        <v>0</v>
      </c>
      <c r="K118" s="44">
        <f>Stock[[#This Row],[Compra Cultivate]]-Stock[[#This Row],[Salidas]]-Stock[[#This Row],[Usados]]</f>
        <v>3</v>
      </c>
      <c r="L118" s="24">
        <f>Stock[[#This Row],[Stock Deposito]]*Stock[[#This Row],[Precio de Venta]]</f>
        <v>0</v>
      </c>
      <c r="M118" s="6">
        <f>SUMIFS(Tabla9[Cantidad],Tabla9[Codigo],Stock[Codigo])</f>
        <v>3</v>
      </c>
      <c r="N118" s="24">
        <f>Stock[[#This Row],[Precio de Compra]]*Stock[[#This Row],[Stock Cultivate]]</f>
        <v>660</v>
      </c>
      <c r="O118" s="24">
        <f>Stock[[#This Row],[Stock Cultivate]]*Stock[[#This Row],[Precio de Venta]]</f>
        <v>2100</v>
      </c>
      <c r="R118" s="16"/>
    </row>
    <row r="119" spans="2:18">
      <c r="B119" s="44">
        <v>814</v>
      </c>
      <c r="C119" t="s">
        <v>1011</v>
      </c>
      <c r="D119" s="45">
        <v>200</v>
      </c>
      <c r="E119" s="24">
        <v>600</v>
      </c>
      <c r="F119" s="44">
        <f>Stock[Entradas]-Stock[Compra Cultivate]</f>
        <v>0</v>
      </c>
      <c r="G119" s="11">
        <f>SUMIFS(Compras[Cantidad],Compras[Codigo],Stock[Codigo])</f>
        <v>4</v>
      </c>
      <c r="H119" s="11">
        <f>SUMIFS(Ventas[Cantidad],Ventas[Codigo],Stock[Codigo])</f>
        <v>0</v>
      </c>
      <c r="I119" s="12">
        <f>Stock[[#This Row],[Stock Deposito]]*Stock[[#This Row],[Precio de Compra]]</f>
        <v>0</v>
      </c>
      <c r="J119" s="6">
        <f>SUMIFS(ProdDesc[Cantidad],ProdDesc[Codigo],Stock[Codigo])</f>
        <v>0</v>
      </c>
      <c r="K119" s="44">
        <f>Stock[[#This Row],[Compra Cultivate]]-Stock[[#This Row],[Salidas]]-Stock[[#This Row],[Usados]]</f>
        <v>4</v>
      </c>
      <c r="L119" s="24">
        <f>Stock[[#This Row],[Stock Deposito]]*Stock[[#This Row],[Precio de Venta]]</f>
        <v>0</v>
      </c>
      <c r="M119" s="6">
        <f>SUMIFS(Tabla9[Cantidad],Tabla9[Codigo],Stock[Codigo])</f>
        <v>4</v>
      </c>
      <c r="N119" s="24">
        <f>Stock[[#This Row],[Precio de Compra]]*Stock[[#This Row],[Stock Cultivate]]</f>
        <v>800</v>
      </c>
      <c r="O119" s="24">
        <f>Stock[[#This Row],[Stock Cultivate]]*Stock[[#This Row],[Precio de Venta]]</f>
        <v>2400</v>
      </c>
      <c r="R119" s="16"/>
    </row>
    <row r="120" spans="2:18">
      <c r="B120" s="44">
        <v>813</v>
      </c>
      <c r="C120" t="s">
        <v>1010</v>
      </c>
      <c r="D120" s="45">
        <v>530</v>
      </c>
      <c r="E120" s="24">
        <v>1500</v>
      </c>
      <c r="F120" s="44">
        <f>Stock[Entradas]-Stock[Compra Cultivate]</f>
        <v>16</v>
      </c>
      <c r="G120" s="11">
        <f>SUMIFS(Compras[Cantidad],Compras[Codigo],Stock[Codigo])</f>
        <v>16</v>
      </c>
      <c r="H120" s="11">
        <f>SUMIFS(Ventas[Cantidad],Ventas[Codigo],Stock[Codigo])</f>
        <v>0</v>
      </c>
      <c r="I120" s="12">
        <f>Stock[[#This Row],[Stock Deposito]]*Stock[[#This Row],[Precio de Compra]]</f>
        <v>8480</v>
      </c>
      <c r="J120" s="6">
        <f>SUMIFS(ProdDesc[Cantidad],ProdDesc[Codigo],Stock[Codigo])</f>
        <v>0</v>
      </c>
      <c r="K120" s="44">
        <f>Stock[[#This Row],[Compra Cultivate]]-Stock[[#This Row],[Salidas]]-Stock[[#This Row],[Usados]]</f>
        <v>0</v>
      </c>
      <c r="L120" s="24">
        <f>Stock[[#This Row],[Stock Deposito]]*Stock[[#This Row],[Precio de Venta]]</f>
        <v>24000</v>
      </c>
      <c r="M120" s="6">
        <f>SUMIFS(Tabla9[Cantidad],Tabla9[Codigo],Stock[Codigo])</f>
        <v>0</v>
      </c>
      <c r="N120" s="24">
        <f>Stock[[#This Row],[Precio de Compra]]*Stock[[#This Row],[Stock Cultivate]]</f>
        <v>0</v>
      </c>
      <c r="O120" s="24">
        <f>Stock[[#This Row],[Stock Cultivate]]*Stock[[#This Row],[Precio de Venta]]</f>
        <v>0</v>
      </c>
      <c r="R120" s="16"/>
    </row>
    <row r="121" spans="2:18">
      <c r="B121" s="44">
        <v>812</v>
      </c>
      <c r="C121" t="s">
        <v>1009</v>
      </c>
      <c r="D121" s="45">
        <v>580</v>
      </c>
      <c r="E121" s="24">
        <v>1600</v>
      </c>
      <c r="F121" s="44">
        <f>Stock[Entradas]-Stock[Compra Cultivate]</f>
        <v>0</v>
      </c>
      <c r="G121" s="11">
        <f>SUMIFS(Compras[Cantidad],Compras[Codigo],Stock[Codigo])</f>
        <v>21</v>
      </c>
      <c r="H121" s="11">
        <f>SUMIFS(Ventas[Cantidad],Ventas[Codigo],Stock[Codigo])</f>
        <v>0</v>
      </c>
      <c r="I121" s="12">
        <f>Stock[[#This Row],[Stock Deposito]]*Stock[[#This Row],[Precio de Compra]]</f>
        <v>0</v>
      </c>
      <c r="J121" s="6">
        <f>SUMIFS(ProdDesc[Cantidad],ProdDesc[Codigo],Stock[Codigo])</f>
        <v>0</v>
      </c>
      <c r="K121" s="44">
        <f>Stock[[#This Row],[Compra Cultivate]]-Stock[[#This Row],[Salidas]]-Stock[[#This Row],[Usados]]</f>
        <v>21</v>
      </c>
      <c r="L121" s="24">
        <f>Stock[[#This Row],[Stock Deposito]]*Stock[[#This Row],[Precio de Venta]]</f>
        <v>0</v>
      </c>
      <c r="M121" s="6">
        <f>SUMIFS(Tabla9[Cantidad],Tabla9[Codigo],Stock[Codigo])</f>
        <v>21</v>
      </c>
      <c r="N121" s="24">
        <f>Stock[[#This Row],[Precio de Compra]]*Stock[[#This Row],[Stock Cultivate]]</f>
        <v>12180</v>
      </c>
      <c r="O121" s="24">
        <f>Stock[[#This Row],[Stock Cultivate]]*Stock[[#This Row],[Precio de Venta]]</f>
        <v>33600</v>
      </c>
      <c r="R121" s="16"/>
    </row>
    <row r="122" spans="2:18">
      <c r="B122" s="44">
        <v>811</v>
      </c>
      <c r="C122" t="s">
        <v>1008</v>
      </c>
      <c r="D122" s="45">
        <v>40</v>
      </c>
      <c r="E122" s="24">
        <v>100</v>
      </c>
      <c r="F122" s="44">
        <f>Stock[Entradas]-Stock[Compra Cultivate]</f>
        <v>1</v>
      </c>
      <c r="G122" s="11">
        <f>SUMIFS(Compras[Cantidad],Compras[Codigo],Stock[Codigo])</f>
        <v>1</v>
      </c>
      <c r="H122" s="11">
        <f>SUMIFS(Ventas[Cantidad],Ventas[Codigo],Stock[Codigo])</f>
        <v>0</v>
      </c>
      <c r="I122" s="12">
        <f>Stock[[#This Row],[Stock Deposito]]*Stock[[#This Row],[Precio de Compra]]</f>
        <v>40</v>
      </c>
      <c r="J122" s="6">
        <f>SUMIFS(ProdDesc[Cantidad],ProdDesc[Codigo],Stock[Codigo])</f>
        <v>0</v>
      </c>
      <c r="K122" s="44">
        <f>Stock[[#This Row],[Compra Cultivate]]-Stock[[#This Row],[Salidas]]-Stock[[#This Row],[Usados]]</f>
        <v>0</v>
      </c>
      <c r="L122" s="24">
        <f>Stock[[#This Row],[Stock Deposito]]*Stock[[#This Row],[Precio de Venta]]</f>
        <v>100</v>
      </c>
      <c r="M122" s="6">
        <f>SUMIFS(Tabla9[Cantidad],Tabla9[Codigo],Stock[Codigo])</f>
        <v>0</v>
      </c>
      <c r="N122" s="24">
        <f>Stock[[#This Row],[Precio de Compra]]*Stock[[#This Row],[Stock Cultivate]]</f>
        <v>0</v>
      </c>
      <c r="O122" s="24">
        <f>Stock[[#This Row],[Stock Cultivate]]*Stock[[#This Row],[Precio de Venta]]</f>
        <v>0</v>
      </c>
      <c r="R122" s="16"/>
    </row>
    <row r="123" spans="2:18">
      <c r="B123" s="44">
        <v>810</v>
      </c>
      <c r="C123" t="s">
        <v>1007</v>
      </c>
      <c r="D123" s="45">
        <v>144</v>
      </c>
      <c r="E123" s="24">
        <v>300</v>
      </c>
      <c r="F123" s="44">
        <f>Stock[Entradas]-Stock[Compra Cultivate]</f>
        <v>27</v>
      </c>
      <c r="G123" s="11">
        <f>SUMIFS(Compras[Cantidad],Compras[Codigo],Stock[Codigo])</f>
        <v>27</v>
      </c>
      <c r="H123" s="11">
        <f>SUMIFS(Ventas[Cantidad],Ventas[Codigo],Stock[Codigo])</f>
        <v>0</v>
      </c>
      <c r="I123" s="12">
        <f>Stock[[#This Row],[Stock Deposito]]*Stock[[#This Row],[Precio de Compra]]</f>
        <v>3888</v>
      </c>
      <c r="J123" s="6">
        <f>SUMIFS(ProdDesc[Cantidad],ProdDesc[Codigo],Stock[Codigo])</f>
        <v>0</v>
      </c>
      <c r="K123" s="44">
        <f>Stock[[#This Row],[Compra Cultivate]]-Stock[[#This Row],[Salidas]]-Stock[[#This Row],[Usados]]</f>
        <v>0</v>
      </c>
      <c r="L123" s="24">
        <f>Stock[[#This Row],[Stock Deposito]]*Stock[[#This Row],[Precio de Venta]]</f>
        <v>8100</v>
      </c>
      <c r="M123" s="6">
        <f>SUMIFS(Tabla9[Cantidad],Tabla9[Codigo],Stock[Codigo])</f>
        <v>0</v>
      </c>
      <c r="N123" s="24">
        <f>Stock[[#This Row],[Precio de Compra]]*Stock[[#This Row],[Stock Cultivate]]</f>
        <v>0</v>
      </c>
      <c r="O123" s="24">
        <f>Stock[[#This Row],[Stock Cultivate]]*Stock[[#This Row],[Precio de Venta]]</f>
        <v>0</v>
      </c>
      <c r="R123" s="16"/>
    </row>
    <row r="124" spans="2:18">
      <c r="B124" s="44">
        <v>809</v>
      </c>
      <c r="C124" t="s">
        <v>1006</v>
      </c>
      <c r="D124" s="45">
        <v>110</v>
      </c>
      <c r="E124" s="24">
        <v>200</v>
      </c>
      <c r="F124" s="44">
        <f>Stock[Entradas]-Stock[Compra Cultivate]</f>
        <v>15</v>
      </c>
      <c r="G124" s="11">
        <f>SUMIFS(Compras[Cantidad],Compras[Codigo],Stock[Codigo])</f>
        <v>15</v>
      </c>
      <c r="H124" s="11">
        <f>SUMIFS(Ventas[Cantidad],Ventas[Codigo],Stock[Codigo])</f>
        <v>0</v>
      </c>
      <c r="I124" s="12">
        <f>Stock[[#This Row],[Stock Deposito]]*Stock[[#This Row],[Precio de Compra]]</f>
        <v>1650</v>
      </c>
      <c r="J124" s="6">
        <f>SUMIFS(ProdDesc[Cantidad],ProdDesc[Codigo],Stock[Codigo])</f>
        <v>0</v>
      </c>
      <c r="K124" s="44">
        <f>Stock[[#This Row],[Compra Cultivate]]-Stock[[#This Row],[Salidas]]-Stock[[#This Row],[Usados]]</f>
        <v>0</v>
      </c>
      <c r="L124" s="24">
        <f>Stock[[#This Row],[Stock Deposito]]*Stock[[#This Row],[Precio de Venta]]</f>
        <v>3000</v>
      </c>
      <c r="M124" s="6">
        <f>SUMIFS(Tabla9[Cantidad],Tabla9[Codigo],Stock[Codigo])</f>
        <v>0</v>
      </c>
      <c r="N124" s="24">
        <f>Stock[[#This Row],[Precio de Compra]]*Stock[[#This Row],[Stock Cultivate]]</f>
        <v>0</v>
      </c>
      <c r="O124" s="24">
        <f>Stock[[#This Row],[Stock Cultivate]]*Stock[[#This Row],[Precio de Venta]]</f>
        <v>0</v>
      </c>
      <c r="R124" s="16"/>
    </row>
    <row r="125" spans="2:18">
      <c r="B125" s="44">
        <v>808</v>
      </c>
      <c r="C125" t="s">
        <v>1005</v>
      </c>
      <c r="D125" s="45">
        <v>50</v>
      </c>
      <c r="E125" s="24">
        <v>100</v>
      </c>
      <c r="F125" s="44">
        <f>Stock[Entradas]-Stock[Compra Cultivate]</f>
        <v>110</v>
      </c>
      <c r="G125" s="11">
        <f>SUMIFS(Compras[Cantidad],Compras[Codigo],Stock[Codigo])</f>
        <v>110</v>
      </c>
      <c r="H125" s="11">
        <f>SUMIFS(Ventas[Cantidad],Ventas[Codigo],Stock[Codigo])</f>
        <v>0</v>
      </c>
      <c r="I125" s="12">
        <f>Stock[[#This Row],[Stock Deposito]]*Stock[[#This Row],[Precio de Compra]]</f>
        <v>5500</v>
      </c>
      <c r="J125" s="6">
        <f>SUMIFS(ProdDesc[Cantidad],ProdDesc[Codigo],Stock[Codigo])</f>
        <v>0</v>
      </c>
      <c r="K125" s="44">
        <f>Stock[[#This Row],[Compra Cultivate]]-Stock[[#This Row],[Salidas]]-Stock[[#This Row],[Usados]]</f>
        <v>0</v>
      </c>
      <c r="L125" s="24">
        <f>Stock[[#This Row],[Stock Deposito]]*Stock[[#This Row],[Precio de Venta]]</f>
        <v>11000</v>
      </c>
      <c r="M125" s="6">
        <f>SUMIFS(Tabla9[Cantidad],Tabla9[Codigo],Stock[Codigo])</f>
        <v>0</v>
      </c>
      <c r="N125" s="24">
        <f>Stock[[#This Row],[Precio de Compra]]*Stock[[#This Row],[Stock Cultivate]]</f>
        <v>0</v>
      </c>
      <c r="O125" s="24">
        <f>Stock[[#This Row],[Stock Cultivate]]*Stock[[#This Row],[Precio de Venta]]</f>
        <v>0</v>
      </c>
      <c r="R125" s="16"/>
    </row>
    <row r="126" spans="2:18">
      <c r="B126" s="44">
        <v>807</v>
      </c>
      <c r="C126" t="s">
        <v>1004</v>
      </c>
      <c r="D126" s="45">
        <v>1140</v>
      </c>
      <c r="E126" s="24">
        <v>2200</v>
      </c>
      <c r="F126" s="44">
        <f>Stock[Entradas]-Stock[Compra Cultivate]</f>
        <v>9</v>
      </c>
      <c r="G126" s="11">
        <f>SUMIFS(Compras[Cantidad],Compras[Codigo],Stock[Codigo])</f>
        <v>9</v>
      </c>
      <c r="H126" s="11">
        <f>SUMIFS(Ventas[Cantidad],Ventas[Codigo],Stock[Codigo])</f>
        <v>0</v>
      </c>
      <c r="I126" s="12">
        <f>Stock[[#This Row],[Stock Deposito]]*Stock[[#This Row],[Precio de Compra]]</f>
        <v>10260</v>
      </c>
      <c r="J126" s="6">
        <f>SUMIFS(ProdDesc[Cantidad],ProdDesc[Codigo],Stock[Codigo])</f>
        <v>0</v>
      </c>
      <c r="K126" s="44">
        <f>Stock[[#This Row],[Compra Cultivate]]-Stock[[#This Row],[Salidas]]-Stock[[#This Row],[Usados]]</f>
        <v>0</v>
      </c>
      <c r="L126" s="24">
        <f>Stock[[#This Row],[Stock Deposito]]*Stock[[#This Row],[Precio de Venta]]</f>
        <v>19800</v>
      </c>
      <c r="M126" s="6">
        <f>SUMIFS(Tabla9[Cantidad],Tabla9[Codigo],Stock[Codigo])</f>
        <v>0</v>
      </c>
      <c r="N126" s="24">
        <f>Stock[[#This Row],[Precio de Compra]]*Stock[[#This Row],[Stock Cultivate]]</f>
        <v>0</v>
      </c>
      <c r="O126" s="24">
        <f>Stock[[#This Row],[Stock Cultivate]]*Stock[[#This Row],[Precio de Venta]]</f>
        <v>0</v>
      </c>
      <c r="R126" s="16"/>
    </row>
    <row r="127" spans="2:18">
      <c r="B127" s="44">
        <v>806</v>
      </c>
      <c r="C127" t="s">
        <v>1003</v>
      </c>
      <c r="D127" s="45">
        <v>443</v>
      </c>
      <c r="E127" s="24">
        <v>900</v>
      </c>
      <c r="F127" s="44">
        <f>Stock[Entradas]-Stock[Compra Cultivate]</f>
        <v>12</v>
      </c>
      <c r="G127" s="11">
        <f>SUMIFS(Compras[Cantidad],Compras[Codigo],Stock[Codigo])</f>
        <v>12</v>
      </c>
      <c r="H127" s="11">
        <f>SUMIFS(Ventas[Cantidad],Ventas[Codigo],Stock[Codigo])</f>
        <v>0</v>
      </c>
      <c r="I127" s="12">
        <f>Stock[[#This Row],[Stock Deposito]]*Stock[[#This Row],[Precio de Compra]]</f>
        <v>5316</v>
      </c>
      <c r="J127" s="6">
        <f>SUMIFS(ProdDesc[Cantidad],ProdDesc[Codigo],Stock[Codigo])</f>
        <v>0</v>
      </c>
      <c r="K127" s="44">
        <f>Stock[[#This Row],[Compra Cultivate]]-Stock[[#This Row],[Salidas]]-Stock[[#This Row],[Usados]]</f>
        <v>0</v>
      </c>
      <c r="L127" s="24">
        <f>Stock[[#This Row],[Stock Deposito]]*Stock[[#This Row],[Precio de Venta]]</f>
        <v>10800</v>
      </c>
      <c r="M127" s="6">
        <f>SUMIFS(Tabla9[Cantidad],Tabla9[Codigo],Stock[Codigo])</f>
        <v>0</v>
      </c>
      <c r="N127" s="24">
        <f>Stock[[#This Row],[Precio de Compra]]*Stock[[#This Row],[Stock Cultivate]]</f>
        <v>0</v>
      </c>
      <c r="O127" s="24">
        <f>Stock[[#This Row],[Stock Cultivate]]*Stock[[#This Row],[Precio de Venta]]</f>
        <v>0</v>
      </c>
      <c r="R127" s="16"/>
    </row>
    <row r="128" spans="2:18">
      <c r="B128" s="44">
        <v>805</v>
      </c>
      <c r="C128" t="s">
        <v>1002</v>
      </c>
      <c r="D128" s="45">
        <v>1500</v>
      </c>
      <c r="E128" s="24">
        <v>3000</v>
      </c>
      <c r="F128" s="44">
        <f>Stock[Entradas]-Stock[Compra Cultivate]</f>
        <v>1</v>
      </c>
      <c r="G128" s="11">
        <f>SUMIFS(Compras[Cantidad],Compras[Codigo],Stock[Codigo])</f>
        <v>1</v>
      </c>
      <c r="H128" s="11">
        <f>SUMIFS(Ventas[Cantidad],Ventas[Codigo],Stock[Codigo])</f>
        <v>0</v>
      </c>
      <c r="I128" s="12">
        <f>Stock[[#This Row],[Stock Deposito]]*Stock[[#This Row],[Precio de Compra]]</f>
        <v>1500</v>
      </c>
      <c r="J128" s="6">
        <f>SUMIFS(ProdDesc[Cantidad],ProdDesc[Codigo],Stock[Codigo])</f>
        <v>0</v>
      </c>
      <c r="K128" s="44">
        <f>Stock[[#This Row],[Compra Cultivate]]-Stock[[#This Row],[Salidas]]-Stock[[#This Row],[Usados]]</f>
        <v>0</v>
      </c>
      <c r="L128" s="24">
        <f>Stock[[#This Row],[Stock Deposito]]*Stock[[#This Row],[Precio de Venta]]</f>
        <v>3000</v>
      </c>
      <c r="M128" s="6">
        <f>SUMIFS(Tabla9[Cantidad],Tabla9[Codigo],Stock[Codigo])</f>
        <v>0</v>
      </c>
      <c r="N128" s="24">
        <f>Stock[[#This Row],[Precio de Compra]]*Stock[[#This Row],[Stock Cultivate]]</f>
        <v>0</v>
      </c>
      <c r="O128" s="24">
        <f>Stock[[#This Row],[Stock Cultivate]]*Stock[[#This Row],[Precio de Venta]]</f>
        <v>0</v>
      </c>
      <c r="R128" s="16"/>
    </row>
    <row r="129" spans="2:18">
      <c r="B129" s="44">
        <v>804</v>
      </c>
      <c r="C129" t="s">
        <v>1001</v>
      </c>
      <c r="D129" s="45">
        <v>1000</v>
      </c>
      <c r="E129" s="24">
        <v>2500</v>
      </c>
      <c r="F129" s="44">
        <f>Stock[Entradas]-Stock[Compra Cultivate]</f>
        <v>3</v>
      </c>
      <c r="G129" s="11">
        <f>SUMIFS(Compras[Cantidad],Compras[Codigo],Stock[Codigo])</f>
        <v>3</v>
      </c>
      <c r="H129" s="11">
        <f>SUMIFS(Ventas[Cantidad],Ventas[Codigo],Stock[Codigo])</f>
        <v>0</v>
      </c>
      <c r="I129" s="12">
        <f>Stock[[#This Row],[Stock Deposito]]*Stock[[#This Row],[Precio de Compra]]</f>
        <v>3000</v>
      </c>
      <c r="J129" s="6">
        <f>SUMIFS(ProdDesc[Cantidad],ProdDesc[Codigo],Stock[Codigo])</f>
        <v>0</v>
      </c>
      <c r="K129" s="44">
        <f>Stock[[#This Row],[Compra Cultivate]]-Stock[[#This Row],[Salidas]]-Stock[[#This Row],[Usados]]</f>
        <v>0</v>
      </c>
      <c r="L129" s="24">
        <f>Stock[[#This Row],[Stock Deposito]]*Stock[[#This Row],[Precio de Venta]]</f>
        <v>7500</v>
      </c>
      <c r="M129" s="6">
        <f>SUMIFS(Tabla9[Cantidad],Tabla9[Codigo],Stock[Codigo])</f>
        <v>0</v>
      </c>
      <c r="N129" s="24">
        <f>Stock[[#This Row],[Precio de Compra]]*Stock[[#This Row],[Stock Cultivate]]</f>
        <v>0</v>
      </c>
      <c r="O129" s="24">
        <f>Stock[[#This Row],[Stock Cultivate]]*Stock[[#This Row],[Precio de Venta]]</f>
        <v>0</v>
      </c>
      <c r="R129" s="16"/>
    </row>
    <row r="130" spans="2:18">
      <c r="B130" s="44">
        <v>803</v>
      </c>
      <c r="C130" t="s">
        <v>1000</v>
      </c>
      <c r="D130" s="45">
        <v>400</v>
      </c>
      <c r="E130" s="24">
        <v>1000</v>
      </c>
      <c r="F130" s="44">
        <f>Stock[Entradas]-Stock[Compra Cultivate]</f>
        <v>2</v>
      </c>
      <c r="G130" s="11">
        <f>SUMIFS(Compras[Cantidad],Compras[Codigo],Stock[Codigo])</f>
        <v>2</v>
      </c>
      <c r="H130" s="11">
        <f>SUMIFS(Ventas[Cantidad],Ventas[Codigo],Stock[Codigo])</f>
        <v>0</v>
      </c>
      <c r="I130" s="12">
        <f>Stock[[#This Row],[Stock Deposito]]*Stock[[#This Row],[Precio de Compra]]</f>
        <v>800</v>
      </c>
      <c r="J130" s="6">
        <f>SUMIFS(ProdDesc[Cantidad],ProdDesc[Codigo],Stock[Codigo])</f>
        <v>0</v>
      </c>
      <c r="K130" s="44">
        <f>Stock[[#This Row],[Compra Cultivate]]-Stock[[#This Row],[Salidas]]-Stock[[#This Row],[Usados]]</f>
        <v>0</v>
      </c>
      <c r="L130" s="24">
        <f>Stock[[#This Row],[Stock Deposito]]*Stock[[#This Row],[Precio de Venta]]</f>
        <v>2000</v>
      </c>
      <c r="M130" s="6">
        <f>SUMIFS(Tabla9[Cantidad],Tabla9[Codigo],Stock[Codigo])</f>
        <v>0</v>
      </c>
      <c r="N130" s="24">
        <f>Stock[[#This Row],[Precio de Compra]]*Stock[[#This Row],[Stock Cultivate]]</f>
        <v>0</v>
      </c>
      <c r="O130" s="24">
        <f>Stock[[#This Row],[Stock Cultivate]]*Stock[[#This Row],[Precio de Venta]]</f>
        <v>0</v>
      </c>
      <c r="R130" s="16"/>
    </row>
    <row r="131" spans="2:18">
      <c r="B131" s="44">
        <v>802</v>
      </c>
      <c r="C131" t="s">
        <v>999</v>
      </c>
      <c r="D131" s="45">
        <v>400</v>
      </c>
      <c r="E131" s="24">
        <v>1200</v>
      </c>
      <c r="F131" s="44">
        <f>Stock[Entradas]-Stock[Compra Cultivate]</f>
        <v>2</v>
      </c>
      <c r="G131" s="11">
        <f>SUMIFS(Compras[Cantidad],Compras[Codigo],Stock[Codigo])</f>
        <v>2</v>
      </c>
      <c r="H131" s="11">
        <f>SUMIFS(Ventas[Cantidad],Ventas[Codigo],Stock[Codigo])</f>
        <v>0</v>
      </c>
      <c r="I131" s="12">
        <f>Stock[[#This Row],[Stock Deposito]]*Stock[[#This Row],[Precio de Compra]]</f>
        <v>800</v>
      </c>
      <c r="J131" s="6">
        <f>SUMIFS(ProdDesc[Cantidad],ProdDesc[Codigo],Stock[Codigo])</f>
        <v>0</v>
      </c>
      <c r="K131" s="44">
        <f>Stock[[#This Row],[Compra Cultivate]]-Stock[[#This Row],[Salidas]]-Stock[[#This Row],[Usados]]</f>
        <v>0</v>
      </c>
      <c r="L131" s="24">
        <f>Stock[[#This Row],[Stock Deposito]]*Stock[[#This Row],[Precio de Venta]]</f>
        <v>2400</v>
      </c>
      <c r="M131" s="6">
        <f>SUMIFS(Tabla9[Cantidad],Tabla9[Codigo],Stock[Codigo])</f>
        <v>0</v>
      </c>
      <c r="N131" s="24">
        <f>Stock[[#This Row],[Precio de Compra]]*Stock[[#This Row],[Stock Cultivate]]</f>
        <v>0</v>
      </c>
      <c r="O131" s="24">
        <f>Stock[[#This Row],[Stock Cultivate]]*Stock[[#This Row],[Precio de Venta]]</f>
        <v>0</v>
      </c>
      <c r="R131" s="16"/>
    </row>
    <row r="132" spans="2:18">
      <c r="B132" s="44">
        <v>801</v>
      </c>
      <c r="C132" t="s">
        <v>998</v>
      </c>
      <c r="D132" s="45">
        <v>200</v>
      </c>
      <c r="E132" s="24">
        <v>500</v>
      </c>
      <c r="F132" s="44">
        <f>Stock[Entradas]-Stock[Compra Cultivate]</f>
        <v>5</v>
      </c>
      <c r="G132" s="11">
        <f>SUMIFS(Compras[Cantidad],Compras[Codigo],Stock[Codigo])</f>
        <v>5</v>
      </c>
      <c r="H132" s="11">
        <f>SUMIFS(Ventas[Cantidad],Ventas[Codigo],Stock[Codigo])</f>
        <v>0</v>
      </c>
      <c r="I132" s="12">
        <f>Stock[[#This Row],[Stock Deposito]]*Stock[[#This Row],[Precio de Compra]]</f>
        <v>1000</v>
      </c>
      <c r="J132" s="6">
        <f>SUMIFS(ProdDesc[Cantidad],ProdDesc[Codigo],Stock[Codigo])</f>
        <v>0</v>
      </c>
      <c r="K132" s="44">
        <f>Stock[[#This Row],[Compra Cultivate]]-Stock[[#This Row],[Salidas]]-Stock[[#This Row],[Usados]]</f>
        <v>0</v>
      </c>
      <c r="L132" s="24">
        <f>Stock[[#This Row],[Stock Deposito]]*Stock[[#This Row],[Precio de Venta]]</f>
        <v>2500</v>
      </c>
      <c r="M132" s="6">
        <f>SUMIFS(Tabla9[Cantidad],Tabla9[Codigo],Stock[Codigo])</f>
        <v>0</v>
      </c>
      <c r="N132" s="24">
        <f>Stock[[#This Row],[Precio de Compra]]*Stock[[#This Row],[Stock Cultivate]]</f>
        <v>0</v>
      </c>
      <c r="O132" s="24">
        <f>Stock[[#This Row],[Stock Cultivate]]*Stock[[#This Row],[Precio de Venta]]</f>
        <v>0</v>
      </c>
      <c r="R132" s="16"/>
    </row>
    <row r="133" spans="2:18">
      <c r="B133" s="44">
        <v>800</v>
      </c>
      <c r="C133" t="s">
        <v>997</v>
      </c>
      <c r="D133" s="45">
        <v>400</v>
      </c>
      <c r="E133" s="24">
        <v>1000</v>
      </c>
      <c r="F133" s="44">
        <f>Stock[Entradas]-Stock[Compra Cultivate]</f>
        <v>2</v>
      </c>
      <c r="G133" s="11">
        <f>SUMIFS(Compras[Cantidad],Compras[Codigo],Stock[Codigo])</f>
        <v>2</v>
      </c>
      <c r="H133" s="11">
        <f>SUMIFS(Ventas[Cantidad],Ventas[Codigo],Stock[Codigo])</f>
        <v>0</v>
      </c>
      <c r="I133" s="12">
        <f>Stock[[#This Row],[Stock Deposito]]*Stock[[#This Row],[Precio de Compra]]</f>
        <v>800</v>
      </c>
      <c r="J133" s="6">
        <f>SUMIFS(ProdDesc[Cantidad],ProdDesc[Codigo],Stock[Codigo])</f>
        <v>0</v>
      </c>
      <c r="K133" s="44">
        <f>Stock[[#This Row],[Compra Cultivate]]-Stock[[#This Row],[Salidas]]-Stock[[#This Row],[Usados]]</f>
        <v>0</v>
      </c>
      <c r="L133" s="24">
        <f>Stock[[#This Row],[Stock Deposito]]*Stock[[#This Row],[Precio de Venta]]</f>
        <v>2000</v>
      </c>
      <c r="M133" s="6">
        <f>SUMIFS(Tabla9[Cantidad],Tabla9[Codigo],Stock[Codigo])</f>
        <v>0</v>
      </c>
      <c r="N133" s="24">
        <f>Stock[[#This Row],[Precio de Compra]]*Stock[[#This Row],[Stock Cultivate]]</f>
        <v>0</v>
      </c>
      <c r="O133" s="24">
        <f>Stock[[#This Row],[Stock Cultivate]]*Stock[[#This Row],[Precio de Venta]]</f>
        <v>0</v>
      </c>
      <c r="R133" s="16"/>
    </row>
    <row r="134" spans="2:18">
      <c r="B134" s="44">
        <v>799</v>
      </c>
      <c r="C134" t="s">
        <v>996</v>
      </c>
      <c r="D134" s="45">
        <v>450</v>
      </c>
      <c r="E134" s="24">
        <v>1000</v>
      </c>
      <c r="F134" s="44">
        <f>Stock[Entradas]-Stock[Compra Cultivate]</f>
        <v>4</v>
      </c>
      <c r="G134" s="11">
        <f>SUMIFS(Compras[Cantidad],Compras[Codigo],Stock[Codigo])</f>
        <v>4</v>
      </c>
      <c r="H134" s="11">
        <f>SUMIFS(Ventas[Cantidad],Ventas[Codigo],Stock[Codigo])</f>
        <v>0</v>
      </c>
      <c r="I134" s="12">
        <f>Stock[[#This Row],[Stock Deposito]]*Stock[[#This Row],[Precio de Compra]]</f>
        <v>1800</v>
      </c>
      <c r="J134" s="6">
        <f>SUMIFS(ProdDesc[Cantidad],ProdDesc[Codigo],Stock[Codigo])</f>
        <v>0</v>
      </c>
      <c r="K134" s="44">
        <f>Stock[[#This Row],[Compra Cultivate]]-Stock[[#This Row],[Salidas]]-Stock[[#This Row],[Usados]]</f>
        <v>0</v>
      </c>
      <c r="L134" s="24">
        <f>Stock[[#This Row],[Stock Deposito]]*Stock[[#This Row],[Precio de Venta]]</f>
        <v>4000</v>
      </c>
      <c r="M134" s="6">
        <f>SUMIFS(Tabla9[Cantidad],Tabla9[Codigo],Stock[Codigo])</f>
        <v>0</v>
      </c>
      <c r="N134" s="24">
        <f>Stock[[#This Row],[Precio de Compra]]*Stock[[#This Row],[Stock Cultivate]]</f>
        <v>0</v>
      </c>
      <c r="O134" s="24">
        <f>Stock[[#This Row],[Stock Cultivate]]*Stock[[#This Row],[Precio de Venta]]</f>
        <v>0</v>
      </c>
      <c r="R134" s="16"/>
    </row>
    <row r="135" spans="2:18">
      <c r="B135" s="44">
        <v>798</v>
      </c>
      <c r="C135" t="s">
        <v>995</v>
      </c>
      <c r="D135" s="45">
        <v>350</v>
      </c>
      <c r="E135" s="24">
        <v>1000</v>
      </c>
      <c r="F135" s="44">
        <f>Stock[Entradas]-Stock[Compra Cultivate]</f>
        <v>1</v>
      </c>
      <c r="G135" s="11">
        <f>SUMIFS(Compras[Cantidad],Compras[Codigo],Stock[Codigo])</f>
        <v>1</v>
      </c>
      <c r="H135" s="11">
        <f>SUMIFS(Ventas[Cantidad],Ventas[Codigo],Stock[Codigo])</f>
        <v>0</v>
      </c>
      <c r="I135" s="12">
        <f>Stock[[#This Row],[Stock Deposito]]*Stock[[#This Row],[Precio de Compra]]</f>
        <v>350</v>
      </c>
      <c r="J135" s="6">
        <f>SUMIFS(ProdDesc[Cantidad],ProdDesc[Codigo],Stock[Codigo])</f>
        <v>0</v>
      </c>
      <c r="K135" s="44">
        <f>Stock[[#This Row],[Compra Cultivate]]-Stock[[#This Row],[Salidas]]-Stock[[#This Row],[Usados]]</f>
        <v>0</v>
      </c>
      <c r="L135" s="24">
        <f>Stock[[#This Row],[Stock Deposito]]*Stock[[#This Row],[Precio de Venta]]</f>
        <v>1000</v>
      </c>
      <c r="M135" s="6">
        <f>SUMIFS(Tabla9[Cantidad],Tabla9[Codigo],Stock[Codigo])</f>
        <v>0</v>
      </c>
      <c r="N135" s="24">
        <f>Stock[[#This Row],[Precio de Compra]]*Stock[[#This Row],[Stock Cultivate]]</f>
        <v>0</v>
      </c>
      <c r="O135" s="24">
        <f>Stock[[#This Row],[Stock Cultivate]]*Stock[[#This Row],[Precio de Venta]]</f>
        <v>0</v>
      </c>
      <c r="R135" s="16"/>
    </row>
    <row r="136" spans="2:18">
      <c r="B136" s="44">
        <v>797</v>
      </c>
      <c r="C136" t="s">
        <v>994</v>
      </c>
      <c r="D136" s="45">
        <v>1500</v>
      </c>
      <c r="E136" s="24">
        <v>3000</v>
      </c>
      <c r="F136" s="44">
        <f>Stock[Entradas]-Stock[Compra Cultivate]</f>
        <v>2</v>
      </c>
      <c r="G136" s="11">
        <f>SUMIFS(Compras[Cantidad],Compras[Codigo],Stock[Codigo])</f>
        <v>2</v>
      </c>
      <c r="H136" s="11">
        <f>SUMIFS(Ventas[Cantidad],Ventas[Codigo],Stock[Codigo])</f>
        <v>0</v>
      </c>
      <c r="I136" s="12">
        <f>Stock[[#This Row],[Stock Deposito]]*Stock[[#This Row],[Precio de Compra]]</f>
        <v>3000</v>
      </c>
      <c r="J136" s="6">
        <f>SUMIFS(ProdDesc[Cantidad],ProdDesc[Codigo],Stock[Codigo])</f>
        <v>0</v>
      </c>
      <c r="K136" s="44">
        <f>Stock[[#This Row],[Compra Cultivate]]-Stock[[#This Row],[Salidas]]-Stock[[#This Row],[Usados]]</f>
        <v>0</v>
      </c>
      <c r="L136" s="24">
        <f>Stock[[#This Row],[Stock Deposito]]*Stock[[#This Row],[Precio de Venta]]</f>
        <v>6000</v>
      </c>
      <c r="M136" s="6">
        <f>SUMIFS(Tabla9[Cantidad],Tabla9[Codigo],Stock[Codigo])</f>
        <v>0</v>
      </c>
      <c r="N136" s="24">
        <f>Stock[[#This Row],[Precio de Compra]]*Stock[[#This Row],[Stock Cultivate]]</f>
        <v>0</v>
      </c>
      <c r="O136" s="24">
        <f>Stock[[#This Row],[Stock Cultivate]]*Stock[[#This Row],[Precio de Venta]]</f>
        <v>0</v>
      </c>
      <c r="R136" s="16"/>
    </row>
    <row r="137" spans="2:18">
      <c r="B137" s="44">
        <v>796</v>
      </c>
      <c r="C137" t="s">
        <v>993</v>
      </c>
      <c r="D137" s="45">
        <v>1000</v>
      </c>
      <c r="E137" s="24">
        <v>2500</v>
      </c>
      <c r="F137" s="44">
        <f>Stock[Entradas]-Stock[Compra Cultivate]</f>
        <v>2</v>
      </c>
      <c r="G137" s="11">
        <f>SUMIFS(Compras[Cantidad],Compras[Codigo],Stock[Codigo])</f>
        <v>2</v>
      </c>
      <c r="H137" s="11">
        <f>SUMIFS(Ventas[Cantidad],Ventas[Codigo],Stock[Codigo])</f>
        <v>0</v>
      </c>
      <c r="I137" s="12">
        <f>Stock[[#This Row],[Stock Deposito]]*Stock[[#This Row],[Precio de Compra]]</f>
        <v>2000</v>
      </c>
      <c r="J137" s="6">
        <f>SUMIFS(ProdDesc[Cantidad],ProdDesc[Codigo],Stock[Codigo])</f>
        <v>0</v>
      </c>
      <c r="K137" s="44">
        <f>Stock[[#This Row],[Compra Cultivate]]-Stock[[#This Row],[Salidas]]-Stock[[#This Row],[Usados]]</f>
        <v>0</v>
      </c>
      <c r="L137" s="24">
        <f>Stock[[#This Row],[Stock Deposito]]*Stock[[#This Row],[Precio de Venta]]</f>
        <v>5000</v>
      </c>
      <c r="M137" s="6">
        <f>SUMIFS(Tabla9[Cantidad],Tabla9[Codigo],Stock[Codigo])</f>
        <v>0</v>
      </c>
      <c r="N137" s="24">
        <f>Stock[[#This Row],[Precio de Compra]]*Stock[[#This Row],[Stock Cultivate]]</f>
        <v>0</v>
      </c>
      <c r="O137" s="24">
        <f>Stock[[#This Row],[Stock Cultivate]]*Stock[[#This Row],[Precio de Venta]]</f>
        <v>0</v>
      </c>
      <c r="R137" s="16"/>
    </row>
    <row r="138" spans="2:18">
      <c r="B138" s="44">
        <v>795</v>
      </c>
      <c r="C138" t="s">
        <v>992</v>
      </c>
      <c r="D138" s="45">
        <v>200</v>
      </c>
      <c r="E138" s="24">
        <v>600</v>
      </c>
      <c r="F138" s="44">
        <f>Stock[Entradas]-Stock[Compra Cultivate]</f>
        <v>3</v>
      </c>
      <c r="G138" s="11">
        <f>SUMIFS(Compras[Cantidad],Compras[Codigo],Stock[Codigo])</f>
        <v>3</v>
      </c>
      <c r="H138" s="11">
        <f>SUMIFS(Ventas[Cantidad],Ventas[Codigo],Stock[Codigo])</f>
        <v>0</v>
      </c>
      <c r="I138" s="12">
        <f>Stock[[#This Row],[Stock Deposito]]*Stock[[#This Row],[Precio de Compra]]</f>
        <v>600</v>
      </c>
      <c r="J138" s="6">
        <f>SUMIFS(ProdDesc[Cantidad],ProdDesc[Codigo],Stock[Codigo])</f>
        <v>0</v>
      </c>
      <c r="K138" s="44">
        <f>Stock[[#This Row],[Compra Cultivate]]-Stock[[#This Row],[Salidas]]-Stock[[#This Row],[Usados]]</f>
        <v>0</v>
      </c>
      <c r="L138" s="24">
        <f>Stock[[#This Row],[Stock Deposito]]*Stock[[#This Row],[Precio de Venta]]</f>
        <v>1800</v>
      </c>
      <c r="M138" s="6">
        <f>SUMIFS(Tabla9[Cantidad],Tabla9[Codigo],Stock[Codigo])</f>
        <v>0</v>
      </c>
      <c r="N138" s="24">
        <f>Stock[[#This Row],[Precio de Compra]]*Stock[[#This Row],[Stock Cultivate]]</f>
        <v>0</v>
      </c>
      <c r="O138" s="24">
        <f>Stock[[#This Row],[Stock Cultivate]]*Stock[[#This Row],[Precio de Venta]]</f>
        <v>0</v>
      </c>
      <c r="R138" s="16"/>
    </row>
    <row r="139" spans="2:18">
      <c r="B139" s="44">
        <v>794</v>
      </c>
      <c r="C139" t="s">
        <v>991</v>
      </c>
      <c r="D139" s="45">
        <v>300</v>
      </c>
      <c r="E139" s="24">
        <v>800</v>
      </c>
      <c r="F139" s="44">
        <f>Stock[Entradas]-Stock[Compra Cultivate]</f>
        <v>3</v>
      </c>
      <c r="G139" s="11">
        <f>SUMIFS(Compras[Cantidad],Compras[Codigo],Stock[Codigo])</f>
        <v>3</v>
      </c>
      <c r="H139" s="11">
        <f>SUMIFS(Ventas[Cantidad],Ventas[Codigo],Stock[Codigo])</f>
        <v>0</v>
      </c>
      <c r="I139" s="12">
        <f>Stock[[#This Row],[Stock Deposito]]*Stock[[#This Row],[Precio de Compra]]</f>
        <v>900</v>
      </c>
      <c r="J139" s="6">
        <f>SUMIFS(ProdDesc[Cantidad],ProdDesc[Codigo],Stock[Codigo])</f>
        <v>0</v>
      </c>
      <c r="K139" s="44">
        <f>Stock[[#This Row],[Compra Cultivate]]-Stock[[#This Row],[Salidas]]-Stock[[#This Row],[Usados]]</f>
        <v>0</v>
      </c>
      <c r="L139" s="24">
        <f>Stock[[#This Row],[Stock Deposito]]*Stock[[#This Row],[Precio de Venta]]</f>
        <v>2400</v>
      </c>
      <c r="M139" s="6">
        <f>SUMIFS(Tabla9[Cantidad],Tabla9[Codigo],Stock[Codigo])</f>
        <v>0</v>
      </c>
      <c r="N139" s="24">
        <f>Stock[[#This Row],[Precio de Compra]]*Stock[[#This Row],[Stock Cultivate]]</f>
        <v>0</v>
      </c>
      <c r="O139" s="24">
        <f>Stock[[#This Row],[Stock Cultivate]]*Stock[[#This Row],[Precio de Venta]]</f>
        <v>0</v>
      </c>
      <c r="R139" s="16"/>
    </row>
    <row r="140" spans="2:18">
      <c r="B140" s="44">
        <v>793</v>
      </c>
      <c r="C140" t="s">
        <v>990</v>
      </c>
      <c r="D140" s="45">
        <v>600</v>
      </c>
      <c r="E140" s="24">
        <v>1300</v>
      </c>
      <c r="F140" s="44">
        <f>Stock[Entradas]-Stock[Compra Cultivate]</f>
        <v>2</v>
      </c>
      <c r="G140" s="11">
        <f>SUMIFS(Compras[Cantidad],Compras[Codigo],Stock[Codigo])</f>
        <v>2</v>
      </c>
      <c r="H140" s="11">
        <f>SUMIFS(Ventas[Cantidad],Ventas[Codigo],Stock[Codigo])</f>
        <v>0</v>
      </c>
      <c r="I140" s="12">
        <f>Stock[[#This Row],[Stock Deposito]]*Stock[[#This Row],[Precio de Compra]]</f>
        <v>1200</v>
      </c>
      <c r="J140" s="6">
        <f>SUMIFS(ProdDesc[Cantidad],ProdDesc[Codigo],Stock[Codigo])</f>
        <v>0</v>
      </c>
      <c r="K140" s="44">
        <f>Stock[[#This Row],[Compra Cultivate]]-Stock[[#This Row],[Salidas]]-Stock[[#This Row],[Usados]]</f>
        <v>0</v>
      </c>
      <c r="L140" s="24">
        <f>Stock[[#This Row],[Stock Deposito]]*Stock[[#This Row],[Precio de Venta]]</f>
        <v>2600</v>
      </c>
      <c r="M140" s="6">
        <f>SUMIFS(Tabla9[Cantidad],Tabla9[Codigo],Stock[Codigo])</f>
        <v>0</v>
      </c>
      <c r="N140" s="24">
        <f>Stock[[#This Row],[Precio de Compra]]*Stock[[#This Row],[Stock Cultivate]]</f>
        <v>0</v>
      </c>
      <c r="O140" s="24">
        <f>Stock[[#This Row],[Stock Cultivate]]*Stock[[#This Row],[Precio de Venta]]</f>
        <v>0</v>
      </c>
      <c r="R140" s="16"/>
    </row>
    <row r="141" spans="2:18">
      <c r="B141" s="44">
        <v>792</v>
      </c>
      <c r="C141" t="s">
        <v>989</v>
      </c>
      <c r="D141" s="45">
        <v>800</v>
      </c>
      <c r="E141" s="24">
        <v>1500</v>
      </c>
      <c r="F141" s="44">
        <f>Stock[Entradas]-Stock[Compra Cultivate]</f>
        <v>3</v>
      </c>
      <c r="G141" s="11">
        <f>SUMIFS(Compras[Cantidad],Compras[Codigo],Stock[Codigo])</f>
        <v>3</v>
      </c>
      <c r="H141" s="11">
        <f>SUMIFS(Ventas[Cantidad],Ventas[Codigo],Stock[Codigo])</f>
        <v>0</v>
      </c>
      <c r="I141" s="12">
        <f>Stock[[#This Row],[Stock Deposito]]*Stock[[#This Row],[Precio de Compra]]</f>
        <v>2400</v>
      </c>
      <c r="J141" s="6">
        <f>SUMIFS(ProdDesc[Cantidad],ProdDesc[Codigo],Stock[Codigo])</f>
        <v>0</v>
      </c>
      <c r="K141" s="44">
        <f>Stock[[#This Row],[Compra Cultivate]]-Stock[[#This Row],[Salidas]]-Stock[[#This Row],[Usados]]</f>
        <v>0</v>
      </c>
      <c r="L141" s="24">
        <f>Stock[[#This Row],[Stock Deposito]]*Stock[[#This Row],[Precio de Venta]]</f>
        <v>4500</v>
      </c>
      <c r="M141" s="6">
        <f>SUMIFS(Tabla9[Cantidad],Tabla9[Codigo],Stock[Codigo])</f>
        <v>0</v>
      </c>
      <c r="N141" s="24">
        <f>Stock[[#This Row],[Precio de Compra]]*Stock[[#This Row],[Stock Cultivate]]</f>
        <v>0</v>
      </c>
      <c r="O141" s="24">
        <f>Stock[[#This Row],[Stock Cultivate]]*Stock[[#This Row],[Precio de Venta]]</f>
        <v>0</v>
      </c>
      <c r="R141" s="16"/>
    </row>
    <row r="142" spans="2:18">
      <c r="B142" s="44">
        <v>791</v>
      </c>
      <c r="C142" t="s">
        <v>988</v>
      </c>
      <c r="D142" s="45">
        <v>400</v>
      </c>
      <c r="E142" s="24">
        <v>1000</v>
      </c>
      <c r="F142" s="44">
        <f>Stock[Entradas]-Stock[Compra Cultivate]</f>
        <v>7</v>
      </c>
      <c r="G142" s="11">
        <f>SUMIFS(Compras[Cantidad],Compras[Codigo],Stock[Codigo])</f>
        <v>7</v>
      </c>
      <c r="H142" s="11">
        <f>SUMIFS(Ventas[Cantidad],Ventas[Codigo],Stock[Codigo])</f>
        <v>0</v>
      </c>
      <c r="I142" s="12">
        <f>Stock[[#This Row],[Stock Deposito]]*Stock[[#This Row],[Precio de Compra]]</f>
        <v>2800</v>
      </c>
      <c r="J142" s="6">
        <f>SUMIFS(ProdDesc[Cantidad],ProdDesc[Codigo],Stock[Codigo])</f>
        <v>0</v>
      </c>
      <c r="K142" s="44">
        <f>Stock[[#This Row],[Compra Cultivate]]-Stock[[#This Row],[Salidas]]-Stock[[#This Row],[Usados]]</f>
        <v>0</v>
      </c>
      <c r="L142" s="24">
        <f>Stock[[#This Row],[Stock Deposito]]*Stock[[#This Row],[Precio de Venta]]</f>
        <v>7000</v>
      </c>
      <c r="M142" s="6">
        <f>SUMIFS(Tabla9[Cantidad],Tabla9[Codigo],Stock[Codigo])</f>
        <v>0</v>
      </c>
      <c r="N142" s="24">
        <f>Stock[[#This Row],[Precio de Compra]]*Stock[[#This Row],[Stock Cultivate]]</f>
        <v>0</v>
      </c>
      <c r="O142" s="24">
        <f>Stock[[#This Row],[Stock Cultivate]]*Stock[[#This Row],[Precio de Venta]]</f>
        <v>0</v>
      </c>
      <c r="R142" s="16"/>
    </row>
    <row r="143" spans="2:18">
      <c r="B143" s="44">
        <v>790</v>
      </c>
      <c r="C143" t="s">
        <v>987</v>
      </c>
      <c r="D143" s="45">
        <v>700</v>
      </c>
      <c r="E143" s="24">
        <v>1500</v>
      </c>
      <c r="F143" s="44">
        <f>Stock[Entradas]-Stock[Compra Cultivate]</f>
        <v>1</v>
      </c>
      <c r="G143" s="11">
        <f>SUMIFS(Compras[Cantidad],Compras[Codigo],Stock[Codigo])</f>
        <v>2</v>
      </c>
      <c r="H143" s="11">
        <f>SUMIFS(Ventas[Cantidad],Ventas[Codigo],Stock[Codigo])</f>
        <v>0</v>
      </c>
      <c r="I143" s="12">
        <f>Stock[[#This Row],[Stock Deposito]]*Stock[[#This Row],[Precio de Compra]]</f>
        <v>700</v>
      </c>
      <c r="J143" s="6">
        <f>SUMIFS(ProdDesc[Cantidad],ProdDesc[Codigo],Stock[Codigo])</f>
        <v>0</v>
      </c>
      <c r="K143" s="44">
        <f>Stock[[#This Row],[Compra Cultivate]]-Stock[[#This Row],[Salidas]]-Stock[[#This Row],[Usados]]</f>
        <v>1</v>
      </c>
      <c r="L143" s="24">
        <f>Stock[[#This Row],[Stock Deposito]]*Stock[[#This Row],[Precio de Venta]]</f>
        <v>1500</v>
      </c>
      <c r="M143" s="6">
        <f>SUMIFS(Tabla9[Cantidad],Tabla9[Codigo],Stock[Codigo])</f>
        <v>1</v>
      </c>
      <c r="N143" s="24">
        <f>Stock[[#This Row],[Precio de Compra]]*Stock[[#This Row],[Stock Cultivate]]</f>
        <v>700</v>
      </c>
      <c r="O143" s="24">
        <f>Stock[[#This Row],[Stock Cultivate]]*Stock[[#This Row],[Precio de Venta]]</f>
        <v>1500</v>
      </c>
      <c r="R143" s="16"/>
    </row>
    <row r="144" spans="2:18">
      <c r="B144" s="44">
        <v>789</v>
      </c>
      <c r="C144" t="s">
        <v>986</v>
      </c>
      <c r="D144" s="45">
        <v>700</v>
      </c>
      <c r="E144" s="24">
        <v>1500</v>
      </c>
      <c r="F144" s="44">
        <f>Stock[Entradas]-Stock[Compra Cultivate]</f>
        <v>3</v>
      </c>
      <c r="G144" s="11">
        <f>SUMIFS(Compras[Cantidad],Compras[Codigo],Stock[Codigo])</f>
        <v>3</v>
      </c>
      <c r="H144" s="11">
        <f>SUMIFS(Ventas[Cantidad],Ventas[Codigo],Stock[Codigo])</f>
        <v>0</v>
      </c>
      <c r="I144" s="12">
        <f>Stock[[#This Row],[Stock Deposito]]*Stock[[#This Row],[Precio de Compra]]</f>
        <v>2100</v>
      </c>
      <c r="J144" s="6">
        <f>SUMIFS(ProdDesc[Cantidad],ProdDesc[Codigo],Stock[Codigo])</f>
        <v>0</v>
      </c>
      <c r="K144" s="44">
        <f>Stock[[#This Row],[Compra Cultivate]]-Stock[[#This Row],[Salidas]]-Stock[[#This Row],[Usados]]</f>
        <v>0</v>
      </c>
      <c r="L144" s="24">
        <f>Stock[[#This Row],[Stock Deposito]]*Stock[[#This Row],[Precio de Venta]]</f>
        <v>4500</v>
      </c>
      <c r="M144" s="6">
        <f>SUMIFS(Tabla9[Cantidad],Tabla9[Codigo],Stock[Codigo])</f>
        <v>0</v>
      </c>
      <c r="N144" s="24">
        <f>Stock[[#This Row],[Precio de Compra]]*Stock[[#This Row],[Stock Cultivate]]</f>
        <v>0</v>
      </c>
      <c r="O144" s="24">
        <f>Stock[[#This Row],[Stock Cultivate]]*Stock[[#This Row],[Precio de Venta]]</f>
        <v>0</v>
      </c>
      <c r="R144" s="16"/>
    </row>
    <row r="145" spans="2:18">
      <c r="B145" s="44">
        <v>788</v>
      </c>
      <c r="C145" t="s">
        <v>985</v>
      </c>
      <c r="D145" s="45">
        <v>700</v>
      </c>
      <c r="E145" s="24">
        <v>1500</v>
      </c>
      <c r="F145" s="44">
        <f>Stock[Entradas]-Stock[Compra Cultivate]</f>
        <v>5</v>
      </c>
      <c r="G145" s="11">
        <f>SUMIFS(Compras[Cantidad],Compras[Codigo],Stock[Codigo])</f>
        <v>5</v>
      </c>
      <c r="H145" s="11">
        <f>SUMIFS(Ventas[Cantidad],Ventas[Codigo],Stock[Codigo])</f>
        <v>0</v>
      </c>
      <c r="I145" s="12">
        <f>Stock[[#This Row],[Stock Deposito]]*Stock[[#This Row],[Precio de Compra]]</f>
        <v>3500</v>
      </c>
      <c r="J145" s="6">
        <f>SUMIFS(ProdDesc[Cantidad],ProdDesc[Codigo],Stock[Codigo])</f>
        <v>0</v>
      </c>
      <c r="K145" s="44">
        <f>Stock[[#This Row],[Compra Cultivate]]-Stock[[#This Row],[Salidas]]-Stock[[#This Row],[Usados]]</f>
        <v>0</v>
      </c>
      <c r="L145" s="24">
        <f>Stock[[#This Row],[Stock Deposito]]*Stock[[#This Row],[Precio de Venta]]</f>
        <v>7500</v>
      </c>
      <c r="M145" s="6">
        <f>SUMIFS(Tabla9[Cantidad],Tabla9[Codigo],Stock[Codigo])</f>
        <v>0</v>
      </c>
      <c r="N145" s="24">
        <f>Stock[[#This Row],[Precio de Compra]]*Stock[[#This Row],[Stock Cultivate]]</f>
        <v>0</v>
      </c>
      <c r="O145" s="24">
        <f>Stock[[#This Row],[Stock Cultivate]]*Stock[[#This Row],[Precio de Venta]]</f>
        <v>0</v>
      </c>
      <c r="R145" s="16"/>
    </row>
    <row r="146" spans="2:18">
      <c r="B146" s="44">
        <v>787</v>
      </c>
      <c r="C146" t="s">
        <v>984</v>
      </c>
      <c r="D146" s="45">
        <v>550</v>
      </c>
      <c r="E146" s="24">
        <v>1200</v>
      </c>
      <c r="F146" s="44">
        <f>Stock[Entradas]-Stock[Compra Cultivate]</f>
        <v>4</v>
      </c>
      <c r="G146" s="11">
        <f>SUMIFS(Compras[Cantidad],Compras[Codigo],Stock[Codigo])</f>
        <v>5</v>
      </c>
      <c r="H146" s="11">
        <f>SUMIFS(Ventas[Cantidad],Ventas[Codigo],Stock[Codigo])</f>
        <v>0</v>
      </c>
      <c r="I146" s="12">
        <f>Stock[[#This Row],[Stock Deposito]]*Stock[[#This Row],[Precio de Compra]]</f>
        <v>2200</v>
      </c>
      <c r="J146" s="6">
        <f>SUMIFS(ProdDesc[Cantidad],ProdDesc[Codigo],Stock[Codigo])</f>
        <v>0</v>
      </c>
      <c r="K146" s="44">
        <f>Stock[[#This Row],[Compra Cultivate]]-Stock[[#This Row],[Salidas]]-Stock[[#This Row],[Usados]]</f>
        <v>1</v>
      </c>
      <c r="L146" s="24">
        <f>Stock[[#This Row],[Stock Deposito]]*Stock[[#This Row],[Precio de Venta]]</f>
        <v>4800</v>
      </c>
      <c r="M146" s="6">
        <f>SUMIFS(Tabla9[Cantidad],Tabla9[Codigo],Stock[Codigo])</f>
        <v>1</v>
      </c>
      <c r="N146" s="24">
        <f>Stock[[#This Row],[Precio de Compra]]*Stock[[#This Row],[Stock Cultivate]]</f>
        <v>550</v>
      </c>
      <c r="O146" s="24">
        <f>Stock[[#This Row],[Stock Cultivate]]*Stock[[#This Row],[Precio de Venta]]</f>
        <v>1200</v>
      </c>
      <c r="R146" s="16"/>
    </row>
    <row r="147" spans="2:18">
      <c r="B147" s="44">
        <v>786</v>
      </c>
      <c r="C147" t="s">
        <v>983</v>
      </c>
      <c r="D147" s="45">
        <v>600</v>
      </c>
      <c r="E147" s="24">
        <v>1500</v>
      </c>
      <c r="F147" s="44">
        <f>Stock[Entradas]-Stock[Compra Cultivate]</f>
        <v>2</v>
      </c>
      <c r="G147" s="11">
        <f>SUMIFS(Compras[Cantidad],Compras[Codigo],Stock[Codigo])</f>
        <v>2</v>
      </c>
      <c r="H147" s="11">
        <f>SUMIFS(Ventas[Cantidad],Ventas[Codigo],Stock[Codigo])</f>
        <v>0</v>
      </c>
      <c r="I147" s="12">
        <f>Stock[[#This Row],[Stock Deposito]]*Stock[[#This Row],[Precio de Compra]]</f>
        <v>1200</v>
      </c>
      <c r="J147" s="6">
        <f>SUMIFS(ProdDesc[Cantidad],ProdDesc[Codigo],Stock[Codigo])</f>
        <v>0</v>
      </c>
      <c r="K147" s="44">
        <f>Stock[[#This Row],[Compra Cultivate]]-Stock[[#This Row],[Salidas]]-Stock[[#This Row],[Usados]]</f>
        <v>0</v>
      </c>
      <c r="L147" s="24">
        <f>Stock[[#This Row],[Stock Deposito]]*Stock[[#This Row],[Precio de Venta]]</f>
        <v>3000</v>
      </c>
      <c r="M147" s="6">
        <f>SUMIFS(Tabla9[Cantidad],Tabla9[Codigo],Stock[Codigo])</f>
        <v>0</v>
      </c>
      <c r="N147" s="24">
        <f>Stock[[#This Row],[Precio de Compra]]*Stock[[#This Row],[Stock Cultivate]]</f>
        <v>0</v>
      </c>
      <c r="O147" s="24">
        <f>Stock[[#This Row],[Stock Cultivate]]*Stock[[#This Row],[Precio de Venta]]</f>
        <v>0</v>
      </c>
      <c r="R147" s="16"/>
    </row>
    <row r="148" spans="2:18">
      <c r="B148" s="44">
        <v>785</v>
      </c>
      <c r="C148" t="s">
        <v>982</v>
      </c>
      <c r="D148" s="45">
        <v>650</v>
      </c>
      <c r="E148" s="24">
        <v>1500</v>
      </c>
      <c r="F148" s="44">
        <f>Stock[Entradas]-Stock[Compra Cultivate]</f>
        <v>4</v>
      </c>
      <c r="G148" s="11">
        <f>SUMIFS(Compras[Cantidad],Compras[Codigo],Stock[Codigo])</f>
        <v>4</v>
      </c>
      <c r="H148" s="11">
        <f>SUMIFS(Ventas[Cantidad],Ventas[Codigo],Stock[Codigo])</f>
        <v>0</v>
      </c>
      <c r="I148" s="12">
        <f>Stock[[#This Row],[Stock Deposito]]*Stock[[#This Row],[Precio de Compra]]</f>
        <v>2600</v>
      </c>
      <c r="J148" s="6">
        <f>SUMIFS(ProdDesc[Cantidad],ProdDesc[Codigo],Stock[Codigo])</f>
        <v>0</v>
      </c>
      <c r="K148" s="44">
        <f>Stock[[#This Row],[Compra Cultivate]]-Stock[[#This Row],[Salidas]]-Stock[[#This Row],[Usados]]</f>
        <v>0</v>
      </c>
      <c r="L148" s="24">
        <f>Stock[[#This Row],[Stock Deposito]]*Stock[[#This Row],[Precio de Venta]]</f>
        <v>6000</v>
      </c>
      <c r="M148" s="6">
        <f>SUMIFS(Tabla9[Cantidad],Tabla9[Codigo],Stock[Codigo])</f>
        <v>0</v>
      </c>
      <c r="N148" s="24">
        <f>Stock[[#This Row],[Precio de Compra]]*Stock[[#This Row],[Stock Cultivate]]</f>
        <v>0</v>
      </c>
      <c r="O148" s="24">
        <f>Stock[[#This Row],[Stock Cultivate]]*Stock[[#This Row],[Precio de Venta]]</f>
        <v>0</v>
      </c>
      <c r="R148" s="16"/>
    </row>
    <row r="149" spans="2:18">
      <c r="B149" s="44">
        <v>784</v>
      </c>
      <c r="C149" t="s">
        <v>1105</v>
      </c>
      <c r="D149" s="45">
        <v>650</v>
      </c>
      <c r="E149" s="24">
        <v>1500</v>
      </c>
      <c r="F149" s="44">
        <f>Stock[Entradas]-Stock[Compra Cultivate]</f>
        <v>4</v>
      </c>
      <c r="G149" s="11">
        <f>SUMIFS(Compras[Cantidad],Compras[Codigo],Stock[Codigo])</f>
        <v>4</v>
      </c>
      <c r="H149" s="11">
        <f>SUMIFS(Ventas[Cantidad],Ventas[Codigo],Stock[Codigo])</f>
        <v>0</v>
      </c>
      <c r="I149" s="12">
        <f>Stock[[#This Row],[Stock Deposito]]*Stock[[#This Row],[Precio de Compra]]</f>
        <v>2600</v>
      </c>
      <c r="J149" s="6">
        <f>SUMIFS(ProdDesc[Cantidad],ProdDesc[Codigo],Stock[Codigo])</f>
        <v>0</v>
      </c>
      <c r="K149" s="44">
        <f>Stock[[#This Row],[Compra Cultivate]]-Stock[[#This Row],[Salidas]]-Stock[[#This Row],[Usados]]</f>
        <v>0</v>
      </c>
      <c r="L149" s="24">
        <f>Stock[[#This Row],[Stock Deposito]]*Stock[[#This Row],[Precio de Venta]]</f>
        <v>6000</v>
      </c>
      <c r="M149" s="6">
        <f>SUMIFS(Tabla9[Cantidad],Tabla9[Codigo],Stock[Codigo])</f>
        <v>0</v>
      </c>
      <c r="N149" s="24">
        <f>Stock[[#This Row],[Precio de Compra]]*Stock[[#This Row],[Stock Cultivate]]</f>
        <v>0</v>
      </c>
      <c r="O149" s="24">
        <f>Stock[[#This Row],[Stock Cultivate]]*Stock[[#This Row],[Precio de Venta]]</f>
        <v>0</v>
      </c>
      <c r="R149" s="16"/>
    </row>
    <row r="150" spans="2:18">
      <c r="B150" s="44">
        <v>783</v>
      </c>
      <c r="C150" t="s">
        <v>981</v>
      </c>
      <c r="D150" s="45">
        <v>500</v>
      </c>
      <c r="E150" s="24">
        <v>1200</v>
      </c>
      <c r="F150" s="44">
        <f>Stock[Entradas]-Stock[Compra Cultivate]</f>
        <v>2</v>
      </c>
      <c r="G150" s="11">
        <f>SUMIFS(Compras[Cantidad],Compras[Codigo],Stock[Codigo])</f>
        <v>2</v>
      </c>
      <c r="H150" s="11">
        <f>SUMIFS(Ventas[Cantidad],Ventas[Codigo],Stock[Codigo])</f>
        <v>0</v>
      </c>
      <c r="I150" s="12">
        <f>Stock[[#This Row],[Stock Deposito]]*Stock[[#This Row],[Precio de Compra]]</f>
        <v>1000</v>
      </c>
      <c r="J150" s="6">
        <f>SUMIFS(ProdDesc[Cantidad],ProdDesc[Codigo],Stock[Codigo])</f>
        <v>0</v>
      </c>
      <c r="K150" s="44">
        <f>Stock[[#This Row],[Compra Cultivate]]-Stock[[#This Row],[Salidas]]-Stock[[#This Row],[Usados]]</f>
        <v>0</v>
      </c>
      <c r="L150" s="24">
        <f>Stock[[#This Row],[Stock Deposito]]*Stock[[#This Row],[Precio de Venta]]</f>
        <v>2400</v>
      </c>
      <c r="M150" s="6">
        <f>SUMIFS(Tabla9[Cantidad],Tabla9[Codigo],Stock[Codigo])</f>
        <v>0</v>
      </c>
      <c r="N150" s="24">
        <f>Stock[[#This Row],[Precio de Compra]]*Stock[[#This Row],[Stock Cultivate]]</f>
        <v>0</v>
      </c>
      <c r="O150" s="24">
        <f>Stock[[#This Row],[Stock Cultivate]]*Stock[[#This Row],[Precio de Venta]]</f>
        <v>0</v>
      </c>
      <c r="R150" s="16"/>
    </row>
    <row r="151" spans="2:18">
      <c r="B151" s="44">
        <v>782</v>
      </c>
      <c r="C151" t="s">
        <v>980</v>
      </c>
      <c r="D151" s="45">
        <v>700</v>
      </c>
      <c r="E151" s="24">
        <v>2000</v>
      </c>
      <c r="F151" s="44">
        <f>Stock[Entradas]-Stock[Compra Cultivate]</f>
        <v>3</v>
      </c>
      <c r="G151" s="11">
        <f>SUMIFS(Compras[Cantidad],Compras[Codigo],Stock[Codigo])</f>
        <v>3</v>
      </c>
      <c r="H151" s="11">
        <f>SUMIFS(Ventas[Cantidad],Ventas[Codigo],Stock[Codigo])</f>
        <v>0</v>
      </c>
      <c r="I151" s="12">
        <f>Stock[[#This Row],[Stock Deposito]]*Stock[[#This Row],[Precio de Compra]]</f>
        <v>2100</v>
      </c>
      <c r="J151" s="6">
        <f>SUMIFS(ProdDesc[Cantidad],ProdDesc[Codigo],Stock[Codigo])</f>
        <v>0</v>
      </c>
      <c r="K151" s="44">
        <f>Stock[[#This Row],[Compra Cultivate]]-Stock[[#This Row],[Salidas]]-Stock[[#This Row],[Usados]]</f>
        <v>0</v>
      </c>
      <c r="L151" s="24">
        <f>Stock[[#This Row],[Stock Deposito]]*Stock[[#This Row],[Precio de Venta]]</f>
        <v>6000</v>
      </c>
      <c r="M151" s="6">
        <f>SUMIFS(Tabla9[Cantidad],Tabla9[Codigo],Stock[Codigo])</f>
        <v>0</v>
      </c>
      <c r="N151" s="24">
        <f>Stock[[#This Row],[Precio de Compra]]*Stock[[#This Row],[Stock Cultivate]]</f>
        <v>0</v>
      </c>
      <c r="O151" s="24">
        <f>Stock[[#This Row],[Stock Cultivate]]*Stock[[#This Row],[Precio de Venta]]</f>
        <v>0</v>
      </c>
      <c r="R151" s="16"/>
    </row>
    <row r="152" spans="2:18">
      <c r="B152" s="44">
        <v>781</v>
      </c>
      <c r="C152" t="s">
        <v>979</v>
      </c>
      <c r="D152" s="45">
        <v>200</v>
      </c>
      <c r="E152" s="24">
        <v>400</v>
      </c>
      <c r="F152" s="44">
        <f>Stock[Entradas]-Stock[Compra Cultivate]</f>
        <v>2</v>
      </c>
      <c r="G152" s="11">
        <f>SUMIFS(Compras[Cantidad],Compras[Codigo],Stock[Codigo])</f>
        <v>2</v>
      </c>
      <c r="H152" s="11">
        <f>SUMIFS(Ventas[Cantidad],Ventas[Codigo],Stock[Codigo])</f>
        <v>0</v>
      </c>
      <c r="I152" s="12">
        <f>Stock[[#This Row],[Stock Deposito]]*Stock[[#This Row],[Precio de Compra]]</f>
        <v>400</v>
      </c>
      <c r="J152" s="6">
        <f>SUMIFS(ProdDesc[Cantidad],ProdDesc[Codigo],Stock[Codigo])</f>
        <v>0</v>
      </c>
      <c r="K152" s="44">
        <f>Stock[[#This Row],[Compra Cultivate]]-Stock[[#This Row],[Salidas]]-Stock[[#This Row],[Usados]]</f>
        <v>0</v>
      </c>
      <c r="L152" s="24">
        <f>Stock[[#This Row],[Stock Deposito]]*Stock[[#This Row],[Precio de Venta]]</f>
        <v>800</v>
      </c>
      <c r="M152" s="6">
        <f>SUMIFS(Tabla9[Cantidad],Tabla9[Codigo],Stock[Codigo])</f>
        <v>0</v>
      </c>
      <c r="N152" s="24">
        <f>Stock[[#This Row],[Precio de Compra]]*Stock[[#This Row],[Stock Cultivate]]</f>
        <v>0</v>
      </c>
      <c r="O152" s="24">
        <f>Stock[[#This Row],[Stock Cultivate]]*Stock[[#This Row],[Precio de Venta]]</f>
        <v>0</v>
      </c>
      <c r="R152" s="16"/>
    </row>
    <row r="153" spans="2:18">
      <c r="B153" s="44">
        <v>780</v>
      </c>
      <c r="C153" t="s">
        <v>978</v>
      </c>
      <c r="D153" s="45">
        <v>200</v>
      </c>
      <c r="E153" s="24">
        <v>400</v>
      </c>
      <c r="F153" s="44">
        <f>Stock[Entradas]-Stock[Compra Cultivate]</f>
        <v>4</v>
      </c>
      <c r="G153" s="11">
        <f>SUMIFS(Compras[Cantidad],Compras[Codigo],Stock[Codigo])</f>
        <v>4</v>
      </c>
      <c r="H153" s="11">
        <f>SUMIFS(Ventas[Cantidad],Ventas[Codigo],Stock[Codigo])</f>
        <v>0</v>
      </c>
      <c r="I153" s="12">
        <f>Stock[[#This Row],[Stock Deposito]]*Stock[[#This Row],[Precio de Compra]]</f>
        <v>800</v>
      </c>
      <c r="J153" s="6">
        <f>SUMIFS(ProdDesc[Cantidad],ProdDesc[Codigo],Stock[Codigo])</f>
        <v>0</v>
      </c>
      <c r="K153" s="44">
        <f>Stock[[#This Row],[Compra Cultivate]]-Stock[[#This Row],[Salidas]]-Stock[[#This Row],[Usados]]</f>
        <v>0</v>
      </c>
      <c r="L153" s="24">
        <f>Stock[[#This Row],[Stock Deposito]]*Stock[[#This Row],[Precio de Venta]]</f>
        <v>1600</v>
      </c>
      <c r="M153" s="6">
        <f>SUMIFS(Tabla9[Cantidad],Tabla9[Codigo],Stock[Codigo])</f>
        <v>0</v>
      </c>
      <c r="N153" s="24">
        <f>Stock[[#This Row],[Precio de Compra]]*Stock[[#This Row],[Stock Cultivate]]</f>
        <v>0</v>
      </c>
      <c r="O153" s="24">
        <f>Stock[[#This Row],[Stock Cultivate]]*Stock[[#This Row],[Precio de Venta]]</f>
        <v>0</v>
      </c>
      <c r="R153" s="16"/>
    </row>
    <row r="154" spans="2:18">
      <c r="B154" s="44">
        <v>779</v>
      </c>
      <c r="C154" t="s">
        <v>977</v>
      </c>
      <c r="D154" s="45">
        <v>400</v>
      </c>
      <c r="E154" s="24">
        <v>1000</v>
      </c>
      <c r="F154" s="44">
        <f>Stock[Entradas]-Stock[Compra Cultivate]</f>
        <v>2</v>
      </c>
      <c r="G154" s="11">
        <f>SUMIFS(Compras[Cantidad],Compras[Codigo],Stock[Codigo])</f>
        <v>2</v>
      </c>
      <c r="H154" s="11">
        <f>SUMIFS(Ventas[Cantidad],Ventas[Codigo],Stock[Codigo])</f>
        <v>0</v>
      </c>
      <c r="I154" s="12">
        <f>Stock[[#This Row],[Stock Deposito]]*Stock[[#This Row],[Precio de Compra]]</f>
        <v>800</v>
      </c>
      <c r="J154" s="6">
        <f>SUMIFS(ProdDesc[Cantidad],ProdDesc[Codigo],Stock[Codigo])</f>
        <v>0</v>
      </c>
      <c r="K154" s="44">
        <f>Stock[[#This Row],[Compra Cultivate]]-Stock[[#This Row],[Salidas]]-Stock[[#This Row],[Usados]]</f>
        <v>0</v>
      </c>
      <c r="L154" s="24">
        <f>Stock[[#This Row],[Stock Deposito]]*Stock[[#This Row],[Precio de Venta]]</f>
        <v>2000</v>
      </c>
      <c r="M154" s="6">
        <f>SUMIFS(Tabla9[Cantidad],Tabla9[Codigo],Stock[Codigo])</f>
        <v>0</v>
      </c>
      <c r="N154" s="24">
        <f>Stock[[#This Row],[Precio de Compra]]*Stock[[#This Row],[Stock Cultivate]]</f>
        <v>0</v>
      </c>
      <c r="O154" s="24">
        <f>Stock[[#This Row],[Stock Cultivate]]*Stock[[#This Row],[Precio de Venta]]</f>
        <v>0</v>
      </c>
      <c r="R154" s="16"/>
    </row>
    <row r="155" spans="2:18">
      <c r="B155" s="44">
        <v>778</v>
      </c>
      <c r="C155" t="s">
        <v>976</v>
      </c>
      <c r="D155" s="45">
        <v>400</v>
      </c>
      <c r="E155" s="24">
        <v>1000</v>
      </c>
      <c r="F155" s="44">
        <f>Stock[Entradas]-Stock[Compra Cultivate]</f>
        <v>5</v>
      </c>
      <c r="G155" s="11">
        <f>SUMIFS(Compras[Cantidad],Compras[Codigo],Stock[Codigo])</f>
        <v>5</v>
      </c>
      <c r="H155" s="11">
        <f>SUMIFS(Ventas[Cantidad],Ventas[Codigo],Stock[Codigo])</f>
        <v>0</v>
      </c>
      <c r="I155" s="12">
        <f>Stock[[#This Row],[Stock Deposito]]*Stock[[#This Row],[Precio de Compra]]</f>
        <v>2000</v>
      </c>
      <c r="J155" s="6">
        <f>SUMIFS(ProdDesc[Cantidad],ProdDesc[Codigo],Stock[Codigo])</f>
        <v>0</v>
      </c>
      <c r="K155" s="44">
        <f>Stock[[#This Row],[Compra Cultivate]]-Stock[[#This Row],[Salidas]]-Stock[[#This Row],[Usados]]</f>
        <v>0</v>
      </c>
      <c r="L155" s="24">
        <f>Stock[[#This Row],[Stock Deposito]]*Stock[[#This Row],[Precio de Venta]]</f>
        <v>5000</v>
      </c>
      <c r="M155" s="6">
        <f>SUMIFS(Tabla9[Cantidad],Tabla9[Codigo],Stock[Codigo])</f>
        <v>0</v>
      </c>
      <c r="N155" s="24">
        <f>Stock[[#This Row],[Precio de Compra]]*Stock[[#This Row],[Stock Cultivate]]</f>
        <v>0</v>
      </c>
      <c r="O155" s="24">
        <f>Stock[[#This Row],[Stock Cultivate]]*Stock[[#This Row],[Precio de Venta]]</f>
        <v>0</v>
      </c>
      <c r="R155" s="16"/>
    </row>
    <row r="156" spans="2:18">
      <c r="B156" s="44">
        <v>777</v>
      </c>
      <c r="C156" t="s">
        <v>975</v>
      </c>
      <c r="D156" s="45">
        <v>400</v>
      </c>
      <c r="E156" s="24">
        <v>1000</v>
      </c>
      <c r="F156" s="44">
        <f>Stock[Entradas]-Stock[Compra Cultivate]</f>
        <v>2</v>
      </c>
      <c r="G156" s="11">
        <f>SUMIFS(Compras[Cantidad],Compras[Codigo],Stock[Codigo])</f>
        <v>2</v>
      </c>
      <c r="H156" s="11">
        <f>SUMIFS(Ventas[Cantidad],Ventas[Codigo],Stock[Codigo])</f>
        <v>0</v>
      </c>
      <c r="I156" s="12">
        <f>Stock[[#This Row],[Stock Deposito]]*Stock[[#This Row],[Precio de Compra]]</f>
        <v>800</v>
      </c>
      <c r="J156" s="6">
        <f>SUMIFS(ProdDesc[Cantidad],ProdDesc[Codigo],Stock[Codigo])</f>
        <v>0</v>
      </c>
      <c r="K156" s="44">
        <f>Stock[[#This Row],[Compra Cultivate]]-Stock[[#This Row],[Salidas]]-Stock[[#This Row],[Usados]]</f>
        <v>0</v>
      </c>
      <c r="L156" s="24">
        <f>Stock[[#This Row],[Stock Deposito]]*Stock[[#This Row],[Precio de Venta]]</f>
        <v>2000</v>
      </c>
      <c r="M156" s="6">
        <f>SUMIFS(Tabla9[Cantidad],Tabla9[Codigo],Stock[Codigo])</f>
        <v>0</v>
      </c>
      <c r="N156" s="24">
        <f>Stock[[#This Row],[Precio de Compra]]*Stock[[#This Row],[Stock Cultivate]]</f>
        <v>0</v>
      </c>
      <c r="O156" s="24">
        <f>Stock[[#This Row],[Stock Cultivate]]*Stock[[#This Row],[Precio de Venta]]</f>
        <v>0</v>
      </c>
      <c r="R156" s="16"/>
    </row>
    <row r="157" spans="2:18">
      <c r="B157" s="44">
        <v>776</v>
      </c>
      <c r="C157" t="s">
        <v>974</v>
      </c>
      <c r="D157" s="45">
        <v>350</v>
      </c>
      <c r="E157" s="24">
        <v>800</v>
      </c>
      <c r="F157" s="44">
        <f>Stock[Entradas]-Stock[Compra Cultivate]</f>
        <v>1</v>
      </c>
      <c r="G157" s="11">
        <f>SUMIFS(Compras[Cantidad],Compras[Codigo],Stock[Codigo])</f>
        <v>1</v>
      </c>
      <c r="H157" s="11">
        <f>SUMIFS(Ventas[Cantidad],Ventas[Codigo],Stock[Codigo])</f>
        <v>0</v>
      </c>
      <c r="I157" s="12">
        <f>Stock[[#This Row],[Stock Deposito]]*Stock[[#This Row],[Precio de Compra]]</f>
        <v>350</v>
      </c>
      <c r="J157" s="6">
        <f>SUMIFS(ProdDesc[Cantidad],ProdDesc[Codigo],Stock[Codigo])</f>
        <v>0</v>
      </c>
      <c r="K157" s="44">
        <f>Stock[[#This Row],[Compra Cultivate]]-Stock[[#This Row],[Salidas]]-Stock[[#This Row],[Usados]]</f>
        <v>0</v>
      </c>
      <c r="L157" s="24">
        <f>Stock[[#This Row],[Stock Deposito]]*Stock[[#This Row],[Precio de Venta]]</f>
        <v>800</v>
      </c>
      <c r="M157" s="6">
        <f>SUMIFS(Tabla9[Cantidad],Tabla9[Codigo],Stock[Codigo])</f>
        <v>0</v>
      </c>
      <c r="N157" s="24">
        <f>Stock[[#This Row],[Precio de Compra]]*Stock[[#This Row],[Stock Cultivate]]</f>
        <v>0</v>
      </c>
      <c r="O157" s="24">
        <f>Stock[[#This Row],[Stock Cultivate]]*Stock[[#This Row],[Precio de Venta]]</f>
        <v>0</v>
      </c>
      <c r="R157" s="16"/>
    </row>
    <row r="158" spans="2:18">
      <c r="B158" s="44">
        <v>775</v>
      </c>
      <c r="C158" t="s">
        <v>973</v>
      </c>
      <c r="D158" s="45">
        <v>350</v>
      </c>
      <c r="E158" s="24">
        <v>800</v>
      </c>
      <c r="F158" s="44">
        <f>Stock[Entradas]-Stock[Compra Cultivate]</f>
        <v>1</v>
      </c>
      <c r="G158" s="11">
        <f>SUMIFS(Compras[Cantidad],Compras[Codigo],Stock[Codigo])</f>
        <v>1</v>
      </c>
      <c r="H158" s="11">
        <f>SUMIFS(Ventas[Cantidad],Ventas[Codigo],Stock[Codigo])</f>
        <v>0</v>
      </c>
      <c r="I158" s="12">
        <f>Stock[[#This Row],[Stock Deposito]]*Stock[[#This Row],[Precio de Compra]]</f>
        <v>350</v>
      </c>
      <c r="J158" s="6">
        <f>SUMIFS(ProdDesc[Cantidad],ProdDesc[Codigo],Stock[Codigo])</f>
        <v>0</v>
      </c>
      <c r="K158" s="44">
        <f>Stock[[#This Row],[Compra Cultivate]]-Stock[[#This Row],[Salidas]]-Stock[[#This Row],[Usados]]</f>
        <v>0</v>
      </c>
      <c r="L158" s="24">
        <f>Stock[[#This Row],[Stock Deposito]]*Stock[[#This Row],[Precio de Venta]]</f>
        <v>800</v>
      </c>
      <c r="M158" s="6">
        <f>SUMIFS(Tabla9[Cantidad],Tabla9[Codigo],Stock[Codigo])</f>
        <v>0</v>
      </c>
      <c r="N158" s="24">
        <f>Stock[[#This Row],[Precio de Compra]]*Stock[[#This Row],[Stock Cultivate]]</f>
        <v>0</v>
      </c>
      <c r="O158" s="24">
        <f>Stock[[#This Row],[Stock Cultivate]]*Stock[[#This Row],[Precio de Venta]]</f>
        <v>0</v>
      </c>
      <c r="R158" s="16"/>
    </row>
    <row r="159" spans="2:18">
      <c r="B159" s="44">
        <v>774</v>
      </c>
      <c r="C159" t="s">
        <v>972</v>
      </c>
      <c r="D159" s="45">
        <v>200</v>
      </c>
      <c r="E159" s="24">
        <v>600</v>
      </c>
      <c r="F159" s="44">
        <f>Stock[Entradas]-Stock[Compra Cultivate]</f>
        <v>2</v>
      </c>
      <c r="G159" s="11">
        <f>SUMIFS(Compras[Cantidad],Compras[Codigo],Stock[Codigo])</f>
        <v>2</v>
      </c>
      <c r="H159" s="11">
        <f>SUMIFS(Ventas[Cantidad],Ventas[Codigo],Stock[Codigo])</f>
        <v>0</v>
      </c>
      <c r="I159" s="12">
        <f>Stock[[#This Row],[Stock Deposito]]*Stock[[#This Row],[Precio de Compra]]</f>
        <v>400</v>
      </c>
      <c r="J159" s="6">
        <f>SUMIFS(ProdDesc[Cantidad],ProdDesc[Codigo],Stock[Codigo])</f>
        <v>0</v>
      </c>
      <c r="K159" s="44">
        <f>Stock[[#This Row],[Compra Cultivate]]-Stock[[#This Row],[Salidas]]-Stock[[#This Row],[Usados]]</f>
        <v>0</v>
      </c>
      <c r="L159" s="24">
        <f>Stock[[#This Row],[Stock Deposito]]*Stock[[#This Row],[Precio de Venta]]</f>
        <v>1200</v>
      </c>
      <c r="M159" s="6">
        <f>SUMIFS(Tabla9[Cantidad],Tabla9[Codigo],Stock[Codigo])</f>
        <v>0</v>
      </c>
      <c r="N159" s="24">
        <f>Stock[[#This Row],[Precio de Compra]]*Stock[[#This Row],[Stock Cultivate]]</f>
        <v>0</v>
      </c>
      <c r="O159" s="24">
        <f>Stock[[#This Row],[Stock Cultivate]]*Stock[[#This Row],[Precio de Venta]]</f>
        <v>0</v>
      </c>
      <c r="R159" s="16"/>
    </row>
    <row r="160" spans="2:18">
      <c r="B160" s="44">
        <v>773</v>
      </c>
      <c r="C160" t="s">
        <v>971</v>
      </c>
      <c r="D160" s="45">
        <v>200</v>
      </c>
      <c r="E160" s="24">
        <v>500</v>
      </c>
      <c r="F160" s="44">
        <f>Stock[Entradas]-Stock[Compra Cultivate]</f>
        <v>2</v>
      </c>
      <c r="G160" s="11">
        <f>SUMIFS(Compras[Cantidad],Compras[Codigo],Stock[Codigo])</f>
        <v>2</v>
      </c>
      <c r="H160" s="11">
        <f>SUMIFS(Ventas[Cantidad],Ventas[Codigo],Stock[Codigo])</f>
        <v>0</v>
      </c>
      <c r="I160" s="12">
        <f>Stock[[#This Row],[Stock Deposito]]*Stock[[#This Row],[Precio de Compra]]</f>
        <v>400</v>
      </c>
      <c r="J160" s="6">
        <f>SUMIFS(ProdDesc[Cantidad],ProdDesc[Codigo],Stock[Codigo])</f>
        <v>0</v>
      </c>
      <c r="K160" s="44">
        <f>Stock[[#This Row],[Compra Cultivate]]-Stock[[#This Row],[Salidas]]-Stock[[#This Row],[Usados]]</f>
        <v>0</v>
      </c>
      <c r="L160" s="24">
        <f>Stock[[#This Row],[Stock Deposito]]*Stock[[#This Row],[Precio de Venta]]</f>
        <v>1000</v>
      </c>
      <c r="M160" s="6">
        <f>SUMIFS(Tabla9[Cantidad],Tabla9[Codigo],Stock[Codigo])</f>
        <v>0</v>
      </c>
      <c r="N160" s="24">
        <f>Stock[[#This Row],[Precio de Compra]]*Stock[[#This Row],[Stock Cultivate]]</f>
        <v>0</v>
      </c>
      <c r="O160" s="24">
        <f>Stock[[#This Row],[Stock Cultivate]]*Stock[[#This Row],[Precio de Venta]]</f>
        <v>0</v>
      </c>
      <c r="R160" s="16"/>
    </row>
    <row r="161" spans="2:18">
      <c r="B161" s="44">
        <v>772</v>
      </c>
      <c r="C161" t="s">
        <v>970</v>
      </c>
      <c r="D161" s="45">
        <v>250</v>
      </c>
      <c r="E161" s="24">
        <v>600</v>
      </c>
      <c r="F161" s="44">
        <f>Stock[Entradas]-Stock[Compra Cultivate]</f>
        <v>1</v>
      </c>
      <c r="G161" s="11">
        <f>SUMIFS(Compras[Cantidad],Compras[Codigo],Stock[Codigo])</f>
        <v>1</v>
      </c>
      <c r="H161" s="11">
        <f>SUMIFS(Ventas[Cantidad],Ventas[Codigo],Stock[Codigo])</f>
        <v>0</v>
      </c>
      <c r="I161" s="12">
        <f>Stock[[#This Row],[Stock Deposito]]*Stock[[#This Row],[Precio de Compra]]</f>
        <v>250</v>
      </c>
      <c r="J161" s="6">
        <f>SUMIFS(ProdDesc[Cantidad],ProdDesc[Codigo],Stock[Codigo])</f>
        <v>0</v>
      </c>
      <c r="K161" s="44">
        <f>Stock[[#This Row],[Compra Cultivate]]-Stock[[#This Row],[Salidas]]-Stock[[#This Row],[Usados]]</f>
        <v>0</v>
      </c>
      <c r="L161" s="24">
        <f>Stock[[#This Row],[Stock Deposito]]*Stock[[#This Row],[Precio de Venta]]</f>
        <v>600</v>
      </c>
      <c r="M161" s="6">
        <f>SUMIFS(Tabla9[Cantidad],Tabla9[Codigo],Stock[Codigo])</f>
        <v>0</v>
      </c>
      <c r="N161" s="24">
        <f>Stock[[#This Row],[Precio de Compra]]*Stock[[#This Row],[Stock Cultivate]]</f>
        <v>0</v>
      </c>
      <c r="O161" s="24">
        <f>Stock[[#This Row],[Stock Cultivate]]*Stock[[#This Row],[Precio de Venta]]</f>
        <v>0</v>
      </c>
      <c r="R161" s="16"/>
    </row>
    <row r="162" spans="2:18">
      <c r="B162" s="44">
        <v>771</v>
      </c>
      <c r="C162" t="s">
        <v>969</v>
      </c>
      <c r="D162" s="45">
        <v>250</v>
      </c>
      <c r="E162" s="24">
        <v>600</v>
      </c>
      <c r="F162" s="44">
        <f>Stock[Entradas]-Stock[Compra Cultivate]</f>
        <v>1</v>
      </c>
      <c r="G162" s="11">
        <f>SUMIFS(Compras[Cantidad],Compras[Codigo],Stock[Codigo])</f>
        <v>1</v>
      </c>
      <c r="H162" s="11">
        <f>SUMIFS(Ventas[Cantidad],Ventas[Codigo],Stock[Codigo])</f>
        <v>0</v>
      </c>
      <c r="I162" s="12">
        <f>Stock[[#This Row],[Stock Deposito]]*Stock[[#This Row],[Precio de Compra]]</f>
        <v>250</v>
      </c>
      <c r="J162" s="6">
        <f>SUMIFS(ProdDesc[Cantidad],ProdDesc[Codigo],Stock[Codigo])</f>
        <v>0</v>
      </c>
      <c r="K162" s="44">
        <f>Stock[[#This Row],[Compra Cultivate]]-Stock[[#This Row],[Salidas]]-Stock[[#This Row],[Usados]]</f>
        <v>0</v>
      </c>
      <c r="L162" s="24">
        <f>Stock[[#This Row],[Stock Deposito]]*Stock[[#This Row],[Precio de Venta]]</f>
        <v>600</v>
      </c>
      <c r="M162" s="6">
        <f>SUMIFS(Tabla9[Cantidad],Tabla9[Codigo],Stock[Codigo])</f>
        <v>0</v>
      </c>
      <c r="N162" s="24">
        <f>Stock[[#This Row],[Precio de Compra]]*Stock[[#This Row],[Stock Cultivate]]</f>
        <v>0</v>
      </c>
      <c r="O162" s="24">
        <f>Stock[[#This Row],[Stock Cultivate]]*Stock[[#This Row],[Precio de Venta]]</f>
        <v>0</v>
      </c>
      <c r="R162" s="16"/>
    </row>
    <row r="163" spans="2:18">
      <c r="B163" s="44">
        <v>770</v>
      </c>
      <c r="C163" t="s">
        <v>968</v>
      </c>
      <c r="D163" s="45">
        <v>750</v>
      </c>
      <c r="E163" s="24">
        <v>1500</v>
      </c>
      <c r="F163" s="44">
        <f>Stock[Entradas]-Stock[Compra Cultivate]</f>
        <v>3</v>
      </c>
      <c r="G163" s="11">
        <f>SUMIFS(Compras[Cantidad],Compras[Codigo],Stock[Codigo])</f>
        <v>3</v>
      </c>
      <c r="H163" s="11">
        <f>SUMIFS(Ventas[Cantidad],Ventas[Codigo],Stock[Codigo])</f>
        <v>0</v>
      </c>
      <c r="I163" s="12">
        <f>Stock[[#This Row],[Stock Deposito]]*Stock[[#This Row],[Precio de Compra]]</f>
        <v>2250</v>
      </c>
      <c r="J163" s="6">
        <f>SUMIFS(ProdDesc[Cantidad],ProdDesc[Codigo],Stock[Codigo])</f>
        <v>0</v>
      </c>
      <c r="K163" s="44">
        <f>Stock[[#This Row],[Compra Cultivate]]-Stock[[#This Row],[Salidas]]-Stock[[#This Row],[Usados]]</f>
        <v>0</v>
      </c>
      <c r="L163" s="24">
        <f>Stock[[#This Row],[Stock Deposito]]*Stock[[#This Row],[Precio de Venta]]</f>
        <v>4500</v>
      </c>
      <c r="M163" s="6">
        <f>SUMIFS(Tabla9[Cantidad],Tabla9[Codigo],Stock[Codigo])</f>
        <v>0</v>
      </c>
      <c r="N163" s="24">
        <f>Stock[[#This Row],[Precio de Compra]]*Stock[[#This Row],[Stock Cultivate]]</f>
        <v>0</v>
      </c>
      <c r="O163" s="24">
        <f>Stock[[#This Row],[Stock Cultivate]]*Stock[[#This Row],[Precio de Venta]]</f>
        <v>0</v>
      </c>
      <c r="R163" s="16"/>
    </row>
    <row r="164" spans="2:18">
      <c r="B164" s="44">
        <v>769</v>
      </c>
      <c r="C164" t="s">
        <v>967</v>
      </c>
      <c r="D164" s="45">
        <v>750</v>
      </c>
      <c r="E164" s="24">
        <v>1500</v>
      </c>
      <c r="F164" s="44">
        <f>Stock[Entradas]-Stock[Compra Cultivate]</f>
        <v>3</v>
      </c>
      <c r="G164" s="11">
        <f>SUMIFS(Compras[Cantidad],Compras[Codigo],Stock[Codigo])</f>
        <v>3</v>
      </c>
      <c r="H164" s="11">
        <f>SUMIFS(Ventas[Cantidad],Ventas[Codigo],Stock[Codigo])</f>
        <v>0</v>
      </c>
      <c r="I164" s="12">
        <f>Stock[[#This Row],[Stock Deposito]]*Stock[[#This Row],[Precio de Compra]]</f>
        <v>2250</v>
      </c>
      <c r="J164" s="6">
        <f>SUMIFS(ProdDesc[Cantidad],ProdDesc[Codigo],Stock[Codigo])</f>
        <v>0</v>
      </c>
      <c r="K164" s="44">
        <f>Stock[[#This Row],[Compra Cultivate]]-Stock[[#This Row],[Salidas]]-Stock[[#This Row],[Usados]]</f>
        <v>0</v>
      </c>
      <c r="L164" s="24">
        <f>Stock[[#This Row],[Stock Deposito]]*Stock[[#This Row],[Precio de Venta]]</f>
        <v>4500</v>
      </c>
      <c r="M164" s="6">
        <f>SUMIFS(Tabla9[Cantidad],Tabla9[Codigo],Stock[Codigo])</f>
        <v>0</v>
      </c>
      <c r="N164" s="24">
        <f>Stock[[#This Row],[Precio de Compra]]*Stock[[#This Row],[Stock Cultivate]]</f>
        <v>0</v>
      </c>
      <c r="O164" s="24">
        <f>Stock[[#This Row],[Stock Cultivate]]*Stock[[#This Row],[Precio de Venta]]</f>
        <v>0</v>
      </c>
      <c r="R164" s="16"/>
    </row>
    <row r="165" spans="2:18">
      <c r="B165" s="44">
        <v>768</v>
      </c>
      <c r="C165" t="s">
        <v>966</v>
      </c>
      <c r="D165" s="45">
        <v>170</v>
      </c>
      <c r="E165" s="24">
        <v>500</v>
      </c>
      <c r="F165" s="44">
        <f>Stock[Entradas]-Stock[Compra Cultivate]</f>
        <v>4</v>
      </c>
      <c r="G165" s="11">
        <f>SUMIFS(Compras[Cantidad],Compras[Codigo],Stock[Codigo])</f>
        <v>4</v>
      </c>
      <c r="H165" s="11">
        <f>SUMIFS(Ventas[Cantidad],Ventas[Codigo],Stock[Codigo])</f>
        <v>0</v>
      </c>
      <c r="I165" s="12">
        <f>Stock[[#This Row],[Stock Deposito]]*Stock[[#This Row],[Precio de Compra]]</f>
        <v>680</v>
      </c>
      <c r="J165" s="6">
        <f>SUMIFS(ProdDesc[Cantidad],ProdDesc[Codigo],Stock[Codigo])</f>
        <v>0</v>
      </c>
      <c r="K165" s="44">
        <f>Stock[[#This Row],[Compra Cultivate]]-Stock[[#This Row],[Salidas]]-Stock[[#This Row],[Usados]]</f>
        <v>0</v>
      </c>
      <c r="L165" s="24">
        <f>Stock[[#This Row],[Stock Deposito]]*Stock[[#This Row],[Precio de Venta]]</f>
        <v>2000</v>
      </c>
      <c r="M165" s="6">
        <f>SUMIFS(Tabla9[Cantidad],Tabla9[Codigo],Stock[Codigo])</f>
        <v>0</v>
      </c>
      <c r="N165" s="24">
        <f>Stock[[#This Row],[Precio de Compra]]*Stock[[#This Row],[Stock Cultivate]]</f>
        <v>0</v>
      </c>
      <c r="O165" s="24">
        <f>Stock[[#This Row],[Stock Cultivate]]*Stock[[#This Row],[Precio de Venta]]</f>
        <v>0</v>
      </c>
      <c r="R165" s="16"/>
    </row>
    <row r="166" spans="2:18">
      <c r="B166" s="44">
        <v>767</v>
      </c>
      <c r="C166" t="s">
        <v>965</v>
      </c>
      <c r="D166" s="45">
        <v>170</v>
      </c>
      <c r="E166" s="24">
        <v>500</v>
      </c>
      <c r="F166" s="44">
        <f>Stock[Entradas]-Stock[Compra Cultivate]</f>
        <v>3</v>
      </c>
      <c r="G166" s="11">
        <f>SUMIFS(Compras[Cantidad],Compras[Codigo],Stock[Codigo])</f>
        <v>3</v>
      </c>
      <c r="H166" s="11">
        <f>SUMIFS(Ventas[Cantidad],Ventas[Codigo],Stock[Codigo])</f>
        <v>0</v>
      </c>
      <c r="I166" s="12">
        <f>Stock[[#This Row],[Stock Deposito]]*Stock[[#This Row],[Precio de Compra]]</f>
        <v>510</v>
      </c>
      <c r="J166" s="6">
        <f>SUMIFS(ProdDesc[Cantidad],ProdDesc[Codigo],Stock[Codigo])</f>
        <v>0</v>
      </c>
      <c r="K166" s="44">
        <f>Stock[[#This Row],[Compra Cultivate]]-Stock[[#This Row],[Salidas]]-Stock[[#This Row],[Usados]]</f>
        <v>0</v>
      </c>
      <c r="L166" s="24">
        <f>Stock[[#This Row],[Stock Deposito]]*Stock[[#This Row],[Precio de Venta]]</f>
        <v>1500</v>
      </c>
      <c r="M166" s="6">
        <f>SUMIFS(Tabla9[Cantidad],Tabla9[Codigo],Stock[Codigo])</f>
        <v>0</v>
      </c>
      <c r="N166" s="24">
        <f>Stock[[#This Row],[Precio de Compra]]*Stock[[#This Row],[Stock Cultivate]]</f>
        <v>0</v>
      </c>
      <c r="O166" s="24">
        <f>Stock[[#This Row],[Stock Cultivate]]*Stock[[#This Row],[Precio de Venta]]</f>
        <v>0</v>
      </c>
      <c r="R166" s="16"/>
    </row>
    <row r="167" spans="2:18">
      <c r="B167" s="44">
        <v>766</v>
      </c>
      <c r="C167" t="s">
        <v>964</v>
      </c>
      <c r="D167" s="45">
        <v>420</v>
      </c>
      <c r="E167" s="24">
        <v>900</v>
      </c>
      <c r="F167" s="44">
        <f>Stock[Entradas]-Stock[Compra Cultivate]</f>
        <v>4</v>
      </c>
      <c r="G167" s="11">
        <f>SUMIFS(Compras[Cantidad],Compras[Codigo],Stock[Codigo])</f>
        <v>4</v>
      </c>
      <c r="H167" s="11">
        <f>SUMIFS(Ventas[Cantidad],Ventas[Codigo],Stock[Codigo])</f>
        <v>0</v>
      </c>
      <c r="I167" s="12">
        <f>Stock[[#This Row],[Stock Deposito]]*Stock[[#This Row],[Precio de Compra]]</f>
        <v>1680</v>
      </c>
      <c r="J167" s="6">
        <f>SUMIFS(ProdDesc[Cantidad],ProdDesc[Codigo],Stock[Codigo])</f>
        <v>0</v>
      </c>
      <c r="K167" s="44">
        <f>Stock[[#This Row],[Compra Cultivate]]-Stock[[#This Row],[Salidas]]-Stock[[#This Row],[Usados]]</f>
        <v>0</v>
      </c>
      <c r="L167" s="24">
        <f>Stock[[#This Row],[Stock Deposito]]*Stock[[#This Row],[Precio de Venta]]</f>
        <v>3600</v>
      </c>
      <c r="M167" s="6">
        <f>SUMIFS(Tabla9[Cantidad],Tabla9[Codigo],Stock[Codigo])</f>
        <v>0</v>
      </c>
      <c r="N167" s="24">
        <f>Stock[[#This Row],[Precio de Compra]]*Stock[[#This Row],[Stock Cultivate]]</f>
        <v>0</v>
      </c>
      <c r="O167" s="24">
        <f>Stock[[#This Row],[Stock Cultivate]]*Stock[[#This Row],[Precio de Venta]]</f>
        <v>0</v>
      </c>
      <c r="R167" s="16"/>
    </row>
    <row r="168" spans="2:18">
      <c r="B168" s="44">
        <v>765</v>
      </c>
      <c r="C168" t="s">
        <v>963</v>
      </c>
      <c r="D168" s="45">
        <v>400</v>
      </c>
      <c r="E168" s="24">
        <v>800</v>
      </c>
      <c r="F168" s="44">
        <f>Stock[Entradas]-Stock[Compra Cultivate]</f>
        <v>6</v>
      </c>
      <c r="G168" s="11">
        <f>SUMIFS(Compras[Cantidad],Compras[Codigo],Stock[Codigo])</f>
        <v>6</v>
      </c>
      <c r="H168" s="11">
        <f>SUMIFS(Ventas[Cantidad],Ventas[Codigo],Stock[Codigo])</f>
        <v>0</v>
      </c>
      <c r="I168" s="12">
        <f>Stock[[#This Row],[Stock Deposito]]*Stock[[#This Row],[Precio de Compra]]</f>
        <v>2400</v>
      </c>
      <c r="J168" s="6">
        <f>SUMIFS(ProdDesc[Cantidad],ProdDesc[Codigo],Stock[Codigo])</f>
        <v>0</v>
      </c>
      <c r="K168" s="44">
        <f>Stock[[#This Row],[Compra Cultivate]]-Stock[[#This Row],[Salidas]]-Stock[[#This Row],[Usados]]</f>
        <v>0</v>
      </c>
      <c r="L168" s="24">
        <f>Stock[[#This Row],[Stock Deposito]]*Stock[[#This Row],[Precio de Venta]]</f>
        <v>4800</v>
      </c>
      <c r="M168" s="6">
        <f>SUMIFS(Tabla9[Cantidad],Tabla9[Codigo],Stock[Codigo])</f>
        <v>0</v>
      </c>
      <c r="N168" s="24">
        <f>Stock[[#This Row],[Precio de Compra]]*Stock[[#This Row],[Stock Cultivate]]</f>
        <v>0</v>
      </c>
      <c r="O168" s="24">
        <f>Stock[[#This Row],[Stock Cultivate]]*Stock[[#This Row],[Precio de Venta]]</f>
        <v>0</v>
      </c>
      <c r="R168" s="16"/>
    </row>
    <row r="169" spans="2:18">
      <c r="B169" s="44">
        <v>764</v>
      </c>
      <c r="C169" t="s">
        <v>962</v>
      </c>
      <c r="D169" s="45">
        <v>450</v>
      </c>
      <c r="E169" s="24">
        <v>900</v>
      </c>
      <c r="F169" s="44">
        <f>Stock[Entradas]-Stock[Compra Cultivate]</f>
        <v>9</v>
      </c>
      <c r="G169" s="11">
        <f>SUMIFS(Compras[Cantidad],Compras[Codigo],Stock[Codigo])</f>
        <v>9</v>
      </c>
      <c r="H169" s="11">
        <f>SUMIFS(Ventas[Cantidad],Ventas[Codigo],Stock[Codigo])</f>
        <v>0</v>
      </c>
      <c r="I169" s="12">
        <f>Stock[[#This Row],[Stock Deposito]]*Stock[[#This Row],[Precio de Compra]]</f>
        <v>4050</v>
      </c>
      <c r="J169" s="6">
        <f>SUMIFS(ProdDesc[Cantidad],ProdDesc[Codigo],Stock[Codigo])</f>
        <v>0</v>
      </c>
      <c r="K169" s="44">
        <f>Stock[[#This Row],[Compra Cultivate]]-Stock[[#This Row],[Salidas]]-Stock[[#This Row],[Usados]]</f>
        <v>0</v>
      </c>
      <c r="L169" s="24">
        <f>Stock[[#This Row],[Stock Deposito]]*Stock[[#This Row],[Precio de Venta]]</f>
        <v>8100</v>
      </c>
      <c r="M169" s="6">
        <f>SUMIFS(Tabla9[Cantidad],Tabla9[Codigo],Stock[Codigo])</f>
        <v>0</v>
      </c>
      <c r="N169" s="24">
        <f>Stock[[#This Row],[Precio de Compra]]*Stock[[#This Row],[Stock Cultivate]]</f>
        <v>0</v>
      </c>
      <c r="O169" s="24">
        <f>Stock[[#This Row],[Stock Cultivate]]*Stock[[#This Row],[Precio de Venta]]</f>
        <v>0</v>
      </c>
      <c r="R169" s="16"/>
    </row>
    <row r="170" spans="2:18">
      <c r="B170" s="44">
        <v>763</v>
      </c>
      <c r="C170" t="s">
        <v>961</v>
      </c>
      <c r="D170" s="45">
        <v>550</v>
      </c>
      <c r="E170" s="24">
        <v>1200</v>
      </c>
      <c r="F170" s="44">
        <f>Stock[Entradas]-Stock[Compra Cultivate]</f>
        <v>2</v>
      </c>
      <c r="G170" s="11">
        <f>SUMIFS(Compras[Cantidad],Compras[Codigo],Stock[Codigo])</f>
        <v>2</v>
      </c>
      <c r="H170" s="11">
        <f>SUMIFS(Ventas[Cantidad],Ventas[Codigo],Stock[Codigo])</f>
        <v>0</v>
      </c>
      <c r="I170" s="12">
        <f>Stock[[#This Row],[Stock Deposito]]*Stock[[#This Row],[Precio de Compra]]</f>
        <v>1100</v>
      </c>
      <c r="J170" s="6">
        <f>SUMIFS(ProdDesc[Cantidad],ProdDesc[Codigo],Stock[Codigo])</f>
        <v>0</v>
      </c>
      <c r="K170" s="44">
        <f>Stock[[#This Row],[Compra Cultivate]]-Stock[[#This Row],[Salidas]]-Stock[[#This Row],[Usados]]</f>
        <v>0</v>
      </c>
      <c r="L170" s="24">
        <f>Stock[[#This Row],[Stock Deposito]]*Stock[[#This Row],[Precio de Venta]]</f>
        <v>2400</v>
      </c>
      <c r="M170" s="6">
        <f>SUMIFS(Tabla9[Cantidad],Tabla9[Codigo],Stock[Codigo])</f>
        <v>0</v>
      </c>
      <c r="N170" s="24">
        <f>Stock[[#This Row],[Precio de Compra]]*Stock[[#This Row],[Stock Cultivate]]</f>
        <v>0</v>
      </c>
      <c r="O170" s="24">
        <f>Stock[[#This Row],[Stock Cultivate]]*Stock[[#This Row],[Precio de Venta]]</f>
        <v>0</v>
      </c>
      <c r="R170" s="16"/>
    </row>
    <row r="171" spans="2:18">
      <c r="B171" s="44">
        <v>762</v>
      </c>
      <c r="C171" t="s">
        <v>960</v>
      </c>
      <c r="D171" s="45">
        <v>550</v>
      </c>
      <c r="E171" s="24">
        <v>1200</v>
      </c>
      <c r="F171" s="44">
        <f>Stock[Entradas]-Stock[Compra Cultivate]</f>
        <v>3</v>
      </c>
      <c r="G171" s="11">
        <f>SUMIFS(Compras[Cantidad],Compras[Codigo],Stock[Codigo])</f>
        <v>3</v>
      </c>
      <c r="H171" s="11">
        <f>SUMIFS(Ventas[Cantidad],Ventas[Codigo],Stock[Codigo])</f>
        <v>0</v>
      </c>
      <c r="I171" s="12">
        <f>Stock[[#This Row],[Stock Deposito]]*Stock[[#This Row],[Precio de Compra]]</f>
        <v>1650</v>
      </c>
      <c r="J171" s="6">
        <f>SUMIFS(ProdDesc[Cantidad],ProdDesc[Codigo],Stock[Codigo])</f>
        <v>0</v>
      </c>
      <c r="K171" s="44">
        <f>Stock[[#This Row],[Compra Cultivate]]-Stock[[#This Row],[Salidas]]-Stock[[#This Row],[Usados]]</f>
        <v>0</v>
      </c>
      <c r="L171" s="24">
        <f>Stock[[#This Row],[Stock Deposito]]*Stock[[#This Row],[Precio de Venta]]</f>
        <v>3600</v>
      </c>
      <c r="M171" s="6">
        <f>SUMIFS(Tabla9[Cantidad],Tabla9[Codigo],Stock[Codigo])</f>
        <v>0</v>
      </c>
      <c r="N171" s="24">
        <f>Stock[[#This Row],[Precio de Compra]]*Stock[[#This Row],[Stock Cultivate]]</f>
        <v>0</v>
      </c>
      <c r="O171" s="24">
        <f>Stock[[#This Row],[Stock Cultivate]]*Stock[[#This Row],[Precio de Venta]]</f>
        <v>0</v>
      </c>
      <c r="R171" s="16"/>
    </row>
    <row r="172" spans="2:18">
      <c r="B172" s="44">
        <v>761</v>
      </c>
      <c r="C172" t="s">
        <v>959</v>
      </c>
      <c r="D172" s="45">
        <v>550</v>
      </c>
      <c r="E172" s="24">
        <v>1200</v>
      </c>
      <c r="F172" s="44">
        <f>Stock[Entradas]-Stock[Compra Cultivate]</f>
        <v>2</v>
      </c>
      <c r="G172" s="11">
        <f>SUMIFS(Compras[Cantidad],Compras[Codigo],Stock[Codigo])</f>
        <v>2</v>
      </c>
      <c r="H172" s="11">
        <f>SUMIFS(Ventas[Cantidad],Ventas[Codigo],Stock[Codigo])</f>
        <v>0</v>
      </c>
      <c r="I172" s="12">
        <f>Stock[[#This Row],[Stock Deposito]]*Stock[[#This Row],[Precio de Compra]]</f>
        <v>1100</v>
      </c>
      <c r="J172" s="6">
        <f>SUMIFS(ProdDesc[Cantidad],ProdDesc[Codigo],Stock[Codigo])</f>
        <v>0</v>
      </c>
      <c r="K172" s="44">
        <f>Stock[[#This Row],[Compra Cultivate]]-Stock[[#This Row],[Salidas]]-Stock[[#This Row],[Usados]]</f>
        <v>0</v>
      </c>
      <c r="L172" s="24">
        <f>Stock[[#This Row],[Stock Deposito]]*Stock[[#This Row],[Precio de Venta]]</f>
        <v>2400</v>
      </c>
      <c r="M172" s="6">
        <f>SUMIFS(Tabla9[Cantidad],Tabla9[Codigo],Stock[Codigo])</f>
        <v>0</v>
      </c>
      <c r="N172" s="24">
        <f>Stock[[#This Row],[Precio de Compra]]*Stock[[#This Row],[Stock Cultivate]]</f>
        <v>0</v>
      </c>
      <c r="O172" s="24">
        <f>Stock[[#This Row],[Stock Cultivate]]*Stock[[#This Row],[Precio de Venta]]</f>
        <v>0</v>
      </c>
      <c r="R172" s="16"/>
    </row>
    <row r="173" spans="2:18">
      <c r="B173" s="44">
        <v>760</v>
      </c>
      <c r="C173" t="s">
        <v>958</v>
      </c>
      <c r="D173" s="45">
        <v>550</v>
      </c>
      <c r="E173" s="24">
        <v>1200</v>
      </c>
      <c r="F173" s="44">
        <f>Stock[Entradas]-Stock[Compra Cultivate]</f>
        <v>4</v>
      </c>
      <c r="G173" s="11">
        <f>SUMIFS(Compras[Cantidad],Compras[Codigo],Stock[Codigo])</f>
        <v>4</v>
      </c>
      <c r="H173" s="11">
        <f>SUMIFS(Ventas[Cantidad],Ventas[Codigo],Stock[Codigo])</f>
        <v>0</v>
      </c>
      <c r="I173" s="12">
        <f>Stock[[#This Row],[Stock Deposito]]*Stock[[#This Row],[Precio de Compra]]</f>
        <v>2200</v>
      </c>
      <c r="J173" s="6">
        <f>SUMIFS(ProdDesc[Cantidad],ProdDesc[Codigo],Stock[Codigo])</f>
        <v>0</v>
      </c>
      <c r="K173" s="44">
        <f>Stock[[#This Row],[Compra Cultivate]]-Stock[[#This Row],[Salidas]]-Stock[[#This Row],[Usados]]</f>
        <v>0</v>
      </c>
      <c r="L173" s="24">
        <f>Stock[[#This Row],[Stock Deposito]]*Stock[[#This Row],[Precio de Venta]]</f>
        <v>4800</v>
      </c>
      <c r="M173" s="6">
        <f>SUMIFS(Tabla9[Cantidad],Tabla9[Codigo],Stock[Codigo])</f>
        <v>0</v>
      </c>
      <c r="N173" s="24">
        <f>Stock[[#This Row],[Precio de Compra]]*Stock[[#This Row],[Stock Cultivate]]</f>
        <v>0</v>
      </c>
      <c r="O173" s="24">
        <f>Stock[[#This Row],[Stock Cultivate]]*Stock[[#This Row],[Precio de Venta]]</f>
        <v>0</v>
      </c>
      <c r="R173" s="16"/>
    </row>
    <row r="174" spans="2:18">
      <c r="B174" s="44">
        <v>759</v>
      </c>
      <c r="C174" t="s">
        <v>957</v>
      </c>
      <c r="D174" s="45">
        <v>550</v>
      </c>
      <c r="E174" s="24">
        <v>1200</v>
      </c>
      <c r="F174" s="44">
        <f>Stock[Entradas]-Stock[Compra Cultivate]</f>
        <v>3</v>
      </c>
      <c r="G174" s="11">
        <f>SUMIFS(Compras[Cantidad],Compras[Codigo],Stock[Codigo])</f>
        <v>3</v>
      </c>
      <c r="H174" s="11">
        <f>SUMIFS(Ventas[Cantidad],Ventas[Codigo],Stock[Codigo])</f>
        <v>0</v>
      </c>
      <c r="I174" s="12">
        <f>Stock[[#This Row],[Stock Deposito]]*Stock[[#This Row],[Precio de Compra]]</f>
        <v>1650</v>
      </c>
      <c r="J174" s="6">
        <f>SUMIFS(ProdDesc[Cantidad],ProdDesc[Codigo],Stock[Codigo])</f>
        <v>0</v>
      </c>
      <c r="K174" s="44">
        <f>Stock[[#This Row],[Compra Cultivate]]-Stock[[#This Row],[Salidas]]-Stock[[#This Row],[Usados]]</f>
        <v>0</v>
      </c>
      <c r="L174" s="24">
        <f>Stock[[#This Row],[Stock Deposito]]*Stock[[#This Row],[Precio de Venta]]</f>
        <v>3600</v>
      </c>
      <c r="M174" s="6">
        <f>SUMIFS(Tabla9[Cantidad],Tabla9[Codigo],Stock[Codigo])</f>
        <v>0</v>
      </c>
      <c r="N174" s="24">
        <f>Stock[[#This Row],[Precio de Compra]]*Stock[[#This Row],[Stock Cultivate]]</f>
        <v>0</v>
      </c>
      <c r="O174" s="24">
        <f>Stock[[#This Row],[Stock Cultivate]]*Stock[[#This Row],[Precio de Venta]]</f>
        <v>0</v>
      </c>
      <c r="R174" s="16"/>
    </row>
    <row r="175" spans="2:18">
      <c r="B175" s="44">
        <v>758</v>
      </c>
      <c r="C175" t="s">
        <v>956</v>
      </c>
      <c r="D175" s="45">
        <v>425</v>
      </c>
      <c r="E175" s="24">
        <v>900</v>
      </c>
      <c r="F175" s="44">
        <f>Stock[Entradas]-Stock[Compra Cultivate]</f>
        <v>6</v>
      </c>
      <c r="G175" s="11">
        <f>SUMIFS(Compras[Cantidad],Compras[Codigo],Stock[Codigo])</f>
        <v>6</v>
      </c>
      <c r="H175" s="11">
        <f>SUMIFS(Ventas[Cantidad],Ventas[Codigo],Stock[Codigo])</f>
        <v>0</v>
      </c>
      <c r="I175" s="12">
        <f>Stock[[#This Row],[Stock Deposito]]*Stock[[#This Row],[Precio de Compra]]</f>
        <v>2550</v>
      </c>
      <c r="J175" s="6">
        <f>SUMIFS(ProdDesc[Cantidad],ProdDesc[Codigo],Stock[Codigo])</f>
        <v>0</v>
      </c>
      <c r="K175" s="44">
        <f>Stock[[#This Row],[Compra Cultivate]]-Stock[[#This Row],[Salidas]]-Stock[[#This Row],[Usados]]</f>
        <v>0</v>
      </c>
      <c r="L175" s="24">
        <f>Stock[[#This Row],[Stock Deposito]]*Stock[[#This Row],[Precio de Venta]]</f>
        <v>5400</v>
      </c>
      <c r="M175" s="6">
        <f>SUMIFS(Tabla9[Cantidad],Tabla9[Codigo],Stock[Codigo])</f>
        <v>0</v>
      </c>
      <c r="N175" s="24">
        <f>Stock[[#This Row],[Precio de Compra]]*Stock[[#This Row],[Stock Cultivate]]</f>
        <v>0</v>
      </c>
      <c r="O175" s="24">
        <f>Stock[[#This Row],[Stock Cultivate]]*Stock[[#This Row],[Precio de Venta]]</f>
        <v>0</v>
      </c>
      <c r="R175" s="16"/>
    </row>
    <row r="176" spans="2:18">
      <c r="B176" s="44">
        <v>757</v>
      </c>
      <c r="C176" t="s">
        <v>955</v>
      </c>
      <c r="D176" s="45">
        <v>425</v>
      </c>
      <c r="E176" s="24">
        <v>900</v>
      </c>
      <c r="F176" s="44">
        <f>Stock[Entradas]-Stock[Compra Cultivate]</f>
        <v>3</v>
      </c>
      <c r="G176" s="11">
        <f>SUMIFS(Compras[Cantidad],Compras[Codigo],Stock[Codigo])</f>
        <v>3</v>
      </c>
      <c r="H176" s="11">
        <f>SUMIFS(Ventas[Cantidad],Ventas[Codigo],Stock[Codigo])</f>
        <v>0</v>
      </c>
      <c r="I176" s="12">
        <f>Stock[[#This Row],[Stock Deposito]]*Stock[[#This Row],[Precio de Compra]]</f>
        <v>1275</v>
      </c>
      <c r="J176" s="6">
        <f>SUMIFS(ProdDesc[Cantidad],ProdDesc[Codigo],Stock[Codigo])</f>
        <v>0</v>
      </c>
      <c r="K176" s="44">
        <f>Stock[[#This Row],[Compra Cultivate]]-Stock[[#This Row],[Salidas]]-Stock[[#This Row],[Usados]]</f>
        <v>0</v>
      </c>
      <c r="L176" s="24">
        <f>Stock[[#This Row],[Stock Deposito]]*Stock[[#This Row],[Precio de Venta]]</f>
        <v>2700</v>
      </c>
      <c r="M176" s="6">
        <f>SUMIFS(Tabla9[Cantidad],Tabla9[Codigo],Stock[Codigo])</f>
        <v>0</v>
      </c>
      <c r="N176" s="24">
        <f>Stock[[#This Row],[Precio de Compra]]*Stock[[#This Row],[Stock Cultivate]]</f>
        <v>0</v>
      </c>
      <c r="O176" s="24">
        <f>Stock[[#This Row],[Stock Cultivate]]*Stock[[#This Row],[Precio de Venta]]</f>
        <v>0</v>
      </c>
      <c r="R176" s="16"/>
    </row>
    <row r="177" spans="2:18">
      <c r="B177" s="44">
        <v>756</v>
      </c>
      <c r="C177" t="s">
        <v>954</v>
      </c>
      <c r="D177" s="45">
        <v>425</v>
      </c>
      <c r="E177" s="24">
        <v>900</v>
      </c>
      <c r="F177" s="44">
        <f>Stock[Entradas]-Stock[Compra Cultivate]</f>
        <v>0</v>
      </c>
      <c r="G177" s="11">
        <f>SUMIFS(Compras[Cantidad],Compras[Codigo],Stock[Codigo])</f>
        <v>6</v>
      </c>
      <c r="H177" s="11">
        <f>SUMIFS(Ventas[Cantidad],Ventas[Codigo],Stock[Codigo])</f>
        <v>0</v>
      </c>
      <c r="I177" s="12">
        <f>Stock[[#This Row],[Stock Deposito]]*Stock[[#This Row],[Precio de Compra]]</f>
        <v>0</v>
      </c>
      <c r="J177" s="6">
        <f>SUMIFS(ProdDesc[Cantidad],ProdDesc[Codigo],Stock[Codigo])</f>
        <v>0</v>
      </c>
      <c r="K177" s="44">
        <f>Stock[[#This Row],[Compra Cultivate]]-Stock[[#This Row],[Salidas]]-Stock[[#This Row],[Usados]]</f>
        <v>6</v>
      </c>
      <c r="L177" s="24">
        <f>Stock[[#This Row],[Stock Deposito]]*Stock[[#This Row],[Precio de Venta]]</f>
        <v>0</v>
      </c>
      <c r="M177" s="6">
        <f>SUMIFS(Tabla9[Cantidad],Tabla9[Codigo],Stock[Codigo])</f>
        <v>6</v>
      </c>
      <c r="N177" s="24">
        <f>Stock[[#This Row],[Precio de Compra]]*Stock[[#This Row],[Stock Cultivate]]</f>
        <v>2550</v>
      </c>
      <c r="O177" s="24">
        <f>Stock[[#This Row],[Stock Cultivate]]*Stock[[#This Row],[Precio de Venta]]</f>
        <v>5400</v>
      </c>
      <c r="R177" s="16"/>
    </row>
    <row r="178" spans="2:18">
      <c r="B178" s="44">
        <v>755</v>
      </c>
      <c r="C178" t="s">
        <v>953</v>
      </c>
      <c r="D178" s="45">
        <v>425</v>
      </c>
      <c r="E178" s="24">
        <v>900</v>
      </c>
      <c r="F178" s="44">
        <f>Stock[Entradas]-Stock[Compra Cultivate]</f>
        <v>8</v>
      </c>
      <c r="G178" s="11">
        <f>SUMIFS(Compras[Cantidad],Compras[Codigo],Stock[Codigo])</f>
        <v>8</v>
      </c>
      <c r="H178" s="11">
        <f>SUMIFS(Ventas[Cantidad],Ventas[Codigo],Stock[Codigo])</f>
        <v>0</v>
      </c>
      <c r="I178" s="12">
        <f>Stock[[#This Row],[Stock Deposito]]*Stock[[#This Row],[Precio de Compra]]</f>
        <v>3400</v>
      </c>
      <c r="J178" s="6">
        <f>SUMIFS(ProdDesc[Cantidad],ProdDesc[Codigo],Stock[Codigo])</f>
        <v>0</v>
      </c>
      <c r="K178" s="44">
        <f>Stock[[#This Row],[Compra Cultivate]]-Stock[[#This Row],[Salidas]]-Stock[[#This Row],[Usados]]</f>
        <v>0</v>
      </c>
      <c r="L178" s="24">
        <f>Stock[[#This Row],[Stock Deposito]]*Stock[[#This Row],[Precio de Venta]]</f>
        <v>7200</v>
      </c>
      <c r="M178" s="6">
        <f>SUMIFS(Tabla9[Cantidad],Tabla9[Codigo],Stock[Codigo])</f>
        <v>0</v>
      </c>
      <c r="N178" s="24">
        <f>Stock[[#This Row],[Precio de Compra]]*Stock[[#This Row],[Stock Cultivate]]</f>
        <v>0</v>
      </c>
      <c r="O178" s="24">
        <f>Stock[[#This Row],[Stock Cultivate]]*Stock[[#This Row],[Precio de Venta]]</f>
        <v>0</v>
      </c>
      <c r="R178" s="16"/>
    </row>
    <row r="179" spans="2:18">
      <c r="B179" s="44">
        <v>754</v>
      </c>
      <c r="C179" t="s">
        <v>952</v>
      </c>
      <c r="D179" s="45">
        <v>425</v>
      </c>
      <c r="E179" s="24">
        <v>900</v>
      </c>
      <c r="F179" s="44">
        <f>Stock[Entradas]-Stock[Compra Cultivate]</f>
        <v>1</v>
      </c>
      <c r="G179" s="11">
        <f>SUMIFS(Compras[Cantidad],Compras[Codigo],Stock[Codigo])</f>
        <v>3</v>
      </c>
      <c r="H179" s="11">
        <f>SUMIFS(Ventas[Cantidad],Ventas[Codigo],Stock[Codigo])</f>
        <v>0</v>
      </c>
      <c r="I179" s="12">
        <f>Stock[[#This Row],[Stock Deposito]]*Stock[[#This Row],[Precio de Compra]]</f>
        <v>425</v>
      </c>
      <c r="J179" s="6">
        <f>SUMIFS(ProdDesc[Cantidad],ProdDesc[Codigo],Stock[Codigo])</f>
        <v>2</v>
      </c>
      <c r="K179" s="44">
        <f>Stock[[#This Row],[Compra Cultivate]]-Stock[[#This Row],[Salidas]]-Stock[[#This Row],[Usados]]</f>
        <v>0</v>
      </c>
      <c r="L179" s="24">
        <f>Stock[[#This Row],[Stock Deposito]]*Stock[[#This Row],[Precio de Venta]]</f>
        <v>900</v>
      </c>
      <c r="M179" s="6">
        <f>SUMIFS(Tabla9[Cantidad],Tabla9[Codigo],Stock[Codigo])</f>
        <v>2</v>
      </c>
      <c r="N179" s="24">
        <f>Stock[[#This Row],[Precio de Compra]]*Stock[[#This Row],[Stock Cultivate]]</f>
        <v>0</v>
      </c>
      <c r="O179" s="24">
        <f>Stock[[#This Row],[Stock Cultivate]]*Stock[[#This Row],[Precio de Venta]]</f>
        <v>0</v>
      </c>
      <c r="R179" s="16"/>
    </row>
    <row r="180" spans="2:18">
      <c r="B180" s="44">
        <v>753</v>
      </c>
      <c r="C180" t="s">
        <v>951</v>
      </c>
      <c r="D180" s="45">
        <v>425</v>
      </c>
      <c r="E180" s="24">
        <v>900</v>
      </c>
      <c r="F180" s="44">
        <f>Stock[Entradas]-Stock[Compra Cultivate]</f>
        <v>0</v>
      </c>
      <c r="G180" s="11">
        <f>SUMIFS(Compras[Cantidad],Compras[Codigo],Stock[Codigo])</f>
        <v>2</v>
      </c>
      <c r="H180" s="11">
        <f>SUMIFS(Ventas[Cantidad],Ventas[Codigo],Stock[Codigo])</f>
        <v>0</v>
      </c>
      <c r="I180" s="12">
        <f>Stock[[#This Row],[Stock Deposito]]*Stock[[#This Row],[Precio de Compra]]</f>
        <v>0</v>
      </c>
      <c r="J180" s="6">
        <f>SUMIFS(ProdDesc[Cantidad],ProdDesc[Codigo],Stock[Codigo])</f>
        <v>0</v>
      </c>
      <c r="K180" s="44">
        <f>Stock[[#This Row],[Compra Cultivate]]-Stock[[#This Row],[Salidas]]-Stock[[#This Row],[Usados]]</f>
        <v>2</v>
      </c>
      <c r="L180" s="24">
        <f>Stock[[#This Row],[Stock Deposito]]*Stock[[#This Row],[Precio de Venta]]</f>
        <v>0</v>
      </c>
      <c r="M180" s="6">
        <f>SUMIFS(Tabla9[Cantidad],Tabla9[Codigo],Stock[Codigo])</f>
        <v>2</v>
      </c>
      <c r="N180" s="24">
        <f>Stock[[#This Row],[Precio de Compra]]*Stock[[#This Row],[Stock Cultivate]]</f>
        <v>850</v>
      </c>
      <c r="O180" s="24">
        <f>Stock[[#This Row],[Stock Cultivate]]*Stock[[#This Row],[Precio de Venta]]</f>
        <v>1800</v>
      </c>
      <c r="R180" s="16"/>
    </row>
    <row r="181" spans="2:18">
      <c r="B181" s="44">
        <v>751</v>
      </c>
      <c r="C181" t="s">
        <v>949</v>
      </c>
      <c r="D181" s="45">
        <v>350</v>
      </c>
      <c r="E181" s="24">
        <v>700</v>
      </c>
      <c r="F181" s="44">
        <f>Stock[Entradas]-Stock[Compra Cultivate]</f>
        <v>6</v>
      </c>
      <c r="G181" s="11">
        <f>SUMIFS(Compras[Cantidad],Compras[Codigo],Stock[Codigo])</f>
        <v>6</v>
      </c>
      <c r="H181" s="11">
        <f>SUMIFS(Ventas[Cantidad],Ventas[Codigo],Stock[Codigo])</f>
        <v>0</v>
      </c>
      <c r="I181" s="12">
        <f>Stock[[#This Row],[Stock Deposito]]*Stock[[#This Row],[Precio de Compra]]</f>
        <v>2100</v>
      </c>
      <c r="J181" s="6">
        <f>SUMIFS(ProdDesc[Cantidad],ProdDesc[Codigo],Stock[Codigo])</f>
        <v>0</v>
      </c>
      <c r="K181" s="44">
        <f>Stock[[#This Row],[Compra Cultivate]]-Stock[[#This Row],[Salidas]]-Stock[[#This Row],[Usados]]</f>
        <v>0</v>
      </c>
      <c r="L181" s="24">
        <f>Stock[[#This Row],[Stock Deposito]]*Stock[[#This Row],[Precio de Venta]]</f>
        <v>4200</v>
      </c>
      <c r="M181" s="6">
        <f>SUMIFS(Tabla9[Cantidad],Tabla9[Codigo],Stock[Codigo])</f>
        <v>0</v>
      </c>
      <c r="N181" s="24">
        <f>Stock[[#This Row],[Precio de Compra]]*Stock[[#This Row],[Stock Cultivate]]</f>
        <v>0</v>
      </c>
      <c r="O181" s="24">
        <f>Stock[[#This Row],[Stock Cultivate]]*Stock[[#This Row],[Precio de Venta]]</f>
        <v>0</v>
      </c>
      <c r="R181" s="16"/>
    </row>
    <row r="182" spans="2:18">
      <c r="B182" s="44">
        <v>750</v>
      </c>
      <c r="C182" t="s">
        <v>948</v>
      </c>
      <c r="D182" s="45">
        <v>350</v>
      </c>
      <c r="E182" s="24">
        <v>700</v>
      </c>
      <c r="F182" s="44">
        <f>Stock[Entradas]-Stock[Compra Cultivate]</f>
        <v>0</v>
      </c>
      <c r="G182" s="11">
        <f>SUMIFS(Compras[Cantidad],Compras[Codigo],Stock[Codigo])</f>
        <v>2</v>
      </c>
      <c r="H182" s="11">
        <f>SUMIFS(Ventas[Cantidad],Ventas[Codigo],Stock[Codigo])</f>
        <v>0</v>
      </c>
      <c r="I182" s="12">
        <f>Stock[[#This Row],[Stock Deposito]]*Stock[[#This Row],[Precio de Compra]]</f>
        <v>0</v>
      </c>
      <c r="J182" s="6">
        <f>SUMIFS(ProdDesc[Cantidad],ProdDesc[Codigo],Stock[Codigo])</f>
        <v>0</v>
      </c>
      <c r="K182" s="44">
        <f>Stock[[#This Row],[Compra Cultivate]]-Stock[[#This Row],[Salidas]]-Stock[[#This Row],[Usados]]</f>
        <v>2</v>
      </c>
      <c r="L182" s="24">
        <f>Stock[[#This Row],[Stock Deposito]]*Stock[[#This Row],[Precio de Venta]]</f>
        <v>0</v>
      </c>
      <c r="M182" s="6">
        <f>SUMIFS(Tabla9[Cantidad],Tabla9[Codigo],Stock[Codigo])</f>
        <v>2</v>
      </c>
      <c r="N182" s="24">
        <f>Stock[[#This Row],[Precio de Compra]]*Stock[[#This Row],[Stock Cultivate]]</f>
        <v>700</v>
      </c>
      <c r="O182" s="24">
        <f>Stock[[#This Row],[Stock Cultivate]]*Stock[[#This Row],[Precio de Venta]]</f>
        <v>1400</v>
      </c>
      <c r="R182" s="16"/>
    </row>
    <row r="183" spans="2:18">
      <c r="B183" s="44">
        <v>749</v>
      </c>
      <c r="C183" t="s">
        <v>947</v>
      </c>
      <c r="D183" s="45">
        <v>350</v>
      </c>
      <c r="E183" s="24">
        <v>700</v>
      </c>
      <c r="F183" s="44">
        <f>Stock[Entradas]-Stock[Compra Cultivate]</f>
        <v>0</v>
      </c>
      <c r="G183" s="11">
        <f>SUMIFS(Compras[Cantidad],Compras[Codigo],Stock[Codigo])</f>
        <v>5</v>
      </c>
      <c r="H183" s="11">
        <f>SUMIFS(Ventas[Cantidad],Ventas[Codigo],Stock[Codigo])</f>
        <v>0</v>
      </c>
      <c r="I183" s="12">
        <f>Stock[[#This Row],[Stock Deposito]]*Stock[[#This Row],[Precio de Compra]]</f>
        <v>0</v>
      </c>
      <c r="J183" s="6">
        <f>SUMIFS(ProdDesc[Cantidad],ProdDesc[Codigo],Stock[Codigo])</f>
        <v>0</v>
      </c>
      <c r="K183" s="44">
        <f>Stock[[#This Row],[Compra Cultivate]]-Stock[[#This Row],[Salidas]]-Stock[[#This Row],[Usados]]</f>
        <v>5</v>
      </c>
      <c r="L183" s="24">
        <f>Stock[[#This Row],[Stock Deposito]]*Stock[[#This Row],[Precio de Venta]]</f>
        <v>0</v>
      </c>
      <c r="M183" s="6">
        <f>SUMIFS(Tabla9[Cantidad],Tabla9[Codigo],Stock[Codigo])</f>
        <v>5</v>
      </c>
      <c r="N183" s="24">
        <f>Stock[[#This Row],[Precio de Compra]]*Stock[[#This Row],[Stock Cultivate]]</f>
        <v>1750</v>
      </c>
      <c r="O183" s="24">
        <f>Stock[[#This Row],[Stock Cultivate]]*Stock[[#This Row],[Precio de Venta]]</f>
        <v>3500</v>
      </c>
      <c r="R183" s="16"/>
    </row>
    <row r="184" spans="2:18">
      <c r="B184" s="44">
        <v>748</v>
      </c>
      <c r="C184" t="s">
        <v>946</v>
      </c>
      <c r="D184" s="45">
        <v>350</v>
      </c>
      <c r="E184" s="24">
        <v>700</v>
      </c>
      <c r="F184" s="44">
        <f>Stock[Entradas]-Stock[Compra Cultivate]</f>
        <v>1</v>
      </c>
      <c r="G184" s="11">
        <f>SUMIFS(Compras[Cantidad],Compras[Codigo],Stock[Codigo])</f>
        <v>8</v>
      </c>
      <c r="H184" s="11">
        <f>SUMIFS(Ventas[Cantidad],Ventas[Codigo],Stock[Codigo])</f>
        <v>1</v>
      </c>
      <c r="I184" s="12">
        <f>Stock[[#This Row],[Stock Deposito]]*Stock[[#This Row],[Precio de Compra]]</f>
        <v>350</v>
      </c>
      <c r="J184" s="6">
        <f>SUMIFS(ProdDesc[Cantidad],ProdDesc[Codigo],Stock[Codigo])</f>
        <v>0</v>
      </c>
      <c r="K184" s="44">
        <f>Stock[[#This Row],[Compra Cultivate]]-Stock[[#This Row],[Salidas]]-Stock[[#This Row],[Usados]]</f>
        <v>6</v>
      </c>
      <c r="L184" s="24">
        <f>Stock[[#This Row],[Stock Deposito]]*Stock[[#This Row],[Precio de Venta]]</f>
        <v>700</v>
      </c>
      <c r="M184" s="6">
        <f>SUMIFS(Tabla9[Cantidad],Tabla9[Codigo],Stock[Codigo])</f>
        <v>7</v>
      </c>
      <c r="N184" s="24">
        <f>Stock[[#This Row],[Precio de Compra]]*Stock[[#This Row],[Stock Cultivate]]</f>
        <v>2100</v>
      </c>
      <c r="O184" s="24">
        <f>Stock[[#This Row],[Stock Cultivate]]*Stock[[#This Row],[Precio de Venta]]</f>
        <v>4200</v>
      </c>
      <c r="R184" s="16"/>
    </row>
    <row r="185" spans="2:18">
      <c r="B185" s="44">
        <v>747</v>
      </c>
      <c r="C185" t="s">
        <v>945</v>
      </c>
      <c r="D185" s="45">
        <v>400</v>
      </c>
      <c r="E185" s="24">
        <v>1400</v>
      </c>
      <c r="F185" s="44">
        <f>Stock[Entradas]-Stock[Compra Cultivate]</f>
        <v>4</v>
      </c>
      <c r="G185" s="11">
        <f>SUMIFS(Compras[Cantidad],Compras[Codigo],Stock[Codigo])</f>
        <v>4</v>
      </c>
      <c r="H185" s="11">
        <f>SUMIFS(Ventas[Cantidad],Ventas[Codigo],Stock[Codigo])</f>
        <v>0</v>
      </c>
      <c r="I185" s="12">
        <f>Stock[[#This Row],[Stock Deposito]]*Stock[[#This Row],[Precio de Compra]]</f>
        <v>1600</v>
      </c>
      <c r="J185" s="6">
        <f>SUMIFS(ProdDesc[Cantidad],ProdDesc[Codigo],Stock[Codigo])</f>
        <v>0</v>
      </c>
      <c r="K185" s="44">
        <f>Stock[[#This Row],[Compra Cultivate]]-Stock[[#This Row],[Salidas]]-Stock[[#This Row],[Usados]]</f>
        <v>0</v>
      </c>
      <c r="L185" s="24">
        <f>Stock[[#This Row],[Stock Deposito]]*Stock[[#This Row],[Precio de Venta]]</f>
        <v>5600</v>
      </c>
      <c r="M185" s="6">
        <f>SUMIFS(Tabla9[Cantidad],Tabla9[Codigo],Stock[Codigo])</f>
        <v>0</v>
      </c>
      <c r="N185" s="24">
        <f>Stock[[#This Row],[Precio de Compra]]*Stock[[#This Row],[Stock Cultivate]]</f>
        <v>0</v>
      </c>
      <c r="O185" s="24">
        <f>Stock[[#This Row],[Stock Cultivate]]*Stock[[#This Row],[Precio de Venta]]</f>
        <v>0</v>
      </c>
      <c r="R185" s="16"/>
    </row>
    <row r="186" spans="2:18">
      <c r="B186" s="44">
        <v>746</v>
      </c>
      <c r="C186" t="s">
        <v>944</v>
      </c>
      <c r="D186" s="45">
        <v>240</v>
      </c>
      <c r="E186" s="24">
        <v>800</v>
      </c>
      <c r="F186" s="44">
        <f>Stock[Entradas]-Stock[Compra Cultivate]</f>
        <v>3</v>
      </c>
      <c r="G186" s="11">
        <f>SUMIFS(Compras[Cantidad],Compras[Codigo],Stock[Codigo])</f>
        <v>3</v>
      </c>
      <c r="H186" s="11">
        <f>SUMIFS(Ventas[Cantidad],Ventas[Codigo],Stock[Codigo])</f>
        <v>0</v>
      </c>
      <c r="I186" s="12">
        <f>Stock[[#This Row],[Stock Deposito]]*Stock[[#This Row],[Precio de Compra]]</f>
        <v>720</v>
      </c>
      <c r="J186" s="6">
        <f>SUMIFS(ProdDesc[Cantidad],ProdDesc[Codigo],Stock[Codigo])</f>
        <v>0</v>
      </c>
      <c r="K186" s="44">
        <f>Stock[[#This Row],[Compra Cultivate]]-Stock[[#This Row],[Salidas]]-Stock[[#This Row],[Usados]]</f>
        <v>0</v>
      </c>
      <c r="L186" s="24">
        <f>Stock[[#This Row],[Stock Deposito]]*Stock[[#This Row],[Precio de Venta]]</f>
        <v>2400</v>
      </c>
      <c r="M186" s="6">
        <f>SUMIFS(Tabla9[Cantidad],Tabla9[Codigo],Stock[Codigo])</f>
        <v>0</v>
      </c>
      <c r="N186" s="24">
        <f>Stock[[#This Row],[Precio de Compra]]*Stock[[#This Row],[Stock Cultivate]]</f>
        <v>0</v>
      </c>
      <c r="O186" s="24">
        <f>Stock[[#This Row],[Stock Cultivate]]*Stock[[#This Row],[Precio de Venta]]</f>
        <v>0</v>
      </c>
      <c r="R186" s="16"/>
    </row>
    <row r="187" spans="2:18">
      <c r="B187" s="44">
        <v>745</v>
      </c>
      <c r="C187" t="s">
        <v>943</v>
      </c>
      <c r="D187" s="45">
        <v>250</v>
      </c>
      <c r="E187" s="24">
        <v>1000</v>
      </c>
      <c r="F187" s="44">
        <f>Stock[Entradas]-Stock[Compra Cultivate]</f>
        <v>1</v>
      </c>
      <c r="G187" s="11">
        <f>SUMIFS(Compras[Cantidad],Compras[Codigo],Stock[Codigo])</f>
        <v>1</v>
      </c>
      <c r="H187" s="11">
        <f>SUMIFS(Ventas[Cantidad],Ventas[Codigo],Stock[Codigo])</f>
        <v>0</v>
      </c>
      <c r="I187" s="12">
        <f>Stock[[#This Row],[Stock Deposito]]*Stock[[#This Row],[Precio de Compra]]</f>
        <v>250</v>
      </c>
      <c r="J187" s="6">
        <f>SUMIFS(ProdDesc[Cantidad],ProdDesc[Codigo],Stock[Codigo])</f>
        <v>0</v>
      </c>
      <c r="K187" s="44">
        <f>Stock[[#This Row],[Compra Cultivate]]-Stock[[#This Row],[Salidas]]-Stock[[#This Row],[Usados]]</f>
        <v>0</v>
      </c>
      <c r="L187" s="24">
        <f>Stock[[#This Row],[Stock Deposito]]*Stock[[#This Row],[Precio de Venta]]</f>
        <v>1000</v>
      </c>
      <c r="M187" s="6">
        <f>SUMIFS(Tabla9[Cantidad],Tabla9[Codigo],Stock[Codigo])</f>
        <v>0</v>
      </c>
      <c r="N187" s="24">
        <f>Stock[[#This Row],[Precio de Compra]]*Stock[[#This Row],[Stock Cultivate]]</f>
        <v>0</v>
      </c>
      <c r="O187" s="24">
        <f>Stock[[#This Row],[Stock Cultivate]]*Stock[[#This Row],[Precio de Venta]]</f>
        <v>0</v>
      </c>
      <c r="R187" s="16"/>
    </row>
    <row r="188" spans="2:18">
      <c r="B188" s="44">
        <v>744</v>
      </c>
      <c r="C188" t="s">
        <v>942</v>
      </c>
      <c r="D188" s="45">
        <v>1900</v>
      </c>
      <c r="E188" s="24">
        <v>4000</v>
      </c>
      <c r="F188" s="44">
        <f>Stock[Entradas]-Stock[Compra Cultivate]</f>
        <v>3</v>
      </c>
      <c r="G188" s="11">
        <f>SUMIFS(Compras[Cantidad],Compras[Codigo],Stock[Codigo])</f>
        <v>3</v>
      </c>
      <c r="H188" s="11">
        <f>SUMIFS(Ventas[Cantidad],Ventas[Codigo],Stock[Codigo])</f>
        <v>0</v>
      </c>
      <c r="I188" s="12">
        <f>Stock[[#This Row],[Stock Deposito]]*Stock[[#This Row],[Precio de Compra]]</f>
        <v>5700</v>
      </c>
      <c r="J188" s="6">
        <f>SUMIFS(ProdDesc[Cantidad],ProdDesc[Codigo],Stock[Codigo])</f>
        <v>0</v>
      </c>
      <c r="K188" s="44">
        <f>Stock[[#This Row],[Compra Cultivate]]-Stock[[#This Row],[Salidas]]-Stock[[#This Row],[Usados]]</f>
        <v>0</v>
      </c>
      <c r="L188" s="24">
        <f>Stock[[#This Row],[Stock Deposito]]*Stock[[#This Row],[Precio de Venta]]</f>
        <v>12000</v>
      </c>
      <c r="M188" s="6">
        <f>SUMIFS(Tabla9[Cantidad],Tabla9[Codigo],Stock[Codigo])</f>
        <v>0</v>
      </c>
      <c r="N188" s="24">
        <f>Stock[[#This Row],[Precio de Compra]]*Stock[[#This Row],[Stock Cultivate]]</f>
        <v>0</v>
      </c>
      <c r="O188" s="24">
        <f>Stock[[#This Row],[Stock Cultivate]]*Stock[[#This Row],[Precio de Venta]]</f>
        <v>0</v>
      </c>
      <c r="R188" s="16"/>
    </row>
    <row r="189" spans="2:18">
      <c r="B189" s="44">
        <v>743</v>
      </c>
      <c r="C189" t="s">
        <v>941</v>
      </c>
      <c r="D189" s="45">
        <v>1900</v>
      </c>
      <c r="E189" s="24">
        <v>4000</v>
      </c>
      <c r="F189" s="44">
        <f>Stock[Entradas]-Stock[Compra Cultivate]</f>
        <v>3</v>
      </c>
      <c r="G189" s="11">
        <f>SUMIFS(Compras[Cantidad],Compras[Codigo],Stock[Codigo])</f>
        <v>3</v>
      </c>
      <c r="H189" s="11">
        <f>SUMIFS(Ventas[Cantidad],Ventas[Codigo],Stock[Codigo])</f>
        <v>0</v>
      </c>
      <c r="I189" s="12">
        <f>Stock[[#This Row],[Stock Deposito]]*Stock[[#This Row],[Precio de Compra]]</f>
        <v>5700</v>
      </c>
      <c r="J189" s="6">
        <f>SUMIFS(ProdDesc[Cantidad],ProdDesc[Codigo],Stock[Codigo])</f>
        <v>0</v>
      </c>
      <c r="K189" s="44">
        <f>Stock[[#This Row],[Compra Cultivate]]-Stock[[#This Row],[Salidas]]-Stock[[#This Row],[Usados]]</f>
        <v>0</v>
      </c>
      <c r="L189" s="24">
        <f>Stock[[#This Row],[Stock Deposito]]*Stock[[#This Row],[Precio de Venta]]</f>
        <v>12000</v>
      </c>
      <c r="M189" s="6">
        <f>SUMIFS(Tabla9[Cantidad],Tabla9[Codigo],Stock[Codigo])</f>
        <v>0</v>
      </c>
      <c r="N189" s="24">
        <f>Stock[[#This Row],[Precio de Compra]]*Stock[[#This Row],[Stock Cultivate]]</f>
        <v>0</v>
      </c>
      <c r="O189" s="24">
        <f>Stock[[#This Row],[Stock Cultivate]]*Stock[[#This Row],[Precio de Venta]]</f>
        <v>0</v>
      </c>
      <c r="R189" s="16"/>
    </row>
    <row r="190" spans="2:18">
      <c r="B190" s="44">
        <v>742</v>
      </c>
      <c r="C190" t="s">
        <v>940</v>
      </c>
      <c r="D190" s="45">
        <v>1900</v>
      </c>
      <c r="E190" s="24">
        <v>4000</v>
      </c>
      <c r="F190" s="44">
        <f>Stock[Entradas]-Stock[Compra Cultivate]</f>
        <v>3</v>
      </c>
      <c r="G190" s="11">
        <f>SUMIFS(Compras[Cantidad],Compras[Codigo],Stock[Codigo])</f>
        <v>3</v>
      </c>
      <c r="H190" s="11">
        <f>SUMIFS(Ventas[Cantidad],Ventas[Codigo],Stock[Codigo])</f>
        <v>0</v>
      </c>
      <c r="I190" s="12">
        <f>Stock[[#This Row],[Stock Deposito]]*Stock[[#This Row],[Precio de Compra]]</f>
        <v>5700</v>
      </c>
      <c r="J190" s="6">
        <f>SUMIFS(ProdDesc[Cantidad],ProdDesc[Codigo],Stock[Codigo])</f>
        <v>0</v>
      </c>
      <c r="K190" s="44">
        <f>Stock[[#This Row],[Compra Cultivate]]-Stock[[#This Row],[Salidas]]-Stock[[#This Row],[Usados]]</f>
        <v>0</v>
      </c>
      <c r="L190" s="24">
        <f>Stock[[#This Row],[Stock Deposito]]*Stock[[#This Row],[Precio de Venta]]</f>
        <v>12000</v>
      </c>
      <c r="M190" s="6">
        <f>SUMIFS(Tabla9[Cantidad],Tabla9[Codigo],Stock[Codigo])</f>
        <v>0</v>
      </c>
      <c r="N190" s="24">
        <f>Stock[[#This Row],[Precio de Compra]]*Stock[[#This Row],[Stock Cultivate]]</f>
        <v>0</v>
      </c>
      <c r="O190" s="24">
        <f>Stock[[#This Row],[Stock Cultivate]]*Stock[[#This Row],[Precio de Venta]]</f>
        <v>0</v>
      </c>
      <c r="R190" s="16"/>
    </row>
    <row r="191" spans="2:18">
      <c r="B191" s="44">
        <v>741</v>
      </c>
      <c r="C191" t="s">
        <v>939</v>
      </c>
      <c r="D191" s="45">
        <v>1900</v>
      </c>
      <c r="E191" s="24">
        <v>4000</v>
      </c>
      <c r="F191" s="44">
        <f>Stock[Entradas]-Stock[Compra Cultivate]</f>
        <v>3</v>
      </c>
      <c r="G191" s="11">
        <f>SUMIFS(Compras[Cantidad],Compras[Codigo],Stock[Codigo])</f>
        <v>3</v>
      </c>
      <c r="H191" s="11">
        <f>SUMIFS(Ventas[Cantidad],Ventas[Codigo],Stock[Codigo])</f>
        <v>0</v>
      </c>
      <c r="I191" s="12">
        <f>Stock[[#This Row],[Stock Deposito]]*Stock[[#This Row],[Precio de Compra]]</f>
        <v>5700</v>
      </c>
      <c r="J191" s="6">
        <f>SUMIFS(ProdDesc[Cantidad],ProdDesc[Codigo],Stock[Codigo])</f>
        <v>0</v>
      </c>
      <c r="K191" s="44">
        <f>Stock[[#This Row],[Compra Cultivate]]-Stock[[#This Row],[Salidas]]-Stock[[#This Row],[Usados]]</f>
        <v>0</v>
      </c>
      <c r="L191" s="24">
        <f>Stock[[#This Row],[Stock Deposito]]*Stock[[#This Row],[Precio de Venta]]</f>
        <v>12000</v>
      </c>
      <c r="M191" s="6">
        <f>SUMIFS(Tabla9[Cantidad],Tabla9[Codigo],Stock[Codigo])</f>
        <v>0</v>
      </c>
      <c r="N191" s="24">
        <f>Stock[[#This Row],[Precio de Compra]]*Stock[[#This Row],[Stock Cultivate]]</f>
        <v>0</v>
      </c>
      <c r="O191" s="24">
        <f>Stock[[#This Row],[Stock Cultivate]]*Stock[[#This Row],[Precio de Venta]]</f>
        <v>0</v>
      </c>
      <c r="R191" s="16"/>
    </row>
    <row r="192" spans="2:18">
      <c r="B192" s="44">
        <v>740</v>
      </c>
      <c r="C192" t="s">
        <v>938</v>
      </c>
      <c r="D192" s="45">
        <v>2300</v>
      </c>
      <c r="E192" s="24">
        <v>6000</v>
      </c>
      <c r="F192" s="44">
        <f>Stock[Entradas]-Stock[Compra Cultivate]</f>
        <v>1</v>
      </c>
      <c r="G192" s="11">
        <f>SUMIFS(Compras[Cantidad],Compras[Codigo],Stock[Codigo])</f>
        <v>1</v>
      </c>
      <c r="H192" s="11">
        <f>SUMIFS(Ventas[Cantidad],Ventas[Codigo],Stock[Codigo])</f>
        <v>0</v>
      </c>
      <c r="I192" s="12">
        <f>Stock[[#This Row],[Stock Deposito]]*Stock[[#This Row],[Precio de Compra]]</f>
        <v>2300</v>
      </c>
      <c r="J192" s="6">
        <f>SUMIFS(ProdDesc[Cantidad],ProdDesc[Codigo],Stock[Codigo])</f>
        <v>0</v>
      </c>
      <c r="K192" s="44">
        <f>Stock[[#This Row],[Compra Cultivate]]-Stock[[#This Row],[Salidas]]-Stock[[#This Row],[Usados]]</f>
        <v>0</v>
      </c>
      <c r="L192" s="24">
        <f>Stock[[#This Row],[Stock Deposito]]*Stock[[#This Row],[Precio de Venta]]</f>
        <v>6000</v>
      </c>
      <c r="M192" s="6">
        <f>SUMIFS(Tabla9[Cantidad],Tabla9[Codigo],Stock[Codigo])</f>
        <v>0</v>
      </c>
      <c r="N192" s="24">
        <f>Stock[[#This Row],[Precio de Compra]]*Stock[[#This Row],[Stock Cultivate]]</f>
        <v>0</v>
      </c>
      <c r="O192" s="24">
        <f>Stock[[#This Row],[Stock Cultivate]]*Stock[[#This Row],[Precio de Venta]]</f>
        <v>0</v>
      </c>
      <c r="R192" s="16"/>
    </row>
    <row r="193" spans="2:18">
      <c r="B193" s="44">
        <v>739</v>
      </c>
      <c r="C193" t="s">
        <v>937</v>
      </c>
      <c r="D193" s="45">
        <v>2300</v>
      </c>
      <c r="E193" s="24">
        <v>6000</v>
      </c>
      <c r="F193" s="44">
        <f>Stock[Entradas]-Stock[Compra Cultivate]</f>
        <v>1</v>
      </c>
      <c r="G193" s="11">
        <f>SUMIFS(Compras[Cantidad],Compras[Codigo],Stock[Codigo])</f>
        <v>1</v>
      </c>
      <c r="H193" s="11">
        <f>SUMIFS(Ventas[Cantidad],Ventas[Codigo],Stock[Codigo])</f>
        <v>0</v>
      </c>
      <c r="I193" s="12">
        <f>Stock[[#This Row],[Stock Deposito]]*Stock[[#This Row],[Precio de Compra]]</f>
        <v>2300</v>
      </c>
      <c r="J193" s="6">
        <f>SUMIFS(ProdDesc[Cantidad],ProdDesc[Codigo],Stock[Codigo])</f>
        <v>0</v>
      </c>
      <c r="K193" s="44">
        <f>Stock[[#This Row],[Compra Cultivate]]-Stock[[#This Row],[Salidas]]-Stock[[#This Row],[Usados]]</f>
        <v>0</v>
      </c>
      <c r="L193" s="24">
        <f>Stock[[#This Row],[Stock Deposito]]*Stock[[#This Row],[Precio de Venta]]</f>
        <v>6000</v>
      </c>
      <c r="M193" s="6">
        <f>SUMIFS(Tabla9[Cantidad],Tabla9[Codigo],Stock[Codigo])</f>
        <v>0</v>
      </c>
      <c r="N193" s="24">
        <f>Stock[[#This Row],[Precio de Compra]]*Stock[[#This Row],[Stock Cultivate]]</f>
        <v>0</v>
      </c>
      <c r="O193" s="24">
        <f>Stock[[#This Row],[Stock Cultivate]]*Stock[[#This Row],[Precio de Venta]]</f>
        <v>0</v>
      </c>
      <c r="R193" s="16"/>
    </row>
    <row r="194" spans="2:18">
      <c r="B194" s="44">
        <v>738</v>
      </c>
      <c r="C194" t="s">
        <v>936</v>
      </c>
      <c r="D194" s="45">
        <v>2300</v>
      </c>
      <c r="E194" s="24">
        <v>6000</v>
      </c>
      <c r="F194" s="44">
        <f>Stock[Entradas]-Stock[Compra Cultivate]</f>
        <v>1</v>
      </c>
      <c r="G194" s="11">
        <f>SUMIFS(Compras[Cantidad],Compras[Codigo],Stock[Codigo])</f>
        <v>1</v>
      </c>
      <c r="H194" s="11">
        <f>SUMIFS(Ventas[Cantidad],Ventas[Codigo],Stock[Codigo])</f>
        <v>0</v>
      </c>
      <c r="I194" s="12">
        <f>Stock[[#This Row],[Stock Deposito]]*Stock[[#This Row],[Precio de Compra]]</f>
        <v>2300</v>
      </c>
      <c r="J194" s="6">
        <f>SUMIFS(ProdDesc[Cantidad],ProdDesc[Codigo],Stock[Codigo])</f>
        <v>0</v>
      </c>
      <c r="K194" s="44">
        <f>Stock[[#This Row],[Compra Cultivate]]-Stock[[#This Row],[Salidas]]-Stock[[#This Row],[Usados]]</f>
        <v>0</v>
      </c>
      <c r="L194" s="24">
        <f>Stock[[#This Row],[Stock Deposito]]*Stock[[#This Row],[Precio de Venta]]</f>
        <v>6000</v>
      </c>
      <c r="M194" s="6">
        <f>SUMIFS(Tabla9[Cantidad],Tabla9[Codigo],Stock[Codigo])</f>
        <v>0</v>
      </c>
      <c r="N194" s="24">
        <f>Stock[[#This Row],[Precio de Compra]]*Stock[[#This Row],[Stock Cultivate]]</f>
        <v>0</v>
      </c>
      <c r="O194" s="24">
        <f>Stock[[#This Row],[Stock Cultivate]]*Stock[[#This Row],[Precio de Venta]]</f>
        <v>0</v>
      </c>
      <c r="R194" s="16"/>
    </row>
    <row r="195" spans="2:18">
      <c r="B195" s="44">
        <v>737</v>
      </c>
      <c r="C195" t="s">
        <v>935</v>
      </c>
      <c r="D195" s="45">
        <v>350</v>
      </c>
      <c r="E195" s="24">
        <v>900</v>
      </c>
      <c r="F195" s="44">
        <f>Stock[Entradas]-Stock[Compra Cultivate]</f>
        <v>4</v>
      </c>
      <c r="G195" s="11">
        <f>SUMIFS(Compras[Cantidad],Compras[Codigo],Stock[Codigo])</f>
        <v>4</v>
      </c>
      <c r="H195" s="11">
        <f>SUMIFS(Ventas[Cantidad],Ventas[Codigo],Stock[Codigo])</f>
        <v>0</v>
      </c>
      <c r="I195" s="12">
        <f>Stock[[#This Row],[Stock Deposito]]*Stock[[#This Row],[Precio de Compra]]</f>
        <v>1400</v>
      </c>
      <c r="J195" s="6">
        <f>SUMIFS(ProdDesc[Cantidad],ProdDesc[Codigo],Stock[Codigo])</f>
        <v>0</v>
      </c>
      <c r="K195" s="44">
        <f>Stock[[#This Row],[Compra Cultivate]]-Stock[[#This Row],[Salidas]]-Stock[[#This Row],[Usados]]</f>
        <v>0</v>
      </c>
      <c r="L195" s="24">
        <f>Stock[[#This Row],[Stock Deposito]]*Stock[[#This Row],[Precio de Venta]]</f>
        <v>3600</v>
      </c>
      <c r="M195" s="6">
        <f>SUMIFS(Tabla9[Cantidad],Tabla9[Codigo],Stock[Codigo])</f>
        <v>0</v>
      </c>
      <c r="N195" s="24">
        <f>Stock[[#This Row],[Precio de Compra]]*Stock[[#This Row],[Stock Cultivate]]</f>
        <v>0</v>
      </c>
      <c r="O195" s="24">
        <f>Stock[[#This Row],[Stock Cultivate]]*Stock[[#This Row],[Precio de Venta]]</f>
        <v>0</v>
      </c>
      <c r="R195" s="16"/>
    </row>
    <row r="196" spans="2:18">
      <c r="B196" s="44">
        <v>736</v>
      </c>
      <c r="C196" t="s">
        <v>934</v>
      </c>
      <c r="D196" s="45">
        <v>250</v>
      </c>
      <c r="E196" s="24">
        <v>700</v>
      </c>
      <c r="F196" s="44">
        <f>Stock[Entradas]-Stock[Compra Cultivate]</f>
        <v>5</v>
      </c>
      <c r="G196" s="11">
        <f>SUMIFS(Compras[Cantidad],Compras[Codigo],Stock[Codigo])</f>
        <v>5</v>
      </c>
      <c r="H196" s="11">
        <f>SUMIFS(Ventas[Cantidad],Ventas[Codigo],Stock[Codigo])</f>
        <v>0</v>
      </c>
      <c r="I196" s="12">
        <f>Stock[[#This Row],[Stock Deposito]]*Stock[[#This Row],[Precio de Compra]]</f>
        <v>1250</v>
      </c>
      <c r="J196" s="6">
        <f>SUMIFS(ProdDesc[Cantidad],ProdDesc[Codigo],Stock[Codigo])</f>
        <v>0</v>
      </c>
      <c r="K196" s="44">
        <f>Stock[[#This Row],[Compra Cultivate]]-Stock[[#This Row],[Salidas]]-Stock[[#This Row],[Usados]]</f>
        <v>0</v>
      </c>
      <c r="L196" s="24">
        <f>Stock[[#This Row],[Stock Deposito]]*Stock[[#This Row],[Precio de Venta]]</f>
        <v>3500</v>
      </c>
      <c r="M196" s="6">
        <f>SUMIFS(Tabla9[Cantidad],Tabla9[Codigo],Stock[Codigo])</f>
        <v>0</v>
      </c>
      <c r="N196" s="24">
        <f>Stock[[#This Row],[Precio de Compra]]*Stock[[#This Row],[Stock Cultivate]]</f>
        <v>0</v>
      </c>
      <c r="O196" s="24">
        <f>Stock[[#This Row],[Stock Cultivate]]*Stock[[#This Row],[Precio de Venta]]</f>
        <v>0</v>
      </c>
      <c r="R196" s="16"/>
    </row>
    <row r="197" spans="2:18">
      <c r="B197" s="44">
        <v>735</v>
      </c>
      <c r="C197" t="s">
        <v>933</v>
      </c>
      <c r="D197" s="45">
        <v>1710</v>
      </c>
      <c r="E197" s="24">
        <v>3500</v>
      </c>
      <c r="F197" s="44">
        <f>Stock[Entradas]-Stock[Compra Cultivate]</f>
        <v>0</v>
      </c>
      <c r="G197" s="11">
        <f>SUMIFS(Compras[Cantidad],Compras[Codigo],Stock[Codigo])</f>
        <v>2</v>
      </c>
      <c r="H197" s="11">
        <f>SUMIFS(Ventas[Cantidad],Ventas[Codigo],Stock[Codigo])</f>
        <v>0</v>
      </c>
      <c r="I197" s="12">
        <f>Stock[[#This Row],[Stock Deposito]]*Stock[[#This Row],[Precio de Compra]]</f>
        <v>0</v>
      </c>
      <c r="J197" s="6">
        <f>SUMIFS(ProdDesc[Cantidad],ProdDesc[Codigo],Stock[Codigo])</f>
        <v>0</v>
      </c>
      <c r="K197" s="44">
        <f>Stock[[#This Row],[Compra Cultivate]]-Stock[[#This Row],[Salidas]]-Stock[[#This Row],[Usados]]</f>
        <v>2</v>
      </c>
      <c r="L197" s="24">
        <f>Stock[[#This Row],[Stock Deposito]]*Stock[[#This Row],[Precio de Venta]]</f>
        <v>0</v>
      </c>
      <c r="M197" s="6">
        <f>SUMIFS(Tabla9[Cantidad],Tabla9[Codigo],Stock[Codigo])</f>
        <v>2</v>
      </c>
      <c r="N197" s="24">
        <f>Stock[[#This Row],[Precio de Compra]]*Stock[[#This Row],[Stock Cultivate]]</f>
        <v>3420</v>
      </c>
      <c r="O197" s="24">
        <f>Stock[[#This Row],[Stock Cultivate]]*Stock[[#This Row],[Precio de Venta]]</f>
        <v>7000</v>
      </c>
      <c r="R197" s="16"/>
    </row>
    <row r="198" spans="2:18">
      <c r="B198" s="44">
        <v>734</v>
      </c>
      <c r="C198" t="s">
        <v>932</v>
      </c>
      <c r="D198" s="45">
        <v>300</v>
      </c>
      <c r="E198" s="24">
        <v>900</v>
      </c>
      <c r="F198" s="44">
        <f>Stock[Entradas]-Stock[Compra Cultivate]</f>
        <v>1</v>
      </c>
      <c r="G198" s="11">
        <f>SUMIFS(Compras[Cantidad],Compras[Codigo],Stock[Codigo])</f>
        <v>1</v>
      </c>
      <c r="H198" s="11">
        <f>SUMIFS(Ventas[Cantidad],Ventas[Codigo],Stock[Codigo])</f>
        <v>0</v>
      </c>
      <c r="I198" s="12">
        <f>Stock[[#This Row],[Stock Deposito]]*Stock[[#This Row],[Precio de Compra]]</f>
        <v>300</v>
      </c>
      <c r="J198" s="6">
        <f>SUMIFS(ProdDesc[Cantidad],ProdDesc[Codigo],Stock[Codigo])</f>
        <v>0</v>
      </c>
      <c r="K198" s="44">
        <f>Stock[[#This Row],[Compra Cultivate]]-Stock[[#This Row],[Salidas]]-Stock[[#This Row],[Usados]]</f>
        <v>0</v>
      </c>
      <c r="L198" s="24">
        <f>Stock[[#This Row],[Stock Deposito]]*Stock[[#This Row],[Precio de Venta]]</f>
        <v>900</v>
      </c>
      <c r="M198" s="6">
        <f>SUMIFS(Tabla9[Cantidad],Tabla9[Codigo],Stock[Codigo])</f>
        <v>0</v>
      </c>
      <c r="N198" s="24">
        <f>Stock[[#This Row],[Precio de Compra]]*Stock[[#This Row],[Stock Cultivate]]</f>
        <v>0</v>
      </c>
      <c r="O198" s="24">
        <f>Stock[[#This Row],[Stock Cultivate]]*Stock[[#This Row],[Precio de Venta]]</f>
        <v>0</v>
      </c>
      <c r="R198" s="16"/>
    </row>
    <row r="199" spans="2:18">
      <c r="B199" s="44">
        <v>733</v>
      </c>
      <c r="C199" t="s">
        <v>931</v>
      </c>
      <c r="D199" s="45">
        <v>300</v>
      </c>
      <c r="E199" s="24">
        <v>900</v>
      </c>
      <c r="F199" s="44">
        <f>Stock[Entradas]-Stock[Compra Cultivate]</f>
        <v>3</v>
      </c>
      <c r="G199" s="11">
        <f>SUMIFS(Compras[Cantidad],Compras[Codigo],Stock[Codigo])</f>
        <v>3</v>
      </c>
      <c r="H199" s="11">
        <f>SUMIFS(Ventas[Cantidad],Ventas[Codigo],Stock[Codigo])</f>
        <v>0</v>
      </c>
      <c r="I199" s="12">
        <f>Stock[[#This Row],[Stock Deposito]]*Stock[[#This Row],[Precio de Compra]]</f>
        <v>900</v>
      </c>
      <c r="J199" s="6">
        <f>SUMIFS(ProdDesc[Cantidad],ProdDesc[Codigo],Stock[Codigo])</f>
        <v>0</v>
      </c>
      <c r="K199" s="44">
        <f>Stock[[#This Row],[Compra Cultivate]]-Stock[[#This Row],[Salidas]]-Stock[[#This Row],[Usados]]</f>
        <v>0</v>
      </c>
      <c r="L199" s="24">
        <f>Stock[[#This Row],[Stock Deposito]]*Stock[[#This Row],[Precio de Venta]]</f>
        <v>2700</v>
      </c>
      <c r="M199" s="6">
        <f>SUMIFS(Tabla9[Cantidad],Tabla9[Codigo],Stock[Codigo])</f>
        <v>0</v>
      </c>
      <c r="N199" s="24">
        <f>Stock[[#This Row],[Precio de Compra]]*Stock[[#This Row],[Stock Cultivate]]</f>
        <v>0</v>
      </c>
      <c r="O199" s="24">
        <f>Stock[[#This Row],[Stock Cultivate]]*Stock[[#This Row],[Precio de Venta]]</f>
        <v>0</v>
      </c>
      <c r="R199" s="16"/>
    </row>
    <row r="200" spans="2:18">
      <c r="B200" s="44">
        <v>732</v>
      </c>
      <c r="C200" t="s">
        <v>930</v>
      </c>
      <c r="D200" s="45">
        <v>620</v>
      </c>
      <c r="E200" s="24">
        <v>1500</v>
      </c>
      <c r="F200" s="44">
        <f>Stock[Entradas]-Stock[Compra Cultivate]</f>
        <v>6</v>
      </c>
      <c r="G200" s="11">
        <f>SUMIFS(Compras[Cantidad],Compras[Codigo],Stock[Codigo])</f>
        <v>6</v>
      </c>
      <c r="H200" s="11">
        <f>SUMIFS(Ventas[Cantidad],Ventas[Codigo],Stock[Codigo])</f>
        <v>0</v>
      </c>
      <c r="I200" s="12">
        <f>Stock[[#This Row],[Stock Deposito]]*Stock[[#This Row],[Precio de Compra]]</f>
        <v>3720</v>
      </c>
      <c r="J200" s="6">
        <f>SUMIFS(ProdDesc[Cantidad],ProdDesc[Codigo],Stock[Codigo])</f>
        <v>0</v>
      </c>
      <c r="K200" s="44">
        <f>Stock[[#This Row],[Compra Cultivate]]-Stock[[#This Row],[Salidas]]-Stock[[#This Row],[Usados]]</f>
        <v>0</v>
      </c>
      <c r="L200" s="24">
        <f>Stock[[#This Row],[Stock Deposito]]*Stock[[#This Row],[Precio de Venta]]</f>
        <v>9000</v>
      </c>
      <c r="M200" s="6">
        <f>SUMIFS(Tabla9[Cantidad],Tabla9[Codigo],Stock[Codigo])</f>
        <v>0</v>
      </c>
      <c r="N200" s="24">
        <f>Stock[[#This Row],[Precio de Compra]]*Stock[[#This Row],[Stock Cultivate]]</f>
        <v>0</v>
      </c>
      <c r="O200" s="24">
        <f>Stock[[#This Row],[Stock Cultivate]]*Stock[[#This Row],[Precio de Venta]]</f>
        <v>0</v>
      </c>
      <c r="R200" s="16"/>
    </row>
    <row r="201" spans="2:18">
      <c r="B201" s="44">
        <v>731</v>
      </c>
      <c r="C201" t="s">
        <v>929</v>
      </c>
      <c r="D201" s="45">
        <v>700</v>
      </c>
      <c r="E201" s="24">
        <v>1700</v>
      </c>
      <c r="F201" s="44">
        <f>Stock[Entradas]-Stock[Compra Cultivate]</f>
        <v>1</v>
      </c>
      <c r="G201" s="11">
        <f>SUMIFS(Compras[Cantidad],Compras[Codigo],Stock[Codigo])</f>
        <v>1</v>
      </c>
      <c r="H201" s="11">
        <f>SUMIFS(Ventas[Cantidad],Ventas[Codigo],Stock[Codigo])</f>
        <v>0</v>
      </c>
      <c r="I201" s="12">
        <f>Stock[[#This Row],[Stock Deposito]]*Stock[[#This Row],[Precio de Compra]]</f>
        <v>700</v>
      </c>
      <c r="J201" s="6">
        <f>SUMIFS(ProdDesc[Cantidad],ProdDesc[Codigo],Stock[Codigo])</f>
        <v>0</v>
      </c>
      <c r="K201" s="44">
        <f>Stock[[#This Row],[Compra Cultivate]]-Stock[[#This Row],[Salidas]]-Stock[[#This Row],[Usados]]</f>
        <v>0</v>
      </c>
      <c r="L201" s="24">
        <f>Stock[[#This Row],[Stock Deposito]]*Stock[[#This Row],[Precio de Venta]]</f>
        <v>1700</v>
      </c>
      <c r="M201" s="6">
        <f>SUMIFS(Tabla9[Cantidad],Tabla9[Codigo],Stock[Codigo])</f>
        <v>0</v>
      </c>
      <c r="N201" s="24">
        <f>Stock[[#This Row],[Precio de Compra]]*Stock[[#This Row],[Stock Cultivate]]</f>
        <v>0</v>
      </c>
      <c r="O201" s="24">
        <f>Stock[[#This Row],[Stock Cultivate]]*Stock[[#This Row],[Precio de Venta]]</f>
        <v>0</v>
      </c>
      <c r="R201" s="16"/>
    </row>
    <row r="202" spans="2:18">
      <c r="B202" s="44">
        <v>730</v>
      </c>
      <c r="C202" t="s">
        <v>928</v>
      </c>
      <c r="D202" s="45">
        <v>1500</v>
      </c>
      <c r="E202" s="24">
        <v>3500</v>
      </c>
      <c r="F202" s="44">
        <f>Stock[Entradas]-Stock[Compra Cultivate]</f>
        <v>2</v>
      </c>
      <c r="G202" s="11">
        <f>SUMIFS(Compras[Cantidad],Compras[Codigo],Stock[Codigo])</f>
        <v>2</v>
      </c>
      <c r="H202" s="11">
        <f>SUMIFS(Ventas[Cantidad],Ventas[Codigo],Stock[Codigo])</f>
        <v>0</v>
      </c>
      <c r="I202" s="12">
        <f>Stock[[#This Row],[Stock Deposito]]*Stock[[#This Row],[Precio de Compra]]</f>
        <v>3000</v>
      </c>
      <c r="J202" s="6">
        <f>SUMIFS(ProdDesc[Cantidad],ProdDesc[Codigo],Stock[Codigo])</f>
        <v>0</v>
      </c>
      <c r="K202" s="44">
        <f>Stock[[#This Row],[Compra Cultivate]]-Stock[[#This Row],[Salidas]]-Stock[[#This Row],[Usados]]</f>
        <v>0</v>
      </c>
      <c r="L202" s="24">
        <f>Stock[[#This Row],[Stock Deposito]]*Stock[[#This Row],[Precio de Venta]]</f>
        <v>7000</v>
      </c>
      <c r="M202" s="6">
        <f>SUMIFS(Tabla9[Cantidad],Tabla9[Codigo],Stock[Codigo])</f>
        <v>0</v>
      </c>
      <c r="N202" s="24">
        <f>Stock[[#This Row],[Precio de Compra]]*Stock[[#This Row],[Stock Cultivate]]</f>
        <v>0</v>
      </c>
      <c r="O202" s="24">
        <f>Stock[[#This Row],[Stock Cultivate]]*Stock[[#This Row],[Precio de Venta]]</f>
        <v>0</v>
      </c>
      <c r="R202" s="16"/>
    </row>
    <row r="203" spans="2:18">
      <c r="B203" s="44">
        <v>729</v>
      </c>
      <c r="C203" t="s">
        <v>1168</v>
      </c>
      <c r="D203" s="45">
        <v>660</v>
      </c>
      <c r="E203" s="24">
        <v>1500</v>
      </c>
      <c r="F203" s="44">
        <f>Stock[Entradas]-Stock[Compra Cultivate]</f>
        <v>3</v>
      </c>
      <c r="G203" s="11">
        <f>SUMIFS(Compras[Cantidad],Compras[Codigo],Stock[Codigo])</f>
        <v>3</v>
      </c>
      <c r="H203" s="11">
        <f>SUMIFS(Ventas[Cantidad],Ventas[Codigo],Stock[Codigo])</f>
        <v>0</v>
      </c>
      <c r="I203" s="12">
        <f>Stock[[#This Row],[Stock Deposito]]*Stock[[#This Row],[Precio de Compra]]</f>
        <v>1980</v>
      </c>
      <c r="J203" s="6">
        <f>SUMIFS(ProdDesc[Cantidad],ProdDesc[Codigo],Stock[Codigo])</f>
        <v>0</v>
      </c>
      <c r="K203" s="44">
        <f>Stock[[#This Row],[Compra Cultivate]]-Stock[[#This Row],[Salidas]]-Stock[[#This Row],[Usados]]</f>
        <v>0</v>
      </c>
      <c r="L203" s="24">
        <f>Stock[[#This Row],[Stock Deposito]]*Stock[[#This Row],[Precio de Venta]]</f>
        <v>4500</v>
      </c>
      <c r="M203" s="6">
        <f>SUMIFS(Tabla9[Cantidad],Tabla9[Codigo],Stock[Codigo])</f>
        <v>0</v>
      </c>
      <c r="N203" s="24">
        <f>Stock[[#This Row],[Precio de Compra]]*Stock[[#This Row],[Stock Cultivate]]</f>
        <v>0</v>
      </c>
      <c r="O203" s="24">
        <f>Stock[[#This Row],[Stock Cultivate]]*Stock[[#This Row],[Precio de Venta]]</f>
        <v>0</v>
      </c>
      <c r="R203" s="16"/>
    </row>
    <row r="204" spans="2:18">
      <c r="B204" s="44">
        <v>728</v>
      </c>
      <c r="C204" t="s">
        <v>927</v>
      </c>
      <c r="D204" s="45">
        <v>150</v>
      </c>
      <c r="E204" s="24">
        <v>500</v>
      </c>
      <c r="F204" s="44">
        <f>Stock[Entradas]-Stock[Compra Cultivate]</f>
        <v>4</v>
      </c>
      <c r="G204" s="11">
        <f>SUMIFS(Compras[Cantidad],Compras[Codigo],Stock[Codigo])</f>
        <v>4</v>
      </c>
      <c r="H204" s="11">
        <f>SUMIFS(Ventas[Cantidad],Ventas[Codigo],Stock[Codigo])</f>
        <v>0</v>
      </c>
      <c r="I204" s="12">
        <f>Stock[[#This Row],[Stock Deposito]]*Stock[[#This Row],[Precio de Compra]]</f>
        <v>600</v>
      </c>
      <c r="J204" s="6">
        <f>SUMIFS(ProdDesc[Cantidad],ProdDesc[Codigo],Stock[Codigo])</f>
        <v>0</v>
      </c>
      <c r="K204" s="44">
        <f>Stock[[#This Row],[Compra Cultivate]]-Stock[[#This Row],[Salidas]]-Stock[[#This Row],[Usados]]</f>
        <v>0</v>
      </c>
      <c r="L204" s="24">
        <f>Stock[[#This Row],[Stock Deposito]]*Stock[[#This Row],[Precio de Venta]]</f>
        <v>2000</v>
      </c>
      <c r="M204" s="6">
        <f>SUMIFS(Tabla9[Cantidad],Tabla9[Codigo],Stock[Codigo])</f>
        <v>0</v>
      </c>
      <c r="N204" s="24">
        <f>Stock[[#This Row],[Precio de Compra]]*Stock[[#This Row],[Stock Cultivate]]</f>
        <v>0</v>
      </c>
      <c r="O204" s="24">
        <f>Stock[[#This Row],[Stock Cultivate]]*Stock[[#This Row],[Precio de Venta]]</f>
        <v>0</v>
      </c>
      <c r="R204" s="16"/>
    </row>
    <row r="205" spans="2:18">
      <c r="B205" s="44">
        <v>727</v>
      </c>
      <c r="C205" t="s">
        <v>926</v>
      </c>
      <c r="D205" s="45">
        <v>150</v>
      </c>
      <c r="E205" s="24">
        <v>700</v>
      </c>
      <c r="F205" s="44">
        <f>Stock[Entradas]-Stock[Compra Cultivate]</f>
        <v>6</v>
      </c>
      <c r="G205" s="11">
        <f>SUMIFS(Compras[Cantidad],Compras[Codigo],Stock[Codigo])</f>
        <v>6</v>
      </c>
      <c r="H205" s="11">
        <f>SUMIFS(Ventas[Cantidad],Ventas[Codigo],Stock[Codigo])</f>
        <v>0</v>
      </c>
      <c r="I205" s="12">
        <f>Stock[[#This Row],[Stock Deposito]]*Stock[[#This Row],[Precio de Compra]]</f>
        <v>900</v>
      </c>
      <c r="J205" s="6">
        <f>SUMIFS(ProdDesc[Cantidad],ProdDesc[Codigo],Stock[Codigo])</f>
        <v>0</v>
      </c>
      <c r="K205" s="44">
        <f>Stock[[#This Row],[Compra Cultivate]]-Stock[[#This Row],[Salidas]]-Stock[[#This Row],[Usados]]</f>
        <v>0</v>
      </c>
      <c r="L205" s="24">
        <f>Stock[[#This Row],[Stock Deposito]]*Stock[[#This Row],[Precio de Venta]]</f>
        <v>4200</v>
      </c>
      <c r="M205" s="6">
        <f>SUMIFS(Tabla9[Cantidad],Tabla9[Codigo],Stock[Codigo])</f>
        <v>0</v>
      </c>
      <c r="N205" s="24">
        <f>Stock[[#This Row],[Precio de Compra]]*Stock[[#This Row],[Stock Cultivate]]</f>
        <v>0</v>
      </c>
      <c r="O205" s="24">
        <f>Stock[[#This Row],[Stock Cultivate]]*Stock[[#This Row],[Precio de Venta]]</f>
        <v>0</v>
      </c>
      <c r="R205" s="16"/>
    </row>
    <row r="206" spans="2:18">
      <c r="B206" s="44">
        <v>726</v>
      </c>
      <c r="C206" t="s">
        <v>925</v>
      </c>
      <c r="D206" s="45">
        <v>220</v>
      </c>
      <c r="E206" s="24">
        <v>700</v>
      </c>
      <c r="F206" s="44">
        <f>Stock[Entradas]-Stock[Compra Cultivate]</f>
        <v>6</v>
      </c>
      <c r="G206" s="11">
        <f>SUMIFS(Compras[Cantidad],Compras[Codigo],Stock[Codigo])</f>
        <v>6</v>
      </c>
      <c r="H206" s="11">
        <f>SUMIFS(Ventas[Cantidad],Ventas[Codigo],Stock[Codigo])</f>
        <v>0</v>
      </c>
      <c r="I206" s="12">
        <f>Stock[[#This Row],[Stock Deposito]]*Stock[[#This Row],[Precio de Compra]]</f>
        <v>1320</v>
      </c>
      <c r="J206" s="6">
        <f>SUMIFS(ProdDesc[Cantidad],ProdDesc[Codigo],Stock[Codigo])</f>
        <v>0</v>
      </c>
      <c r="K206" s="44">
        <f>Stock[[#This Row],[Compra Cultivate]]-Stock[[#This Row],[Salidas]]-Stock[[#This Row],[Usados]]</f>
        <v>0</v>
      </c>
      <c r="L206" s="24">
        <f>Stock[[#This Row],[Stock Deposito]]*Stock[[#This Row],[Precio de Venta]]</f>
        <v>4200</v>
      </c>
      <c r="M206" s="6">
        <f>SUMIFS(Tabla9[Cantidad],Tabla9[Codigo],Stock[Codigo])</f>
        <v>0</v>
      </c>
      <c r="N206" s="24">
        <f>Stock[[#This Row],[Precio de Compra]]*Stock[[#This Row],[Stock Cultivate]]</f>
        <v>0</v>
      </c>
      <c r="O206" s="24">
        <f>Stock[[#This Row],[Stock Cultivate]]*Stock[[#This Row],[Precio de Venta]]</f>
        <v>0</v>
      </c>
      <c r="R206" s="16"/>
    </row>
    <row r="207" spans="2:18">
      <c r="B207" s="44">
        <v>725</v>
      </c>
      <c r="C207" t="s">
        <v>924</v>
      </c>
      <c r="D207" s="45">
        <v>190</v>
      </c>
      <c r="E207" s="24">
        <v>700</v>
      </c>
      <c r="F207" s="44">
        <f>Stock[Entradas]-Stock[Compra Cultivate]</f>
        <v>1</v>
      </c>
      <c r="G207" s="11">
        <f>SUMIFS(Compras[Cantidad],Compras[Codigo],Stock[Codigo])</f>
        <v>1</v>
      </c>
      <c r="H207" s="11">
        <f>SUMIFS(Ventas[Cantidad],Ventas[Codigo],Stock[Codigo])</f>
        <v>0</v>
      </c>
      <c r="I207" s="12">
        <f>Stock[[#This Row],[Stock Deposito]]*Stock[[#This Row],[Precio de Compra]]</f>
        <v>190</v>
      </c>
      <c r="J207" s="6">
        <f>SUMIFS(ProdDesc[Cantidad],ProdDesc[Codigo],Stock[Codigo])</f>
        <v>0</v>
      </c>
      <c r="K207" s="44">
        <f>Stock[[#This Row],[Compra Cultivate]]-Stock[[#This Row],[Salidas]]-Stock[[#This Row],[Usados]]</f>
        <v>0</v>
      </c>
      <c r="L207" s="24">
        <f>Stock[[#This Row],[Stock Deposito]]*Stock[[#This Row],[Precio de Venta]]</f>
        <v>700</v>
      </c>
      <c r="M207" s="6">
        <f>SUMIFS(Tabla9[Cantidad],Tabla9[Codigo],Stock[Codigo])</f>
        <v>0</v>
      </c>
      <c r="N207" s="24">
        <f>Stock[[#This Row],[Precio de Compra]]*Stock[[#This Row],[Stock Cultivate]]</f>
        <v>0</v>
      </c>
      <c r="O207" s="24">
        <f>Stock[[#This Row],[Stock Cultivate]]*Stock[[#This Row],[Precio de Venta]]</f>
        <v>0</v>
      </c>
      <c r="R207" s="16"/>
    </row>
    <row r="208" spans="2:18">
      <c r="B208" s="44">
        <v>724</v>
      </c>
      <c r="C208" t="s">
        <v>923</v>
      </c>
      <c r="D208" s="45">
        <v>350</v>
      </c>
      <c r="E208" s="24">
        <v>1200</v>
      </c>
      <c r="F208" s="44">
        <f>Stock[Entradas]-Stock[Compra Cultivate]</f>
        <v>5</v>
      </c>
      <c r="G208" s="11">
        <f>SUMIFS(Compras[Cantidad],Compras[Codigo],Stock[Codigo])</f>
        <v>5</v>
      </c>
      <c r="H208" s="11">
        <f>SUMIFS(Ventas[Cantidad],Ventas[Codigo],Stock[Codigo])</f>
        <v>0</v>
      </c>
      <c r="I208" s="12">
        <f>Stock[[#This Row],[Stock Deposito]]*Stock[[#This Row],[Precio de Compra]]</f>
        <v>1750</v>
      </c>
      <c r="J208" s="6">
        <f>SUMIFS(ProdDesc[Cantidad],ProdDesc[Codigo],Stock[Codigo])</f>
        <v>0</v>
      </c>
      <c r="K208" s="44">
        <f>Stock[[#This Row],[Compra Cultivate]]-Stock[[#This Row],[Salidas]]-Stock[[#This Row],[Usados]]</f>
        <v>0</v>
      </c>
      <c r="L208" s="24">
        <f>Stock[[#This Row],[Stock Deposito]]*Stock[[#This Row],[Precio de Venta]]</f>
        <v>6000</v>
      </c>
      <c r="M208" s="6">
        <f>SUMIFS(Tabla9[Cantidad],Tabla9[Codigo],Stock[Codigo])</f>
        <v>0</v>
      </c>
      <c r="N208" s="24">
        <f>Stock[[#This Row],[Precio de Compra]]*Stock[[#This Row],[Stock Cultivate]]</f>
        <v>0</v>
      </c>
      <c r="O208" s="24">
        <f>Stock[[#This Row],[Stock Cultivate]]*Stock[[#This Row],[Precio de Venta]]</f>
        <v>0</v>
      </c>
      <c r="R208" s="16"/>
    </row>
    <row r="209" spans="2:18">
      <c r="B209" s="44">
        <v>723</v>
      </c>
      <c r="C209" t="s">
        <v>922</v>
      </c>
      <c r="D209" s="45">
        <v>320</v>
      </c>
      <c r="E209" s="24">
        <v>1200</v>
      </c>
      <c r="F209" s="44">
        <f>Stock[Entradas]-Stock[Compra Cultivate]</f>
        <v>1</v>
      </c>
      <c r="G209" s="11">
        <f>SUMIFS(Compras[Cantidad],Compras[Codigo],Stock[Codigo])</f>
        <v>1</v>
      </c>
      <c r="H209" s="11">
        <f>SUMIFS(Ventas[Cantidad],Ventas[Codigo],Stock[Codigo])</f>
        <v>0</v>
      </c>
      <c r="I209" s="12">
        <f>Stock[[#This Row],[Stock Deposito]]*Stock[[#This Row],[Precio de Compra]]</f>
        <v>320</v>
      </c>
      <c r="J209" s="6">
        <f>SUMIFS(ProdDesc[Cantidad],ProdDesc[Codigo],Stock[Codigo])</f>
        <v>0</v>
      </c>
      <c r="K209" s="44">
        <f>Stock[[#This Row],[Compra Cultivate]]-Stock[[#This Row],[Salidas]]-Stock[[#This Row],[Usados]]</f>
        <v>0</v>
      </c>
      <c r="L209" s="24">
        <f>Stock[[#This Row],[Stock Deposito]]*Stock[[#This Row],[Precio de Venta]]</f>
        <v>1200</v>
      </c>
      <c r="M209" s="6">
        <f>SUMIFS(Tabla9[Cantidad],Tabla9[Codigo],Stock[Codigo])</f>
        <v>0</v>
      </c>
      <c r="N209" s="24">
        <f>Stock[[#This Row],[Precio de Compra]]*Stock[[#This Row],[Stock Cultivate]]</f>
        <v>0</v>
      </c>
      <c r="O209" s="24">
        <f>Stock[[#This Row],[Stock Cultivate]]*Stock[[#This Row],[Precio de Venta]]</f>
        <v>0</v>
      </c>
      <c r="R209" s="16"/>
    </row>
    <row r="210" spans="2:18">
      <c r="B210" s="44">
        <v>722</v>
      </c>
      <c r="C210" t="s">
        <v>921</v>
      </c>
      <c r="D210" s="45">
        <v>200</v>
      </c>
      <c r="E210" s="24">
        <v>600</v>
      </c>
      <c r="F210" s="44">
        <f>Stock[Entradas]-Stock[Compra Cultivate]</f>
        <v>6</v>
      </c>
      <c r="G210" s="11">
        <f>SUMIFS(Compras[Cantidad],Compras[Codigo],Stock[Codigo])</f>
        <v>6</v>
      </c>
      <c r="H210" s="11">
        <f>SUMIFS(Ventas[Cantidad],Ventas[Codigo],Stock[Codigo])</f>
        <v>0</v>
      </c>
      <c r="I210" s="12">
        <f>Stock[[#This Row],[Stock Deposito]]*Stock[[#This Row],[Precio de Compra]]</f>
        <v>1200</v>
      </c>
      <c r="J210" s="6">
        <f>SUMIFS(ProdDesc[Cantidad],ProdDesc[Codigo],Stock[Codigo])</f>
        <v>0</v>
      </c>
      <c r="K210" s="44">
        <f>Stock[[#This Row],[Compra Cultivate]]-Stock[[#This Row],[Salidas]]-Stock[[#This Row],[Usados]]</f>
        <v>0</v>
      </c>
      <c r="L210" s="24">
        <f>Stock[[#This Row],[Stock Deposito]]*Stock[[#This Row],[Precio de Venta]]</f>
        <v>3600</v>
      </c>
      <c r="M210" s="6">
        <f>SUMIFS(Tabla9[Cantidad],Tabla9[Codigo],Stock[Codigo])</f>
        <v>0</v>
      </c>
      <c r="N210" s="24">
        <f>Stock[[#This Row],[Precio de Compra]]*Stock[[#This Row],[Stock Cultivate]]</f>
        <v>0</v>
      </c>
      <c r="O210" s="24">
        <f>Stock[[#This Row],[Stock Cultivate]]*Stock[[#This Row],[Precio de Venta]]</f>
        <v>0</v>
      </c>
      <c r="R210" s="16"/>
    </row>
    <row r="211" spans="2:18">
      <c r="B211" s="44">
        <v>721</v>
      </c>
      <c r="C211" t="s">
        <v>920</v>
      </c>
      <c r="D211" s="45">
        <v>600</v>
      </c>
      <c r="E211" s="24">
        <v>1800</v>
      </c>
      <c r="F211" s="44">
        <f>Stock[Entradas]-Stock[Compra Cultivate]</f>
        <v>1</v>
      </c>
      <c r="G211" s="11">
        <f>SUMIFS(Compras[Cantidad],Compras[Codigo],Stock[Codigo])</f>
        <v>1</v>
      </c>
      <c r="H211" s="11">
        <f>SUMIFS(Ventas[Cantidad],Ventas[Codigo],Stock[Codigo])</f>
        <v>0</v>
      </c>
      <c r="I211" s="12">
        <f>Stock[[#This Row],[Stock Deposito]]*Stock[[#This Row],[Precio de Compra]]</f>
        <v>600</v>
      </c>
      <c r="J211" s="6">
        <f>SUMIFS(ProdDesc[Cantidad],ProdDesc[Codigo],Stock[Codigo])</f>
        <v>0</v>
      </c>
      <c r="K211" s="44">
        <f>Stock[[#This Row],[Compra Cultivate]]-Stock[[#This Row],[Salidas]]-Stock[[#This Row],[Usados]]</f>
        <v>0</v>
      </c>
      <c r="L211" s="24">
        <f>Stock[[#This Row],[Stock Deposito]]*Stock[[#This Row],[Precio de Venta]]</f>
        <v>1800</v>
      </c>
      <c r="M211" s="6">
        <f>SUMIFS(Tabla9[Cantidad],Tabla9[Codigo],Stock[Codigo])</f>
        <v>0</v>
      </c>
      <c r="N211" s="24">
        <f>Stock[[#This Row],[Precio de Compra]]*Stock[[#This Row],[Stock Cultivate]]</f>
        <v>0</v>
      </c>
      <c r="O211" s="24">
        <f>Stock[[#This Row],[Stock Cultivate]]*Stock[[#This Row],[Precio de Venta]]</f>
        <v>0</v>
      </c>
      <c r="R211" s="16"/>
    </row>
    <row r="212" spans="2:18">
      <c r="B212" s="44">
        <v>720</v>
      </c>
      <c r="C212" t="s">
        <v>919</v>
      </c>
      <c r="D212" s="45">
        <v>250</v>
      </c>
      <c r="E212" s="24">
        <v>700</v>
      </c>
      <c r="F212" s="44">
        <f>Stock[Entradas]-Stock[Compra Cultivate]</f>
        <v>3</v>
      </c>
      <c r="G212" s="11">
        <f>SUMIFS(Compras[Cantidad],Compras[Codigo],Stock[Codigo])</f>
        <v>3</v>
      </c>
      <c r="H212" s="11">
        <f>SUMIFS(Ventas[Cantidad],Ventas[Codigo],Stock[Codigo])</f>
        <v>0</v>
      </c>
      <c r="I212" s="12">
        <f>Stock[[#This Row],[Stock Deposito]]*Stock[[#This Row],[Precio de Compra]]</f>
        <v>750</v>
      </c>
      <c r="J212" s="6">
        <f>SUMIFS(ProdDesc[Cantidad],ProdDesc[Codigo],Stock[Codigo])</f>
        <v>0</v>
      </c>
      <c r="K212" s="44">
        <f>Stock[[#This Row],[Compra Cultivate]]-Stock[[#This Row],[Salidas]]-Stock[[#This Row],[Usados]]</f>
        <v>0</v>
      </c>
      <c r="L212" s="24">
        <f>Stock[[#This Row],[Stock Deposito]]*Stock[[#This Row],[Precio de Venta]]</f>
        <v>2100</v>
      </c>
      <c r="M212" s="6">
        <f>SUMIFS(Tabla9[Cantidad],Tabla9[Codigo],Stock[Codigo])</f>
        <v>0</v>
      </c>
      <c r="N212" s="24">
        <f>Stock[[#This Row],[Precio de Compra]]*Stock[[#This Row],[Stock Cultivate]]</f>
        <v>0</v>
      </c>
      <c r="O212" s="24">
        <f>Stock[[#This Row],[Stock Cultivate]]*Stock[[#This Row],[Precio de Venta]]</f>
        <v>0</v>
      </c>
      <c r="R212" s="16"/>
    </row>
    <row r="213" spans="2:18">
      <c r="B213" s="44">
        <v>719</v>
      </c>
      <c r="C213" t="s">
        <v>918</v>
      </c>
      <c r="D213" s="45">
        <v>500</v>
      </c>
      <c r="E213" s="24">
        <v>1400</v>
      </c>
      <c r="F213" s="44">
        <f>Stock[Entradas]-Stock[Compra Cultivate]</f>
        <v>2</v>
      </c>
      <c r="G213" s="11">
        <f>SUMIFS(Compras[Cantidad],Compras[Codigo],Stock[Codigo])</f>
        <v>2</v>
      </c>
      <c r="H213" s="11">
        <f>SUMIFS(Ventas[Cantidad],Ventas[Codigo],Stock[Codigo])</f>
        <v>0</v>
      </c>
      <c r="I213" s="12">
        <f>Stock[[#This Row],[Stock Deposito]]*Stock[[#This Row],[Precio de Compra]]</f>
        <v>1000</v>
      </c>
      <c r="J213" s="6">
        <f>SUMIFS(ProdDesc[Cantidad],ProdDesc[Codigo],Stock[Codigo])</f>
        <v>0</v>
      </c>
      <c r="K213" s="44">
        <f>Stock[[#This Row],[Compra Cultivate]]-Stock[[#This Row],[Salidas]]-Stock[[#This Row],[Usados]]</f>
        <v>0</v>
      </c>
      <c r="L213" s="24">
        <f>Stock[[#This Row],[Stock Deposito]]*Stock[[#This Row],[Precio de Venta]]</f>
        <v>2800</v>
      </c>
      <c r="M213" s="6">
        <f>SUMIFS(Tabla9[Cantidad],Tabla9[Codigo],Stock[Codigo])</f>
        <v>0</v>
      </c>
      <c r="N213" s="24">
        <f>Stock[[#This Row],[Precio de Compra]]*Stock[[#This Row],[Stock Cultivate]]</f>
        <v>0</v>
      </c>
      <c r="O213" s="24">
        <f>Stock[[#This Row],[Stock Cultivate]]*Stock[[#This Row],[Precio de Venta]]</f>
        <v>0</v>
      </c>
      <c r="R213" s="16"/>
    </row>
    <row r="214" spans="2:18">
      <c r="B214" s="44">
        <v>718</v>
      </c>
      <c r="C214" t="s">
        <v>916</v>
      </c>
      <c r="D214" s="45">
        <v>1200</v>
      </c>
      <c r="E214" s="24">
        <v>3500</v>
      </c>
      <c r="F214" s="44">
        <f>Stock[Entradas]-Stock[Compra Cultivate]</f>
        <v>5</v>
      </c>
      <c r="G214" s="11">
        <f>SUMIFS(Compras[Cantidad],Compras[Codigo],Stock[Codigo])</f>
        <v>6</v>
      </c>
      <c r="H214" s="11">
        <f>SUMIFS(Ventas[Cantidad],Ventas[Codigo],Stock[Codigo])</f>
        <v>0</v>
      </c>
      <c r="I214" s="12">
        <f>Stock[[#This Row],[Stock Deposito]]*Stock[[#This Row],[Precio de Compra]]</f>
        <v>6000</v>
      </c>
      <c r="J214" s="6">
        <f>SUMIFS(ProdDesc[Cantidad],ProdDesc[Codigo],Stock[Codigo])</f>
        <v>0</v>
      </c>
      <c r="K214" s="44">
        <f>Stock[[#This Row],[Compra Cultivate]]-Stock[[#This Row],[Salidas]]-Stock[[#This Row],[Usados]]</f>
        <v>1</v>
      </c>
      <c r="L214" s="24">
        <f>Stock[[#This Row],[Stock Deposito]]*Stock[[#This Row],[Precio de Venta]]</f>
        <v>17500</v>
      </c>
      <c r="M214" s="6">
        <f>SUMIFS(Tabla9[Cantidad],Tabla9[Codigo],Stock[Codigo])</f>
        <v>1</v>
      </c>
      <c r="N214" s="24">
        <f>Stock[[#This Row],[Precio de Compra]]*Stock[[#This Row],[Stock Cultivate]]</f>
        <v>1200</v>
      </c>
      <c r="O214" s="24">
        <f>Stock[[#This Row],[Stock Cultivate]]*Stock[[#This Row],[Precio de Venta]]</f>
        <v>3500</v>
      </c>
      <c r="R214" s="16"/>
    </row>
    <row r="215" spans="2:18">
      <c r="B215" s="44">
        <v>717</v>
      </c>
      <c r="C215" t="s">
        <v>914</v>
      </c>
      <c r="D215" s="45">
        <v>1200</v>
      </c>
      <c r="E215" s="24">
        <v>3500</v>
      </c>
      <c r="F215" s="44">
        <f>Stock[Entradas]-Stock[Compra Cultivate]</f>
        <v>0</v>
      </c>
      <c r="G215" s="11">
        <f>SUMIFS(Compras[Cantidad],Compras[Codigo],Stock[Codigo])</f>
        <v>6</v>
      </c>
      <c r="H215" s="11">
        <f>SUMIFS(Ventas[Cantidad],Ventas[Codigo],Stock[Codigo])</f>
        <v>0</v>
      </c>
      <c r="I215" s="12">
        <f>Stock[[#This Row],[Stock Deposito]]*Stock[[#This Row],[Precio de Compra]]</f>
        <v>0</v>
      </c>
      <c r="J215" s="6">
        <f>SUMIFS(ProdDesc[Cantidad],ProdDesc[Codigo],Stock[Codigo])</f>
        <v>0</v>
      </c>
      <c r="K215" s="44">
        <f>Stock[[#This Row],[Compra Cultivate]]-Stock[[#This Row],[Salidas]]-Stock[[#This Row],[Usados]]</f>
        <v>6</v>
      </c>
      <c r="L215" s="24">
        <f>Stock[[#This Row],[Stock Deposito]]*Stock[[#This Row],[Precio de Venta]]</f>
        <v>0</v>
      </c>
      <c r="M215" s="6">
        <f>SUMIFS(Tabla9[Cantidad],Tabla9[Codigo],Stock[Codigo])</f>
        <v>6</v>
      </c>
      <c r="N215" s="24">
        <f>Stock[[#This Row],[Precio de Compra]]*Stock[[#This Row],[Stock Cultivate]]</f>
        <v>7200</v>
      </c>
      <c r="O215" s="24">
        <f>Stock[[#This Row],[Stock Cultivate]]*Stock[[#This Row],[Precio de Venta]]</f>
        <v>21000</v>
      </c>
      <c r="R215" s="16"/>
    </row>
    <row r="216" spans="2:18">
      <c r="B216" s="44">
        <v>716</v>
      </c>
      <c r="C216" t="s">
        <v>913</v>
      </c>
      <c r="D216" s="45">
        <v>120</v>
      </c>
      <c r="E216" s="24">
        <v>3500</v>
      </c>
      <c r="F216" s="44">
        <f>Stock[Entradas]-Stock[Compra Cultivate]</f>
        <v>0</v>
      </c>
      <c r="G216" s="11">
        <f>SUMIFS(Compras[Cantidad],Compras[Codigo],Stock[Codigo])</f>
        <v>6</v>
      </c>
      <c r="H216" s="11">
        <f>SUMIFS(Ventas[Cantidad],Ventas[Codigo],Stock[Codigo])</f>
        <v>0</v>
      </c>
      <c r="I216" s="12">
        <f>Stock[[#This Row],[Stock Deposito]]*Stock[[#This Row],[Precio de Compra]]</f>
        <v>0</v>
      </c>
      <c r="J216" s="6">
        <f>SUMIFS(ProdDesc[Cantidad],ProdDesc[Codigo],Stock[Codigo])</f>
        <v>0</v>
      </c>
      <c r="K216" s="44">
        <f>Stock[[#This Row],[Compra Cultivate]]-Stock[[#This Row],[Salidas]]-Stock[[#This Row],[Usados]]</f>
        <v>6</v>
      </c>
      <c r="L216" s="24">
        <f>Stock[[#This Row],[Stock Deposito]]*Stock[[#This Row],[Precio de Venta]]</f>
        <v>0</v>
      </c>
      <c r="M216" s="6">
        <f>SUMIFS(Tabla9[Cantidad],Tabla9[Codigo],Stock[Codigo])</f>
        <v>6</v>
      </c>
      <c r="N216" s="24">
        <f>Stock[[#This Row],[Precio de Compra]]*Stock[[#This Row],[Stock Cultivate]]</f>
        <v>720</v>
      </c>
      <c r="O216" s="24">
        <f>Stock[[#This Row],[Stock Cultivate]]*Stock[[#This Row],[Precio de Venta]]</f>
        <v>21000</v>
      </c>
      <c r="R216" s="16"/>
    </row>
    <row r="217" spans="2:18">
      <c r="B217" s="44">
        <v>715</v>
      </c>
      <c r="C217" t="s">
        <v>917</v>
      </c>
      <c r="D217" s="45">
        <v>360</v>
      </c>
      <c r="E217" s="24">
        <v>1100</v>
      </c>
      <c r="F217" s="44">
        <f>Stock[Entradas]-Stock[Compra Cultivate]</f>
        <v>4</v>
      </c>
      <c r="G217" s="11">
        <f>SUMIFS(Compras[Cantidad],Compras[Codigo],Stock[Codigo])</f>
        <v>4</v>
      </c>
      <c r="H217" s="11">
        <f>SUMIFS(Ventas[Cantidad],Ventas[Codigo],Stock[Codigo])</f>
        <v>0</v>
      </c>
      <c r="I217" s="12">
        <f>Stock[[#This Row],[Stock Deposito]]*Stock[[#This Row],[Precio de Compra]]</f>
        <v>1440</v>
      </c>
      <c r="J217" s="6">
        <f>SUMIFS(ProdDesc[Cantidad],ProdDesc[Codigo],Stock[Codigo])</f>
        <v>0</v>
      </c>
      <c r="K217" s="44">
        <f>Stock[[#This Row],[Compra Cultivate]]-Stock[[#This Row],[Salidas]]-Stock[[#This Row],[Usados]]</f>
        <v>0</v>
      </c>
      <c r="L217" s="24">
        <f>Stock[[#This Row],[Stock Deposito]]*Stock[[#This Row],[Precio de Venta]]</f>
        <v>4400</v>
      </c>
      <c r="M217" s="6">
        <f>SUMIFS(Tabla9[Cantidad],Tabla9[Codigo],Stock[Codigo])</f>
        <v>0</v>
      </c>
      <c r="N217" s="24">
        <f>Stock[[#This Row],[Precio de Compra]]*Stock[[#This Row],[Stock Cultivate]]</f>
        <v>0</v>
      </c>
      <c r="O217" s="24">
        <f>Stock[[#This Row],[Stock Cultivate]]*Stock[[#This Row],[Precio de Venta]]</f>
        <v>0</v>
      </c>
      <c r="R217" s="16"/>
    </row>
    <row r="218" spans="2:18">
      <c r="B218" s="44">
        <v>714</v>
      </c>
      <c r="C218" t="s">
        <v>912</v>
      </c>
      <c r="D218" s="45">
        <v>360</v>
      </c>
      <c r="E218" s="24">
        <v>1100</v>
      </c>
      <c r="F218" s="44">
        <f>Stock[Entradas]-Stock[Compra Cultivate]</f>
        <v>4</v>
      </c>
      <c r="G218" s="11">
        <f>SUMIFS(Compras[Cantidad],Compras[Codigo],Stock[Codigo])</f>
        <v>4</v>
      </c>
      <c r="H218" s="11">
        <f>SUMIFS(Ventas[Cantidad],Ventas[Codigo],Stock[Codigo])</f>
        <v>0</v>
      </c>
      <c r="I218" s="12">
        <f>Stock[[#This Row],[Stock Deposito]]*Stock[[#This Row],[Precio de Compra]]</f>
        <v>1440</v>
      </c>
      <c r="J218" s="6">
        <f>SUMIFS(ProdDesc[Cantidad],ProdDesc[Codigo],Stock[Codigo])</f>
        <v>0</v>
      </c>
      <c r="K218" s="44">
        <f>Stock[[#This Row],[Compra Cultivate]]-Stock[[#This Row],[Salidas]]-Stock[[#This Row],[Usados]]</f>
        <v>0</v>
      </c>
      <c r="L218" s="24">
        <f>Stock[[#This Row],[Stock Deposito]]*Stock[[#This Row],[Precio de Venta]]</f>
        <v>4400</v>
      </c>
      <c r="M218" s="6">
        <f>SUMIFS(Tabla9[Cantidad],Tabla9[Codigo],Stock[Codigo])</f>
        <v>0</v>
      </c>
      <c r="N218" s="24">
        <f>Stock[[#This Row],[Precio de Compra]]*Stock[[#This Row],[Stock Cultivate]]</f>
        <v>0</v>
      </c>
      <c r="O218" s="24">
        <f>Stock[[#This Row],[Stock Cultivate]]*Stock[[#This Row],[Precio de Venta]]</f>
        <v>0</v>
      </c>
      <c r="R218" s="16"/>
    </row>
    <row r="219" spans="2:18">
      <c r="B219" s="44">
        <v>713</v>
      </c>
      <c r="C219" t="s">
        <v>911</v>
      </c>
      <c r="D219" s="45">
        <v>360</v>
      </c>
      <c r="E219" s="24">
        <v>1100</v>
      </c>
      <c r="F219" s="44">
        <f>Stock[Entradas]-Stock[Compra Cultivate]</f>
        <v>3</v>
      </c>
      <c r="G219" s="11">
        <f>SUMIFS(Compras[Cantidad],Compras[Codigo],Stock[Codigo])</f>
        <v>3</v>
      </c>
      <c r="H219" s="11">
        <f>SUMIFS(Ventas[Cantidad],Ventas[Codigo],Stock[Codigo])</f>
        <v>0</v>
      </c>
      <c r="I219" s="12">
        <f>Stock[[#This Row],[Stock Deposito]]*Stock[[#This Row],[Precio de Compra]]</f>
        <v>1080</v>
      </c>
      <c r="J219" s="6">
        <f>SUMIFS(ProdDesc[Cantidad],ProdDesc[Codigo],Stock[Codigo])</f>
        <v>0</v>
      </c>
      <c r="K219" s="44">
        <f>Stock[[#This Row],[Compra Cultivate]]-Stock[[#This Row],[Salidas]]-Stock[[#This Row],[Usados]]</f>
        <v>0</v>
      </c>
      <c r="L219" s="24">
        <f>Stock[[#This Row],[Stock Deposito]]*Stock[[#This Row],[Precio de Venta]]</f>
        <v>3300</v>
      </c>
      <c r="M219" s="6">
        <f>SUMIFS(Tabla9[Cantidad],Tabla9[Codigo],Stock[Codigo])</f>
        <v>0</v>
      </c>
      <c r="N219" s="24">
        <f>Stock[[#This Row],[Precio de Compra]]*Stock[[#This Row],[Stock Cultivate]]</f>
        <v>0</v>
      </c>
      <c r="O219" s="24">
        <f>Stock[[#This Row],[Stock Cultivate]]*Stock[[#This Row],[Precio de Venta]]</f>
        <v>0</v>
      </c>
      <c r="R219" s="16"/>
    </row>
    <row r="220" spans="2:18">
      <c r="B220" s="44">
        <v>712</v>
      </c>
      <c r="C220" t="s">
        <v>910</v>
      </c>
      <c r="D220" s="45">
        <v>680</v>
      </c>
      <c r="E220" s="24">
        <v>1600</v>
      </c>
      <c r="F220" s="44">
        <f>Stock[Entradas]-Stock[Compra Cultivate]</f>
        <v>4</v>
      </c>
      <c r="G220" s="11">
        <f>SUMIFS(Compras[Cantidad],Compras[Codigo],Stock[Codigo])</f>
        <v>4</v>
      </c>
      <c r="H220" s="11">
        <f>SUMIFS(Ventas[Cantidad],Ventas[Codigo],Stock[Codigo])</f>
        <v>0</v>
      </c>
      <c r="I220" s="12">
        <f>Stock[[#This Row],[Stock Deposito]]*Stock[[#This Row],[Precio de Compra]]</f>
        <v>2720</v>
      </c>
      <c r="J220" s="6">
        <f>SUMIFS(ProdDesc[Cantidad],ProdDesc[Codigo],Stock[Codigo])</f>
        <v>0</v>
      </c>
      <c r="K220" s="44">
        <f>Stock[[#This Row],[Compra Cultivate]]-Stock[[#This Row],[Salidas]]-Stock[[#This Row],[Usados]]</f>
        <v>0</v>
      </c>
      <c r="L220" s="24">
        <f>Stock[[#This Row],[Stock Deposito]]*Stock[[#This Row],[Precio de Venta]]</f>
        <v>6400</v>
      </c>
      <c r="M220" s="6">
        <f>SUMIFS(Tabla9[Cantidad],Tabla9[Codigo],Stock[Codigo])</f>
        <v>0</v>
      </c>
      <c r="N220" s="24">
        <f>Stock[[#This Row],[Precio de Compra]]*Stock[[#This Row],[Stock Cultivate]]</f>
        <v>0</v>
      </c>
      <c r="O220" s="24">
        <f>Stock[[#This Row],[Stock Cultivate]]*Stock[[#This Row],[Precio de Venta]]</f>
        <v>0</v>
      </c>
      <c r="R220" s="16"/>
    </row>
    <row r="221" spans="2:18">
      <c r="B221" s="44">
        <v>711</v>
      </c>
      <c r="C221" t="s">
        <v>915</v>
      </c>
      <c r="D221" s="45">
        <v>230</v>
      </c>
      <c r="E221" s="24">
        <v>700</v>
      </c>
      <c r="F221" s="44">
        <f>Stock[Entradas]-Stock[Compra Cultivate]</f>
        <v>1</v>
      </c>
      <c r="G221" s="11">
        <f>SUMIFS(Compras[Cantidad],Compras[Codigo],Stock[Codigo])</f>
        <v>1</v>
      </c>
      <c r="H221" s="11">
        <f>SUMIFS(Ventas[Cantidad],Ventas[Codigo],Stock[Codigo])</f>
        <v>0</v>
      </c>
      <c r="I221" s="12">
        <f>Stock[[#This Row],[Stock Deposito]]*Stock[[#This Row],[Precio de Compra]]</f>
        <v>230</v>
      </c>
      <c r="J221" s="6">
        <f>SUMIFS(ProdDesc[Cantidad],ProdDesc[Codigo],Stock[Codigo])</f>
        <v>0</v>
      </c>
      <c r="K221" s="44">
        <f>Stock[[#This Row],[Compra Cultivate]]-Stock[[#This Row],[Salidas]]-Stock[[#This Row],[Usados]]</f>
        <v>0</v>
      </c>
      <c r="L221" s="24">
        <f>Stock[[#This Row],[Stock Deposito]]*Stock[[#This Row],[Precio de Venta]]</f>
        <v>700</v>
      </c>
      <c r="M221" s="6">
        <f>SUMIFS(Tabla9[Cantidad],Tabla9[Codigo],Stock[Codigo])</f>
        <v>0</v>
      </c>
      <c r="N221" s="24">
        <f>Stock[[#This Row],[Precio de Compra]]*Stock[[#This Row],[Stock Cultivate]]</f>
        <v>0</v>
      </c>
      <c r="O221" s="24">
        <f>Stock[[#This Row],[Stock Cultivate]]*Stock[[#This Row],[Precio de Venta]]</f>
        <v>0</v>
      </c>
      <c r="R221" s="16"/>
    </row>
    <row r="222" spans="2:18">
      <c r="B222" s="44">
        <v>710</v>
      </c>
      <c r="C222" t="s">
        <v>909</v>
      </c>
      <c r="D222" s="45">
        <v>220</v>
      </c>
      <c r="E222" s="24">
        <v>700</v>
      </c>
      <c r="F222" s="44">
        <f>Stock[Entradas]-Stock[Compra Cultivate]</f>
        <v>7</v>
      </c>
      <c r="G222" s="11">
        <f>SUMIFS(Compras[Cantidad],Compras[Codigo],Stock[Codigo])</f>
        <v>7</v>
      </c>
      <c r="H222" s="11">
        <f>SUMIFS(Ventas[Cantidad],Ventas[Codigo],Stock[Codigo])</f>
        <v>0</v>
      </c>
      <c r="I222" s="12">
        <f>Stock[[#This Row],[Stock Deposito]]*Stock[[#This Row],[Precio de Compra]]</f>
        <v>1540</v>
      </c>
      <c r="J222" s="6">
        <f>SUMIFS(ProdDesc[Cantidad],ProdDesc[Codigo],Stock[Codigo])</f>
        <v>0</v>
      </c>
      <c r="K222" s="44">
        <f>Stock[[#This Row],[Compra Cultivate]]-Stock[[#This Row],[Salidas]]-Stock[[#This Row],[Usados]]</f>
        <v>0</v>
      </c>
      <c r="L222" s="24">
        <f>Stock[[#This Row],[Stock Deposito]]*Stock[[#This Row],[Precio de Venta]]</f>
        <v>4900</v>
      </c>
      <c r="M222" s="6">
        <f>SUMIFS(Tabla9[Cantidad],Tabla9[Codigo],Stock[Codigo])</f>
        <v>0</v>
      </c>
      <c r="N222" s="24">
        <f>Stock[[#This Row],[Precio de Compra]]*Stock[[#This Row],[Stock Cultivate]]</f>
        <v>0</v>
      </c>
      <c r="O222" s="24">
        <f>Stock[[#This Row],[Stock Cultivate]]*Stock[[#This Row],[Precio de Venta]]</f>
        <v>0</v>
      </c>
      <c r="R222" s="16"/>
    </row>
    <row r="223" spans="2:18">
      <c r="B223" s="44">
        <v>709</v>
      </c>
      <c r="C223" t="s">
        <v>908</v>
      </c>
      <c r="D223" s="45">
        <v>220</v>
      </c>
      <c r="E223" s="24">
        <v>700</v>
      </c>
      <c r="F223" s="44">
        <f>Stock[Entradas]-Stock[Compra Cultivate]</f>
        <v>8</v>
      </c>
      <c r="G223" s="11">
        <f>SUMIFS(Compras[Cantidad],Compras[Codigo],Stock[Codigo])</f>
        <v>8</v>
      </c>
      <c r="H223" s="11">
        <f>SUMIFS(Ventas[Cantidad],Ventas[Codigo],Stock[Codigo])</f>
        <v>0</v>
      </c>
      <c r="I223" s="12">
        <f>Stock[[#This Row],[Stock Deposito]]*Stock[[#This Row],[Precio de Compra]]</f>
        <v>1760</v>
      </c>
      <c r="J223" s="6">
        <f>SUMIFS(ProdDesc[Cantidad],ProdDesc[Codigo],Stock[Codigo])</f>
        <v>0</v>
      </c>
      <c r="K223" s="44">
        <f>Stock[[#This Row],[Compra Cultivate]]-Stock[[#This Row],[Salidas]]-Stock[[#This Row],[Usados]]</f>
        <v>0</v>
      </c>
      <c r="L223" s="24">
        <f>Stock[[#This Row],[Stock Deposito]]*Stock[[#This Row],[Precio de Venta]]</f>
        <v>5600</v>
      </c>
      <c r="M223" s="6">
        <f>SUMIFS(Tabla9[Cantidad],Tabla9[Codigo],Stock[Codigo])</f>
        <v>0</v>
      </c>
      <c r="N223" s="24">
        <f>Stock[[#This Row],[Precio de Compra]]*Stock[[#This Row],[Stock Cultivate]]</f>
        <v>0</v>
      </c>
      <c r="O223" s="24">
        <f>Stock[[#This Row],[Stock Cultivate]]*Stock[[#This Row],[Precio de Venta]]</f>
        <v>0</v>
      </c>
      <c r="R223" s="16"/>
    </row>
    <row r="224" spans="2:18">
      <c r="B224" s="44">
        <v>708</v>
      </c>
      <c r="C224" t="s">
        <v>907</v>
      </c>
      <c r="D224" s="45">
        <v>520</v>
      </c>
      <c r="E224" s="24">
        <v>1500</v>
      </c>
      <c r="F224" s="44">
        <f>Stock[Entradas]-Stock[Compra Cultivate]</f>
        <v>2</v>
      </c>
      <c r="G224" s="11">
        <f>SUMIFS(Compras[Cantidad],Compras[Codigo],Stock[Codigo])</f>
        <v>2</v>
      </c>
      <c r="H224" s="11">
        <f>SUMIFS(Ventas[Cantidad],Ventas[Codigo],Stock[Codigo])</f>
        <v>0</v>
      </c>
      <c r="I224" s="12">
        <f>Stock[[#This Row],[Stock Deposito]]*Stock[[#This Row],[Precio de Compra]]</f>
        <v>1040</v>
      </c>
      <c r="J224" s="6">
        <f>SUMIFS(ProdDesc[Cantidad],ProdDesc[Codigo],Stock[Codigo])</f>
        <v>0</v>
      </c>
      <c r="K224" s="44">
        <f>Stock[[#This Row],[Compra Cultivate]]-Stock[[#This Row],[Salidas]]-Stock[[#This Row],[Usados]]</f>
        <v>0</v>
      </c>
      <c r="L224" s="24">
        <f>Stock[[#This Row],[Stock Deposito]]*Stock[[#This Row],[Precio de Venta]]</f>
        <v>3000</v>
      </c>
      <c r="M224" s="6">
        <f>SUMIFS(Tabla9[Cantidad],Tabla9[Codigo],Stock[Codigo])</f>
        <v>0</v>
      </c>
      <c r="N224" s="24">
        <f>Stock[[#This Row],[Precio de Compra]]*Stock[[#This Row],[Stock Cultivate]]</f>
        <v>0</v>
      </c>
      <c r="O224" s="24">
        <f>Stock[[#This Row],[Stock Cultivate]]*Stock[[#This Row],[Precio de Venta]]</f>
        <v>0</v>
      </c>
      <c r="R224" s="16"/>
    </row>
    <row r="225" spans="2:18">
      <c r="B225" s="44">
        <v>707</v>
      </c>
      <c r="C225" t="s">
        <v>906</v>
      </c>
      <c r="D225" s="45">
        <v>300</v>
      </c>
      <c r="E225" s="24">
        <v>800</v>
      </c>
      <c r="F225" s="44">
        <f>Stock[Entradas]-Stock[Compra Cultivate]</f>
        <v>3</v>
      </c>
      <c r="G225" s="11">
        <f>SUMIFS(Compras[Cantidad],Compras[Codigo],Stock[Codigo])</f>
        <v>3</v>
      </c>
      <c r="H225" s="11">
        <f>SUMIFS(Ventas[Cantidad],Ventas[Codigo],Stock[Codigo])</f>
        <v>0</v>
      </c>
      <c r="I225" s="12">
        <f>Stock[[#This Row],[Stock Deposito]]*Stock[[#This Row],[Precio de Compra]]</f>
        <v>900</v>
      </c>
      <c r="J225" s="6">
        <f>SUMIFS(ProdDesc[Cantidad],ProdDesc[Codigo],Stock[Codigo])</f>
        <v>0</v>
      </c>
      <c r="K225" s="44">
        <f>Stock[[#This Row],[Compra Cultivate]]-Stock[[#This Row],[Salidas]]-Stock[[#This Row],[Usados]]</f>
        <v>0</v>
      </c>
      <c r="L225" s="24">
        <f>Stock[[#This Row],[Stock Deposito]]*Stock[[#This Row],[Precio de Venta]]</f>
        <v>2400</v>
      </c>
      <c r="M225" s="6">
        <f>SUMIFS(Tabla9[Cantidad],Tabla9[Codigo],Stock[Codigo])</f>
        <v>0</v>
      </c>
      <c r="N225" s="24">
        <f>Stock[[#This Row],[Precio de Compra]]*Stock[[#This Row],[Stock Cultivate]]</f>
        <v>0</v>
      </c>
      <c r="O225" s="24">
        <f>Stock[[#This Row],[Stock Cultivate]]*Stock[[#This Row],[Precio de Venta]]</f>
        <v>0</v>
      </c>
      <c r="R225" s="16"/>
    </row>
    <row r="226" spans="2:18">
      <c r="B226" s="44">
        <v>706</v>
      </c>
      <c r="C226" t="s">
        <v>905</v>
      </c>
      <c r="D226" s="45">
        <v>200</v>
      </c>
      <c r="E226" s="24">
        <v>600</v>
      </c>
      <c r="F226" s="44">
        <f>Stock[Entradas]-Stock[Compra Cultivate]</f>
        <v>1</v>
      </c>
      <c r="G226" s="11">
        <f>SUMIFS(Compras[Cantidad],Compras[Codigo],Stock[Codigo])</f>
        <v>1</v>
      </c>
      <c r="H226" s="11">
        <f>SUMIFS(Ventas[Cantidad],Ventas[Codigo],Stock[Codigo])</f>
        <v>0</v>
      </c>
      <c r="I226" s="12">
        <f>Stock[[#This Row],[Stock Deposito]]*Stock[[#This Row],[Precio de Compra]]</f>
        <v>200</v>
      </c>
      <c r="J226" s="6">
        <f>SUMIFS(ProdDesc[Cantidad],ProdDesc[Codigo],Stock[Codigo])</f>
        <v>0</v>
      </c>
      <c r="K226" s="44">
        <f>Stock[[#This Row],[Compra Cultivate]]-Stock[[#This Row],[Salidas]]-Stock[[#This Row],[Usados]]</f>
        <v>0</v>
      </c>
      <c r="L226" s="24">
        <f>Stock[[#This Row],[Stock Deposito]]*Stock[[#This Row],[Precio de Venta]]</f>
        <v>600</v>
      </c>
      <c r="M226" s="6">
        <f>SUMIFS(Tabla9[Cantidad],Tabla9[Codigo],Stock[Codigo])</f>
        <v>0</v>
      </c>
      <c r="N226" s="24">
        <f>Stock[[#This Row],[Precio de Compra]]*Stock[[#This Row],[Stock Cultivate]]</f>
        <v>0</v>
      </c>
      <c r="O226" s="24">
        <f>Stock[[#This Row],[Stock Cultivate]]*Stock[[#This Row],[Precio de Venta]]</f>
        <v>0</v>
      </c>
      <c r="R226" s="16"/>
    </row>
    <row r="227" spans="2:18">
      <c r="B227" s="44">
        <v>705</v>
      </c>
      <c r="C227" t="s">
        <v>904</v>
      </c>
      <c r="D227" s="45">
        <v>200</v>
      </c>
      <c r="E227" s="24">
        <v>600</v>
      </c>
      <c r="F227" s="44">
        <f>Stock[Entradas]-Stock[Compra Cultivate]</f>
        <v>1</v>
      </c>
      <c r="G227" s="11">
        <f>SUMIFS(Compras[Cantidad],Compras[Codigo],Stock[Codigo])</f>
        <v>1</v>
      </c>
      <c r="H227" s="11">
        <f>SUMIFS(Ventas[Cantidad],Ventas[Codigo],Stock[Codigo])</f>
        <v>0</v>
      </c>
      <c r="I227" s="12">
        <f>Stock[[#This Row],[Stock Deposito]]*Stock[[#This Row],[Precio de Compra]]</f>
        <v>200</v>
      </c>
      <c r="J227" s="6">
        <f>SUMIFS(ProdDesc[Cantidad],ProdDesc[Codigo],Stock[Codigo])</f>
        <v>0</v>
      </c>
      <c r="K227" s="44">
        <f>Stock[[#This Row],[Compra Cultivate]]-Stock[[#This Row],[Salidas]]-Stock[[#This Row],[Usados]]</f>
        <v>0</v>
      </c>
      <c r="L227" s="24">
        <f>Stock[[#This Row],[Stock Deposito]]*Stock[[#This Row],[Precio de Venta]]</f>
        <v>600</v>
      </c>
      <c r="M227" s="6">
        <f>SUMIFS(Tabla9[Cantidad],Tabla9[Codigo],Stock[Codigo])</f>
        <v>0</v>
      </c>
      <c r="N227" s="24">
        <f>Stock[[#This Row],[Precio de Compra]]*Stock[[#This Row],[Stock Cultivate]]</f>
        <v>0</v>
      </c>
      <c r="O227" s="24">
        <f>Stock[[#This Row],[Stock Cultivate]]*Stock[[#This Row],[Precio de Venta]]</f>
        <v>0</v>
      </c>
      <c r="R227" s="16"/>
    </row>
    <row r="228" spans="2:18">
      <c r="B228" s="44">
        <v>704</v>
      </c>
      <c r="C228" t="s">
        <v>903</v>
      </c>
      <c r="D228" s="45">
        <v>180</v>
      </c>
      <c r="E228" s="24">
        <v>600</v>
      </c>
      <c r="F228" s="44">
        <f>Stock[Entradas]-Stock[Compra Cultivate]</f>
        <v>1</v>
      </c>
      <c r="G228" s="11">
        <f>SUMIFS(Compras[Cantidad],Compras[Codigo],Stock[Codigo])</f>
        <v>1</v>
      </c>
      <c r="H228" s="11">
        <f>SUMIFS(Ventas[Cantidad],Ventas[Codigo],Stock[Codigo])</f>
        <v>0</v>
      </c>
      <c r="I228" s="12">
        <f>Stock[[#This Row],[Stock Deposito]]*Stock[[#This Row],[Precio de Compra]]</f>
        <v>180</v>
      </c>
      <c r="J228" s="6">
        <f>SUMIFS(ProdDesc[Cantidad],ProdDesc[Codigo],Stock[Codigo])</f>
        <v>0</v>
      </c>
      <c r="K228" s="44">
        <f>Stock[[#This Row],[Compra Cultivate]]-Stock[[#This Row],[Salidas]]-Stock[[#This Row],[Usados]]</f>
        <v>0</v>
      </c>
      <c r="L228" s="24">
        <f>Stock[[#This Row],[Stock Deposito]]*Stock[[#This Row],[Precio de Venta]]</f>
        <v>600</v>
      </c>
      <c r="M228" s="6">
        <f>SUMIFS(Tabla9[Cantidad],Tabla9[Codigo],Stock[Codigo])</f>
        <v>0</v>
      </c>
      <c r="N228" s="24">
        <f>Stock[[#This Row],[Precio de Compra]]*Stock[[#This Row],[Stock Cultivate]]</f>
        <v>0</v>
      </c>
      <c r="O228" s="24">
        <f>Stock[[#This Row],[Stock Cultivate]]*Stock[[#This Row],[Precio de Venta]]</f>
        <v>0</v>
      </c>
      <c r="R228" s="16"/>
    </row>
    <row r="229" spans="2:18">
      <c r="B229" s="44">
        <v>703</v>
      </c>
      <c r="C229" t="s">
        <v>902</v>
      </c>
      <c r="D229" s="45">
        <v>200</v>
      </c>
      <c r="E229" s="24">
        <v>600</v>
      </c>
      <c r="F229" s="44">
        <f>Stock[Entradas]-Stock[Compra Cultivate]</f>
        <v>2</v>
      </c>
      <c r="G229" s="11">
        <f>SUMIFS(Compras[Cantidad],Compras[Codigo],Stock[Codigo])</f>
        <v>2</v>
      </c>
      <c r="H229" s="11">
        <f>SUMIFS(Ventas[Cantidad],Ventas[Codigo],Stock[Codigo])</f>
        <v>0</v>
      </c>
      <c r="I229" s="12">
        <f>Stock[[#This Row],[Stock Deposito]]*Stock[[#This Row],[Precio de Compra]]</f>
        <v>400</v>
      </c>
      <c r="J229" s="6">
        <f>SUMIFS(ProdDesc[Cantidad],ProdDesc[Codigo],Stock[Codigo])</f>
        <v>0</v>
      </c>
      <c r="K229" s="44">
        <f>Stock[[#This Row],[Compra Cultivate]]-Stock[[#This Row],[Salidas]]-Stock[[#This Row],[Usados]]</f>
        <v>0</v>
      </c>
      <c r="L229" s="24">
        <f>Stock[[#This Row],[Stock Deposito]]*Stock[[#This Row],[Precio de Venta]]</f>
        <v>1200</v>
      </c>
      <c r="M229" s="6">
        <f>SUMIFS(Tabla9[Cantidad],Tabla9[Codigo],Stock[Codigo])</f>
        <v>0</v>
      </c>
      <c r="N229" s="24">
        <f>Stock[[#This Row],[Precio de Compra]]*Stock[[#This Row],[Stock Cultivate]]</f>
        <v>0</v>
      </c>
      <c r="O229" s="24">
        <f>Stock[[#This Row],[Stock Cultivate]]*Stock[[#This Row],[Precio de Venta]]</f>
        <v>0</v>
      </c>
      <c r="R229" s="16"/>
    </row>
    <row r="230" spans="2:18">
      <c r="B230" s="44">
        <v>702</v>
      </c>
      <c r="C230" t="s">
        <v>901</v>
      </c>
      <c r="D230" s="45">
        <v>900</v>
      </c>
      <c r="E230" s="24">
        <v>2500</v>
      </c>
      <c r="F230" s="44">
        <f>Stock[Entradas]-Stock[Compra Cultivate]</f>
        <v>2</v>
      </c>
      <c r="G230" s="11">
        <f>SUMIFS(Compras[Cantidad],Compras[Codigo],Stock[Codigo])</f>
        <v>2</v>
      </c>
      <c r="H230" s="11">
        <f>SUMIFS(Ventas[Cantidad],Ventas[Codigo],Stock[Codigo])</f>
        <v>0</v>
      </c>
      <c r="I230" s="12">
        <f>Stock[[#This Row],[Stock Deposito]]*Stock[[#This Row],[Precio de Compra]]</f>
        <v>1800</v>
      </c>
      <c r="J230" s="6">
        <f>SUMIFS(ProdDesc[Cantidad],ProdDesc[Codigo],Stock[Codigo])</f>
        <v>0</v>
      </c>
      <c r="K230" s="44">
        <f>Stock[[#This Row],[Compra Cultivate]]-Stock[[#This Row],[Salidas]]-Stock[[#This Row],[Usados]]</f>
        <v>0</v>
      </c>
      <c r="L230" s="24">
        <f>Stock[[#This Row],[Stock Deposito]]*Stock[[#This Row],[Precio de Venta]]</f>
        <v>5000</v>
      </c>
      <c r="M230" s="6">
        <f>SUMIFS(Tabla9[Cantidad],Tabla9[Codigo],Stock[Codigo])</f>
        <v>0</v>
      </c>
      <c r="N230" s="24">
        <f>Stock[[#This Row],[Precio de Compra]]*Stock[[#This Row],[Stock Cultivate]]</f>
        <v>0</v>
      </c>
      <c r="O230" s="24">
        <f>Stock[[#This Row],[Stock Cultivate]]*Stock[[#This Row],[Precio de Venta]]</f>
        <v>0</v>
      </c>
      <c r="R230" s="16"/>
    </row>
    <row r="231" spans="2:18">
      <c r="B231" s="44">
        <v>701</v>
      </c>
      <c r="C231" t="s">
        <v>900</v>
      </c>
      <c r="D231" s="45">
        <v>500</v>
      </c>
      <c r="E231" s="24">
        <v>1500</v>
      </c>
      <c r="F231" s="44">
        <f>Stock[Entradas]-Stock[Compra Cultivate]</f>
        <v>1</v>
      </c>
      <c r="G231" s="11">
        <f>SUMIFS(Compras[Cantidad],Compras[Codigo],Stock[Codigo])</f>
        <v>1</v>
      </c>
      <c r="H231" s="11">
        <f>SUMIFS(Ventas[Cantidad],Ventas[Codigo],Stock[Codigo])</f>
        <v>0</v>
      </c>
      <c r="I231" s="12">
        <f>Stock[[#This Row],[Stock Deposito]]*Stock[[#This Row],[Precio de Compra]]</f>
        <v>500</v>
      </c>
      <c r="J231" s="6">
        <f>SUMIFS(ProdDesc[Cantidad],ProdDesc[Codigo],Stock[Codigo])</f>
        <v>0</v>
      </c>
      <c r="K231" s="44">
        <f>Stock[[#This Row],[Compra Cultivate]]-Stock[[#This Row],[Salidas]]-Stock[[#This Row],[Usados]]</f>
        <v>0</v>
      </c>
      <c r="L231" s="24">
        <f>Stock[[#This Row],[Stock Deposito]]*Stock[[#This Row],[Precio de Venta]]</f>
        <v>1500</v>
      </c>
      <c r="M231" s="6">
        <f>SUMIFS(Tabla9[Cantidad],Tabla9[Codigo],Stock[Codigo])</f>
        <v>0</v>
      </c>
      <c r="N231" s="24">
        <f>Stock[[#This Row],[Precio de Compra]]*Stock[[#This Row],[Stock Cultivate]]</f>
        <v>0</v>
      </c>
      <c r="O231" s="24">
        <f>Stock[[#This Row],[Stock Cultivate]]*Stock[[#This Row],[Precio de Venta]]</f>
        <v>0</v>
      </c>
      <c r="R231" s="16"/>
    </row>
    <row r="232" spans="2:18">
      <c r="B232" s="44">
        <v>700</v>
      </c>
      <c r="C232" t="s">
        <v>899</v>
      </c>
      <c r="D232" s="45">
        <v>200</v>
      </c>
      <c r="E232" s="24">
        <v>700</v>
      </c>
      <c r="F232" s="44">
        <f>Stock[Entradas]-Stock[Compra Cultivate]</f>
        <v>2</v>
      </c>
      <c r="G232" s="11">
        <f>SUMIFS(Compras[Cantidad],Compras[Codigo],Stock[Codigo])</f>
        <v>2</v>
      </c>
      <c r="H232" s="11">
        <f>SUMIFS(Ventas[Cantidad],Ventas[Codigo],Stock[Codigo])</f>
        <v>0</v>
      </c>
      <c r="I232" s="12">
        <f>Stock[[#This Row],[Stock Deposito]]*Stock[[#This Row],[Precio de Compra]]</f>
        <v>400</v>
      </c>
      <c r="J232" s="6">
        <f>SUMIFS(ProdDesc[Cantidad],ProdDesc[Codigo],Stock[Codigo])</f>
        <v>0</v>
      </c>
      <c r="K232" s="44">
        <f>Stock[[#This Row],[Compra Cultivate]]-Stock[[#This Row],[Salidas]]-Stock[[#This Row],[Usados]]</f>
        <v>0</v>
      </c>
      <c r="L232" s="24">
        <f>Stock[[#This Row],[Stock Deposito]]*Stock[[#This Row],[Precio de Venta]]</f>
        <v>1400</v>
      </c>
      <c r="M232" s="6">
        <f>SUMIFS(Tabla9[Cantidad],Tabla9[Codigo],Stock[Codigo])</f>
        <v>0</v>
      </c>
      <c r="N232" s="24">
        <f>Stock[[#This Row],[Precio de Compra]]*Stock[[#This Row],[Stock Cultivate]]</f>
        <v>0</v>
      </c>
      <c r="O232" s="24">
        <f>Stock[[#This Row],[Stock Cultivate]]*Stock[[#This Row],[Precio de Venta]]</f>
        <v>0</v>
      </c>
      <c r="R232" s="16"/>
    </row>
    <row r="233" spans="2:18">
      <c r="B233" s="44">
        <v>699</v>
      </c>
      <c r="C233" t="s">
        <v>898</v>
      </c>
      <c r="D233" s="45">
        <v>340</v>
      </c>
      <c r="E233" s="24">
        <v>900</v>
      </c>
      <c r="F233" s="44">
        <f>Stock[Entradas]-Stock[Compra Cultivate]</f>
        <v>2</v>
      </c>
      <c r="G233" s="11">
        <f>SUMIFS(Compras[Cantidad],Compras[Codigo],Stock[Codigo])</f>
        <v>2</v>
      </c>
      <c r="H233" s="11">
        <f>SUMIFS(Ventas[Cantidad],Ventas[Codigo],Stock[Codigo])</f>
        <v>0</v>
      </c>
      <c r="I233" s="12">
        <f>Stock[[#This Row],[Stock Deposito]]*Stock[[#This Row],[Precio de Compra]]</f>
        <v>680</v>
      </c>
      <c r="J233" s="6">
        <f>SUMIFS(ProdDesc[Cantidad],ProdDesc[Codigo],Stock[Codigo])</f>
        <v>0</v>
      </c>
      <c r="K233" s="44">
        <f>Stock[[#This Row],[Compra Cultivate]]-Stock[[#This Row],[Salidas]]-Stock[[#This Row],[Usados]]</f>
        <v>0</v>
      </c>
      <c r="L233" s="24">
        <f>Stock[[#This Row],[Stock Deposito]]*Stock[[#This Row],[Precio de Venta]]</f>
        <v>1800</v>
      </c>
      <c r="M233" s="6">
        <f>SUMIFS(Tabla9[Cantidad],Tabla9[Codigo],Stock[Codigo])</f>
        <v>0</v>
      </c>
      <c r="N233" s="24">
        <f>Stock[[#This Row],[Precio de Compra]]*Stock[[#This Row],[Stock Cultivate]]</f>
        <v>0</v>
      </c>
      <c r="O233" s="24">
        <f>Stock[[#This Row],[Stock Cultivate]]*Stock[[#This Row],[Precio de Venta]]</f>
        <v>0</v>
      </c>
      <c r="R233" s="16"/>
    </row>
    <row r="234" spans="2:18">
      <c r="B234" s="44">
        <v>698</v>
      </c>
      <c r="C234" t="s">
        <v>897</v>
      </c>
      <c r="D234" s="45">
        <v>600</v>
      </c>
      <c r="E234" s="24">
        <v>1600</v>
      </c>
      <c r="F234" s="44">
        <f>Stock[Entradas]-Stock[Compra Cultivate]</f>
        <v>2</v>
      </c>
      <c r="G234" s="11">
        <f>SUMIFS(Compras[Cantidad],Compras[Codigo],Stock[Codigo])</f>
        <v>2</v>
      </c>
      <c r="H234" s="11">
        <f>SUMIFS(Ventas[Cantidad],Ventas[Codigo],Stock[Codigo])</f>
        <v>0</v>
      </c>
      <c r="I234" s="12">
        <f>Stock[[#This Row],[Stock Deposito]]*Stock[[#This Row],[Precio de Compra]]</f>
        <v>1200</v>
      </c>
      <c r="J234" s="6">
        <f>SUMIFS(ProdDesc[Cantidad],ProdDesc[Codigo],Stock[Codigo])</f>
        <v>0</v>
      </c>
      <c r="K234" s="44">
        <f>Stock[[#This Row],[Compra Cultivate]]-Stock[[#This Row],[Salidas]]-Stock[[#This Row],[Usados]]</f>
        <v>0</v>
      </c>
      <c r="L234" s="24">
        <f>Stock[[#This Row],[Stock Deposito]]*Stock[[#This Row],[Precio de Venta]]</f>
        <v>3200</v>
      </c>
      <c r="M234" s="6">
        <f>SUMIFS(Tabla9[Cantidad],Tabla9[Codigo],Stock[Codigo])</f>
        <v>0</v>
      </c>
      <c r="N234" s="24">
        <f>Stock[[#This Row],[Precio de Compra]]*Stock[[#This Row],[Stock Cultivate]]</f>
        <v>0</v>
      </c>
      <c r="O234" s="24">
        <f>Stock[[#This Row],[Stock Cultivate]]*Stock[[#This Row],[Precio de Venta]]</f>
        <v>0</v>
      </c>
      <c r="R234" s="16"/>
    </row>
    <row r="235" spans="2:18">
      <c r="B235" s="44">
        <v>697</v>
      </c>
      <c r="C235" t="s">
        <v>896</v>
      </c>
      <c r="D235" s="45">
        <v>400</v>
      </c>
      <c r="E235" s="24">
        <v>1000</v>
      </c>
      <c r="F235" s="44">
        <f>Stock[Entradas]-Stock[Compra Cultivate]</f>
        <v>3</v>
      </c>
      <c r="G235" s="11">
        <f>SUMIFS(Compras[Cantidad],Compras[Codigo],Stock[Codigo])</f>
        <v>3</v>
      </c>
      <c r="H235" s="11">
        <f>SUMIFS(Ventas[Cantidad],Ventas[Codigo],Stock[Codigo])</f>
        <v>0</v>
      </c>
      <c r="I235" s="12">
        <f>Stock[[#This Row],[Stock Deposito]]*Stock[[#This Row],[Precio de Compra]]</f>
        <v>1200</v>
      </c>
      <c r="J235" s="6">
        <f>SUMIFS(ProdDesc[Cantidad],ProdDesc[Codigo],Stock[Codigo])</f>
        <v>0</v>
      </c>
      <c r="K235" s="44">
        <f>Stock[[#This Row],[Compra Cultivate]]-Stock[[#This Row],[Salidas]]-Stock[[#This Row],[Usados]]</f>
        <v>0</v>
      </c>
      <c r="L235" s="24">
        <f>Stock[[#This Row],[Stock Deposito]]*Stock[[#This Row],[Precio de Venta]]</f>
        <v>3000</v>
      </c>
      <c r="M235" s="6">
        <f>SUMIFS(Tabla9[Cantidad],Tabla9[Codigo],Stock[Codigo])</f>
        <v>0</v>
      </c>
      <c r="N235" s="24">
        <f>Stock[[#This Row],[Precio de Compra]]*Stock[[#This Row],[Stock Cultivate]]</f>
        <v>0</v>
      </c>
      <c r="O235" s="24">
        <f>Stock[[#This Row],[Stock Cultivate]]*Stock[[#This Row],[Precio de Venta]]</f>
        <v>0</v>
      </c>
      <c r="R235" s="16"/>
    </row>
    <row r="236" spans="2:18">
      <c r="B236" s="44">
        <v>696</v>
      </c>
      <c r="C236" t="s">
        <v>895</v>
      </c>
      <c r="D236" s="45">
        <v>650</v>
      </c>
      <c r="E236" s="24">
        <v>1800</v>
      </c>
      <c r="F236" s="44">
        <f>Stock[Entradas]-Stock[Compra Cultivate]</f>
        <v>10</v>
      </c>
      <c r="G236" s="11">
        <f>SUMIFS(Compras[Cantidad],Compras[Codigo],Stock[Codigo])</f>
        <v>10</v>
      </c>
      <c r="H236" s="11">
        <f>SUMIFS(Ventas[Cantidad],Ventas[Codigo],Stock[Codigo])</f>
        <v>0</v>
      </c>
      <c r="I236" s="12">
        <f>Stock[[#This Row],[Stock Deposito]]*Stock[[#This Row],[Precio de Compra]]</f>
        <v>6500</v>
      </c>
      <c r="J236" s="6">
        <f>SUMIFS(ProdDesc[Cantidad],ProdDesc[Codigo],Stock[Codigo])</f>
        <v>0</v>
      </c>
      <c r="K236" s="44">
        <f>Stock[[#This Row],[Compra Cultivate]]-Stock[[#This Row],[Salidas]]-Stock[[#This Row],[Usados]]</f>
        <v>0</v>
      </c>
      <c r="L236" s="24">
        <f>Stock[[#This Row],[Stock Deposito]]*Stock[[#This Row],[Precio de Venta]]</f>
        <v>18000</v>
      </c>
      <c r="M236" s="6">
        <f>SUMIFS(Tabla9[Cantidad],Tabla9[Codigo],Stock[Codigo])</f>
        <v>0</v>
      </c>
      <c r="N236" s="24">
        <f>Stock[[#This Row],[Precio de Compra]]*Stock[[#This Row],[Stock Cultivate]]</f>
        <v>0</v>
      </c>
      <c r="O236" s="24">
        <f>Stock[[#This Row],[Stock Cultivate]]*Stock[[#This Row],[Precio de Venta]]</f>
        <v>0</v>
      </c>
      <c r="R236" s="16"/>
    </row>
    <row r="237" spans="2:18">
      <c r="B237" s="44">
        <v>695</v>
      </c>
      <c r="C237" t="s">
        <v>894</v>
      </c>
      <c r="D237" s="45">
        <v>345</v>
      </c>
      <c r="E237" s="24">
        <v>700</v>
      </c>
      <c r="F237" s="44">
        <f>Stock[Entradas]-Stock[Compra Cultivate]</f>
        <v>2</v>
      </c>
      <c r="G237" s="11">
        <f>SUMIFS(Compras[Cantidad],Compras[Codigo],Stock[Codigo])</f>
        <v>2</v>
      </c>
      <c r="H237" s="11">
        <f>SUMIFS(Ventas[Cantidad],Ventas[Codigo],Stock[Codigo])</f>
        <v>0</v>
      </c>
      <c r="I237" s="12">
        <f>Stock[[#This Row],[Stock Deposito]]*Stock[[#This Row],[Precio de Compra]]</f>
        <v>690</v>
      </c>
      <c r="J237" s="6">
        <f>SUMIFS(ProdDesc[Cantidad],ProdDesc[Codigo],Stock[Codigo])</f>
        <v>0</v>
      </c>
      <c r="K237" s="44">
        <f>Stock[[#This Row],[Compra Cultivate]]-Stock[[#This Row],[Salidas]]-Stock[[#This Row],[Usados]]</f>
        <v>0</v>
      </c>
      <c r="L237" s="24">
        <f>Stock[[#This Row],[Stock Deposito]]*Stock[[#This Row],[Precio de Venta]]</f>
        <v>1400</v>
      </c>
      <c r="M237" s="6">
        <f>SUMIFS(Tabla9[Cantidad],Tabla9[Codigo],Stock[Codigo])</f>
        <v>0</v>
      </c>
      <c r="N237" s="24">
        <f>Stock[[#This Row],[Precio de Compra]]*Stock[[#This Row],[Stock Cultivate]]</f>
        <v>0</v>
      </c>
      <c r="O237" s="24">
        <f>Stock[[#This Row],[Stock Cultivate]]*Stock[[#This Row],[Precio de Venta]]</f>
        <v>0</v>
      </c>
      <c r="R237" s="16"/>
    </row>
    <row r="238" spans="2:18">
      <c r="B238" s="44">
        <v>694</v>
      </c>
      <c r="C238" t="s">
        <v>893</v>
      </c>
      <c r="D238" s="45">
        <v>3250</v>
      </c>
      <c r="E238" s="24">
        <v>6500</v>
      </c>
      <c r="F238" s="44">
        <f>Stock[Entradas]-Stock[Compra Cultivate]</f>
        <v>0</v>
      </c>
      <c r="G238" s="11">
        <f>SUMIFS(Compras[Cantidad],Compras[Codigo],Stock[Codigo])</f>
        <v>7</v>
      </c>
      <c r="H238" s="11">
        <f>SUMIFS(Ventas[Cantidad],Ventas[Codigo],Stock[Codigo])</f>
        <v>0</v>
      </c>
      <c r="I238" s="12">
        <f>Stock[[#This Row],[Stock Deposito]]*Stock[[#This Row],[Precio de Compra]]</f>
        <v>0</v>
      </c>
      <c r="J238" s="6">
        <f>SUMIFS(ProdDesc[Cantidad],ProdDesc[Codigo],Stock[Codigo])</f>
        <v>0</v>
      </c>
      <c r="K238" s="44">
        <f>Stock[[#This Row],[Compra Cultivate]]-Stock[[#This Row],[Salidas]]-Stock[[#This Row],[Usados]]</f>
        <v>7</v>
      </c>
      <c r="L238" s="24">
        <f>Stock[[#This Row],[Stock Deposito]]*Stock[[#This Row],[Precio de Venta]]</f>
        <v>0</v>
      </c>
      <c r="M238" s="6">
        <f>SUMIFS(Tabla9[Cantidad],Tabla9[Codigo],Stock[Codigo])</f>
        <v>7</v>
      </c>
      <c r="N238" s="24">
        <f>Stock[[#This Row],[Precio de Compra]]*Stock[[#This Row],[Stock Cultivate]]</f>
        <v>22750</v>
      </c>
      <c r="O238" s="24">
        <f>Stock[[#This Row],[Stock Cultivate]]*Stock[[#This Row],[Precio de Venta]]</f>
        <v>45500</v>
      </c>
      <c r="R238" s="16"/>
    </row>
    <row r="239" spans="2:18">
      <c r="B239" s="44">
        <v>693</v>
      </c>
      <c r="C239" t="s">
        <v>892</v>
      </c>
      <c r="D239" s="45">
        <v>4680</v>
      </c>
      <c r="E239" s="24">
        <v>9300</v>
      </c>
      <c r="F239" s="44">
        <f>Stock[Entradas]-Stock[Compra Cultivate]</f>
        <v>0</v>
      </c>
      <c r="G239" s="11">
        <f>SUMIFS(Compras[Cantidad],Compras[Codigo],Stock[Codigo])</f>
        <v>2</v>
      </c>
      <c r="H239" s="11">
        <f>SUMIFS(Ventas[Cantidad],Ventas[Codigo],Stock[Codigo])</f>
        <v>0</v>
      </c>
      <c r="I239" s="12">
        <f>Stock[[#This Row],[Stock Deposito]]*Stock[[#This Row],[Precio de Compra]]</f>
        <v>0</v>
      </c>
      <c r="J239" s="6">
        <f>SUMIFS(ProdDesc[Cantidad],ProdDesc[Codigo],Stock[Codigo])</f>
        <v>0</v>
      </c>
      <c r="K239" s="44">
        <f>Stock[[#This Row],[Compra Cultivate]]-Stock[[#This Row],[Salidas]]-Stock[[#This Row],[Usados]]</f>
        <v>2</v>
      </c>
      <c r="L239" s="24">
        <f>Stock[[#This Row],[Stock Deposito]]*Stock[[#This Row],[Precio de Venta]]</f>
        <v>0</v>
      </c>
      <c r="M239" s="6">
        <f>SUMIFS(Tabla9[Cantidad],Tabla9[Codigo],Stock[Codigo])</f>
        <v>2</v>
      </c>
      <c r="N239" s="24">
        <f>Stock[[#This Row],[Precio de Compra]]*Stock[[#This Row],[Stock Cultivate]]</f>
        <v>9360</v>
      </c>
      <c r="O239" s="24">
        <f>Stock[[#This Row],[Stock Cultivate]]*Stock[[#This Row],[Precio de Venta]]</f>
        <v>18600</v>
      </c>
      <c r="R239" s="16"/>
    </row>
    <row r="240" spans="2:18">
      <c r="B240" s="44">
        <v>692</v>
      </c>
      <c r="C240" t="s">
        <v>891</v>
      </c>
      <c r="D240" s="45">
        <v>2100</v>
      </c>
      <c r="E240" s="24">
        <v>4200</v>
      </c>
      <c r="F240" s="44">
        <f>Stock[Entradas]-Stock[Compra Cultivate]</f>
        <v>0</v>
      </c>
      <c r="G240" s="11">
        <f>SUMIFS(Compras[Cantidad],Compras[Codigo],Stock[Codigo])</f>
        <v>2</v>
      </c>
      <c r="H240" s="11">
        <f>SUMIFS(Ventas[Cantidad],Ventas[Codigo],Stock[Codigo])</f>
        <v>0</v>
      </c>
      <c r="I240" s="12">
        <f>Stock[[#This Row],[Stock Deposito]]*Stock[[#This Row],[Precio de Compra]]</f>
        <v>0</v>
      </c>
      <c r="J240" s="6">
        <f>SUMIFS(ProdDesc[Cantidad],ProdDesc[Codigo],Stock[Codigo])</f>
        <v>0</v>
      </c>
      <c r="K240" s="44">
        <f>Stock[[#This Row],[Compra Cultivate]]-Stock[[#This Row],[Salidas]]-Stock[[#This Row],[Usados]]</f>
        <v>2</v>
      </c>
      <c r="L240" s="24">
        <f>Stock[[#This Row],[Stock Deposito]]*Stock[[#This Row],[Precio de Venta]]</f>
        <v>0</v>
      </c>
      <c r="M240" s="6">
        <f>SUMIFS(Tabla9[Cantidad],Tabla9[Codigo],Stock[Codigo])</f>
        <v>2</v>
      </c>
      <c r="N240" s="24">
        <f>Stock[[#This Row],[Precio de Compra]]*Stock[[#This Row],[Stock Cultivate]]</f>
        <v>4200</v>
      </c>
      <c r="O240" s="24">
        <f>Stock[[#This Row],[Stock Cultivate]]*Stock[[#This Row],[Precio de Venta]]</f>
        <v>8400</v>
      </c>
      <c r="R240" s="16"/>
    </row>
    <row r="241" spans="2:18">
      <c r="B241" s="44">
        <v>691</v>
      </c>
      <c r="C241" t="s">
        <v>890</v>
      </c>
      <c r="D241" s="45">
        <v>3240</v>
      </c>
      <c r="E241" s="24">
        <v>6500</v>
      </c>
      <c r="F241" s="44">
        <f>Stock[Entradas]-Stock[Compra Cultivate]</f>
        <v>0</v>
      </c>
      <c r="G241" s="11">
        <f>SUMIFS(Compras[Cantidad],Compras[Codigo],Stock[Codigo])</f>
        <v>3</v>
      </c>
      <c r="H241" s="11">
        <f>SUMIFS(Ventas[Cantidad],Ventas[Codigo],Stock[Codigo])</f>
        <v>0</v>
      </c>
      <c r="I241" s="12">
        <f>Stock[[#This Row],[Stock Deposito]]*Stock[[#This Row],[Precio de Compra]]</f>
        <v>0</v>
      </c>
      <c r="J241" s="6">
        <f>SUMIFS(ProdDesc[Cantidad],ProdDesc[Codigo],Stock[Codigo])</f>
        <v>0</v>
      </c>
      <c r="K241" s="44">
        <f>Stock[[#This Row],[Compra Cultivate]]-Stock[[#This Row],[Salidas]]-Stock[[#This Row],[Usados]]</f>
        <v>3</v>
      </c>
      <c r="L241" s="24">
        <f>Stock[[#This Row],[Stock Deposito]]*Stock[[#This Row],[Precio de Venta]]</f>
        <v>0</v>
      </c>
      <c r="M241" s="6">
        <f>SUMIFS(Tabla9[Cantidad],Tabla9[Codigo],Stock[Codigo])</f>
        <v>3</v>
      </c>
      <c r="N241" s="24">
        <f>Stock[[#This Row],[Precio de Compra]]*Stock[[#This Row],[Stock Cultivate]]</f>
        <v>9720</v>
      </c>
      <c r="O241" s="24">
        <f>Stock[[#This Row],[Stock Cultivate]]*Stock[[#This Row],[Precio de Venta]]</f>
        <v>19500</v>
      </c>
      <c r="R241" s="16"/>
    </row>
    <row r="242" spans="2:18">
      <c r="B242" s="44">
        <v>690</v>
      </c>
      <c r="C242" t="s">
        <v>889</v>
      </c>
      <c r="D242" s="45">
        <v>1920</v>
      </c>
      <c r="E242" s="24">
        <v>4000</v>
      </c>
      <c r="F242" s="44">
        <f>Stock[Entradas]-Stock[Compra Cultivate]</f>
        <v>0</v>
      </c>
      <c r="G242" s="11">
        <f>SUMIFS(Compras[Cantidad],Compras[Codigo],Stock[Codigo])</f>
        <v>3</v>
      </c>
      <c r="H242" s="11">
        <f>SUMIFS(Ventas[Cantidad],Ventas[Codigo],Stock[Codigo])</f>
        <v>0</v>
      </c>
      <c r="I242" s="12">
        <f>Stock[[#This Row],[Stock Deposito]]*Stock[[#This Row],[Precio de Compra]]</f>
        <v>0</v>
      </c>
      <c r="J242" s="6">
        <f>SUMIFS(ProdDesc[Cantidad],ProdDesc[Codigo],Stock[Codigo])</f>
        <v>0</v>
      </c>
      <c r="K242" s="44">
        <f>Stock[[#This Row],[Compra Cultivate]]-Stock[[#This Row],[Salidas]]-Stock[[#This Row],[Usados]]</f>
        <v>3</v>
      </c>
      <c r="L242" s="24">
        <f>Stock[[#This Row],[Stock Deposito]]*Stock[[#This Row],[Precio de Venta]]</f>
        <v>0</v>
      </c>
      <c r="M242" s="6">
        <f>SUMIFS(Tabla9[Cantidad],Tabla9[Codigo],Stock[Codigo])</f>
        <v>3</v>
      </c>
      <c r="N242" s="24">
        <f>Stock[[#This Row],[Precio de Compra]]*Stock[[#This Row],[Stock Cultivate]]</f>
        <v>5760</v>
      </c>
      <c r="O242" s="24">
        <f>Stock[[#This Row],[Stock Cultivate]]*Stock[[#This Row],[Precio de Venta]]</f>
        <v>12000</v>
      </c>
      <c r="R242" s="16"/>
    </row>
    <row r="243" spans="2:18">
      <c r="B243" s="44">
        <v>689</v>
      </c>
      <c r="C243" t="s">
        <v>888</v>
      </c>
      <c r="D243" s="45">
        <v>1920</v>
      </c>
      <c r="E243" s="24">
        <v>4000</v>
      </c>
      <c r="F243" s="44">
        <f>Stock[Entradas]-Stock[Compra Cultivate]</f>
        <v>0</v>
      </c>
      <c r="G243" s="11">
        <f>SUMIFS(Compras[Cantidad],Compras[Codigo],Stock[Codigo])</f>
        <v>2</v>
      </c>
      <c r="H243" s="11">
        <f>SUMIFS(Ventas[Cantidad],Ventas[Codigo],Stock[Codigo])</f>
        <v>0</v>
      </c>
      <c r="I243" s="12">
        <f>Stock[[#This Row],[Stock Deposito]]*Stock[[#This Row],[Precio de Compra]]</f>
        <v>0</v>
      </c>
      <c r="J243" s="6">
        <f>SUMIFS(ProdDesc[Cantidad],ProdDesc[Codigo],Stock[Codigo])</f>
        <v>0</v>
      </c>
      <c r="K243" s="44">
        <f>Stock[[#This Row],[Compra Cultivate]]-Stock[[#This Row],[Salidas]]-Stock[[#This Row],[Usados]]</f>
        <v>2</v>
      </c>
      <c r="L243" s="24">
        <f>Stock[[#This Row],[Stock Deposito]]*Stock[[#This Row],[Precio de Venta]]</f>
        <v>0</v>
      </c>
      <c r="M243" s="6">
        <f>SUMIFS(Tabla9[Cantidad],Tabla9[Codigo],Stock[Codigo])</f>
        <v>2</v>
      </c>
      <c r="N243" s="24">
        <f>Stock[[#This Row],[Precio de Compra]]*Stock[[#This Row],[Stock Cultivate]]</f>
        <v>3840</v>
      </c>
      <c r="O243" s="24">
        <f>Stock[[#This Row],[Stock Cultivate]]*Stock[[#This Row],[Precio de Venta]]</f>
        <v>8000</v>
      </c>
      <c r="R243" s="16"/>
    </row>
    <row r="244" spans="2:18">
      <c r="B244" s="44">
        <v>688</v>
      </c>
      <c r="C244" t="s">
        <v>887</v>
      </c>
      <c r="D244" s="45">
        <v>1200</v>
      </c>
      <c r="E244" s="24">
        <v>2400</v>
      </c>
      <c r="F244" s="44">
        <f>Stock[Entradas]-Stock[Compra Cultivate]</f>
        <v>0</v>
      </c>
      <c r="G244" s="11">
        <f>SUMIFS(Compras[Cantidad],Compras[Codigo],Stock[Codigo])</f>
        <v>4</v>
      </c>
      <c r="H244" s="11">
        <f>SUMIFS(Ventas[Cantidad],Ventas[Codigo],Stock[Codigo])</f>
        <v>0</v>
      </c>
      <c r="I244" s="12">
        <f>Stock[[#This Row],[Stock Deposito]]*Stock[[#This Row],[Precio de Compra]]</f>
        <v>0</v>
      </c>
      <c r="J244" s="6">
        <f>SUMIFS(ProdDesc[Cantidad],ProdDesc[Codigo],Stock[Codigo])</f>
        <v>0</v>
      </c>
      <c r="K244" s="44">
        <f>Stock[[#This Row],[Compra Cultivate]]-Stock[[#This Row],[Salidas]]-Stock[[#This Row],[Usados]]</f>
        <v>4</v>
      </c>
      <c r="L244" s="24">
        <f>Stock[[#This Row],[Stock Deposito]]*Stock[[#This Row],[Precio de Venta]]</f>
        <v>0</v>
      </c>
      <c r="M244" s="6">
        <f>SUMIFS(Tabla9[Cantidad],Tabla9[Codigo],Stock[Codigo])</f>
        <v>4</v>
      </c>
      <c r="N244" s="24">
        <f>Stock[[#This Row],[Precio de Compra]]*Stock[[#This Row],[Stock Cultivate]]</f>
        <v>4800</v>
      </c>
      <c r="O244" s="24">
        <f>Stock[[#This Row],[Stock Cultivate]]*Stock[[#This Row],[Precio de Venta]]</f>
        <v>9600</v>
      </c>
      <c r="R244" s="16"/>
    </row>
    <row r="245" spans="2:18">
      <c r="B245" s="44">
        <v>687</v>
      </c>
      <c r="C245" t="s">
        <v>886</v>
      </c>
      <c r="D245" s="45">
        <v>3000</v>
      </c>
      <c r="E245" s="24">
        <v>6000</v>
      </c>
      <c r="F245" s="44">
        <f>Stock[Entradas]-Stock[Compra Cultivate]</f>
        <v>0</v>
      </c>
      <c r="G245" s="11">
        <f>SUMIFS(Compras[Cantidad],Compras[Codigo],Stock[Codigo])</f>
        <v>3</v>
      </c>
      <c r="H245" s="11">
        <f>SUMIFS(Ventas[Cantidad],Ventas[Codigo],Stock[Codigo])</f>
        <v>0</v>
      </c>
      <c r="I245" s="12">
        <f>Stock[[#This Row],[Stock Deposito]]*Stock[[#This Row],[Precio de Compra]]</f>
        <v>0</v>
      </c>
      <c r="J245" s="6">
        <f>SUMIFS(ProdDesc[Cantidad],ProdDesc[Codigo],Stock[Codigo])</f>
        <v>0</v>
      </c>
      <c r="K245" s="44">
        <f>Stock[[#This Row],[Compra Cultivate]]-Stock[[#This Row],[Salidas]]-Stock[[#This Row],[Usados]]</f>
        <v>3</v>
      </c>
      <c r="L245" s="24">
        <f>Stock[[#This Row],[Stock Deposito]]*Stock[[#This Row],[Precio de Venta]]</f>
        <v>0</v>
      </c>
      <c r="M245" s="6">
        <f>SUMIFS(Tabla9[Cantidad],Tabla9[Codigo],Stock[Codigo])</f>
        <v>3</v>
      </c>
      <c r="N245" s="24">
        <f>Stock[[#This Row],[Precio de Compra]]*Stock[[#This Row],[Stock Cultivate]]</f>
        <v>9000</v>
      </c>
      <c r="O245" s="24">
        <f>Stock[[#This Row],[Stock Cultivate]]*Stock[[#This Row],[Precio de Venta]]</f>
        <v>18000</v>
      </c>
      <c r="R245" s="16"/>
    </row>
    <row r="246" spans="2:18">
      <c r="B246" s="44">
        <v>686</v>
      </c>
      <c r="C246" t="s">
        <v>885</v>
      </c>
      <c r="D246" s="45">
        <v>1500</v>
      </c>
      <c r="E246" s="24">
        <v>3000</v>
      </c>
      <c r="F246" s="44">
        <f>Stock[Entradas]-Stock[Compra Cultivate]</f>
        <v>0</v>
      </c>
      <c r="G246" s="11">
        <f>SUMIFS(Compras[Cantidad],Compras[Codigo],Stock[Codigo])</f>
        <v>6</v>
      </c>
      <c r="H246" s="11">
        <f>SUMIFS(Ventas[Cantidad],Ventas[Codigo],Stock[Codigo])</f>
        <v>0</v>
      </c>
      <c r="I246" s="12">
        <f>Stock[[#This Row],[Stock Deposito]]*Stock[[#This Row],[Precio de Compra]]</f>
        <v>0</v>
      </c>
      <c r="J246" s="6">
        <f>SUMIFS(ProdDesc[Cantidad],ProdDesc[Codigo],Stock[Codigo])</f>
        <v>0</v>
      </c>
      <c r="K246" s="44">
        <f>Stock[[#This Row],[Compra Cultivate]]-Stock[[#This Row],[Salidas]]-Stock[[#This Row],[Usados]]</f>
        <v>6</v>
      </c>
      <c r="L246" s="24">
        <f>Stock[[#This Row],[Stock Deposito]]*Stock[[#This Row],[Precio de Venta]]</f>
        <v>0</v>
      </c>
      <c r="M246" s="6">
        <f>SUMIFS(Tabla9[Cantidad],Tabla9[Codigo],Stock[Codigo])</f>
        <v>6</v>
      </c>
      <c r="N246" s="24">
        <f>Stock[[#This Row],[Precio de Compra]]*Stock[[#This Row],[Stock Cultivate]]</f>
        <v>9000</v>
      </c>
      <c r="O246" s="24">
        <f>Stock[[#This Row],[Stock Cultivate]]*Stock[[#This Row],[Precio de Venta]]</f>
        <v>18000</v>
      </c>
      <c r="R246" s="16"/>
    </row>
    <row r="247" spans="2:18">
      <c r="B247" s="44">
        <v>685</v>
      </c>
      <c r="C247" t="s">
        <v>884</v>
      </c>
      <c r="D247" s="45">
        <v>1560</v>
      </c>
      <c r="E247" s="24">
        <v>3100</v>
      </c>
      <c r="F247" s="44">
        <f>Stock[Entradas]-Stock[Compra Cultivate]</f>
        <v>0</v>
      </c>
      <c r="G247" s="11">
        <f>SUMIFS(Compras[Cantidad],Compras[Codigo],Stock[Codigo])</f>
        <v>3</v>
      </c>
      <c r="H247" s="11">
        <f>SUMIFS(Ventas[Cantidad],Ventas[Codigo],Stock[Codigo])</f>
        <v>0</v>
      </c>
      <c r="I247" s="12">
        <f>Stock[[#This Row],[Stock Deposito]]*Stock[[#This Row],[Precio de Compra]]</f>
        <v>0</v>
      </c>
      <c r="J247" s="6">
        <f>SUMIFS(ProdDesc[Cantidad],ProdDesc[Codigo],Stock[Codigo])</f>
        <v>0</v>
      </c>
      <c r="K247" s="44">
        <f>Stock[[#This Row],[Compra Cultivate]]-Stock[[#This Row],[Salidas]]-Stock[[#This Row],[Usados]]</f>
        <v>3</v>
      </c>
      <c r="L247" s="24">
        <f>Stock[[#This Row],[Stock Deposito]]*Stock[[#This Row],[Precio de Venta]]</f>
        <v>0</v>
      </c>
      <c r="M247" s="6">
        <f>SUMIFS(Tabla9[Cantidad],Tabla9[Codigo],Stock[Codigo])</f>
        <v>3</v>
      </c>
      <c r="N247" s="24">
        <f>Stock[[#This Row],[Precio de Compra]]*Stock[[#This Row],[Stock Cultivate]]</f>
        <v>4680</v>
      </c>
      <c r="O247" s="24">
        <f>Stock[[#This Row],[Stock Cultivate]]*Stock[[#This Row],[Precio de Venta]]</f>
        <v>9300</v>
      </c>
      <c r="R247" s="16"/>
    </row>
    <row r="248" spans="2:18">
      <c r="B248" s="44">
        <v>684</v>
      </c>
      <c r="C248" t="s">
        <v>883</v>
      </c>
      <c r="D248" s="45">
        <v>435</v>
      </c>
      <c r="E248" s="24">
        <v>900</v>
      </c>
      <c r="F248" s="44">
        <f>Stock[Entradas]-Stock[Compra Cultivate]</f>
        <v>10</v>
      </c>
      <c r="G248" s="11">
        <f>SUMIFS(Compras[Cantidad],Compras[Codigo],Stock[Codigo])</f>
        <v>10</v>
      </c>
      <c r="H248" s="11">
        <f>SUMIFS(Ventas[Cantidad],Ventas[Codigo],Stock[Codigo])</f>
        <v>0</v>
      </c>
      <c r="I248" s="12">
        <f>Stock[[#This Row],[Stock Deposito]]*Stock[[#This Row],[Precio de Compra]]</f>
        <v>4350</v>
      </c>
      <c r="J248" s="6">
        <f>SUMIFS(ProdDesc[Cantidad],ProdDesc[Codigo],Stock[Codigo])</f>
        <v>0</v>
      </c>
      <c r="K248" s="44">
        <f>Stock[[#This Row],[Compra Cultivate]]-Stock[[#This Row],[Salidas]]-Stock[[#This Row],[Usados]]</f>
        <v>0</v>
      </c>
      <c r="L248" s="24">
        <f>Stock[[#This Row],[Stock Deposito]]*Stock[[#This Row],[Precio de Venta]]</f>
        <v>9000</v>
      </c>
      <c r="M248" s="6">
        <f>SUMIFS(Tabla9[Cantidad],Tabla9[Codigo],Stock[Codigo])</f>
        <v>0</v>
      </c>
      <c r="N248" s="24">
        <f>Stock[[#This Row],[Precio de Compra]]*Stock[[#This Row],[Stock Cultivate]]</f>
        <v>0</v>
      </c>
      <c r="O248" s="24">
        <f>Stock[[#This Row],[Stock Cultivate]]*Stock[[#This Row],[Precio de Venta]]</f>
        <v>0</v>
      </c>
      <c r="R248" s="16"/>
    </row>
    <row r="249" spans="2:18">
      <c r="B249" s="44">
        <v>683</v>
      </c>
      <c r="C249" t="s">
        <v>882</v>
      </c>
      <c r="D249" s="45">
        <v>951</v>
      </c>
      <c r="E249" s="24">
        <v>2000</v>
      </c>
      <c r="F249" s="44">
        <f>Stock[Entradas]-Stock[Compra Cultivate]</f>
        <v>3</v>
      </c>
      <c r="G249" s="11">
        <f>SUMIFS(Compras[Cantidad],Compras[Codigo],Stock[Codigo])</f>
        <v>3</v>
      </c>
      <c r="H249" s="11">
        <f>SUMIFS(Ventas[Cantidad],Ventas[Codigo],Stock[Codigo])</f>
        <v>0</v>
      </c>
      <c r="I249" s="12">
        <f>Stock[[#This Row],[Stock Deposito]]*Stock[[#This Row],[Precio de Compra]]</f>
        <v>2853</v>
      </c>
      <c r="J249" s="6">
        <f>SUMIFS(ProdDesc[Cantidad],ProdDesc[Codigo],Stock[Codigo])</f>
        <v>0</v>
      </c>
      <c r="K249" s="44">
        <f>Stock[[#This Row],[Compra Cultivate]]-Stock[[#This Row],[Salidas]]-Stock[[#This Row],[Usados]]</f>
        <v>0</v>
      </c>
      <c r="L249" s="24">
        <f>Stock[[#This Row],[Stock Deposito]]*Stock[[#This Row],[Precio de Venta]]</f>
        <v>6000</v>
      </c>
      <c r="M249" s="6">
        <f>SUMIFS(Tabla9[Cantidad],Tabla9[Codigo],Stock[Codigo])</f>
        <v>0</v>
      </c>
      <c r="N249" s="24">
        <f>Stock[[#This Row],[Precio de Compra]]*Stock[[#This Row],[Stock Cultivate]]</f>
        <v>0</v>
      </c>
      <c r="O249" s="24">
        <f>Stock[[#This Row],[Stock Cultivate]]*Stock[[#This Row],[Precio de Venta]]</f>
        <v>0</v>
      </c>
      <c r="R249" s="16"/>
    </row>
    <row r="250" spans="2:18">
      <c r="B250" s="44">
        <v>682</v>
      </c>
      <c r="C250" t="s">
        <v>881</v>
      </c>
      <c r="D250" s="45">
        <v>500</v>
      </c>
      <c r="E250" s="24">
        <v>1000</v>
      </c>
      <c r="F250" s="44">
        <f>Stock[Entradas]-Stock[Compra Cultivate]</f>
        <v>2</v>
      </c>
      <c r="G250" s="11">
        <f>SUMIFS(Compras[Cantidad],Compras[Codigo],Stock[Codigo])</f>
        <v>2</v>
      </c>
      <c r="H250" s="11">
        <f>SUMIFS(Ventas[Cantidad],Ventas[Codigo],Stock[Codigo])</f>
        <v>0</v>
      </c>
      <c r="I250" s="12">
        <f>Stock[[#This Row],[Stock Deposito]]*Stock[[#This Row],[Precio de Compra]]</f>
        <v>1000</v>
      </c>
      <c r="J250" s="6">
        <f>SUMIFS(ProdDesc[Cantidad],ProdDesc[Codigo],Stock[Codigo])</f>
        <v>0</v>
      </c>
      <c r="K250" s="44">
        <f>Stock[[#This Row],[Compra Cultivate]]-Stock[[#This Row],[Salidas]]-Stock[[#This Row],[Usados]]</f>
        <v>0</v>
      </c>
      <c r="L250" s="24">
        <f>Stock[[#This Row],[Stock Deposito]]*Stock[[#This Row],[Precio de Venta]]</f>
        <v>2000</v>
      </c>
      <c r="M250" s="6">
        <f>SUMIFS(Tabla9[Cantidad],Tabla9[Codigo],Stock[Codigo])</f>
        <v>0</v>
      </c>
      <c r="N250" s="24">
        <f>Stock[[#This Row],[Precio de Compra]]*Stock[[#This Row],[Stock Cultivate]]</f>
        <v>0</v>
      </c>
      <c r="O250" s="24">
        <f>Stock[[#This Row],[Stock Cultivate]]*Stock[[#This Row],[Precio de Venta]]</f>
        <v>0</v>
      </c>
      <c r="R250" s="16"/>
    </row>
    <row r="251" spans="2:18">
      <c r="B251" s="44">
        <v>681</v>
      </c>
      <c r="C251" t="s">
        <v>880</v>
      </c>
      <c r="D251" s="45">
        <v>500</v>
      </c>
      <c r="E251" s="24">
        <v>1000</v>
      </c>
      <c r="F251" s="44">
        <f>Stock[Entradas]-Stock[Compra Cultivate]</f>
        <v>6</v>
      </c>
      <c r="G251" s="11">
        <f>SUMIFS(Compras[Cantidad],Compras[Codigo],Stock[Codigo])</f>
        <v>6</v>
      </c>
      <c r="H251" s="11">
        <f>SUMIFS(Ventas[Cantidad],Ventas[Codigo],Stock[Codigo])</f>
        <v>0</v>
      </c>
      <c r="I251" s="12">
        <f>Stock[[#This Row],[Stock Deposito]]*Stock[[#This Row],[Precio de Compra]]</f>
        <v>3000</v>
      </c>
      <c r="J251" s="6">
        <f>SUMIFS(ProdDesc[Cantidad],ProdDesc[Codigo],Stock[Codigo])</f>
        <v>0</v>
      </c>
      <c r="K251" s="44">
        <f>Stock[[#This Row],[Compra Cultivate]]-Stock[[#This Row],[Salidas]]-Stock[[#This Row],[Usados]]</f>
        <v>0</v>
      </c>
      <c r="L251" s="24">
        <f>Stock[[#This Row],[Stock Deposito]]*Stock[[#This Row],[Precio de Venta]]</f>
        <v>6000</v>
      </c>
      <c r="M251" s="6">
        <f>SUMIFS(Tabla9[Cantidad],Tabla9[Codigo],Stock[Codigo])</f>
        <v>0</v>
      </c>
      <c r="N251" s="24">
        <f>Stock[[#This Row],[Precio de Compra]]*Stock[[#This Row],[Stock Cultivate]]</f>
        <v>0</v>
      </c>
      <c r="O251" s="24">
        <f>Stock[[#This Row],[Stock Cultivate]]*Stock[[#This Row],[Precio de Venta]]</f>
        <v>0</v>
      </c>
      <c r="R251" s="16"/>
    </row>
    <row r="252" spans="2:18">
      <c r="B252" s="44">
        <v>680</v>
      </c>
      <c r="C252" t="s">
        <v>879</v>
      </c>
      <c r="D252" s="45">
        <v>1455</v>
      </c>
      <c r="E252" s="24">
        <v>3000</v>
      </c>
      <c r="F252" s="44">
        <f>Stock[Entradas]-Stock[Compra Cultivate]</f>
        <v>10</v>
      </c>
      <c r="G252" s="11">
        <f>SUMIFS(Compras[Cantidad],Compras[Codigo],Stock[Codigo])</f>
        <v>10</v>
      </c>
      <c r="H252" s="11">
        <f>SUMIFS(Ventas[Cantidad],Ventas[Codigo],Stock[Codigo])</f>
        <v>0</v>
      </c>
      <c r="I252" s="12">
        <f>Stock[[#This Row],[Stock Deposito]]*Stock[[#This Row],[Precio de Compra]]</f>
        <v>14550</v>
      </c>
      <c r="J252" s="6">
        <f>SUMIFS(ProdDesc[Cantidad],ProdDesc[Codigo],Stock[Codigo])</f>
        <v>0</v>
      </c>
      <c r="K252" s="44">
        <f>Stock[[#This Row],[Compra Cultivate]]-Stock[[#This Row],[Salidas]]-Stock[[#This Row],[Usados]]</f>
        <v>0</v>
      </c>
      <c r="L252" s="24">
        <f>Stock[[#This Row],[Stock Deposito]]*Stock[[#This Row],[Precio de Venta]]</f>
        <v>30000</v>
      </c>
      <c r="M252" s="6">
        <f>SUMIFS(Tabla9[Cantidad],Tabla9[Codigo],Stock[Codigo])</f>
        <v>0</v>
      </c>
      <c r="N252" s="24">
        <f>Stock[[#This Row],[Precio de Compra]]*Stock[[#This Row],[Stock Cultivate]]</f>
        <v>0</v>
      </c>
      <c r="O252" s="24">
        <f>Stock[[#This Row],[Stock Cultivate]]*Stock[[#This Row],[Precio de Venta]]</f>
        <v>0</v>
      </c>
      <c r="R252" s="16"/>
    </row>
    <row r="253" spans="2:18">
      <c r="B253" s="44">
        <v>679</v>
      </c>
      <c r="C253" t="s">
        <v>878</v>
      </c>
      <c r="D253" s="45">
        <v>700</v>
      </c>
      <c r="E253" s="24">
        <v>1400</v>
      </c>
      <c r="F253" s="44">
        <f>Stock[Entradas]-Stock[Compra Cultivate]</f>
        <v>5</v>
      </c>
      <c r="G253" s="11">
        <f>SUMIFS(Compras[Cantidad],Compras[Codigo],Stock[Codigo])</f>
        <v>5</v>
      </c>
      <c r="H253" s="11">
        <f>SUMIFS(Ventas[Cantidad],Ventas[Codigo],Stock[Codigo])</f>
        <v>0</v>
      </c>
      <c r="I253" s="12">
        <f>Stock[[#This Row],[Stock Deposito]]*Stock[[#This Row],[Precio de Compra]]</f>
        <v>3500</v>
      </c>
      <c r="J253" s="6">
        <f>SUMIFS(ProdDesc[Cantidad],ProdDesc[Codigo],Stock[Codigo])</f>
        <v>0</v>
      </c>
      <c r="K253" s="44">
        <f>Stock[[#This Row],[Compra Cultivate]]-Stock[[#This Row],[Salidas]]-Stock[[#This Row],[Usados]]</f>
        <v>0</v>
      </c>
      <c r="L253" s="24">
        <f>Stock[[#This Row],[Stock Deposito]]*Stock[[#This Row],[Precio de Venta]]</f>
        <v>7000</v>
      </c>
      <c r="M253" s="6">
        <f>SUMIFS(Tabla9[Cantidad],Tabla9[Codigo],Stock[Codigo])</f>
        <v>0</v>
      </c>
      <c r="N253" s="24">
        <f>Stock[[#This Row],[Precio de Compra]]*Stock[[#This Row],[Stock Cultivate]]</f>
        <v>0</v>
      </c>
      <c r="O253" s="24">
        <f>Stock[[#This Row],[Stock Cultivate]]*Stock[[#This Row],[Precio de Venta]]</f>
        <v>0</v>
      </c>
      <c r="R253" s="16"/>
    </row>
    <row r="254" spans="2:18">
      <c r="B254" s="44">
        <v>678</v>
      </c>
      <c r="C254" t="s">
        <v>877</v>
      </c>
      <c r="D254" s="45">
        <v>498</v>
      </c>
      <c r="E254" s="24">
        <v>1000</v>
      </c>
      <c r="F254" s="44">
        <f>Stock[Entradas]-Stock[Compra Cultivate]</f>
        <v>1</v>
      </c>
      <c r="G254" s="11">
        <f>SUMIFS(Compras[Cantidad],Compras[Codigo],Stock[Codigo])</f>
        <v>1</v>
      </c>
      <c r="H254" s="11">
        <f>SUMIFS(Ventas[Cantidad],Ventas[Codigo],Stock[Codigo])</f>
        <v>0</v>
      </c>
      <c r="I254" s="12">
        <f>Stock[[#This Row],[Stock Deposito]]*Stock[[#This Row],[Precio de Compra]]</f>
        <v>498</v>
      </c>
      <c r="J254" s="6">
        <f>SUMIFS(ProdDesc[Cantidad],ProdDesc[Codigo],Stock[Codigo])</f>
        <v>0</v>
      </c>
      <c r="K254" s="44">
        <f>Stock[[#This Row],[Compra Cultivate]]-Stock[[#This Row],[Salidas]]-Stock[[#This Row],[Usados]]</f>
        <v>0</v>
      </c>
      <c r="L254" s="24">
        <f>Stock[[#This Row],[Stock Deposito]]*Stock[[#This Row],[Precio de Venta]]</f>
        <v>1000</v>
      </c>
      <c r="M254" s="6">
        <f>SUMIFS(Tabla9[Cantidad],Tabla9[Codigo],Stock[Codigo])</f>
        <v>0</v>
      </c>
      <c r="N254" s="24">
        <f>Stock[[#This Row],[Precio de Compra]]*Stock[[#This Row],[Stock Cultivate]]</f>
        <v>0</v>
      </c>
      <c r="O254" s="24">
        <f>Stock[[#This Row],[Stock Cultivate]]*Stock[[#This Row],[Precio de Venta]]</f>
        <v>0</v>
      </c>
      <c r="R254" s="16"/>
    </row>
    <row r="255" spans="2:18">
      <c r="B255" s="44">
        <v>677</v>
      </c>
      <c r="C255" t="s">
        <v>876</v>
      </c>
      <c r="D255" s="45">
        <v>1324</v>
      </c>
      <c r="E255" s="24">
        <v>2600</v>
      </c>
      <c r="F255" s="44">
        <f>Stock[Entradas]-Stock[Compra Cultivate]</f>
        <v>3</v>
      </c>
      <c r="G255" s="11">
        <f>SUMIFS(Compras[Cantidad],Compras[Codigo],Stock[Codigo])</f>
        <v>3</v>
      </c>
      <c r="H255" s="11">
        <f>SUMIFS(Ventas[Cantidad],Ventas[Codigo],Stock[Codigo])</f>
        <v>0</v>
      </c>
      <c r="I255" s="12">
        <f>Stock[[#This Row],[Stock Deposito]]*Stock[[#This Row],[Precio de Compra]]</f>
        <v>3972</v>
      </c>
      <c r="J255" s="6">
        <f>SUMIFS(ProdDesc[Cantidad],ProdDesc[Codigo],Stock[Codigo])</f>
        <v>0</v>
      </c>
      <c r="K255" s="44">
        <f>Stock[[#This Row],[Compra Cultivate]]-Stock[[#This Row],[Salidas]]-Stock[[#This Row],[Usados]]</f>
        <v>0</v>
      </c>
      <c r="L255" s="24">
        <f>Stock[[#This Row],[Stock Deposito]]*Stock[[#This Row],[Precio de Venta]]</f>
        <v>7800</v>
      </c>
      <c r="M255" s="6">
        <f>SUMIFS(Tabla9[Cantidad],Tabla9[Codigo],Stock[Codigo])</f>
        <v>0</v>
      </c>
      <c r="N255" s="24">
        <f>Stock[[#This Row],[Precio de Compra]]*Stock[[#This Row],[Stock Cultivate]]</f>
        <v>0</v>
      </c>
      <c r="O255" s="24">
        <f>Stock[[#This Row],[Stock Cultivate]]*Stock[[#This Row],[Precio de Venta]]</f>
        <v>0</v>
      </c>
      <c r="R255" s="16"/>
    </row>
    <row r="256" spans="2:18">
      <c r="B256" s="44">
        <v>676</v>
      </c>
      <c r="C256" t="s">
        <v>875</v>
      </c>
      <c r="D256" s="45">
        <v>391</v>
      </c>
      <c r="E256" s="24">
        <v>800</v>
      </c>
      <c r="F256" s="44">
        <f>Stock[Entradas]-Stock[Compra Cultivate]</f>
        <v>3</v>
      </c>
      <c r="G256" s="11">
        <f>SUMIFS(Compras[Cantidad],Compras[Codigo],Stock[Codigo])</f>
        <v>3</v>
      </c>
      <c r="H256" s="11">
        <f>SUMIFS(Ventas[Cantidad],Ventas[Codigo],Stock[Codigo])</f>
        <v>0</v>
      </c>
      <c r="I256" s="12">
        <f>Stock[[#This Row],[Stock Deposito]]*Stock[[#This Row],[Precio de Compra]]</f>
        <v>1173</v>
      </c>
      <c r="J256" s="6">
        <f>SUMIFS(ProdDesc[Cantidad],ProdDesc[Codigo],Stock[Codigo])</f>
        <v>0</v>
      </c>
      <c r="K256" s="44">
        <f>Stock[[#This Row],[Compra Cultivate]]-Stock[[#This Row],[Salidas]]-Stock[[#This Row],[Usados]]</f>
        <v>0</v>
      </c>
      <c r="L256" s="24">
        <f>Stock[[#This Row],[Stock Deposito]]*Stock[[#This Row],[Precio de Venta]]</f>
        <v>2400</v>
      </c>
      <c r="M256" s="6">
        <f>SUMIFS(Tabla9[Cantidad],Tabla9[Codigo],Stock[Codigo])</f>
        <v>0</v>
      </c>
      <c r="N256" s="24">
        <f>Stock[[#This Row],[Precio de Compra]]*Stock[[#This Row],[Stock Cultivate]]</f>
        <v>0</v>
      </c>
      <c r="O256" s="24">
        <f>Stock[[#This Row],[Stock Cultivate]]*Stock[[#This Row],[Precio de Venta]]</f>
        <v>0</v>
      </c>
      <c r="R256" s="16"/>
    </row>
    <row r="257" spans="2:18">
      <c r="B257" s="44">
        <v>675</v>
      </c>
      <c r="C257" t="s">
        <v>874</v>
      </c>
      <c r="D257" s="45">
        <v>380</v>
      </c>
      <c r="E257" s="24">
        <v>800</v>
      </c>
      <c r="F257" s="44">
        <f>Stock[Entradas]-Stock[Compra Cultivate]</f>
        <v>7</v>
      </c>
      <c r="G257" s="11">
        <f>SUMIFS(Compras[Cantidad],Compras[Codigo],Stock[Codigo])</f>
        <v>7</v>
      </c>
      <c r="H257" s="11">
        <f>SUMIFS(Ventas[Cantidad],Ventas[Codigo],Stock[Codigo])</f>
        <v>0</v>
      </c>
      <c r="I257" s="12">
        <f>Stock[[#This Row],[Stock Deposito]]*Stock[[#This Row],[Precio de Compra]]</f>
        <v>2660</v>
      </c>
      <c r="J257" s="6">
        <f>SUMIFS(ProdDesc[Cantidad],ProdDesc[Codigo],Stock[Codigo])</f>
        <v>0</v>
      </c>
      <c r="K257" s="44">
        <f>Stock[[#This Row],[Compra Cultivate]]-Stock[[#This Row],[Salidas]]-Stock[[#This Row],[Usados]]</f>
        <v>0</v>
      </c>
      <c r="L257" s="24">
        <f>Stock[[#This Row],[Stock Deposito]]*Stock[[#This Row],[Precio de Venta]]</f>
        <v>5600</v>
      </c>
      <c r="M257" s="6">
        <f>SUMIFS(Tabla9[Cantidad],Tabla9[Codigo],Stock[Codigo])</f>
        <v>0</v>
      </c>
      <c r="N257" s="24">
        <f>Stock[[#This Row],[Precio de Compra]]*Stock[[#This Row],[Stock Cultivate]]</f>
        <v>0</v>
      </c>
      <c r="O257" s="24">
        <f>Stock[[#This Row],[Stock Cultivate]]*Stock[[#This Row],[Precio de Venta]]</f>
        <v>0</v>
      </c>
      <c r="R257" s="16"/>
    </row>
    <row r="258" spans="2:18">
      <c r="B258" s="44">
        <v>674</v>
      </c>
      <c r="C258" t="s">
        <v>873</v>
      </c>
      <c r="D258" s="45">
        <v>325</v>
      </c>
      <c r="E258" s="24">
        <v>700</v>
      </c>
      <c r="F258" s="44">
        <f>Stock[Entradas]-Stock[Compra Cultivate]</f>
        <v>6</v>
      </c>
      <c r="G258" s="11">
        <f>SUMIFS(Compras[Cantidad],Compras[Codigo],Stock[Codigo])</f>
        <v>6</v>
      </c>
      <c r="H258" s="11">
        <f>SUMIFS(Ventas[Cantidad],Ventas[Codigo],Stock[Codigo])</f>
        <v>0</v>
      </c>
      <c r="I258" s="12">
        <f>Stock[[#This Row],[Stock Deposito]]*Stock[[#This Row],[Precio de Compra]]</f>
        <v>1950</v>
      </c>
      <c r="J258" s="6">
        <f>SUMIFS(ProdDesc[Cantidad],ProdDesc[Codigo],Stock[Codigo])</f>
        <v>0</v>
      </c>
      <c r="K258" s="44">
        <f>Stock[[#This Row],[Compra Cultivate]]-Stock[[#This Row],[Salidas]]-Stock[[#This Row],[Usados]]</f>
        <v>0</v>
      </c>
      <c r="L258" s="24">
        <f>Stock[[#This Row],[Stock Deposito]]*Stock[[#This Row],[Precio de Venta]]</f>
        <v>4200</v>
      </c>
      <c r="M258" s="6">
        <f>SUMIFS(Tabla9[Cantidad],Tabla9[Codigo],Stock[Codigo])</f>
        <v>0</v>
      </c>
      <c r="N258" s="24">
        <f>Stock[[#This Row],[Precio de Compra]]*Stock[[#This Row],[Stock Cultivate]]</f>
        <v>0</v>
      </c>
      <c r="O258" s="24">
        <f>Stock[[#This Row],[Stock Cultivate]]*Stock[[#This Row],[Precio de Venta]]</f>
        <v>0</v>
      </c>
      <c r="R258" s="16"/>
    </row>
    <row r="259" spans="2:18">
      <c r="B259" s="44">
        <v>673</v>
      </c>
      <c r="C259" t="s">
        <v>872</v>
      </c>
      <c r="D259" s="45">
        <v>391</v>
      </c>
      <c r="E259" s="24">
        <v>800</v>
      </c>
      <c r="F259" s="44">
        <f>Stock[Entradas]-Stock[Compra Cultivate]</f>
        <v>2</v>
      </c>
      <c r="G259" s="11">
        <f>SUMIFS(Compras[Cantidad],Compras[Codigo],Stock[Codigo])</f>
        <v>2</v>
      </c>
      <c r="H259" s="11">
        <f>SUMIFS(Ventas[Cantidad],Ventas[Codigo],Stock[Codigo])</f>
        <v>0</v>
      </c>
      <c r="I259" s="12">
        <f>Stock[[#This Row],[Stock Deposito]]*Stock[[#This Row],[Precio de Compra]]</f>
        <v>782</v>
      </c>
      <c r="J259" s="6">
        <f>SUMIFS(ProdDesc[Cantidad],ProdDesc[Codigo],Stock[Codigo])</f>
        <v>0</v>
      </c>
      <c r="K259" s="44">
        <f>Stock[[#This Row],[Compra Cultivate]]-Stock[[#This Row],[Salidas]]-Stock[[#This Row],[Usados]]</f>
        <v>0</v>
      </c>
      <c r="L259" s="24">
        <f>Stock[[#This Row],[Stock Deposito]]*Stock[[#This Row],[Precio de Venta]]</f>
        <v>1600</v>
      </c>
      <c r="M259" s="6">
        <f>SUMIFS(Tabla9[Cantidad],Tabla9[Codigo],Stock[Codigo])</f>
        <v>0</v>
      </c>
      <c r="N259" s="24">
        <f>Stock[[#This Row],[Precio de Compra]]*Stock[[#This Row],[Stock Cultivate]]</f>
        <v>0</v>
      </c>
      <c r="O259" s="24">
        <f>Stock[[#This Row],[Stock Cultivate]]*Stock[[#This Row],[Precio de Venta]]</f>
        <v>0</v>
      </c>
      <c r="R259" s="16"/>
    </row>
    <row r="260" spans="2:18">
      <c r="B260" s="44">
        <v>672</v>
      </c>
      <c r="C260" t="s">
        <v>871</v>
      </c>
      <c r="D260" s="45">
        <v>543</v>
      </c>
      <c r="E260" s="24">
        <v>1100</v>
      </c>
      <c r="F260" s="44">
        <f>Stock[Entradas]-Stock[Compra Cultivate]</f>
        <v>5</v>
      </c>
      <c r="G260" s="11">
        <f>SUMIFS(Compras[Cantidad],Compras[Codigo],Stock[Codigo])</f>
        <v>5</v>
      </c>
      <c r="H260" s="11">
        <f>SUMIFS(Ventas[Cantidad],Ventas[Codigo],Stock[Codigo])</f>
        <v>0</v>
      </c>
      <c r="I260" s="12">
        <f>Stock[[#This Row],[Stock Deposito]]*Stock[[#This Row],[Precio de Compra]]</f>
        <v>2715</v>
      </c>
      <c r="J260" s="6">
        <f>SUMIFS(ProdDesc[Cantidad],ProdDesc[Codigo],Stock[Codigo])</f>
        <v>0</v>
      </c>
      <c r="K260" s="44">
        <f>Stock[[#This Row],[Compra Cultivate]]-Stock[[#This Row],[Salidas]]-Stock[[#This Row],[Usados]]</f>
        <v>0</v>
      </c>
      <c r="L260" s="24">
        <f>Stock[[#This Row],[Stock Deposito]]*Stock[[#This Row],[Precio de Venta]]</f>
        <v>5500</v>
      </c>
      <c r="M260" s="6">
        <f>SUMIFS(Tabla9[Cantidad],Tabla9[Codigo],Stock[Codigo])</f>
        <v>0</v>
      </c>
      <c r="N260" s="24">
        <f>Stock[[#This Row],[Precio de Compra]]*Stock[[#This Row],[Stock Cultivate]]</f>
        <v>0</v>
      </c>
      <c r="O260" s="24">
        <f>Stock[[#This Row],[Stock Cultivate]]*Stock[[#This Row],[Precio de Venta]]</f>
        <v>0</v>
      </c>
      <c r="R260" s="16"/>
    </row>
    <row r="261" spans="2:18">
      <c r="B261" s="44">
        <v>671</v>
      </c>
      <c r="C261" t="s">
        <v>868</v>
      </c>
      <c r="D261" s="45">
        <v>498</v>
      </c>
      <c r="E261" s="24">
        <v>1000</v>
      </c>
      <c r="F261" s="44">
        <f>Stock[Entradas]-Stock[Compra Cultivate]</f>
        <v>8</v>
      </c>
      <c r="G261" s="11">
        <f>SUMIFS(Compras[Cantidad],Compras[Codigo],Stock[Codigo])</f>
        <v>8</v>
      </c>
      <c r="H261" s="11">
        <f>SUMIFS(Ventas[Cantidad],Ventas[Codigo],Stock[Codigo])</f>
        <v>0</v>
      </c>
      <c r="I261" s="12">
        <f>Stock[[#This Row],[Stock Deposito]]*Stock[[#This Row],[Precio de Compra]]</f>
        <v>3984</v>
      </c>
      <c r="J261" s="6">
        <f>SUMIFS(ProdDesc[Cantidad],ProdDesc[Codigo],Stock[Codigo])</f>
        <v>0</v>
      </c>
      <c r="K261" s="44">
        <f>Stock[[#This Row],[Compra Cultivate]]-Stock[[#This Row],[Salidas]]-Stock[[#This Row],[Usados]]</f>
        <v>0</v>
      </c>
      <c r="L261" s="24">
        <f>Stock[[#This Row],[Stock Deposito]]*Stock[[#This Row],[Precio de Venta]]</f>
        <v>8000</v>
      </c>
      <c r="M261" s="6">
        <f>SUMIFS(Tabla9[Cantidad],Tabla9[Codigo],Stock[Codigo])</f>
        <v>0</v>
      </c>
      <c r="N261" s="24">
        <f>Stock[[#This Row],[Precio de Compra]]*Stock[[#This Row],[Stock Cultivate]]</f>
        <v>0</v>
      </c>
      <c r="O261" s="24">
        <f>Stock[[#This Row],[Stock Cultivate]]*Stock[[#This Row],[Precio de Venta]]</f>
        <v>0</v>
      </c>
      <c r="R261" s="16"/>
    </row>
    <row r="262" spans="2:18">
      <c r="B262" s="44">
        <v>670</v>
      </c>
      <c r="C262" t="s">
        <v>869</v>
      </c>
      <c r="D262" s="45">
        <v>498</v>
      </c>
      <c r="E262" s="24">
        <v>1000</v>
      </c>
      <c r="F262" s="44">
        <f>Stock[Entradas]-Stock[Compra Cultivate]</f>
        <v>6</v>
      </c>
      <c r="G262" s="11">
        <f>SUMIFS(Compras[Cantidad],Compras[Codigo],Stock[Codigo])</f>
        <v>6</v>
      </c>
      <c r="H262" s="11">
        <f>SUMIFS(Ventas[Cantidad],Ventas[Codigo],Stock[Codigo])</f>
        <v>0</v>
      </c>
      <c r="I262" s="12">
        <f>Stock[[#This Row],[Stock Deposito]]*Stock[[#This Row],[Precio de Compra]]</f>
        <v>2988</v>
      </c>
      <c r="J262" s="6">
        <f>SUMIFS(ProdDesc[Cantidad],ProdDesc[Codigo],Stock[Codigo])</f>
        <v>0</v>
      </c>
      <c r="K262" s="44">
        <f>Stock[[#This Row],[Compra Cultivate]]-Stock[[#This Row],[Salidas]]-Stock[[#This Row],[Usados]]</f>
        <v>0</v>
      </c>
      <c r="L262" s="24">
        <f>Stock[[#This Row],[Stock Deposito]]*Stock[[#This Row],[Precio de Venta]]</f>
        <v>6000</v>
      </c>
      <c r="M262" s="6">
        <f>SUMIFS(Tabla9[Cantidad],Tabla9[Codigo],Stock[Codigo])</f>
        <v>0</v>
      </c>
      <c r="N262" s="24">
        <f>Stock[[#This Row],[Precio de Compra]]*Stock[[#This Row],[Stock Cultivate]]</f>
        <v>0</v>
      </c>
      <c r="O262" s="24">
        <f>Stock[[#This Row],[Stock Cultivate]]*Stock[[#This Row],[Precio de Venta]]</f>
        <v>0</v>
      </c>
      <c r="R262" s="16"/>
    </row>
    <row r="263" spans="2:18">
      <c r="B263" s="44">
        <v>669</v>
      </c>
      <c r="C263" t="s">
        <v>870</v>
      </c>
      <c r="D263" s="45">
        <v>498</v>
      </c>
      <c r="E263" s="24">
        <v>1000</v>
      </c>
      <c r="F263" s="44">
        <f>Stock[Entradas]-Stock[Compra Cultivate]</f>
        <v>8</v>
      </c>
      <c r="G263" s="11">
        <f>SUMIFS(Compras[Cantidad],Compras[Codigo],Stock[Codigo])</f>
        <v>8</v>
      </c>
      <c r="H263" s="11">
        <f>SUMIFS(Ventas[Cantidad],Ventas[Codigo],Stock[Codigo])</f>
        <v>0</v>
      </c>
      <c r="I263" s="12">
        <f>Stock[[#This Row],[Stock Deposito]]*Stock[[#This Row],[Precio de Compra]]</f>
        <v>3984</v>
      </c>
      <c r="J263" s="6">
        <f>SUMIFS(ProdDesc[Cantidad],ProdDesc[Codigo],Stock[Codigo])</f>
        <v>0</v>
      </c>
      <c r="K263" s="44">
        <f>Stock[[#This Row],[Compra Cultivate]]-Stock[[#This Row],[Salidas]]-Stock[[#This Row],[Usados]]</f>
        <v>0</v>
      </c>
      <c r="L263" s="24">
        <f>Stock[[#This Row],[Stock Deposito]]*Stock[[#This Row],[Precio de Venta]]</f>
        <v>8000</v>
      </c>
      <c r="M263" s="6">
        <f>SUMIFS(Tabla9[Cantidad],Tabla9[Codigo],Stock[Codigo])</f>
        <v>0</v>
      </c>
      <c r="N263" s="24">
        <f>Stock[[#This Row],[Precio de Compra]]*Stock[[#This Row],[Stock Cultivate]]</f>
        <v>0</v>
      </c>
      <c r="O263" s="24">
        <f>Stock[[#This Row],[Stock Cultivate]]*Stock[[#This Row],[Precio de Venta]]</f>
        <v>0</v>
      </c>
      <c r="R263" s="16"/>
    </row>
    <row r="264" spans="2:18">
      <c r="B264" s="44">
        <v>668</v>
      </c>
      <c r="C264" t="s">
        <v>867</v>
      </c>
      <c r="D264" s="45">
        <v>498</v>
      </c>
      <c r="E264" s="24">
        <v>1000</v>
      </c>
      <c r="F264" s="44">
        <f>Stock[Entradas]-Stock[Compra Cultivate]</f>
        <v>8</v>
      </c>
      <c r="G264" s="11">
        <f>SUMIFS(Compras[Cantidad],Compras[Codigo],Stock[Codigo])</f>
        <v>8</v>
      </c>
      <c r="H264" s="11">
        <f>SUMIFS(Ventas[Cantidad],Ventas[Codigo],Stock[Codigo])</f>
        <v>0</v>
      </c>
      <c r="I264" s="12">
        <f>Stock[[#This Row],[Stock Deposito]]*Stock[[#This Row],[Precio de Compra]]</f>
        <v>3984</v>
      </c>
      <c r="J264" s="6">
        <f>SUMIFS(ProdDesc[Cantidad],ProdDesc[Codigo],Stock[Codigo])</f>
        <v>0</v>
      </c>
      <c r="K264" s="44">
        <f>Stock[[#This Row],[Compra Cultivate]]-Stock[[#This Row],[Salidas]]-Stock[[#This Row],[Usados]]</f>
        <v>0</v>
      </c>
      <c r="L264" s="24">
        <f>Stock[[#This Row],[Stock Deposito]]*Stock[[#This Row],[Precio de Venta]]</f>
        <v>8000</v>
      </c>
      <c r="M264" s="6">
        <f>SUMIFS(Tabla9[Cantidad],Tabla9[Codigo],Stock[Codigo])</f>
        <v>0</v>
      </c>
      <c r="N264" s="24">
        <f>Stock[[#This Row],[Precio de Compra]]*Stock[[#This Row],[Stock Cultivate]]</f>
        <v>0</v>
      </c>
      <c r="O264" s="24">
        <f>Stock[[#This Row],[Stock Cultivate]]*Stock[[#This Row],[Precio de Venta]]</f>
        <v>0</v>
      </c>
      <c r="R264" s="16"/>
    </row>
    <row r="265" spans="2:18">
      <c r="B265" s="44">
        <v>667</v>
      </c>
      <c r="C265" t="s">
        <v>866</v>
      </c>
      <c r="D265" s="45">
        <v>380</v>
      </c>
      <c r="E265" s="24">
        <v>800</v>
      </c>
      <c r="F265" s="44">
        <f>Stock[Entradas]-Stock[Compra Cultivate]</f>
        <v>6</v>
      </c>
      <c r="G265" s="11">
        <f>SUMIFS(Compras[Cantidad],Compras[Codigo],Stock[Codigo])</f>
        <v>7</v>
      </c>
      <c r="H265" s="11">
        <f>SUMIFS(Ventas[Cantidad],Ventas[Codigo],Stock[Codigo])</f>
        <v>0</v>
      </c>
      <c r="I265" s="12">
        <f>Stock[[#This Row],[Stock Deposito]]*Stock[[#This Row],[Precio de Compra]]</f>
        <v>2280</v>
      </c>
      <c r="J265" s="6">
        <f>SUMIFS(ProdDesc[Cantidad],ProdDesc[Codigo],Stock[Codigo])</f>
        <v>0</v>
      </c>
      <c r="K265" s="44">
        <f>Stock[[#This Row],[Compra Cultivate]]-Stock[[#This Row],[Salidas]]-Stock[[#This Row],[Usados]]</f>
        <v>1</v>
      </c>
      <c r="L265" s="24">
        <f>Stock[[#This Row],[Stock Deposito]]*Stock[[#This Row],[Precio de Venta]]</f>
        <v>4800</v>
      </c>
      <c r="M265" s="6">
        <f>SUMIFS(Tabla9[Cantidad],Tabla9[Codigo],Stock[Codigo])</f>
        <v>1</v>
      </c>
      <c r="N265" s="24">
        <f>Stock[[#This Row],[Precio de Compra]]*Stock[[#This Row],[Stock Cultivate]]</f>
        <v>380</v>
      </c>
      <c r="O265" s="24">
        <f>Stock[[#This Row],[Stock Cultivate]]*Stock[[#This Row],[Precio de Venta]]</f>
        <v>800</v>
      </c>
      <c r="R265" s="16"/>
    </row>
    <row r="266" spans="2:18">
      <c r="B266" s="44">
        <v>666</v>
      </c>
      <c r="C266" t="s">
        <v>865</v>
      </c>
      <c r="D266" s="45">
        <v>2500</v>
      </c>
      <c r="E266" s="24">
        <v>5000</v>
      </c>
      <c r="F266" s="44">
        <f>Stock[Entradas]-Stock[Compra Cultivate]</f>
        <v>1</v>
      </c>
      <c r="G266" s="11">
        <f>SUMIFS(Compras[Cantidad],Compras[Codigo],Stock[Codigo])</f>
        <v>1</v>
      </c>
      <c r="H266" s="11">
        <f>SUMIFS(Ventas[Cantidad],Ventas[Codigo],Stock[Codigo])</f>
        <v>0</v>
      </c>
      <c r="I266" s="12">
        <f>Stock[[#This Row],[Stock Deposito]]*Stock[[#This Row],[Precio de Compra]]</f>
        <v>2500</v>
      </c>
      <c r="J266" s="6">
        <f>SUMIFS(ProdDesc[Cantidad],ProdDesc[Codigo],Stock[Codigo])</f>
        <v>0</v>
      </c>
      <c r="K266" s="44">
        <f>Stock[[#This Row],[Compra Cultivate]]-Stock[[#This Row],[Salidas]]-Stock[[#This Row],[Usados]]</f>
        <v>0</v>
      </c>
      <c r="L266" s="24">
        <f>Stock[[#This Row],[Stock Deposito]]*Stock[[#This Row],[Precio de Venta]]</f>
        <v>5000</v>
      </c>
      <c r="M266" s="6">
        <f>SUMIFS(Tabla9[Cantidad],Tabla9[Codigo],Stock[Codigo])</f>
        <v>0</v>
      </c>
      <c r="N266" s="24">
        <f>Stock[[#This Row],[Precio de Compra]]*Stock[[#This Row],[Stock Cultivate]]</f>
        <v>0</v>
      </c>
      <c r="O266" s="24">
        <f>Stock[[#This Row],[Stock Cultivate]]*Stock[[#This Row],[Precio de Venta]]</f>
        <v>0</v>
      </c>
      <c r="R266" s="16"/>
    </row>
    <row r="267" spans="2:18">
      <c r="B267" s="44">
        <v>665</v>
      </c>
      <c r="C267" t="s">
        <v>864</v>
      </c>
      <c r="D267" s="45">
        <v>462</v>
      </c>
      <c r="E267" s="24">
        <v>900</v>
      </c>
      <c r="F267" s="44">
        <f>Stock[Entradas]-Stock[Compra Cultivate]</f>
        <v>5</v>
      </c>
      <c r="G267" s="11">
        <f>SUMIFS(Compras[Cantidad],Compras[Codigo],Stock[Codigo])</f>
        <v>5</v>
      </c>
      <c r="H267" s="11">
        <f>SUMIFS(Ventas[Cantidad],Ventas[Codigo],Stock[Codigo])</f>
        <v>0</v>
      </c>
      <c r="I267" s="12">
        <f>Stock[[#This Row],[Stock Deposito]]*Stock[[#This Row],[Precio de Compra]]</f>
        <v>2310</v>
      </c>
      <c r="J267" s="6">
        <f>SUMIFS(ProdDesc[Cantidad],ProdDesc[Codigo],Stock[Codigo])</f>
        <v>0</v>
      </c>
      <c r="K267" s="44">
        <f>Stock[[#This Row],[Compra Cultivate]]-Stock[[#This Row],[Salidas]]-Stock[[#This Row],[Usados]]</f>
        <v>0</v>
      </c>
      <c r="L267" s="24">
        <f>Stock[[#This Row],[Stock Deposito]]*Stock[[#This Row],[Precio de Venta]]</f>
        <v>4500</v>
      </c>
      <c r="M267" s="6">
        <f>SUMIFS(Tabla9[Cantidad],Tabla9[Codigo],Stock[Codigo])</f>
        <v>0</v>
      </c>
      <c r="N267" s="24">
        <f>Stock[[#This Row],[Precio de Compra]]*Stock[[#This Row],[Stock Cultivate]]</f>
        <v>0</v>
      </c>
      <c r="O267" s="24">
        <f>Stock[[#This Row],[Stock Cultivate]]*Stock[[#This Row],[Precio de Venta]]</f>
        <v>0</v>
      </c>
      <c r="R267" s="16"/>
    </row>
    <row r="268" spans="2:18">
      <c r="B268" s="44">
        <v>664</v>
      </c>
      <c r="C268" t="s">
        <v>863</v>
      </c>
      <c r="D268" s="45">
        <v>610</v>
      </c>
      <c r="E268" s="24">
        <v>1200</v>
      </c>
      <c r="F268" s="44">
        <f>Stock[Entradas]-Stock[Compra Cultivate]</f>
        <v>9</v>
      </c>
      <c r="G268" s="11">
        <f>SUMIFS(Compras[Cantidad],Compras[Codigo],Stock[Codigo])</f>
        <v>9</v>
      </c>
      <c r="H268" s="11">
        <f>SUMIFS(Ventas[Cantidad],Ventas[Codigo],Stock[Codigo])</f>
        <v>0</v>
      </c>
      <c r="I268" s="12">
        <f>Stock[[#This Row],[Stock Deposito]]*Stock[[#This Row],[Precio de Compra]]</f>
        <v>5490</v>
      </c>
      <c r="J268" s="6">
        <f>SUMIFS(ProdDesc[Cantidad],ProdDesc[Codigo],Stock[Codigo])</f>
        <v>0</v>
      </c>
      <c r="K268" s="44">
        <f>Stock[[#This Row],[Compra Cultivate]]-Stock[[#This Row],[Salidas]]-Stock[[#This Row],[Usados]]</f>
        <v>0</v>
      </c>
      <c r="L268" s="24">
        <f>Stock[[#This Row],[Stock Deposito]]*Stock[[#This Row],[Precio de Venta]]</f>
        <v>10800</v>
      </c>
      <c r="M268" s="6">
        <f>SUMIFS(Tabla9[Cantidad],Tabla9[Codigo],Stock[Codigo])</f>
        <v>0</v>
      </c>
      <c r="N268" s="24">
        <f>Stock[[#This Row],[Precio de Compra]]*Stock[[#This Row],[Stock Cultivate]]</f>
        <v>0</v>
      </c>
      <c r="O268" s="24">
        <f>Stock[[#This Row],[Stock Cultivate]]*Stock[[#This Row],[Precio de Venta]]</f>
        <v>0</v>
      </c>
      <c r="R268" s="16"/>
    </row>
    <row r="269" spans="2:18">
      <c r="B269" s="44">
        <v>663</v>
      </c>
      <c r="C269" t="s">
        <v>862</v>
      </c>
      <c r="D269" s="45">
        <v>2415</v>
      </c>
      <c r="E269" s="24">
        <v>4000</v>
      </c>
      <c r="F269" s="44">
        <f>Stock[Entradas]-Stock[Compra Cultivate]</f>
        <v>2</v>
      </c>
      <c r="G269" s="11">
        <f>SUMIFS(Compras[Cantidad],Compras[Codigo],Stock[Codigo])</f>
        <v>2</v>
      </c>
      <c r="H269" s="11">
        <f>SUMIFS(Ventas[Cantidad],Ventas[Codigo],Stock[Codigo])</f>
        <v>0</v>
      </c>
      <c r="I269" s="12">
        <f>Stock[[#This Row],[Stock Deposito]]*Stock[[#This Row],[Precio de Compra]]</f>
        <v>4830</v>
      </c>
      <c r="J269" s="6">
        <f>SUMIFS(ProdDesc[Cantidad],ProdDesc[Codigo],Stock[Codigo])</f>
        <v>0</v>
      </c>
      <c r="K269" s="44">
        <f>Stock[[#This Row],[Compra Cultivate]]-Stock[[#This Row],[Salidas]]-Stock[[#This Row],[Usados]]</f>
        <v>0</v>
      </c>
      <c r="L269" s="24">
        <f>Stock[[#This Row],[Stock Deposito]]*Stock[[#This Row],[Precio de Venta]]</f>
        <v>8000</v>
      </c>
      <c r="M269" s="6">
        <f>SUMIFS(Tabla9[Cantidad],Tabla9[Codigo],Stock[Codigo])</f>
        <v>0</v>
      </c>
      <c r="N269" s="24">
        <f>Stock[[#This Row],[Precio de Compra]]*Stock[[#This Row],[Stock Cultivate]]</f>
        <v>0</v>
      </c>
      <c r="O269" s="24">
        <f>Stock[[#This Row],[Stock Cultivate]]*Stock[[#This Row],[Precio de Venta]]</f>
        <v>0</v>
      </c>
      <c r="R269" s="16"/>
    </row>
    <row r="270" spans="2:18">
      <c r="B270" s="44">
        <v>662</v>
      </c>
      <c r="C270" t="s">
        <v>861</v>
      </c>
      <c r="D270" s="45">
        <v>4103</v>
      </c>
      <c r="E270" s="24">
        <v>7000</v>
      </c>
      <c r="F270" s="44">
        <f>Stock[Entradas]-Stock[Compra Cultivate]</f>
        <v>2</v>
      </c>
      <c r="G270" s="11">
        <f>SUMIFS(Compras[Cantidad],Compras[Codigo],Stock[Codigo])</f>
        <v>2</v>
      </c>
      <c r="H270" s="11">
        <f>SUMIFS(Ventas[Cantidad],Ventas[Codigo],Stock[Codigo])</f>
        <v>0</v>
      </c>
      <c r="I270" s="12">
        <f>Stock[[#This Row],[Stock Deposito]]*Stock[[#This Row],[Precio de Compra]]</f>
        <v>8206</v>
      </c>
      <c r="J270" s="6">
        <f>SUMIFS(ProdDesc[Cantidad],ProdDesc[Codigo],Stock[Codigo])</f>
        <v>0</v>
      </c>
      <c r="K270" s="44">
        <f>Stock[[#This Row],[Compra Cultivate]]-Stock[[#This Row],[Salidas]]-Stock[[#This Row],[Usados]]</f>
        <v>0</v>
      </c>
      <c r="L270" s="24">
        <f>Stock[[#This Row],[Stock Deposito]]*Stock[[#This Row],[Precio de Venta]]</f>
        <v>14000</v>
      </c>
      <c r="M270" s="6">
        <f>SUMIFS(Tabla9[Cantidad],Tabla9[Codigo],Stock[Codigo])</f>
        <v>0</v>
      </c>
      <c r="N270" s="24">
        <f>Stock[[#This Row],[Precio de Compra]]*Stock[[#This Row],[Stock Cultivate]]</f>
        <v>0</v>
      </c>
      <c r="O270" s="24">
        <f>Stock[[#This Row],[Stock Cultivate]]*Stock[[#This Row],[Precio de Venta]]</f>
        <v>0</v>
      </c>
      <c r="R270" s="16"/>
    </row>
    <row r="271" spans="2:18">
      <c r="B271" s="44">
        <v>661</v>
      </c>
      <c r="C271" t="s">
        <v>860</v>
      </c>
      <c r="D271" s="45">
        <v>3417</v>
      </c>
      <c r="E271" s="24">
        <v>6000</v>
      </c>
      <c r="F271" s="44">
        <f>Stock[Entradas]-Stock[Compra Cultivate]</f>
        <v>4</v>
      </c>
      <c r="G271" s="11">
        <f>SUMIFS(Compras[Cantidad],Compras[Codigo],Stock[Codigo])</f>
        <v>4</v>
      </c>
      <c r="H271" s="11">
        <f>SUMIFS(Ventas[Cantidad],Ventas[Codigo],Stock[Codigo])</f>
        <v>0</v>
      </c>
      <c r="I271" s="12">
        <f>Stock[[#This Row],[Stock Deposito]]*Stock[[#This Row],[Precio de Compra]]</f>
        <v>13668</v>
      </c>
      <c r="J271" s="6">
        <f>SUMIFS(ProdDesc[Cantidad],ProdDesc[Codigo],Stock[Codigo])</f>
        <v>0</v>
      </c>
      <c r="K271" s="44">
        <f>Stock[[#This Row],[Compra Cultivate]]-Stock[[#This Row],[Salidas]]-Stock[[#This Row],[Usados]]</f>
        <v>0</v>
      </c>
      <c r="L271" s="24">
        <f>Stock[[#This Row],[Stock Deposito]]*Stock[[#This Row],[Precio de Venta]]</f>
        <v>24000</v>
      </c>
      <c r="M271" s="6">
        <f>SUMIFS(Tabla9[Cantidad],Tabla9[Codigo],Stock[Codigo])</f>
        <v>0</v>
      </c>
      <c r="N271" s="24">
        <f>Stock[[#This Row],[Precio de Compra]]*Stock[[#This Row],[Stock Cultivate]]</f>
        <v>0</v>
      </c>
      <c r="O271" s="24">
        <f>Stock[[#This Row],[Stock Cultivate]]*Stock[[#This Row],[Precio de Venta]]</f>
        <v>0</v>
      </c>
      <c r="R271" s="16"/>
    </row>
    <row r="272" spans="2:18">
      <c r="B272" s="44">
        <v>660</v>
      </c>
      <c r="C272" t="s">
        <v>859</v>
      </c>
      <c r="D272" s="45">
        <v>3624</v>
      </c>
      <c r="E272" s="24">
        <v>6000</v>
      </c>
      <c r="F272" s="44">
        <f>Stock[Entradas]-Stock[Compra Cultivate]</f>
        <v>4</v>
      </c>
      <c r="G272" s="11">
        <f>SUMIFS(Compras[Cantidad],Compras[Codigo],Stock[Codigo])</f>
        <v>4</v>
      </c>
      <c r="H272" s="11">
        <f>SUMIFS(Ventas[Cantidad],Ventas[Codigo],Stock[Codigo])</f>
        <v>0</v>
      </c>
      <c r="I272" s="12">
        <f>Stock[[#This Row],[Stock Deposito]]*Stock[[#This Row],[Precio de Compra]]</f>
        <v>14496</v>
      </c>
      <c r="J272" s="6">
        <f>SUMIFS(ProdDesc[Cantidad],ProdDesc[Codigo],Stock[Codigo])</f>
        <v>0</v>
      </c>
      <c r="K272" s="44">
        <f>Stock[[#This Row],[Compra Cultivate]]-Stock[[#This Row],[Salidas]]-Stock[[#This Row],[Usados]]</f>
        <v>0</v>
      </c>
      <c r="L272" s="24">
        <f>Stock[[#This Row],[Stock Deposito]]*Stock[[#This Row],[Precio de Venta]]</f>
        <v>24000</v>
      </c>
      <c r="M272" s="6">
        <f>SUMIFS(Tabla9[Cantidad],Tabla9[Codigo],Stock[Codigo])</f>
        <v>0</v>
      </c>
      <c r="N272" s="24">
        <f>Stock[[#This Row],[Precio de Compra]]*Stock[[#This Row],[Stock Cultivate]]</f>
        <v>0</v>
      </c>
      <c r="O272" s="24">
        <f>Stock[[#This Row],[Stock Cultivate]]*Stock[[#This Row],[Precio de Venta]]</f>
        <v>0</v>
      </c>
      <c r="R272" s="16"/>
    </row>
    <row r="273" spans="2:18">
      <c r="B273" s="44">
        <v>659</v>
      </c>
      <c r="C273" t="s">
        <v>858</v>
      </c>
      <c r="D273" s="45">
        <v>772</v>
      </c>
      <c r="E273" s="24">
        <v>1500</v>
      </c>
      <c r="F273" s="44">
        <f>Stock[Entradas]-Stock[Compra Cultivate]</f>
        <v>6</v>
      </c>
      <c r="G273" s="11">
        <f>SUMIFS(Compras[Cantidad],Compras[Codigo],Stock[Codigo])</f>
        <v>6</v>
      </c>
      <c r="H273" s="11">
        <f>SUMIFS(Ventas[Cantidad],Ventas[Codigo],Stock[Codigo])</f>
        <v>0</v>
      </c>
      <c r="I273" s="12">
        <f>Stock[[#This Row],[Stock Deposito]]*Stock[[#This Row],[Precio de Compra]]</f>
        <v>4632</v>
      </c>
      <c r="J273" s="6">
        <f>SUMIFS(ProdDesc[Cantidad],ProdDesc[Codigo],Stock[Codigo])</f>
        <v>0</v>
      </c>
      <c r="K273" s="44">
        <f>Stock[[#This Row],[Compra Cultivate]]-Stock[[#This Row],[Salidas]]-Stock[[#This Row],[Usados]]</f>
        <v>0</v>
      </c>
      <c r="L273" s="24">
        <f>Stock[[#This Row],[Stock Deposito]]*Stock[[#This Row],[Precio de Venta]]</f>
        <v>9000</v>
      </c>
      <c r="M273" s="6">
        <f>SUMIFS(Tabla9[Cantidad],Tabla9[Codigo],Stock[Codigo])</f>
        <v>0</v>
      </c>
      <c r="N273" s="24">
        <f>Stock[[#This Row],[Precio de Compra]]*Stock[[#This Row],[Stock Cultivate]]</f>
        <v>0</v>
      </c>
      <c r="O273" s="24">
        <f>Stock[[#This Row],[Stock Cultivate]]*Stock[[#This Row],[Precio de Venta]]</f>
        <v>0</v>
      </c>
      <c r="R273" s="16"/>
    </row>
    <row r="274" spans="2:18">
      <c r="B274" s="44">
        <v>658</v>
      </c>
      <c r="C274" t="s">
        <v>857</v>
      </c>
      <c r="D274" s="45">
        <v>646</v>
      </c>
      <c r="E274" s="24">
        <v>1200</v>
      </c>
      <c r="F274" s="44">
        <f>Stock[Entradas]-Stock[Compra Cultivate]</f>
        <v>6</v>
      </c>
      <c r="G274" s="11">
        <f>SUMIFS(Compras[Cantidad],Compras[Codigo],Stock[Codigo])</f>
        <v>6</v>
      </c>
      <c r="H274" s="11">
        <f>SUMIFS(Ventas[Cantidad],Ventas[Codigo],Stock[Codigo])</f>
        <v>0</v>
      </c>
      <c r="I274" s="12">
        <f>Stock[[#This Row],[Stock Deposito]]*Stock[[#This Row],[Precio de Compra]]</f>
        <v>3876</v>
      </c>
      <c r="J274" s="6">
        <f>SUMIFS(ProdDesc[Cantidad],ProdDesc[Codigo],Stock[Codigo])</f>
        <v>0</v>
      </c>
      <c r="K274" s="44">
        <f>Stock[[#This Row],[Compra Cultivate]]-Stock[[#This Row],[Salidas]]-Stock[[#This Row],[Usados]]</f>
        <v>0</v>
      </c>
      <c r="L274" s="24">
        <f>Stock[[#This Row],[Stock Deposito]]*Stock[[#This Row],[Precio de Venta]]</f>
        <v>7200</v>
      </c>
      <c r="M274" s="6">
        <f>SUMIFS(Tabla9[Cantidad],Tabla9[Codigo],Stock[Codigo])</f>
        <v>0</v>
      </c>
      <c r="N274" s="24">
        <f>Stock[[#This Row],[Precio de Compra]]*Stock[[#This Row],[Stock Cultivate]]</f>
        <v>0</v>
      </c>
      <c r="O274" s="24">
        <f>Stock[[#This Row],[Stock Cultivate]]*Stock[[#This Row],[Precio de Venta]]</f>
        <v>0</v>
      </c>
      <c r="R274" s="16"/>
    </row>
    <row r="275" spans="2:18">
      <c r="B275" s="44">
        <v>657</v>
      </c>
      <c r="C275" t="s">
        <v>856</v>
      </c>
      <c r="D275" s="45">
        <v>605</v>
      </c>
      <c r="E275" s="24">
        <v>1200</v>
      </c>
      <c r="F275" s="44">
        <f>Stock[Entradas]-Stock[Compra Cultivate]</f>
        <v>4</v>
      </c>
      <c r="G275" s="11">
        <f>SUMIFS(Compras[Cantidad],Compras[Codigo],Stock[Codigo])</f>
        <v>4</v>
      </c>
      <c r="H275" s="11">
        <f>SUMIFS(Ventas[Cantidad],Ventas[Codigo],Stock[Codigo])</f>
        <v>0</v>
      </c>
      <c r="I275" s="12">
        <f>Stock[[#This Row],[Stock Deposito]]*Stock[[#This Row],[Precio de Compra]]</f>
        <v>2420</v>
      </c>
      <c r="J275" s="6">
        <f>SUMIFS(ProdDesc[Cantidad],ProdDesc[Codigo],Stock[Codigo])</f>
        <v>0</v>
      </c>
      <c r="K275" s="44">
        <f>Stock[[#This Row],[Compra Cultivate]]-Stock[[#This Row],[Salidas]]-Stock[[#This Row],[Usados]]</f>
        <v>0</v>
      </c>
      <c r="L275" s="24">
        <f>Stock[[#This Row],[Stock Deposito]]*Stock[[#This Row],[Precio de Venta]]</f>
        <v>4800</v>
      </c>
      <c r="M275" s="6">
        <f>SUMIFS(Tabla9[Cantidad],Tabla9[Codigo],Stock[Codigo])</f>
        <v>0</v>
      </c>
      <c r="N275" s="24">
        <f>Stock[[#This Row],[Precio de Compra]]*Stock[[#This Row],[Stock Cultivate]]</f>
        <v>0</v>
      </c>
      <c r="O275" s="24">
        <f>Stock[[#This Row],[Stock Cultivate]]*Stock[[#This Row],[Precio de Venta]]</f>
        <v>0</v>
      </c>
      <c r="R275" s="16"/>
    </row>
    <row r="276" spans="2:18">
      <c r="B276" s="44">
        <v>656</v>
      </c>
      <c r="C276" t="s">
        <v>855</v>
      </c>
      <c r="D276" s="45">
        <v>940</v>
      </c>
      <c r="E276" s="24">
        <v>1800</v>
      </c>
      <c r="F276" s="44">
        <f>Stock[Entradas]-Stock[Compra Cultivate]</f>
        <v>5</v>
      </c>
      <c r="G276" s="11">
        <f>SUMIFS(Compras[Cantidad],Compras[Codigo],Stock[Codigo])</f>
        <v>5</v>
      </c>
      <c r="H276" s="11">
        <f>SUMIFS(Ventas[Cantidad],Ventas[Codigo],Stock[Codigo])</f>
        <v>0</v>
      </c>
      <c r="I276" s="12">
        <f>Stock[[#This Row],[Stock Deposito]]*Stock[[#This Row],[Precio de Compra]]</f>
        <v>4700</v>
      </c>
      <c r="J276" s="6">
        <f>SUMIFS(ProdDesc[Cantidad],ProdDesc[Codigo],Stock[Codigo])</f>
        <v>0</v>
      </c>
      <c r="K276" s="44">
        <f>Stock[[#This Row],[Compra Cultivate]]-Stock[[#This Row],[Salidas]]-Stock[[#This Row],[Usados]]</f>
        <v>0</v>
      </c>
      <c r="L276" s="24">
        <f>Stock[[#This Row],[Stock Deposito]]*Stock[[#This Row],[Precio de Venta]]</f>
        <v>9000</v>
      </c>
      <c r="M276" s="6">
        <f>SUMIFS(Tabla9[Cantidad],Tabla9[Codigo],Stock[Codigo])</f>
        <v>0</v>
      </c>
      <c r="N276" s="24">
        <f>Stock[[#This Row],[Precio de Compra]]*Stock[[#This Row],[Stock Cultivate]]</f>
        <v>0</v>
      </c>
      <c r="O276" s="24">
        <f>Stock[[#This Row],[Stock Cultivate]]*Stock[[#This Row],[Precio de Venta]]</f>
        <v>0</v>
      </c>
      <c r="R276" s="16"/>
    </row>
    <row r="277" spans="2:18">
      <c r="B277" s="44">
        <v>655</v>
      </c>
      <c r="C277" t="s">
        <v>854</v>
      </c>
      <c r="D277" s="45">
        <v>727</v>
      </c>
      <c r="E277" s="24">
        <v>1500</v>
      </c>
      <c r="F277" s="44">
        <f>Stock[Entradas]-Stock[Compra Cultivate]</f>
        <v>6</v>
      </c>
      <c r="G277" s="11">
        <f>SUMIFS(Compras[Cantidad],Compras[Codigo],Stock[Codigo])</f>
        <v>6</v>
      </c>
      <c r="H277" s="11">
        <f>SUMIFS(Ventas[Cantidad],Ventas[Codigo],Stock[Codigo])</f>
        <v>0</v>
      </c>
      <c r="I277" s="12">
        <f>Stock[[#This Row],[Stock Deposito]]*Stock[[#This Row],[Precio de Compra]]</f>
        <v>4362</v>
      </c>
      <c r="J277" s="6">
        <f>SUMIFS(ProdDesc[Cantidad],ProdDesc[Codigo],Stock[Codigo])</f>
        <v>0</v>
      </c>
      <c r="K277" s="44">
        <f>Stock[[#This Row],[Compra Cultivate]]-Stock[[#This Row],[Salidas]]-Stock[[#This Row],[Usados]]</f>
        <v>0</v>
      </c>
      <c r="L277" s="24">
        <f>Stock[[#This Row],[Stock Deposito]]*Stock[[#This Row],[Precio de Venta]]</f>
        <v>9000</v>
      </c>
      <c r="M277" s="6">
        <f>SUMIFS(Tabla9[Cantidad],Tabla9[Codigo],Stock[Codigo])</f>
        <v>0</v>
      </c>
      <c r="N277" s="24">
        <f>Stock[[#This Row],[Precio de Compra]]*Stock[[#This Row],[Stock Cultivate]]</f>
        <v>0</v>
      </c>
      <c r="O277" s="24">
        <f>Stock[[#This Row],[Stock Cultivate]]*Stock[[#This Row],[Precio de Venta]]</f>
        <v>0</v>
      </c>
      <c r="R277" s="16"/>
    </row>
    <row r="278" spans="2:18">
      <c r="B278" s="44">
        <v>654</v>
      </c>
      <c r="C278" t="s">
        <v>853</v>
      </c>
      <c r="D278" s="45">
        <v>727</v>
      </c>
      <c r="E278" s="24">
        <v>1500</v>
      </c>
      <c r="F278" s="44">
        <f>Stock[Entradas]-Stock[Compra Cultivate]</f>
        <v>2</v>
      </c>
      <c r="G278" s="11">
        <f>SUMIFS(Compras[Cantidad],Compras[Codigo],Stock[Codigo])</f>
        <v>2</v>
      </c>
      <c r="H278" s="11">
        <f>SUMIFS(Ventas[Cantidad],Ventas[Codigo],Stock[Codigo])</f>
        <v>0</v>
      </c>
      <c r="I278" s="12">
        <f>Stock[[#This Row],[Stock Deposito]]*Stock[[#This Row],[Precio de Compra]]</f>
        <v>1454</v>
      </c>
      <c r="J278" s="6">
        <f>SUMIFS(ProdDesc[Cantidad],ProdDesc[Codigo],Stock[Codigo])</f>
        <v>0</v>
      </c>
      <c r="K278" s="44">
        <f>Stock[[#This Row],[Compra Cultivate]]-Stock[[#This Row],[Salidas]]-Stock[[#This Row],[Usados]]</f>
        <v>0</v>
      </c>
      <c r="L278" s="24">
        <f>Stock[[#This Row],[Stock Deposito]]*Stock[[#This Row],[Precio de Venta]]</f>
        <v>3000</v>
      </c>
      <c r="M278" s="6">
        <f>SUMIFS(Tabla9[Cantidad],Tabla9[Codigo],Stock[Codigo])</f>
        <v>0</v>
      </c>
      <c r="N278" s="24">
        <f>Stock[[#This Row],[Precio de Compra]]*Stock[[#This Row],[Stock Cultivate]]</f>
        <v>0</v>
      </c>
      <c r="O278" s="24">
        <f>Stock[[#This Row],[Stock Cultivate]]*Stock[[#This Row],[Precio de Venta]]</f>
        <v>0</v>
      </c>
      <c r="R278" s="16"/>
    </row>
    <row r="279" spans="2:18">
      <c r="B279" s="44">
        <v>653</v>
      </c>
      <c r="C279" t="s">
        <v>852</v>
      </c>
      <c r="D279" s="45">
        <v>1605</v>
      </c>
      <c r="E279" s="24">
        <v>3200</v>
      </c>
      <c r="F279" s="44">
        <f>Stock[Entradas]-Stock[Compra Cultivate]</f>
        <v>3</v>
      </c>
      <c r="G279" s="11">
        <f>SUMIFS(Compras[Cantidad],Compras[Codigo],Stock[Codigo])</f>
        <v>3</v>
      </c>
      <c r="H279" s="11">
        <f>SUMIFS(Ventas[Cantidad],Ventas[Codigo],Stock[Codigo])</f>
        <v>0</v>
      </c>
      <c r="I279" s="12">
        <f>Stock[[#This Row],[Stock Deposito]]*Stock[[#This Row],[Precio de Compra]]</f>
        <v>4815</v>
      </c>
      <c r="J279" s="6">
        <f>SUMIFS(ProdDesc[Cantidad],ProdDesc[Codigo],Stock[Codigo])</f>
        <v>0</v>
      </c>
      <c r="K279" s="44">
        <f>Stock[[#This Row],[Compra Cultivate]]-Stock[[#This Row],[Salidas]]-Stock[[#This Row],[Usados]]</f>
        <v>0</v>
      </c>
      <c r="L279" s="24">
        <f>Stock[[#This Row],[Stock Deposito]]*Stock[[#This Row],[Precio de Venta]]</f>
        <v>9600</v>
      </c>
      <c r="M279" s="6">
        <f>SUMIFS(Tabla9[Cantidad],Tabla9[Codigo],Stock[Codigo])</f>
        <v>0</v>
      </c>
      <c r="N279" s="24">
        <f>Stock[[#This Row],[Precio de Compra]]*Stock[[#This Row],[Stock Cultivate]]</f>
        <v>0</v>
      </c>
      <c r="O279" s="24">
        <f>Stock[[#This Row],[Stock Cultivate]]*Stock[[#This Row],[Precio de Venta]]</f>
        <v>0</v>
      </c>
      <c r="R279" s="16"/>
    </row>
    <row r="280" spans="2:18">
      <c r="B280" s="44">
        <v>652</v>
      </c>
      <c r="C280" t="s">
        <v>851</v>
      </c>
      <c r="D280" s="45">
        <v>907</v>
      </c>
      <c r="E280" s="24">
        <v>1800</v>
      </c>
      <c r="F280" s="44">
        <f>Stock[Entradas]-Stock[Compra Cultivate]</f>
        <v>3</v>
      </c>
      <c r="G280" s="11">
        <f>SUMIFS(Compras[Cantidad],Compras[Codigo],Stock[Codigo])</f>
        <v>3</v>
      </c>
      <c r="H280" s="11">
        <f>SUMIFS(Ventas[Cantidad],Ventas[Codigo],Stock[Codigo])</f>
        <v>0</v>
      </c>
      <c r="I280" s="12">
        <f>Stock[[#This Row],[Stock Deposito]]*Stock[[#This Row],[Precio de Compra]]</f>
        <v>2721</v>
      </c>
      <c r="J280" s="6">
        <f>SUMIFS(ProdDesc[Cantidad],ProdDesc[Codigo],Stock[Codigo])</f>
        <v>0</v>
      </c>
      <c r="K280" s="44">
        <f>Stock[[#This Row],[Compra Cultivate]]-Stock[[#This Row],[Salidas]]-Stock[[#This Row],[Usados]]</f>
        <v>0</v>
      </c>
      <c r="L280" s="24">
        <f>Stock[[#This Row],[Stock Deposito]]*Stock[[#This Row],[Precio de Venta]]</f>
        <v>5400</v>
      </c>
      <c r="M280" s="6">
        <f>SUMIFS(Tabla9[Cantidad],Tabla9[Codigo],Stock[Codigo])</f>
        <v>0</v>
      </c>
      <c r="N280" s="24">
        <f>Stock[[#This Row],[Precio de Compra]]*Stock[[#This Row],[Stock Cultivate]]</f>
        <v>0</v>
      </c>
      <c r="O280" s="24">
        <f>Stock[[#This Row],[Stock Cultivate]]*Stock[[#This Row],[Precio de Venta]]</f>
        <v>0</v>
      </c>
      <c r="R280" s="16"/>
    </row>
    <row r="281" spans="2:18">
      <c r="B281" s="44">
        <v>651</v>
      </c>
      <c r="C281" t="s">
        <v>850</v>
      </c>
      <c r="D281" s="45">
        <v>1605</v>
      </c>
      <c r="E281" s="24">
        <v>3200</v>
      </c>
      <c r="F281" s="44">
        <f>Stock[Entradas]-Stock[Compra Cultivate]</f>
        <v>2</v>
      </c>
      <c r="G281" s="11">
        <f>SUMIFS(Compras[Cantidad],Compras[Codigo],Stock[Codigo])</f>
        <v>2</v>
      </c>
      <c r="H281" s="11">
        <f>SUMIFS(Ventas[Cantidad],Ventas[Codigo],Stock[Codigo])</f>
        <v>0</v>
      </c>
      <c r="I281" s="12">
        <f>Stock[[#This Row],[Stock Deposito]]*Stock[[#This Row],[Precio de Compra]]</f>
        <v>3210</v>
      </c>
      <c r="J281" s="6">
        <f>SUMIFS(ProdDesc[Cantidad],ProdDesc[Codigo],Stock[Codigo])</f>
        <v>0</v>
      </c>
      <c r="K281" s="44">
        <f>Stock[[#This Row],[Compra Cultivate]]-Stock[[#This Row],[Salidas]]-Stock[[#This Row],[Usados]]</f>
        <v>0</v>
      </c>
      <c r="L281" s="24">
        <f>Stock[[#This Row],[Stock Deposito]]*Stock[[#This Row],[Precio de Venta]]</f>
        <v>6400</v>
      </c>
      <c r="M281" s="6">
        <f>SUMIFS(Tabla9[Cantidad],Tabla9[Codigo],Stock[Codigo])</f>
        <v>0</v>
      </c>
      <c r="N281" s="24">
        <f>Stock[[#This Row],[Precio de Compra]]*Stock[[#This Row],[Stock Cultivate]]</f>
        <v>0</v>
      </c>
      <c r="O281" s="24">
        <f>Stock[[#This Row],[Stock Cultivate]]*Stock[[#This Row],[Precio de Venta]]</f>
        <v>0</v>
      </c>
      <c r="R281" s="16"/>
    </row>
    <row r="282" spans="2:18">
      <c r="B282" s="44">
        <v>650</v>
      </c>
      <c r="C282" t="s">
        <v>849</v>
      </c>
      <c r="D282" s="45">
        <v>1090</v>
      </c>
      <c r="E282" s="24">
        <v>2200</v>
      </c>
      <c r="F282" s="44">
        <f>Stock[Entradas]-Stock[Compra Cultivate]</f>
        <v>3</v>
      </c>
      <c r="G282" s="11">
        <f>SUMIFS(Compras[Cantidad],Compras[Codigo],Stock[Codigo])</f>
        <v>3</v>
      </c>
      <c r="H282" s="11">
        <f>SUMIFS(Ventas[Cantidad],Ventas[Codigo],Stock[Codigo])</f>
        <v>0</v>
      </c>
      <c r="I282" s="12">
        <f>Stock[[#This Row],[Stock Deposito]]*Stock[[#This Row],[Precio de Compra]]</f>
        <v>3270</v>
      </c>
      <c r="J282" s="6">
        <f>SUMIFS(ProdDesc[Cantidad],ProdDesc[Codigo],Stock[Codigo])</f>
        <v>0</v>
      </c>
      <c r="K282" s="44">
        <f>Stock[[#This Row],[Compra Cultivate]]-Stock[[#This Row],[Salidas]]-Stock[[#This Row],[Usados]]</f>
        <v>0</v>
      </c>
      <c r="L282" s="24">
        <f>Stock[[#This Row],[Stock Deposito]]*Stock[[#This Row],[Precio de Venta]]</f>
        <v>6600</v>
      </c>
      <c r="M282" s="6">
        <f>SUMIFS(Tabla9[Cantidad],Tabla9[Codigo],Stock[Codigo])</f>
        <v>0</v>
      </c>
      <c r="N282" s="24">
        <f>Stock[[#This Row],[Precio de Compra]]*Stock[[#This Row],[Stock Cultivate]]</f>
        <v>0</v>
      </c>
      <c r="O282" s="24">
        <f>Stock[[#This Row],[Stock Cultivate]]*Stock[[#This Row],[Precio de Venta]]</f>
        <v>0</v>
      </c>
      <c r="R282" s="16"/>
    </row>
    <row r="283" spans="2:18">
      <c r="B283" s="44">
        <v>649</v>
      </c>
      <c r="C283" t="s">
        <v>848</v>
      </c>
      <c r="D283" s="45">
        <v>1200</v>
      </c>
      <c r="E283" s="24">
        <v>2400</v>
      </c>
      <c r="F283" s="44">
        <f>Stock[Entradas]-Stock[Compra Cultivate]</f>
        <v>5</v>
      </c>
      <c r="G283" s="11">
        <f>SUMIFS(Compras[Cantidad],Compras[Codigo],Stock[Codigo])</f>
        <v>5</v>
      </c>
      <c r="H283" s="11">
        <f>SUMIFS(Ventas[Cantidad],Ventas[Codigo],Stock[Codigo])</f>
        <v>0</v>
      </c>
      <c r="I283" s="12">
        <f>Stock[[#This Row],[Stock Deposito]]*Stock[[#This Row],[Precio de Compra]]</f>
        <v>6000</v>
      </c>
      <c r="J283" s="6">
        <f>SUMIFS(ProdDesc[Cantidad],ProdDesc[Codigo],Stock[Codigo])</f>
        <v>0</v>
      </c>
      <c r="K283" s="44">
        <f>Stock[[#This Row],[Compra Cultivate]]-Stock[[#This Row],[Salidas]]-Stock[[#This Row],[Usados]]</f>
        <v>0</v>
      </c>
      <c r="L283" s="24">
        <f>Stock[[#This Row],[Stock Deposito]]*Stock[[#This Row],[Precio de Venta]]</f>
        <v>12000</v>
      </c>
      <c r="M283" s="6">
        <f>SUMIFS(Tabla9[Cantidad],Tabla9[Codigo],Stock[Codigo])</f>
        <v>0</v>
      </c>
      <c r="N283" s="24">
        <f>Stock[[#This Row],[Precio de Compra]]*Stock[[#This Row],[Stock Cultivate]]</f>
        <v>0</v>
      </c>
      <c r="O283" s="24">
        <f>Stock[[#This Row],[Stock Cultivate]]*Stock[[#This Row],[Precio de Venta]]</f>
        <v>0</v>
      </c>
      <c r="R283" s="16"/>
    </row>
    <row r="284" spans="2:18">
      <c r="B284" s="44">
        <v>648</v>
      </c>
      <c r="C284" t="s">
        <v>847</v>
      </c>
      <c r="D284" s="45">
        <v>1500</v>
      </c>
      <c r="E284" s="24">
        <v>3000</v>
      </c>
      <c r="F284" s="44">
        <f>Stock[Entradas]-Stock[Compra Cultivate]</f>
        <v>2</v>
      </c>
      <c r="G284" s="11">
        <f>SUMIFS(Compras[Cantidad],Compras[Codigo],Stock[Codigo])</f>
        <v>2</v>
      </c>
      <c r="H284" s="11">
        <f>SUMIFS(Ventas[Cantidad],Ventas[Codigo],Stock[Codigo])</f>
        <v>0</v>
      </c>
      <c r="I284" s="12">
        <f>Stock[[#This Row],[Stock Deposito]]*Stock[[#This Row],[Precio de Compra]]</f>
        <v>3000</v>
      </c>
      <c r="J284" s="6">
        <f>SUMIFS(ProdDesc[Cantidad],ProdDesc[Codigo],Stock[Codigo])</f>
        <v>0</v>
      </c>
      <c r="K284" s="44">
        <f>Stock[[#This Row],[Compra Cultivate]]-Stock[[#This Row],[Salidas]]-Stock[[#This Row],[Usados]]</f>
        <v>0</v>
      </c>
      <c r="L284" s="24">
        <f>Stock[[#This Row],[Stock Deposito]]*Stock[[#This Row],[Precio de Venta]]</f>
        <v>6000</v>
      </c>
      <c r="M284" s="6">
        <f>SUMIFS(Tabla9[Cantidad],Tabla9[Codigo],Stock[Codigo])</f>
        <v>0</v>
      </c>
      <c r="N284" s="24">
        <f>Stock[[#This Row],[Precio de Compra]]*Stock[[#This Row],[Stock Cultivate]]</f>
        <v>0</v>
      </c>
      <c r="O284" s="24">
        <f>Stock[[#This Row],[Stock Cultivate]]*Stock[[#This Row],[Precio de Venta]]</f>
        <v>0</v>
      </c>
      <c r="R284" s="16"/>
    </row>
    <row r="285" spans="2:18">
      <c r="B285" s="44">
        <v>647</v>
      </c>
      <c r="C285" t="s">
        <v>846</v>
      </c>
      <c r="D285" s="45">
        <v>1500</v>
      </c>
      <c r="E285" s="24">
        <v>3000</v>
      </c>
      <c r="F285" s="44">
        <f>Stock[Entradas]-Stock[Compra Cultivate]</f>
        <v>3</v>
      </c>
      <c r="G285" s="11">
        <f>SUMIFS(Compras[Cantidad],Compras[Codigo],Stock[Codigo])</f>
        <v>3</v>
      </c>
      <c r="H285" s="11">
        <f>SUMIFS(Ventas[Cantidad],Ventas[Codigo],Stock[Codigo])</f>
        <v>0</v>
      </c>
      <c r="I285" s="12">
        <f>Stock[[#This Row],[Stock Deposito]]*Stock[[#This Row],[Precio de Compra]]</f>
        <v>4500</v>
      </c>
      <c r="J285" s="6">
        <f>SUMIFS(ProdDesc[Cantidad],ProdDesc[Codigo],Stock[Codigo])</f>
        <v>0</v>
      </c>
      <c r="K285" s="44">
        <f>Stock[[#This Row],[Compra Cultivate]]-Stock[[#This Row],[Salidas]]-Stock[[#This Row],[Usados]]</f>
        <v>0</v>
      </c>
      <c r="L285" s="24">
        <f>Stock[[#This Row],[Stock Deposito]]*Stock[[#This Row],[Precio de Venta]]</f>
        <v>9000</v>
      </c>
      <c r="M285" s="6">
        <f>SUMIFS(Tabla9[Cantidad],Tabla9[Codigo],Stock[Codigo])</f>
        <v>0</v>
      </c>
      <c r="N285" s="24">
        <f>Stock[[#This Row],[Precio de Compra]]*Stock[[#This Row],[Stock Cultivate]]</f>
        <v>0</v>
      </c>
      <c r="O285" s="24">
        <f>Stock[[#This Row],[Stock Cultivate]]*Stock[[#This Row],[Precio de Venta]]</f>
        <v>0</v>
      </c>
      <c r="R285" s="16"/>
    </row>
    <row r="286" spans="2:18">
      <c r="B286" s="44">
        <v>646</v>
      </c>
      <c r="C286" t="s">
        <v>845</v>
      </c>
      <c r="D286" s="45">
        <v>1200</v>
      </c>
      <c r="E286" s="24">
        <v>2400</v>
      </c>
      <c r="F286" s="44">
        <f>Stock[Entradas]-Stock[Compra Cultivate]</f>
        <v>2</v>
      </c>
      <c r="G286" s="11">
        <f>SUMIFS(Compras[Cantidad],Compras[Codigo],Stock[Codigo])</f>
        <v>2</v>
      </c>
      <c r="H286" s="11">
        <f>SUMIFS(Ventas[Cantidad],Ventas[Codigo],Stock[Codigo])</f>
        <v>0</v>
      </c>
      <c r="I286" s="12">
        <f>Stock[[#This Row],[Stock Deposito]]*Stock[[#This Row],[Precio de Compra]]</f>
        <v>2400</v>
      </c>
      <c r="J286" s="6">
        <f>SUMIFS(ProdDesc[Cantidad],ProdDesc[Codigo],Stock[Codigo])</f>
        <v>0</v>
      </c>
      <c r="K286" s="44">
        <f>Stock[[#This Row],[Compra Cultivate]]-Stock[[#This Row],[Salidas]]-Stock[[#This Row],[Usados]]</f>
        <v>0</v>
      </c>
      <c r="L286" s="24">
        <f>Stock[[#This Row],[Stock Deposito]]*Stock[[#This Row],[Precio de Venta]]</f>
        <v>4800</v>
      </c>
      <c r="M286" s="6">
        <f>SUMIFS(Tabla9[Cantidad],Tabla9[Codigo],Stock[Codigo])</f>
        <v>0</v>
      </c>
      <c r="N286" s="24">
        <f>Stock[[#This Row],[Precio de Compra]]*Stock[[#This Row],[Stock Cultivate]]</f>
        <v>0</v>
      </c>
      <c r="O286" s="24">
        <f>Stock[[#This Row],[Stock Cultivate]]*Stock[[#This Row],[Precio de Venta]]</f>
        <v>0</v>
      </c>
      <c r="R286" s="16"/>
    </row>
    <row r="287" spans="2:18">
      <c r="B287" s="44">
        <v>645</v>
      </c>
      <c r="C287" t="s">
        <v>844</v>
      </c>
      <c r="D287" s="45">
        <v>1200</v>
      </c>
      <c r="E287" s="24">
        <v>2400</v>
      </c>
      <c r="F287" s="44">
        <f>Stock[Entradas]-Stock[Compra Cultivate]</f>
        <v>2</v>
      </c>
      <c r="G287" s="11">
        <f>SUMIFS(Compras[Cantidad],Compras[Codigo],Stock[Codigo])</f>
        <v>2</v>
      </c>
      <c r="H287" s="11">
        <f>SUMIFS(Ventas[Cantidad],Ventas[Codigo],Stock[Codigo])</f>
        <v>0</v>
      </c>
      <c r="I287" s="12">
        <f>Stock[[#This Row],[Stock Deposito]]*Stock[[#This Row],[Precio de Compra]]</f>
        <v>2400</v>
      </c>
      <c r="J287" s="6">
        <f>SUMIFS(ProdDesc[Cantidad],ProdDesc[Codigo],Stock[Codigo])</f>
        <v>0</v>
      </c>
      <c r="K287" s="44">
        <f>Stock[[#This Row],[Compra Cultivate]]-Stock[[#This Row],[Salidas]]-Stock[[#This Row],[Usados]]</f>
        <v>0</v>
      </c>
      <c r="L287" s="24">
        <f>Stock[[#This Row],[Stock Deposito]]*Stock[[#This Row],[Precio de Venta]]</f>
        <v>4800</v>
      </c>
      <c r="M287" s="6">
        <f>SUMIFS(Tabla9[Cantidad],Tabla9[Codigo],Stock[Codigo])</f>
        <v>0</v>
      </c>
      <c r="N287" s="24">
        <f>Stock[[#This Row],[Precio de Compra]]*Stock[[#This Row],[Stock Cultivate]]</f>
        <v>0</v>
      </c>
      <c r="O287" s="24">
        <f>Stock[[#This Row],[Stock Cultivate]]*Stock[[#This Row],[Precio de Venta]]</f>
        <v>0</v>
      </c>
      <c r="R287" s="16"/>
    </row>
    <row r="288" spans="2:18">
      <c r="B288" s="44">
        <v>644</v>
      </c>
      <c r="C288" t="s">
        <v>843</v>
      </c>
      <c r="D288" s="45">
        <v>1050</v>
      </c>
      <c r="E288" s="24">
        <v>2100</v>
      </c>
      <c r="F288" s="44">
        <f>Stock[Entradas]-Stock[Compra Cultivate]</f>
        <v>8</v>
      </c>
      <c r="G288" s="11">
        <f>SUMIFS(Compras[Cantidad],Compras[Codigo],Stock[Codigo])</f>
        <v>8</v>
      </c>
      <c r="H288" s="11">
        <f>SUMIFS(Ventas[Cantidad],Ventas[Codigo],Stock[Codigo])</f>
        <v>0</v>
      </c>
      <c r="I288" s="12">
        <f>Stock[[#This Row],[Stock Deposito]]*Stock[[#This Row],[Precio de Compra]]</f>
        <v>8400</v>
      </c>
      <c r="J288" s="6">
        <f>SUMIFS(ProdDesc[Cantidad],ProdDesc[Codigo],Stock[Codigo])</f>
        <v>0</v>
      </c>
      <c r="K288" s="44">
        <f>Stock[[#This Row],[Compra Cultivate]]-Stock[[#This Row],[Salidas]]-Stock[[#This Row],[Usados]]</f>
        <v>0</v>
      </c>
      <c r="L288" s="24">
        <f>Stock[[#This Row],[Stock Deposito]]*Stock[[#This Row],[Precio de Venta]]</f>
        <v>16800</v>
      </c>
      <c r="M288" s="6">
        <f>SUMIFS(Tabla9[Cantidad],Tabla9[Codigo],Stock[Codigo])</f>
        <v>0</v>
      </c>
      <c r="N288" s="24">
        <f>Stock[[#This Row],[Precio de Compra]]*Stock[[#This Row],[Stock Cultivate]]</f>
        <v>0</v>
      </c>
      <c r="O288" s="24">
        <f>Stock[[#This Row],[Stock Cultivate]]*Stock[[#This Row],[Precio de Venta]]</f>
        <v>0</v>
      </c>
      <c r="R288" s="16"/>
    </row>
    <row r="289" spans="2:18">
      <c r="B289" s="44">
        <v>643</v>
      </c>
      <c r="C289" t="s">
        <v>842</v>
      </c>
      <c r="D289" s="45">
        <v>1050</v>
      </c>
      <c r="E289" s="24">
        <v>2100</v>
      </c>
      <c r="F289" s="44">
        <f>Stock[Entradas]-Stock[Compra Cultivate]</f>
        <v>10</v>
      </c>
      <c r="G289" s="11">
        <f>SUMIFS(Compras[Cantidad],Compras[Codigo],Stock[Codigo])</f>
        <v>10</v>
      </c>
      <c r="H289" s="11">
        <f>SUMIFS(Ventas[Cantidad],Ventas[Codigo],Stock[Codigo])</f>
        <v>0</v>
      </c>
      <c r="I289" s="12">
        <f>Stock[[#This Row],[Stock Deposito]]*Stock[[#This Row],[Precio de Compra]]</f>
        <v>10500</v>
      </c>
      <c r="J289" s="6">
        <f>SUMIFS(ProdDesc[Cantidad],ProdDesc[Codigo],Stock[Codigo])</f>
        <v>0</v>
      </c>
      <c r="K289" s="44">
        <f>Stock[[#This Row],[Compra Cultivate]]-Stock[[#This Row],[Salidas]]-Stock[[#This Row],[Usados]]</f>
        <v>0</v>
      </c>
      <c r="L289" s="24">
        <f>Stock[[#This Row],[Stock Deposito]]*Stock[[#This Row],[Precio de Venta]]</f>
        <v>21000</v>
      </c>
      <c r="M289" s="6">
        <f>SUMIFS(Tabla9[Cantidad],Tabla9[Codigo],Stock[Codigo])</f>
        <v>0</v>
      </c>
      <c r="N289" s="24">
        <f>Stock[[#This Row],[Precio de Compra]]*Stock[[#This Row],[Stock Cultivate]]</f>
        <v>0</v>
      </c>
      <c r="O289" s="24">
        <f>Stock[[#This Row],[Stock Cultivate]]*Stock[[#This Row],[Precio de Venta]]</f>
        <v>0</v>
      </c>
      <c r="R289" s="16"/>
    </row>
    <row r="290" spans="2:18">
      <c r="B290" s="44">
        <v>642</v>
      </c>
      <c r="C290" t="s">
        <v>841</v>
      </c>
      <c r="D290" s="45">
        <v>600</v>
      </c>
      <c r="E290" s="24">
        <v>1200</v>
      </c>
      <c r="F290" s="44">
        <f>Stock[Entradas]-Stock[Compra Cultivate]</f>
        <v>5</v>
      </c>
      <c r="G290" s="11">
        <f>SUMIFS(Compras[Cantidad],Compras[Codigo],Stock[Codigo])</f>
        <v>5</v>
      </c>
      <c r="H290" s="11">
        <f>SUMIFS(Ventas[Cantidad],Ventas[Codigo],Stock[Codigo])</f>
        <v>0</v>
      </c>
      <c r="I290" s="12">
        <f>Stock[[#This Row],[Stock Deposito]]*Stock[[#This Row],[Precio de Compra]]</f>
        <v>3000</v>
      </c>
      <c r="J290" s="6">
        <f>SUMIFS(ProdDesc[Cantidad],ProdDesc[Codigo],Stock[Codigo])</f>
        <v>0</v>
      </c>
      <c r="K290" s="44">
        <f>Stock[[#This Row],[Compra Cultivate]]-Stock[[#This Row],[Salidas]]-Stock[[#This Row],[Usados]]</f>
        <v>0</v>
      </c>
      <c r="L290" s="24">
        <f>Stock[[#This Row],[Stock Deposito]]*Stock[[#This Row],[Precio de Venta]]</f>
        <v>6000</v>
      </c>
      <c r="M290" s="6">
        <f>SUMIFS(Tabla9[Cantidad],Tabla9[Codigo],Stock[Codigo])</f>
        <v>0</v>
      </c>
      <c r="N290" s="24">
        <f>Stock[[#This Row],[Precio de Compra]]*Stock[[#This Row],[Stock Cultivate]]</f>
        <v>0</v>
      </c>
      <c r="O290" s="24">
        <f>Stock[[#This Row],[Stock Cultivate]]*Stock[[#This Row],[Precio de Venta]]</f>
        <v>0</v>
      </c>
      <c r="R290" s="16"/>
    </row>
    <row r="291" spans="2:18">
      <c r="B291" s="44">
        <v>641</v>
      </c>
      <c r="C291" t="s">
        <v>840</v>
      </c>
      <c r="D291" s="45">
        <v>600</v>
      </c>
      <c r="E291" s="24">
        <v>1200</v>
      </c>
      <c r="F291" s="44">
        <f>Stock[Entradas]-Stock[Compra Cultivate]</f>
        <v>4</v>
      </c>
      <c r="G291" s="11">
        <f>SUMIFS(Compras[Cantidad],Compras[Codigo],Stock[Codigo])</f>
        <v>4</v>
      </c>
      <c r="H291" s="11">
        <f>SUMIFS(Ventas[Cantidad],Ventas[Codigo],Stock[Codigo])</f>
        <v>0</v>
      </c>
      <c r="I291" s="12">
        <f>Stock[[#This Row],[Stock Deposito]]*Stock[[#This Row],[Precio de Compra]]</f>
        <v>2400</v>
      </c>
      <c r="J291" s="6">
        <f>SUMIFS(ProdDesc[Cantidad],ProdDesc[Codigo],Stock[Codigo])</f>
        <v>0</v>
      </c>
      <c r="K291" s="44">
        <f>Stock[[#This Row],[Compra Cultivate]]-Stock[[#This Row],[Salidas]]-Stock[[#This Row],[Usados]]</f>
        <v>0</v>
      </c>
      <c r="L291" s="24">
        <f>Stock[[#This Row],[Stock Deposito]]*Stock[[#This Row],[Precio de Venta]]</f>
        <v>4800</v>
      </c>
      <c r="M291" s="6">
        <f>SUMIFS(Tabla9[Cantidad],Tabla9[Codigo],Stock[Codigo])</f>
        <v>0</v>
      </c>
      <c r="N291" s="24">
        <f>Stock[[#This Row],[Precio de Compra]]*Stock[[#This Row],[Stock Cultivate]]</f>
        <v>0</v>
      </c>
      <c r="O291" s="24">
        <f>Stock[[#This Row],[Stock Cultivate]]*Stock[[#This Row],[Precio de Venta]]</f>
        <v>0</v>
      </c>
      <c r="R291" s="16"/>
    </row>
    <row r="292" spans="2:18">
      <c r="B292" s="44">
        <v>640</v>
      </c>
      <c r="C292" t="s">
        <v>839</v>
      </c>
      <c r="D292" s="45">
        <v>1200</v>
      </c>
      <c r="E292" s="24">
        <v>2400</v>
      </c>
      <c r="F292" s="44">
        <f>Stock[Entradas]-Stock[Compra Cultivate]</f>
        <v>9</v>
      </c>
      <c r="G292" s="11">
        <f>SUMIFS(Compras[Cantidad],Compras[Codigo],Stock[Codigo])</f>
        <v>9</v>
      </c>
      <c r="H292" s="11">
        <f>SUMIFS(Ventas[Cantidad],Ventas[Codigo],Stock[Codigo])</f>
        <v>0</v>
      </c>
      <c r="I292" s="12">
        <f>Stock[[#This Row],[Stock Deposito]]*Stock[[#This Row],[Precio de Compra]]</f>
        <v>10800</v>
      </c>
      <c r="J292" s="6">
        <f>SUMIFS(ProdDesc[Cantidad],ProdDesc[Codigo],Stock[Codigo])</f>
        <v>0</v>
      </c>
      <c r="K292" s="44">
        <f>Stock[[#This Row],[Compra Cultivate]]-Stock[[#This Row],[Salidas]]-Stock[[#This Row],[Usados]]</f>
        <v>0</v>
      </c>
      <c r="L292" s="24">
        <f>Stock[[#This Row],[Stock Deposito]]*Stock[[#This Row],[Precio de Venta]]</f>
        <v>21600</v>
      </c>
      <c r="M292" s="6">
        <f>SUMIFS(Tabla9[Cantidad],Tabla9[Codigo],Stock[Codigo])</f>
        <v>0</v>
      </c>
      <c r="N292" s="24">
        <f>Stock[[#This Row],[Precio de Compra]]*Stock[[#This Row],[Stock Cultivate]]</f>
        <v>0</v>
      </c>
      <c r="O292" s="24">
        <f>Stock[[#This Row],[Stock Cultivate]]*Stock[[#This Row],[Precio de Venta]]</f>
        <v>0</v>
      </c>
      <c r="R292" s="16"/>
    </row>
    <row r="293" spans="2:18">
      <c r="B293" s="44">
        <v>639</v>
      </c>
      <c r="C293" t="s">
        <v>838</v>
      </c>
      <c r="D293" s="45">
        <v>1650</v>
      </c>
      <c r="E293" s="24">
        <v>3300</v>
      </c>
      <c r="F293" s="44">
        <f>Stock[Entradas]-Stock[Compra Cultivate]</f>
        <v>5</v>
      </c>
      <c r="G293" s="11">
        <f>SUMIFS(Compras[Cantidad],Compras[Codigo],Stock[Codigo])</f>
        <v>5</v>
      </c>
      <c r="H293" s="11">
        <f>SUMIFS(Ventas[Cantidad],Ventas[Codigo],Stock[Codigo])</f>
        <v>0</v>
      </c>
      <c r="I293" s="12">
        <f>Stock[[#This Row],[Stock Deposito]]*Stock[[#This Row],[Precio de Compra]]</f>
        <v>8250</v>
      </c>
      <c r="J293" s="6">
        <f>SUMIFS(ProdDesc[Cantidad],ProdDesc[Codigo],Stock[Codigo])</f>
        <v>0</v>
      </c>
      <c r="K293" s="44">
        <f>Stock[[#This Row],[Compra Cultivate]]-Stock[[#This Row],[Salidas]]-Stock[[#This Row],[Usados]]</f>
        <v>0</v>
      </c>
      <c r="L293" s="24">
        <f>Stock[[#This Row],[Stock Deposito]]*Stock[[#This Row],[Precio de Venta]]</f>
        <v>16500</v>
      </c>
      <c r="M293" s="6">
        <f>SUMIFS(Tabla9[Cantidad],Tabla9[Codigo],Stock[Codigo])</f>
        <v>0</v>
      </c>
      <c r="N293" s="24">
        <f>Stock[[#This Row],[Precio de Compra]]*Stock[[#This Row],[Stock Cultivate]]</f>
        <v>0</v>
      </c>
      <c r="O293" s="24">
        <f>Stock[[#This Row],[Stock Cultivate]]*Stock[[#This Row],[Precio de Venta]]</f>
        <v>0</v>
      </c>
      <c r="R293" s="16"/>
    </row>
    <row r="294" spans="2:18">
      <c r="B294" s="44">
        <v>638</v>
      </c>
      <c r="C294" t="s">
        <v>837</v>
      </c>
      <c r="D294" s="45">
        <v>1275</v>
      </c>
      <c r="E294" s="24">
        <v>2600</v>
      </c>
      <c r="F294" s="44">
        <f>Stock[Entradas]-Stock[Compra Cultivate]</f>
        <v>4</v>
      </c>
      <c r="G294" s="11">
        <f>SUMIFS(Compras[Cantidad],Compras[Codigo],Stock[Codigo])</f>
        <v>4</v>
      </c>
      <c r="H294" s="11">
        <f>SUMIFS(Ventas[Cantidad],Ventas[Codigo],Stock[Codigo])</f>
        <v>0</v>
      </c>
      <c r="I294" s="12">
        <f>Stock[[#This Row],[Stock Deposito]]*Stock[[#This Row],[Precio de Compra]]</f>
        <v>5100</v>
      </c>
      <c r="J294" s="6">
        <f>SUMIFS(ProdDesc[Cantidad],ProdDesc[Codigo],Stock[Codigo])</f>
        <v>0</v>
      </c>
      <c r="K294" s="44">
        <f>Stock[[#This Row],[Compra Cultivate]]-Stock[[#This Row],[Salidas]]-Stock[[#This Row],[Usados]]</f>
        <v>0</v>
      </c>
      <c r="L294" s="24">
        <f>Stock[[#This Row],[Stock Deposito]]*Stock[[#This Row],[Precio de Venta]]</f>
        <v>10400</v>
      </c>
      <c r="M294" s="6">
        <f>SUMIFS(Tabla9[Cantidad],Tabla9[Codigo],Stock[Codigo])</f>
        <v>0</v>
      </c>
      <c r="N294" s="24">
        <f>Stock[[#This Row],[Precio de Compra]]*Stock[[#This Row],[Stock Cultivate]]</f>
        <v>0</v>
      </c>
      <c r="O294" s="24">
        <f>Stock[[#This Row],[Stock Cultivate]]*Stock[[#This Row],[Precio de Venta]]</f>
        <v>0</v>
      </c>
      <c r="R294" s="16"/>
    </row>
    <row r="295" spans="2:18">
      <c r="B295" s="44">
        <v>637</v>
      </c>
      <c r="C295" t="s">
        <v>836</v>
      </c>
      <c r="D295" s="45">
        <v>1050</v>
      </c>
      <c r="E295" s="24">
        <v>2100</v>
      </c>
      <c r="F295" s="44">
        <f>Stock[Entradas]-Stock[Compra Cultivate]</f>
        <v>5</v>
      </c>
      <c r="G295" s="11">
        <f>SUMIFS(Compras[Cantidad],Compras[Codigo],Stock[Codigo])</f>
        <v>5</v>
      </c>
      <c r="H295" s="11">
        <f>SUMIFS(Ventas[Cantidad],Ventas[Codigo],Stock[Codigo])</f>
        <v>0</v>
      </c>
      <c r="I295" s="12">
        <f>Stock[[#This Row],[Stock Deposito]]*Stock[[#This Row],[Precio de Compra]]</f>
        <v>5250</v>
      </c>
      <c r="J295" s="6">
        <f>SUMIFS(ProdDesc[Cantidad],ProdDesc[Codigo],Stock[Codigo])</f>
        <v>0</v>
      </c>
      <c r="K295" s="44">
        <f>Stock[[#This Row],[Compra Cultivate]]-Stock[[#This Row],[Salidas]]-Stock[[#This Row],[Usados]]</f>
        <v>0</v>
      </c>
      <c r="L295" s="24">
        <f>Stock[[#This Row],[Stock Deposito]]*Stock[[#This Row],[Precio de Venta]]</f>
        <v>10500</v>
      </c>
      <c r="M295" s="6">
        <f>SUMIFS(Tabla9[Cantidad],Tabla9[Codigo],Stock[Codigo])</f>
        <v>0</v>
      </c>
      <c r="N295" s="24">
        <f>Stock[[#This Row],[Precio de Compra]]*Stock[[#This Row],[Stock Cultivate]]</f>
        <v>0</v>
      </c>
      <c r="O295" s="24">
        <f>Stock[[#This Row],[Stock Cultivate]]*Stock[[#This Row],[Precio de Venta]]</f>
        <v>0</v>
      </c>
      <c r="R295" s="16"/>
    </row>
    <row r="296" spans="2:18">
      <c r="B296" s="44">
        <v>636</v>
      </c>
      <c r="C296" t="s">
        <v>835</v>
      </c>
      <c r="D296" s="45">
        <v>1050</v>
      </c>
      <c r="E296" s="24">
        <v>2100</v>
      </c>
      <c r="F296" s="44">
        <f>Stock[Entradas]-Stock[Compra Cultivate]</f>
        <v>5</v>
      </c>
      <c r="G296" s="11">
        <f>SUMIFS(Compras[Cantidad],Compras[Codigo],Stock[Codigo])</f>
        <v>5</v>
      </c>
      <c r="H296" s="11">
        <f>SUMIFS(Ventas[Cantidad],Ventas[Codigo],Stock[Codigo])</f>
        <v>0</v>
      </c>
      <c r="I296" s="12">
        <f>Stock[[#This Row],[Stock Deposito]]*Stock[[#This Row],[Precio de Compra]]</f>
        <v>5250</v>
      </c>
      <c r="J296" s="6">
        <f>SUMIFS(ProdDesc[Cantidad],ProdDesc[Codigo],Stock[Codigo])</f>
        <v>0</v>
      </c>
      <c r="K296" s="44">
        <f>Stock[[#This Row],[Compra Cultivate]]-Stock[[#This Row],[Salidas]]-Stock[[#This Row],[Usados]]</f>
        <v>0</v>
      </c>
      <c r="L296" s="24">
        <f>Stock[[#This Row],[Stock Deposito]]*Stock[[#This Row],[Precio de Venta]]</f>
        <v>10500</v>
      </c>
      <c r="M296" s="6">
        <f>SUMIFS(Tabla9[Cantidad],Tabla9[Codigo],Stock[Codigo])</f>
        <v>0</v>
      </c>
      <c r="N296" s="24">
        <f>Stock[[#This Row],[Precio de Compra]]*Stock[[#This Row],[Stock Cultivate]]</f>
        <v>0</v>
      </c>
      <c r="O296" s="24">
        <f>Stock[[#This Row],[Stock Cultivate]]*Stock[[#This Row],[Precio de Venta]]</f>
        <v>0</v>
      </c>
      <c r="R296" s="16"/>
    </row>
    <row r="297" spans="2:18">
      <c r="B297" s="44">
        <v>635</v>
      </c>
      <c r="C297" t="s">
        <v>834</v>
      </c>
      <c r="D297" s="45">
        <v>3800</v>
      </c>
      <c r="E297" s="24">
        <v>7600</v>
      </c>
      <c r="F297" s="44">
        <f>Stock[Entradas]-Stock[Compra Cultivate]</f>
        <v>0</v>
      </c>
      <c r="G297" s="11">
        <f>SUMIFS(Compras[Cantidad],Compras[Codigo],Stock[Codigo])</f>
        <v>4</v>
      </c>
      <c r="H297" s="11">
        <f>SUMIFS(Ventas[Cantidad],Ventas[Codigo],Stock[Codigo])</f>
        <v>0</v>
      </c>
      <c r="I297" s="12">
        <f>Stock[[#This Row],[Stock Deposito]]*Stock[[#This Row],[Precio de Compra]]</f>
        <v>0</v>
      </c>
      <c r="J297" s="6">
        <f>SUMIFS(ProdDesc[Cantidad],ProdDesc[Codigo],Stock[Codigo])</f>
        <v>0</v>
      </c>
      <c r="K297" s="44">
        <f>Stock[[#This Row],[Compra Cultivate]]-Stock[[#This Row],[Salidas]]-Stock[[#This Row],[Usados]]</f>
        <v>4</v>
      </c>
      <c r="L297" s="24">
        <f>Stock[[#This Row],[Stock Deposito]]*Stock[[#This Row],[Precio de Venta]]</f>
        <v>0</v>
      </c>
      <c r="M297" s="6">
        <f>SUMIFS(Tabla9[Cantidad],Tabla9[Codigo],Stock[Codigo])</f>
        <v>4</v>
      </c>
      <c r="N297" s="24">
        <f>Stock[[#This Row],[Precio de Compra]]*Stock[[#This Row],[Stock Cultivate]]</f>
        <v>15200</v>
      </c>
      <c r="O297" s="24">
        <f>Stock[[#This Row],[Stock Cultivate]]*Stock[[#This Row],[Precio de Venta]]</f>
        <v>30400</v>
      </c>
      <c r="R297" s="16"/>
    </row>
    <row r="298" spans="2:18">
      <c r="B298" s="44">
        <v>634</v>
      </c>
      <c r="C298" t="s">
        <v>833</v>
      </c>
      <c r="D298" s="45">
        <v>4200</v>
      </c>
      <c r="E298" s="24">
        <v>8400</v>
      </c>
      <c r="F298" s="44">
        <f>Stock[Entradas]-Stock[Compra Cultivate]</f>
        <v>1</v>
      </c>
      <c r="G298" s="11">
        <f>SUMIFS(Compras[Cantidad],Compras[Codigo],Stock[Codigo])</f>
        <v>3</v>
      </c>
      <c r="H298" s="11">
        <f>SUMIFS(Ventas[Cantidad],Ventas[Codigo],Stock[Codigo])</f>
        <v>0</v>
      </c>
      <c r="I298" s="12">
        <f>Stock[[#This Row],[Stock Deposito]]*Stock[[#This Row],[Precio de Compra]]</f>
        <v>4200</v>
      </c>
      <c r="J298" s="6">
        <f>SUMIFS(ProdDesc[Cantidad],ProdDesc[Codigo],Stock[Codigo])</f>
        <v>0</v>
      </c>
      <c r="K298" s="44">
        <f>Stock[[#This Row],[Compra Cultivate]]-Stock[[#This Row],[Salidas]]-Stock[[#This Row],[Usados]]</f>
        <v>2</v>
      </c>
      <c r="L298" s="24">
        <f>Stock[[#This Row],[Stock Deposito]]*Stock[[#This Row],[Precio de Venta]]</f>
        <v>8400</v>
      </c>
      <c r="M298" s="6">
        <f>SUMIFS(Tabla9[Cantidad],Tabla9[Codigo],Stock[Codigo])</f>
        <v>2</v>
      </c>
      <c r="N298" s="24">
        <f>Stock[[#This Row],[Precio de Compra]]*Stock[[#This Row],[Stock Cultivate]]</f>
        <v>8400</v>
      </c>
      <c r="O298" s="24">
        <f>Stock[[#This Row],[Stock Cultivate]]*Stock[[#This Row],[Precio de Venta]]</f>
        <v>16800</v>
      </c>
      <c r="R298" s="16"/>
    </row>
    <row r="299" spans="2:18">
      <c r="B299" s="44">
        <v>633</v>
      </c>
      <c r="C299" t="s">
        <v>832</v>
      </c>
      <c r="D299" s="45">
        <v>4200</v>
      </c>
      <c r="E299" s="24">
        <v>8400</v>
      </c>
      <c r="F299" s="44">
        <f>Stock[Entradas]-Stock[Compra Cultivate]</f>
        <v>0</v>
      </c>
      <c r="G299" s="11">
        <f>SUMIFS(Compras[Cantidad],Compras[Codigo],Stock[Codigo])</f>
        <v>1</v>
      </c>
      <c r="H299" s="11">
        <f>SUMIFS(Ventas[Cantidad],Ventas[Codigo],Stock[Codigo])</f>
        <v>0</v>
      </c>
      <c r="I299" s="12">
        <f>Stock[[#This Row],[Stock Deposito]]*Stock[[#This Row],[Precio de Compra]]</f>
        <v>0</v>
      </c>
      <c r="J299" s="6">
        <f>SUMIFS(ProdDesc[Cantidad],ProdDesc[Codigo],Stock[Codigo])</f>
        <v>0</v>
      </c>
      <c r="K299" s="44">
        <f>Stock[[#This Row],[Compra Cultivate]]-Stock[[#This Row],[Salidas]]-Stock[[#This Row],[Usados]]</f>
        <v>1</v>
      </c>
      <c r="L299" s="24">
        <f>Stock[[#This Row],[Stock Deposito]]*Stock[[#This Row],[Precio de Venta]]</f>
        <v>0</v>
      </c>
      <c r="M299" s="6">
        <f>SUMIFS(Tabla9[Cantidad],Tabla9[Codigo],Stock[Codigo])</f>
        <v>1</v>
      </c>
      <c r="N299" s="24">
        <f>Stock[[#This Row],[Precio de Compra]]*Stock[[#This Row],[Stock Cultivate]]</f>
        <v>4200</v>
      </c>
      <c r="O299" s="24">
        <f>Stock[[#This Row],[Stock Cultivate]]*Stock[[#This Row],[Precio de Venta]]</f>
        <v>8400</v>
      </c>
      <c r="R299" s="16"/>
    </row>
    <row r="300" spans="2:18">
      <c r="B300" s="44">
        <v>632</v>
      </c>
      <c r="C300" t="s">
        <v>831</v>
      </c>
      <c r="D300" s="45">
        <v>3750</v>
      </c>
      <c r="E300" s="24">
        <v>7500</v>
      </c>
      <c r="F300" s="44">
        <f>Stock[Entradas]-Stock[Compra Cultivate]</f>
        <v>1</v>
      </c>
      <c r="G300" s="11">
        <f>SUMIFS(Compras[Cantidad],Compras[Codigo],Stock[Codigo])</f>
        <v>2</v>
      </c>
      <c r="H300" s="11">
        <f>SUMIFS(Ventas[Cantidad],Ventas[Codigo],Stock[Codigo])</f>
        <v>0</v>
      </c>
      <c r="I300" s="12">
        <f>Stock[[#This Row],[Stock Deposito]]*Stock[[#This Row],[Precio de Compra]]</f>
        <v>3750</v>
      </c>
      <c r="J300" s="6">
        <f>SUMIFS(ProdDesc[Cantidad],ProdDesc[Codigo],Stock[Codigo])</f>
        <v>0</v>
      </c>
      <c r="K300" s="44">
        <f>Stock[[#This Row],[Compra Cultivate]]-Stock[[#This Row],[Salidas]]-Stock[[#This Row],[Usados]]</f>
        <v>1</v>
      </c>
      <c r="L300" s="24">
        <f>Stock[[#This Row],[Stock Deposito]]*Stock[[#This Row],[Precio de Venta]]</f>
        <v>7500</v>
      </c>
      <c r="M300" s="6">
        <f>SUMIFS(Tabla9[Cantidad],Tabla9[Codigo],Stock[Codigo])</f>
        <v>1</v>
      </c>
      <c r="N300" s="24">
        <f>Stock[[#This Row],[Precio de Compra]]*Stock[[#This Row],[Stock Cultivate]]</f>
        <v>3750</v>
      </c>
      <c r="O300" s="24">
        <f>Stock[[#This Row],[Stock Cultivate]]*Stock[[#This Row],[Precio de Venta]]</f>
        <v>7500</v>
      </c>
      <c r="R300" s="16"/>
    </row>
    <row r="301" spans="2:18">
      <c r="B301" s="44">
        <v>631</v>
      </c>
      <c r="C301" t="s">
        <v>830</v>
      </c>
      <c r="D301" s="45">
        <v>3750</v>
      </c>
      <c r="E301" s="24">
        <v>7500</v>
      </c>
      <c r="F301" s="44">
        <f>Stock[Entradas]-Stock[Compra Cultivate]</f>
        <v>1</v>
      </c>
      <c r="G301" s="11">
        <f>SUMIFS(Compras[Cantidad],Compras[Codigo],Stock[Codigo])</f>
        <v>2</v>
      </c>
      <c r="H301" s="11">
        <f>SUMIFS(Ventas[Cantidad],Ventas[Codigo],Stock[Codigo])</f>
        <v>0</v>
      </c>
      <c r="I301" s="12">
        <f>Stock[[#This Row],[Stock Deposito]]*Stock[[#This Row],[Precio de Compra]]</f>
        <v>3750</v>
      </c>
      <c r="J301" s="6">
        <f>SUMIFS(ProdDesc[Cantidad],ProdDesc[Codigo],Stock[Codigo])</f>
        <v>0</v>
      </c>
      <c r="K301" s="44">
        <f>Stock[[#This Row],[Compra Cultivate]]-Stock[[#This Row],[Salidas]]-Stock[[#This Row],[Usados]]</f>
        <v>1</v>
      </c>
      <c r="L301" s="24">
        <f>Stock[[#This Row],[Stock Deposito]]*Stock[[#This Row],[Precio de Venta]]</f>
        <v>7500</v>
      </c>
      <c r="M301" s="6">
        <f>SUMIFS(Tabla9[Cantidad],Tabla9[Codigo],Stock[Codigo])</f>
        <v>1</v>
      </c>
      <c r="N301" s="24">
        <f>Stock[[#This Row],[Precio de Compra]]*Stock[[#This Row],[Stock Cultivate]]</f>
        <v>3750</v>
      </c>
      <c r="O301" s="24">
        <f>Stock[[#This Row],[Stock Cultivate]]*Stock[[#This Row],[Precio de Venta]]</f>
        <v>7500</v>
      </c>
      <c r="R301" s="16"/>
    </row>
    <row r="302" spans="2:18">
      <c r="B302" s="44">
        <v>630</v>
      </c>
      <c r="C302" t="s">
        <v>829</v>
      </c>
      <c r="D302" s="45">
        <v>2300</v>
      </c>
      <c r="E302" s="24">
        <v>4600</v>
      </c>
      <c r="F302" s="44">
        <f>Stock[Entradas]-Stock[Compra Cultivate]</f>
        <v>3</v>
      </c>
      <c r="G302" s="11">
        <f>SUMIFS(Compras[Cantidad],Compras[Codigo],Stock[Codigo])</f>
        <v>4</v>
      </c>
      <c r="H302" s="11">
        <f>SUMIFS(Ventas[Cantidad],Ventas[Codigo],Stock[Codigo])</f>
        <v>0</v>
      </c>
      <c r="I302" s="12">
        <f>Stock[[#This Row],[Stock Deposito]]*Stock[[#This Row],[Precio de Compra]]</f>
        <v>6900</v>
      </c>
      <c r="J302" s="6">
        <f>SUMIFS(ProdDesc[Cantidad],ProdDesc[Codigo],Stock[Codigo])</f>
        <v>0</v>
      </c>
      <c r="K302" s="44">
        <f>Stock[[#This Row],[Compra Cultivate]]-Stock[[#This Row],[Salidas]]-Stock[[#This Row],[Usados]]</f>
        <v>1</v>
      </c>
      <c r="L302" s="24">
        <f>Stock[[#This Row],[Stock Deposito]]*Stock[[#This Row],[Precio de Venta]]</f>
        <v>13800</v>
      </c>
      <c r="M302" s="6">
        <f>SUMIFS(Tabla9[Cantidad],Tabla9[Codigo],Stock[Codigo])</f>
        <v>1</v>
      </c>
      <c r="N302" s="24">
        <f>Stock[[#This Row],[Precio de Compra]]*Stock[[#This Row],[Stock Cultivate]]</f>
        <v>2300</v>
      </c>
      <c r="O302" s="24">
        <f>Stock[[#This Row],[Stock Cultivate]]*Stock[[#This Row],[Precio de Venta]]</f>
        <v>4600</v>
      </c>
      <c r="R302" s="16"/>
    </row>
    <row r="303" spans="2:18">
      <c r="B303" s="44">
        <v>629</v>
      </c>
      <c r="C303" t="s">
        <v>828</v>
      </c>
      <c r="D303" s="45">
        <v>2300</v>
      </c>
      <c r="E303" s="24">
        <v>4600</v>
      </c>
      <c r="F303" s="44">
        <f>Stock[Entradas]-Stock[Compra Cultivate]</f>
        <v>2</v>
      </c>
      <c r="G303" s="11">
        <f>SUMIFS(Compras[Cantidad],Compras[Codigo],Stock[Codigo])</f>
        <v>5</v>
      </c>
      <c r="H303" s="11">
        <f>SUMIFS(Ventas[Cantidad],Ventas[Codigo],Stock[Codigo])</f>
        <v>0</v>
      </c>
      <c r="I303" s="12">
        <f>Stock[[#This Row],[Stock Deposito]]*Stock[[#This Row],[Precio de Compra]]</f>
        <v>4600</v>
      </c>
      <c r="J303" s="6">
        <f>SUMIFS(ProdDesc[Cantidad],ProdDesc[Codigo],Stock[Codigo])</f>
        <v>0</v>
      </c>
      <c r="K303" s="44">
        <f>Stock[[#This Row],[Compra Cultivate]]-Stock[[#This Row],[Salidas]]-Stock[[#This Row],[Usados]]</f>
        <v>3</v>
      </c>
      <c r="L303" s="24">
        <f>Stock[[#This Row],[Stock Deposito]]*Stock[[#This Row],[Precio de Venta]]</f>
        <v>9200</v>
      </c>
      <c r="M303" s="6">
        <f>SUMIFS(Tabla9[Cantidad],Tabla9[Codigo],Stock[Codigo])</f>
        <v>3</v>
      </c>
      <c r="N303" s="24">
        <f>Stock[[#This Row],[Precio de Compra]]*Stock[[#This Row],[Stock Cultivate]]</f>
        <v>6900</v>
      </c>
      <c r="O303" s="24">
        <f>Stock[[#This Row],[Stock Cultivate]]*Stock[[#This Row],[Precio de Venta]]</f>
        <v>13800</v>
      </c>
      <c r="R303" s="16"/>
    </row>
    <row r="304" spans="2:18">
      <c r="B304" s="44">
        <v>628</v>
      </c>
      <c r="C304" t="s">
        <v>827</v>
      </c>
      <c r="D304" s="45">
        <v>2000</v>
      </c>
      <c r="E304" s="24">
        <v>4000</v>
      </c>
      <c r="F304" s="44">
        <f>Stock[Entradas]-Stock[Compra Cultivate]</f>
        <v>1</v>
      </c>
      <c r="G304" s="11">
        <f>SUMIFS(Compras[Cantidad],Compras[Codigo],Stock[Codigo])</f>
        <v>2</v>
      </c>
      <c r="H304" s="11">
        <f>SUMIFS(Ventas[Cantidad],Ventas[Codigo],Stock[Codigo])</f>
        <v>0</v>
      </c>
      <c r="I304" s="12">
        <f>Stock[[#This Row],[Stock Deposito]]*Stock[[#This Row],[Precio de Compra]]</f>
        <v>2000</v>
      </c>
      <c r="J304" s="6">
        <f>SUMIFS(ProdDesc[Cantidad],ProdDesc[Codigo],Stock[Codigo])</f>
        <v>0</v>
      </c>
      <c r="K304" s="44">
        <f>Stock[[#This Row],[Compra Cultivate]]-Stock[[#This Row],[Salidas]]-Stock[[#This Row],[Usados]]</f>
        <v>1</v>
      </c>
      <c r="L304" s="24">
        <f>Stock[[#This Row],[Stock Deposito]]*Stock[[#This Row],[Precio de Venta]]</f>
        <v>4000</v>
      </c>
      <c r="M304" s="6">
        <f>SUMIFS(Tabla9[Cantidad],Tabla9[Codigo],Stock[Codigo])</f>
        <v>1</v>
      </c>
      <c r="N304" s="24">
        <f>Stock[[#This Row],[Precio de Compra]]*Stock[[#This Row],[Stock Cultivate]]</f>
        <v>2000</v>
      </c>
      <c r="O304" s="24">
        <f>Stock[[#This Row],[Stock Cultivate]]*Stock[[#This Row],[Precio de Venta]]</f>
        <v>4000</v>
      </c>
      <c r="R304" s="16"/>
    </row>
    <row r="305" spans="2:18">
      <c r="B305" s="44">
        <v>627</v>
      </c>
      <c r="C305" t="s">
        <v>826</v>
      </c>
      <c r="D305" s="45">
        <v>2000</v>
      </c>
      <c r="E305" s="24">
        <v>4000</v>
      </c>
      <c r="F305" s="44">
        <f>Stock[Entradas]-Stock[Compra Cultivate]</f>
        <v>1</v>
      </c>
      <c r="G305" s="11">
        <f>SUMIFS(Compras[Cantidad],Compras[Codigo],Stock[Codigo])</f>
        <v>2</v>
      </c>
      <c r="H305" s="11">
        <f>SUMIFS(Ventas[Cantidad],Ventas[Codigo],Stock[Codigo])</f>
        <v>0</v>
      </c>
      <c r="I305" s="12">
        <f>Stock[[#This Row],[Stock Deposito]]*Stock[[#This Row],[Precio de Compra]]</f>
        <v>2000</v>
      </c>
      <c r="J305" s="6">
        <f>SUMIFS(ProdDesc[Cantidad],ProdDesc[Codigo],Stock[Codigo])</f>
        <v>0</v>
      </c>
      <c r="K305" s="44">
        <f>Stock[[#This Row],[Compra Cultivate]]-Stock[[#This Row],[Salidas]]-Stock[[#This Row],[Usados]]</f>
        <v>1</v>
      </c>
      <c r="L305" s="24">
        <f>Stock[[#This Row],[Stock Deposito]]*Stock[[#This Row],[Precio de Venta]]</f>
        <v>4000</v>
      </c>
      <c r="M305" s="6">
        <f>SUMIFS(Tabla9[Cantidad],Tabla9[Codigo],Stock[Codigo])</f>
        <v>1</v>
      </c>
      <c r="N305" s="24">
        <f>Stock[[#This Row],[Precio de Compra]]*Stock[[#This Row],[Stock Cultivate]]</f>
        <v>2000</v>
      </c>
      <c r="O305" s="24">
        <f>Stock[[#This Row],[Stock Cultivate]]*Stock[[#This Row],[Precio de Venta]]</f>
        <v>4000</v>
      </c>
      <c r="R305" s="16"/>
    </row>
    <row r="306" spans="2:18">
      <c r="B306" s="44">
        <v>626</v>
      </c>
      <c r="C306" t="s">
        <v>825</v>
      </c>
      <c r="D306" s="45">
        <v>6800</v>
      </c>
      <c r="E306" s="24">
        <v>13600</v>
      </c>
      <c r="F306" s="44">
        <f>Stock[Entradas]-Stock[Compra Cultivate]</f>
        <v>2</v>
      </c>
      <c r="G306" s="11">
        <f>SUMIFS(Compras[Cantidad],Compras[Codigo],Stock[Codigo])</f>
        <v>2</v>
      </c>
      <c r="H306" s="11">
        <f>SUMIFS(Ventas[Cantidad],Ventas[Codigo],Stock[Codigo])</f>
        <v>0</v>
      </c>
      <c r="I306" s="12">
        <f>Stock[[#This Row],[Stock Deposito]]*Stock[[#This Row],[Precio de Compra]]</f>
        <v>13600</v>
      </c>
      <c r="J306" s="6">
        <f>SUMIFS(ProdDesc[Cantidad],ProdDesc[Codigo],Stock[Codigo])</f>
        <v>0</v>
      </c>
      <c r="K306" s="44">
        <f>Stock[[#This Row],[Compra Cultivate]]-Stock[[#This Row],[Salidas]]-Stock[[#This Row],[Usados]]</f>
        <v>0</v>
      </c>
      <c r="L306" s="24">
        <f>Stock[[#This Row],[Stock Deposito]]*Stock[[#This Row],[Precio de Venta]]</f>
        <v>27200</v>
      </c>
      <c r="M306" s="6">
        <f>SUMIFS(Tabla9[Cantidad],Tabla9[Codigo],Stock[Codigo])</f>
        <v>0</v>
      </c>
      <c r="N306" s="24">
        <f>Stock[[#This Row],[Precio de Compra]]*Stock[[#This Row],[Stock Cultivate]]</f>
        <v>0</v>
      </c>
      <c r="O306" s="24">
        <f>Stock[[#This Row],[Stock Cultivate]]*Stock[[#This Row],[Precio de Venta]]</f>
        <v>0</v>
      </c>
      <c r="R306" s="16"/>
    </row>
    <row r="307" spans="2:18">
      <c r="B307" s="44">
        <v>625</v>
      </c>
      <c r="C307" t="s">
        <v>824</v>
      </c>
      <c r="D307" s="45">
        <v>6800</v>
      </c>
      <c r="E307" s="24">
        <v>13600</v>
      </c>
      <c r="F307" s="44">
        <f>Stock[Entradas]-Stock[Compra Cultivate]</f>
        <v>4</v>
      </c>
      <c r="G307" s="11">
        <f>SUMIFS(Compras[Cantidad],Compras[Codigo],Stock[Codigo])</f>
        <v>4</v>
      </c>
      <c r="H307" s="11">
        <f>SUMIFS(Ventas[Cantidad],Ventas[Codigo],Stock[Codigo])</f>
        <v>0</v>
      </c>
      <c r="I307" s="12">
        <f>Stock[[#This Row],[Stock Deposito]]*Stock[[#This Row],[Precio de Compra]]</f>
        <v>27200</v>
      </c>
      <c r="J307" s="6">
        <f>SUMIFS(ProdDesc[Cantidad],ProdDesc[Codigo],Stock[Codigo])</f>
        <v>0</v>
      </c>
      <c r="K307" s="44">
        <f>Stock[[#This Row],[Compra Cultivate]]-Stock[[#This Row],[Salidas]]-Stock[[#This Row],[Usados]]</f>
        <v>0</v>
      </c>
      <c r="L307" s="24">
        <f>Stock[[#This Row],[Stock Deposito]]*Stock[[#This Row],[Precio de Venta]]</f>
        <v>54400</v>
      </c>
      <c r="M307" s="6">
        <f>SUMIFS(Tabla9[Cantidad],Tabla9[Codigo],Stock[Codigo])</f>
        <v>0</v>
      </c>
      <c r="N307" s="24">
        <f>Stock[[#This Row],[Precio de Compra]]*Stock[[#This Row],[Stock Cultivate]]</f>
        <v>0</v>
      </c>
      <c r="O307" s="24">
        <f>Stock[[#This Row],[Stock Cultivate]]*Stock[[#This Row],[Precio de Venta]]</f>
        <v>0</v>
      </c>
      <c r="R307" s="16"/>
    </row>
    <row r="308" spans="2:18">
      <c r="B308" s="44">
        <v>624</v>
      </c>
      <c r="C308" t="s">
        <v>823</v>
      </c>
      <c r="D308" s="45">
        <v>6500</v>
      </c>
      <c r="E308" s="24">
        <v>13000</v>
      </c>
      <c r="F308" s="44">
        <f>Stock[Entradas]-Stock[Compra Cultivate]</f>
        <v>4</v>
      </c>
      <c r="G308" s="11">
        <f>SUMIFS(Compras[Cantidad],Compras[Codigo],Stock[Codigo])</f>
        <v>4</v>
      </c>
      <c r="H308" s="11">
        <f>SUMIFS(Ventas[Cantidad],Ventas[Codigo],Stock[Codigo])</f>
        <v>0</v>
      </c>
      <c r="I308" s="12">
        <f>Stock[[#This Row],[Stock Deposito]]*Stock[[#This Row],[Precio de Compra]]</f>
        <v>26000</v>
      </c>
      <c r="J308" s="6">
        <f>SUMIFS(ProdDesc[Cantidad],ProdDesc[Codigo],Stock[Codigo])</f>
        <v>0</v>
      </c>
      <c r="K308" s="44">
        <f>Stock[[#This Row],[Compra Cultivate]]-Stock[[#This Row],[Salidas]]-Stock[[#This Row],[Usados]]</f>
        <v>0</v>
      </c>
      <c r="L308" s="24">
        <f>Stock[[#This Row],[Stock Deposito]]*Stock[[#This Row],[Precio de Venta]]</f>
        <v>52000</v>
      </c>
      <c r="M308" s="6">
        <f>SUMIFS(Tabla9[Cantidad],Tabla9[Codigo],Stock[Codigo])</f>
        <v>0</v>
      </c>
      <c r="N308" s="24">
        <f>Stock[[#This Row],[Precio de Compra]]*Stock[[#This Row],[Stock Cultivate]]</f>
        <v>0</v>
      </c>
      <c r="O308" s="24">
        <f>Stock[[#This Row],[Stock Cultivate]]*Stock[[#This Row],[Precio de Venta]]</f>
        <v>0</v>
      </c>
      <c r="R308" s="16"/>
    </row>
    <row r="309" spans="2:18">
      <c r="B309" s="44">
        <v>623</v>
      </c>
      <c r="C309" t="s">
        <v>822</v>
      </c>
      <c r="D309" s="45">
        <v>6500</v>
      </c>
      <c r="E309" s="24">
        <v>13000</v>
      </c>
      <c r="F309" s="44">
        <f>Stock[Entradas]-Stock[Compra Cultivate]</f>
        <v>4</v>
      </c>
      <c r="G309" s="11">
        <f>SUMIFS(Compras[Cantidad],Compras[Codigo],Stock[Codigo])</f>
        <v>4</v>
      </c>
      <c r="H309" s="11">
        <f>SUMIFS(Ventas[Cantidad],Ventas[Codigo],Stock[Codigo])</f>
        <v>0</v>
      </c>
      <c r="I309" s="12">
        <f>Stock[[#This Row],[Stock Deposito]]*Stock[[#This Row],[Precio de Compra]]</f>
        <v>26000</v>
      </c>
      <c r="J309" s="6">
        <f>SUMIFS(ProdDesc[Cantidad],ProdDesc[Codigo],Stock[Codigo])</f>
        <v>0</v>
      </c>
      <c r="K309" s="44">
        <f>Stock[[#This Row],[Compra Cultivate]]-Stock[[#This Row],[Salidas]]-Stock[[#This Row],[Usados]]</f>
        <v>0</v>
      </c>
      <c r="L309" s="24">
        <f>Stock[[#This Row],[Stock Deposito]]*Stock[[#This Row],[Precio de Venta]]</f>
        <v>52000</v>
      </c>
      <c r="M309" s="6">
        <f>SUMIFS(Tabla9[Cantidad],Tabla9[Codigo],Stock[Codigo])</f>
        <v>0</v>
      </c>
      <c r="N309" s="24">
        <f>Stock[[#This Row],[Precio de Compra]]*Stock[[#This Row],[Stock Cultivate]]</f>
        <v>0</v>
      </c>
      <c r="O309" s="24">
        <f>Stock[[#This Row],[Stock Cultivate]]*Stock[[#This Row],[Precio de Venta]]</f>
        <v>0</v>
      </c>
      <c r="R309" s="16"/>
    </row>
    <row r="310" spans="2:18">
      <c r="B310" s="44">
        <v>622</v>
      </c>
      <c r="C310" t="s">
        <v>791</v>
      </c>
      <c r="D310" s="45">
        <v>260</v>
      </c>
      <c r="E310" s="24">
        <v>500</v>
      </c>
      <c r="F310" s="44">
        <f>Stock[Entradas]-Stock[Compra Cultivate]</f>
        <v>25</v>
      </c>
      <c r="G310" s="11">
        <f>SUMIFS(Compras[Cantidad],Compras[Codigo],Stock[Codigo])</f>
        <v>50</v>
      </c>
      <c r="H310" s="11">
        <f>SUMIFS(Ventas[Cantidad],Ventas[Codigo],Stock[[#This Row],[Codigo]])</f>
        <v>9</v>
      </c>
      <c r="I310" s="12">
        <f>Stock[[#This Row],[Stock Deposito]]*Stock[[#This Row],[Precio de Compra]]</f>
        <v>6500</v>
      </c>
      <c r="J310" s="6">
        <f>SUMIFS(ProdDesc[Cantidad],ProdDesc[Codigo],Stock[Codigo])</f>
        <v>0</v>
      </c>
      <c r="K310" s="44">
        <f>Stock[[#This Row],[Compra Cultivate]]-Stock[[#This Row],[Salidas]]-Stock[[#This Row],[Usados]]</f>
        <v>16</v>
      </c>
      <c r="L310" s="24">
        <f>Stock[[#This Row],[Stock Deposito]]*Stock[[#This Row],[Precio de Venta]]</f>
        <v>12500</v>
      </c>
      <c r="M310" s="6">
        <f>SUMIFS(Tabla9[Cantidad],Tabla9[Codigo],Stock[Codigo])</f>
        <v>25</v>
      </c>
      <c r="N310" s="24">
        <f>Stock[[#This Row],[Precio de Compra]]*Stock[[#This Row],[Stock Cultivate]]</f>
        <v>4160</v>
      </c>
      <c r="O310" s="24">
        <f>Stock[[#This Row],[Stock Cultivate]]*Stock[[#This Row],[Precio de Venta]]</f>
        <v>8000</v>
      </c>
      <c r="R310" s="16"/>
    </row>
    <row r="311" spans="2:18">
      <c r="B311" s="44">
        <v>621</v>
      </c>
      <c r="C311" t="s">
        <v>790</v>
      </c>
      <c r="D311" s="45">
        <v>5400</v>
      </c>
      <c r="E311" s="24">
        <v>11000</v>
      </c>
      <c r="F311" s="44">
        <f>Stock[Entradas]-Stock[Compra Cultivate]</f>
        <v>0</v>
      </c>
      <c r="G311" s="11">
        <f>SUMIFS(Compras[Cantidad],Compras[Codigo],Stock[Codigo])</f>
        <v>1</v>
      </c>
      <c r="H311" s="11">
        <f>SUMIFS(Ventas[Cantidad],Ventas[Codigo],Stock[[#This Row],[Codigo]])</f>
        <v>1</v>
      </c>
      <c r="I311" s="12">
        <f>Stock[[#This Row],[Stock Deposito]]*Stock[[#This Row],[Precio de Compra]]</f>
        <v>0</v>
      </c>
      <c r="J311" s="6">
        <f>SUMIFS(ProdDesc[Cantidad],ProdDesc[Codigo],Stock[Codigo])</f>
        <v>0</v>
      </c>
      <c r="K311" s="44">
        <f>Stock[[#This Row],[Compra Cultivate]]-Stock[[#This Row],[Salidas]]-Stock[[#This Row],[Usados]]</f>
        <v>0</v>
      </c>
      <c r="L311" s="24">
        <f>Stock[[#This Row],[Stock Deposito]]*Stock[[#This Row],[Precio de Venta]]</f>
        <v>0</v>
      </c>
      <c r="M311" s="6">
        <f>SUMIFS(Tabla9[Cantidad],Tabla9[Codigo],Stock[Codigo])</f>
        <v>1</v>
      </c>
      <c r="N311" s="24">
        <f>Stock[[#This Row],[Precio de Compra]]*Stock[[#This Row],[Stock Cultivate]]</f>
        <v>0</v>
      </c>
      <c r="O311" s="24">
        <f>Stock[[#This Row],[Stock Cultivate]]*Stock[[#This Row],[Precio de Venta]]</f>
        <v>0</v>
      </c>
      <c r="R311" s="16"/>
    </row>
    <row r="312" spans="2:18">
      <c r="B312" s="44">
        <v>620</v>
      </c>
      <c r="C312" t="s">
        <v>789</v>
      </c>
      <c r="D312" s="45">
        <v>630</v>
      </c>
      <c r="E312" s="24">
        <v>1000</v>
      </c>
      <c r="F312" s="44">
        <f>Stock[Entradas]-Stock[Compra Cultivate]</f>
        <v>0</v>
      </c>
      <c r="G312" s="11">
        <f>SUMIFS(Compras[Cantidad],Compras[Codigo],Stock[Codigo])</f>
        <v>5</v>
      </c>
      <c r="H312" s="11">
        <f>SUMIFS(Ventas[Cantidad],Ventas[Codigo],Stock[[#This Row],[Codigo]])</f>
        <v>2</v>
      </c>
      <c r="I312" s="12">
        <f>Stock[[#This Row],[Stock Deposito]]*Stock[[#This Row],[Precio de Compra]]</f>
        <v>0</v>
      </c>
      <c r="J312" s="6">
        <f>SUMIFS(ProdDesc[Cantidad],ProdDesc[Codigo],Stock[Codigo])</f>
        <v>3</v>
      </c>
      <c r="K312" s="44">
        <f>Stock[[#This Row],[Compra Cultivate]]-Stock[[#This Row],[Salidas]]-Stock[[#This Row],[Usados]]</f>
        <v>0</v>
      </c>
      <c r="L312" s="24">
        <f>Stock[[#This Row],[Stock Deposito]]*Stock[[#This Row],[Precio de Venta]]</f>
        <v>0</v>
      </c>
      <c r="M312" s="6">
        <f>SUMIFS(Tabla9[Cantidad],Tabla9[Codigo],Stock[Codigo])</f>
        <v>5</v>
      </c>
      <c r="N312" s="24">
        <f>Stock[[#This Row],[Precio de Compra]]*Stock[[#This Row],[Stock Cultivate]]</f>
        <v>0</v>
      </c>
      <c r="O312" s="24">
        <f>Stock[[#This Row],[Stock Cultivate]]*Stock[[#This Row],[Precio de Venta]]</f>
        <v>0</v>
      </c>
      <c r="R312" s="16"/>
    </row>
    <row r="313" spans="2:18">
      <c r="B313" s="44">
        <v>619</v>
      </c>
      <c r="C313" t="s">
        <v>788</v>
      </c>
      <c r="D313" s="45">
        <v>420</v>
      </c>
      <c r="E313" s="24">
        <v>1000</v>
      </c>
      <c r="F313" s="44">
        <f>Stock[Entradas]-Stock[Compra Cultivate]</f>
        <v>0</v>
      </c>
      <c r="G313" s="11">
        <f>SUMIFS(Compras[Cantidad],Compras[Codigo],Stock[Codigo])</f>
        <v>2</v>
      </c>
      <c r="H313" s="11">
        <f>SUMIFS(Ventas[Cantidad],Ventas[Codigo],Stock[[#This Row],[Codigo]])</f>
        <v>1</v>
      </c>
      <c r="I313" s="12">
        <f>Stock[[#This Row],[Stock Deposito]]*Stock[[#This Row],[Precio de Compra]]</f>
        <v>0</v>
      </c>
      <c r="J313" s="6">
        <f>SUMIFS(ProdDesc[Cantidad],ProdDesc[Codigo],Stock[Codigo])</f>
        <v>0</v>
      </c>
      <c r="K313" s="44">
        <f>Stock[[#This Row],[Compra Cultivate]]-Stock[[#This Row],[Salidas]]-Stock[[#This Row],[Usados]]</f>
        <v>1</v>
      </c>
      <c r="L313" s="24">
        <f>Stock[[#This Row],[Stock Deposito]]*Stock[[#This Row],[Precio de Venta]]</f>
        <v>0</v>
      </c>
      <c r="M313" s="6">
        <f>SUMIFS(Tabla9[Cantidad],Tabla9[Codigo],Stock[Codigo])</f>
        <v>2</v>
      </c>
      <c r="N313" s="24">
        <f>Stock[[#This Row],[Precio de Compra]]*Stock[[#This Row],[Stock Cultivate]]</f>
        <v>420</v>
      </c>
      <c r="O313" s="24">
        <f>Stock[[#This Row],[Stock Cultivate]]*Stock[[#This Row],[Precio de Venta]]</f>
        <v>1000</v>
      </c>
      <c r="R313" s="16"/>
    </row>
    <row r="314" spans="2:18">
      <c r="B314" s="44">
        <v>618</v>
      </c>
      <c r="C314" t="s">
        <v>787</v>
      </c>
      <c r="D314" s="45">
        <v>1452</v>
      </c>
      <c r="E314" s="24">
        <v>3000</v>
      </c>
      <c r="F314" s="44">
        <f>Stock[Entradas]-Stock[Compra Cultivate]</f>
        <v>0</v>
      </c>
      <c r="G314" s="11">
        <f>SUMIFS(Compras[Cantidad],Compras[Codigo],Stock[Codigo])</f>
        <v>2</v>
      </c>
      <c r="H314" s="11">
        <f>SUMIFS(Ventas[Cantidad],Ventas[Codigo],Stock[[#This Row],[Codigo]])</f>
        <v>2</v>
      </c>
      <c r="I314" s="12">
        <f>Stock[[#This Row],[Stock Deposito]]*Stock[[#This Row],[Precio de Compra]]</f>
        <v>0</v>
      </c>
      <c r="J314" s="6">
        <f>SUMIFS(ProdDesc[Cantidad],ProdDesc[Codigo],Stock[Codigo])</f>
        <v>0</v>
      </c>
      <c r="K314" s="44">
        <f>Stock[[#This Row],[Compra Cultivate]]-Stock[[#This Row],[Salidas]]-Stock[[#This Row],[Usados]]</f>
        <v>0</v>
      </c>
      <c r="L314" s="24">
        <f>Stock[[#This Row],[Stock Deposito]]*Stock[[#This Row],[Precio de Venta]]</f>
        <v>0</v>
      </c>
      <c r="M314" s="6">
        <f>SUMIFS(Tabla9[Cantidad],Tabla9[Codigo],Stock[Codigo])</f>
        <v>2</v>
      </c>
      <c r="N314" s="24">
        <f>Stock[[#This Row],[Precio de Compra]]*Stock[[#This Row],[Stock Cultivate]]</f>
        <v>0</v>
      </c>
      <c r="O314" s="24">
        <f>Stock[[#This Row],[Stock Cultivate]]*Stock[[#This Row],[Precio de Venta]]</f>
        <v>0</v>
      </c>
      <c r="R314" s="16"/>
    </row>
    <row r="315" spans="2:18">
      <c r="B315" s="44">
        <v>617</v>
      </c>
      <c r="C315" t="s">
        <v>786</v>
      </c>
      <c r="D315" s="45">
        <v>2496</v>
      </c>
      <c r="E315" s="24">
        <v>5000</v>
      </c>
      <c r="F315" s="44">
        <f>Stock[Entradas]-Stock[Compra Cultivate]</f>
        <v>0</v>
      </c>
      <c r="G315" s="11">
        <f>SUMIFS(Compras[Cantidad],Compras[Codigo],Stock[Codigo])</f>
        <v>1</v>
      </c>
      <c r="H315" s="11">
        <f>SUMIFS(Ventas[Cantidad],Ventas[Codigo],Stock[[#This Row],[Codigo]])</f>
        <v>1</v>
      </c>
      <c r="I315" s="12">
        <f>Stock[[#This Row],[Stock Deposito]]*Stock[[#This Row],[Precio de Compra]]</f>
        <v>0</v>
      </c>
      <c r="J315" s="6">
        <f>SUMIFS(ProdDesc[Cantidad],ProdDesc[Codigo],Stock[Codigo])</f>
        <v>0</v>
      </c>
      <c r="K315" s="44">
        <f>Stock[[#This Row],[Compra Cultivate]]-Stock[[#This Row],[Salidas]]-Stock[[#This Row],[Usados]]</f>
        <v>0</v>
      </c>
      <c r="L315" s="24">
        <f>Stock[[#This Row],[Stock Deposito]]*Stock[[#This Row],[Precio de Venta]]</f>
        <v>0</v>
      </c>
      <c r="M315" s="6">
        <f>SUMIFS(Tabla9[Cantidad],Tabla9[Codigo],Stock[Codigo])</f>
        <v>1</v>
      </c>
      <c r="N315" s="24">
        <f>Stock[[#This Row],[Precio de Compra]]*Stock[[#This Row],[Stock Cultivate]]</f>
        <v>0</v>
      </c>
      <c r="O315" s="24">
        <f>Stock[[#This Row],[Stock Cultivate]]*Stock[[#This Row],[Precio de Venta]]</f>
        <v>0</v>
      </c>
      <c r="R315" s="16"/>
    </row>
    <row r="316" spans="2:18">
      <c r="B316" s="44">
        <v>616</v>
      </c>
      <c r="C316" t="s">
        <v>776</v>
      </c>
      <c r="D316" s="45">
        <v>126</v>
      </c>
      <c r="E316" s="24">
        <v>250</v>
      </c>
      <c r="F316" s="44">
        <f>Stock[Entradas]-Stock[Compra Cultivate]</f>
        <v>0</v>
      </c>
      <c r="G316" s="11">
        <f>SUMIFS(Compras[Cantidad],Compras[Codigo],Stock[Codigo])</f>
        <v>2</v>
      </c>
      <c r="H316" s="11">
        <f>SUMIFS(Ventas[Cantidad],Ventas[Codigo],Stock[[#This Row],[Codigo]])</f>
        <v>0</v>
      </c>
      <c r="I316" s="12">
        <f>Stock[[#This Row],[Stock Deposito]]*Stock[[#This Row],[Precio de Compra]]</f>
        <v>0</v>
      </c>
      <c r="J316" s="6">
        <f>SUMIFS(ProdDesc[Cantidad],ProdDesc[Codigo],Stock[Codigo])</f>
        <v>0</v>
      </c>
      <c r="K316" s="44">
        <f>Stock[[#This Row],[Compra Cultivate]]-Stock[[#This Row],[Salidas]]-Stock[[#This Row],[Usados]]</f>
        <v>2</v>
      </c>
      <c r="L316" s="24">
        <f>Stock[[#This Row],[Stock Deposito]]*Stock[[#This Row],[Precio de Venta]]</f>
        <v>0</v>
      </c>
      <c r="M316" s="6">
        <f>SUMIFS(Tabla9[Cantidad],Tabla9[Codigo],Stock[Codigo])</f>
        <v>2</v>
      </c>
      <c r="N316" s="24">
        <f>Stock[[#This Row],[Precio de Compra]]*Stock[[#This Row],[Stock Cultivate]]</f>
        <v>252</v>
      </c>
      <c r="O316" s="24">
        <f>Stock[[#This Row],[Stock Cultivate]]*Stock[[#This Row],[Precio de Venta]]</f>
        <v>500</v>
      </c>
      <c r="R316" s="16"/>
    </row>
    <row r="317" spans="2:18">
      <c r="B317" s="44">
        <v>615</v>
      </c>
      <c r="C317" t="s">
        <v>775</v>
      </c>
      <c r="D317" s="45">
        <v>126</v>
      </c>
      <c r="E317" s="24">
        <v>250</v>
      </c>
      <c r="F317" s="44">
        <f>Stock[Entradas]-Stock[Compra Cultivate]</f>
        <v>0</v>
      </c>
      <c r="G317" s="11">
        <f>SUMIFS(Compras[Cantidad],Compras[Codigo],Stock[Codigo])</f>
        <v>2</v>
      </c>
      <c r="H317" s="11">
        <f>SUMIFS(Ventas[Cantidad],Ventas[Codigo],Stock[[#This Row],[Codigo]])</f>
        <v>0</v>
      </c>
      <c r="I317" s="12">
        <f>Stock[[#This Row],[Stock Deposito]]*Stock[[#This Row],[Precio de Compra]]</f>
        <v>0</v>
      </c>
      <c r="J317" s="6">
        <f>SUMIFS(ProdDesc[Cantidad],ProdDesc[Codigo],Stock[Codigo])</f>
        <v>0</v>
      </c>
      <c r="K317" s="44">
        <f>Stock[[#This Row],[Compra Cultivate]]-Stock[[#This Row],[Salidas]]-Stock[[#This Row],[Usados]]</f>
        <v>2</v>
      </c>
      <c r="L317" s="24">
        <f>Stock[[#This Row],[Stock Deposito]]*Stock[[#This Row],[Precio de Venta]]</f>
        <v>0</v>
      </c>
      <c r="M317" s="6">
        <f>SUMIFS(Tabla9[Cantidad],Tabla9[Codigo],Stock[Codigo])</f>
        <v>2</v>
      </c>
      <c r="N317" s="24">
        <f>Stock[[#This Row],[Precio de Compra]]*Stock[[#This Row],[Stock Cultivate]]</f>
        <v>252</v>
      </c>
      <c r="O317" s="24">
        <f>Stock[[#This Row],[Stock Cultivate]]*Stock[[#This Row],[Precio de Venta]]</f>
        <v>500</v>
      </c>
      <c r="R317" s="16"/>
    </row>
    <row r="318" spans="2:18">
      <c r="B318" s="44">
        <v>614</v>
      </c>
      <c r="C318" t="s">
        <v>774</v>
      </c>
      <c r="D318" s="45">
        <v>126</v>
      </c>
      <c r="E318" s="24">
        <v>250</v>
      </c>
      <c r="F318" s="44">
        <f>Stock[Entradas]-Stock[Compra Cultivate]</f>
        <v>0</v>
      </c>
      <c r="G318" s="11">
        <f>SUMIFS(Compras[Cantidad],Compras[Codigo],Stock[Codigo])</f>
        <v>2</v>
      </c>
      <c r="H318" s="11">
        <f>SUMIFS(Ventas[Cantidad],Ventas[Codigo],Stock[[#This Row],[Codigo]])</f>
        <v>0</v>
      </c>
      <c r="I318" s="12">
        <f>Stock[[#This Row],[Stock Deposito]]*Stock[[#This Row],[Precio de Compra]]</f>
        <v>0</v>
      </c>
      <c r="J318" s="6">
        <f>SUMIFS(ProdDesc[Cantidad],ProdDesc[Codigo],Stock[Codigo])</f>
        <v>0</v>
      </c>
      <c r="K318" s="44">
        <f>Stock[[#This Row],[Compra Cultivate]]-Stock[[#This Row],[Salidas]]-Stock[[#This Row],[Usados]]</f>
        <v>2</v>
      </c>
      <c r="L318" s="24">
        <f>Stock[[#This Row],[Stock Deposito]]*Stock[[#This Row],[Precio de Venta]]</f>
        <v>0</v>
      </c>
      <c r="M318" s="6">
        <f>SUMIFS(Tabla9[Cantidad],Tabla9[Codigo],Stock[Codigo])</f>
        <v>2</v>
      </c>
      <c r="N318" s="24">
        <f>Stock[[#This Row],[Precio de Compra]]*Stock[[#This Row],[Stock Cultivate]]</f>
        <v>252</v>
      </c>
      <c r="O318" s="24">
        <f>Stock[[#This Row],[Stock Cultivate]]*Stock[[#This Row],[Precio de Venta]]</f>
        <v>500</v>
      </c>
      <c r="R318" s="16"/>
    </row>
    <row r="319" spans="2:18">
      <c r="B319" s="44">
        <v>613</v>
      </c>
      <c r="C319" t="s">
        <v>773</v>
      </c>
      <c r="D319" s="45">
        <v>126</v>
      </c>
      <c r="E319" s="24">
        <v>250</v>
      </c>
      <c r="F319" s="44">
        <f>Stock[Entradas]-Stock[Compra Cultivate]</f>
        <v>0</v>
      </c>
      <c r="G319" s="11">
        <f>SUMIFS(Compras[Cantidad],Compras[Codigo],Stock[Codigo])</f>
        <v>2</v>
      </c>
      <c r="H319" s="11">
        <f>SUMIFS(Ventas[Cantidad],Ventas[Codigo],Stock[[#This Row],[Codigo]])</f>
        <v>1</v>
      </c>
      <c r="I319" s="12">
        <f>Stock[[#This Row],[Stock Deposito]]*Stock[[#This Row],[Precio de Compra]]</f>
        <v>0</v>
      </c>
      <c r="J319" s="6">
        <f>SUMIFS(ProdDesc[Cantidad],ProdDesc[Codigo],Stock[Codigo])</f>
        <v>0</v>
      </c>
      <c r="K319" s="44">
        <f>Stock[[#This Row],[Compra Cultivate]]-Stock[[#This Row],[Salidas]]-Stock[[#This Row],[Usados]]</f>
        <v>1</v>
      </c>
      <c r="L319" s="24">
        <f>Stock[[#This Row],[Stock Deposito]]*Stock[[#This Row],[Precio de Venta]]</f>
        <v>0</v>
      </c>
      <c r="M319" s="6">
        <f>SUMIFS(Tabla9[Cantidad],Tabla9[Codigo],Stock[Codigo])</f>
        <v>2</v>
      </c>
      <c r="N319" s="24">
        <f>Stock[[#This Row],[Precio de Compra]]*Stock[[#This Row],[Stock Cultivate]]</f>
        <v>126</v>
      </c>
      <c r="O319" s="24">
        <f>Stock[[#This Row],[Stock Cultivate]]*Stock[[#This Row],[Precio de Venta]]</f>
        <v>250</v>
      </c>
      <c r="R319" s="16"/>
    </row>
    <row r="320" spans="2:18">
      <c r="B320" s="44">
        <v>612</v>
      </c>
      <c r="C320" t="s">
        <v>772</v>
      </c>
      <c r="D320" s="45">
        <v>126</v>
      </c>
      <c r="E320" s="24">
        <v>250</v>
      </c>
      <c r="F320" s="44">
        <f>Stock[Entradas]-Stock[Compra Cultivate]</f>
        <v>0</v>
      </c>
      <c r="G320" s="11">
        <f>SUMIFS(Compras[Cantidad],Compras[Codigo],Stock[Codigo])</f>
        <v>2</v>
      </c>
      <c r="H320" s="11">
        <f>SUMIFS(Ventas[Cantidad],Ventas[Codigo],Stock[[#This Row],[Codigo]])</f>
        <v>0</v>
      </c>
      <c r="I320" s="12">
        <f>Stock[[#This Row],[Stock Deposito]]*Stock[[#This Row],[Precio de Compra]]</f>
        <v>0</v>
      </c>
      <c r="J320" s="6">
        <f>SUMIFS(ProdDesc[Cantidad],ProdDesc[Codigo],Stock[Codigo])</f>
        <v>0</v>
      </c>
      <c r="K320" s="44">
        <f>Stock[[#This Row],[Compra Cultivate]]-Stock[[#This Row],[Salidas]]-Stock[[#This Row],[Usados]]</f>
        <v>2</v>
      </c>
      <c r="L320" s="24">
        <f>Stock[[#This Row],[Stock Deposito]]*Stock[[#This Row],[Precio de Venta]]</f>
        <v>0</v>
      </c>
      <c r="M320" s="6">
        <f>SUMIFS(Tabla9[Cantidad],Tabla9[Codigo],Stock[Codigo])</f>
        <v>2</v>
      </c>
      <c r="N320" s="24">
        <f>Stock[[#This Row],[Precio de Compra]]*Stock[[#This Row],[Stock Cultivate]]</f>
        <v>252</v>
      </c>
      <c r="O320" s="24">
        <f>Stock[[#This Row],[Stock Cultivate]]*Stock[[#This Row],[Precio de Venta]]</f>
        <v>500</v>
      </c>
      <c r="R320" s="16"/>
    </row>
    <row r="321" spans="2:18">
      <c r="B321" s="44">
        <v>611</v>
      </c>
      <c r="C321" t="s">
        <v>771</v>
      </c>
      <c r="D321" s="45">
        <v>126</v>
      </c>
      <c r="E321" s="24">
        <v>250</v>
      </c>
      <c r="F321" s="44">
        <f>Stock[Entradas]-Stock[Compra Cultivate]</f>
        <v>0</v>
      </c>
      <c r="G321" s="11">
        <f>SUMIFS(Compras[Cantidad],Compras[Codigo],Stock[Codigo])</f>
        <v>2</v>
      </c>
      <c r="H321" s="11">
        <f>SUMIFS(Ventas[Cantidad],Ventas[Codigo],Stock[[#This Row],[Codigo]])</f>
        <v>1</v>
      </c>
      <c r="I321" s="12">
        <f>Stock[[#This Row],[Stock Deposito]]*Stock[[#This Row],[Precio de Compra]]</f>
        <v>0</v>
      </c>
      <c r="J321" s="6">
        <f>SUMIFS(ProdDesc[Cantidad],ProdDesc[Codigo],Stock[Codigo])</f>
        <v>0</v>
      </c>
      <c r="K321" s="44">
        <f>Stock[[#This Row],[Compra Cultivate]]-Stock[[#This Row],[Salidas]]-Stock[[#This Row],[Usados]]</f>
        <v>1</v>
      </c>
      <c r="L321" s="24">
        <f>Stock[[#This Row],[Stock Deposito]]*Stock[[#This Row],[Precio de Venta]]</f>
        <v>0</v>
      </c>
      <c r="M321" s="6">
        <f>SUMIFS(Tabla9[Cantidad],Tabla9[Codigo],Stock[Codigo])</f>
        <v>2</v>
      </c>
      <c r="N321" s="24">
        <f>Stock[[#This Row],[Precio de Compra]]*Stock[[#This Row],[Stock Cultivate]]</f>
        <v>126</v>
      </c>
      <c r="O321" s="24">
        <f>Stock[[#This Row],[Stock Cultivate]]*Stock[[#This Row],[Precio de Venta]]</f>
        <v>250</v>
      </c>
      <c r="R321" s="16"/>
    </row>
    <row r="322" spans="2:18">
      <c r="B322" s="44">
        <v>610</v>
      </c>
      <c r="C322" t="s">
        <v>770</v>
      </c>
      <c r="D322" s="45">
        <v>126</v>
      </c>
      <c r="E322" s="24">
        <v>250</v>
      </c>
      <c r="F322" s="44">
        <f>Stock[Entradas]-Stock[Compra Cultivate]</f>
        <v>0</v>
      </c>
      <c r="G322" s="11">
        <f>SUMIFS(Compras[Cantidad],Compras[Codigo],Stock[Codigo])</f>
        <v>2</v>
      </c>
      <c r="H322" s="11">
        <f>SUMIFS(Ventas[Cantidad],Ventas[Codigo],Stock[[#This Row],[Codigo]])</f>
        <v>0</v>
      </c>
      <c r="I322" s="12">
        <f>Stock[[#This Row],[Stock Deposito]]*Stock[[#This Row],[Precio de Compra]]</f>
        <v>0</v>
      </c>
      <c r="J322" s="6">
        <f>SUMIFS(ProdDesc[Cantidad],ProdDesc[Codigo],Stock[Codigo])</f>
        <v>0</v>
      </c>
      <c r="K322" s="44">
        <f>Stock[[#This Row],[Compra Cultivate]]-Stock[[#This Row],[Salidas]]-Stock[[#This Row],[Usados]]</f>
        <v>2</v>
      </c>
      <c r="L322" s="24">
        <f>Stock[[#This Row],[Stock Deposito]]*Stock[[#This Row],[Precio de Venta]]</f>
        <v>0</v>
      </c>
      <c r="M322" s="6">
        <f>SUMIFS(Tabla9[Cantidad],Tabla9[Codigo],Stock[Codigo])</f>
        <v>2</v>
      </c>
      <c r="N322" s="24">
        <f>Stock[[#This Row],[Precio de Compra]]*Stock[[#This Row],[Stock Cultivate]]</f>
        <v>252</v>
      </c>
      <c r="O322" s="24">
        <f>Stock[[#This Row],[Stock Cultivate]]*Stock[[#This Row],[Precio de Venta]]</f>
        <v>500</v>
      </c>
      <c r="R322" s="16"/>
    </row>
    <row r="323" spans="2:18">
      <c r="B323" s="44">
        <v>609</v>
      </c>
      <c r="C323" t="s">
        <v>769</v>
      </c>
      <c r="D323" s="45">
        <v>126</v>
      </c>
      <c r="E323" s="24">
        <v>250</v>
      </c>
      <c r="F323" s="44">
        <f>Stock[Entradas]-Stock[Compra Cultivate]</f>
        <v>0</v>
      </c>
      <c r="G323" s="11">
        <f>SUMIFS(Compras[Cantidad],Compras[Codigo],Stock[Codigo])</f>
        <v>2</v>
      </c>
      <c r="H323" s="11">
        <f>SUMIFS(Ventas[Cantidad],Ventas[Codigo],Stock[[#This Row],[Codigo]])</f>
        <v>1</v>
      </c>
      <c r="I323" s="12">
        <f>Stock[[#This Row],[Stock Deposito]]*Stock[[#This Row],[Precio de Compra]]</f>
        <v>0</v>
      </c>
      <c r="J323" s="6">
        <f>SUMIFS(ProdDesc[Cantidad],ProdDesc[Codigo],Stock[Codigo])</f>
        <v>0</v>
      </c>
      <c r="K323" s="44">
        <f>Stock[[#This Row],[Compra Cultivate]]-Stock[[#This Row],[Salidas]]-Stock[[#This Row],[Usados]]</f>
        <v>1</v>
      </c>
      <c r="L323" s="24">
        <f>Stock[[#This Row],[Stock Deposito]]*Stock[[#This Row],[Precio de Venta]]</f>
        <v>0</v>
      </c>
      <c r="M323" s="6">
        <f>SUMIFS(Tabla9[Cantidad],Tabla9[Codigo],Stock[Codigo])</f>
        <v>2</v>
      </c>
      <c r="N323" s="24">
        <f>Stock[[#This Row],[Precio de Compra]]*Stock[[#This Row],[Stock Cultivate]]</f>
        <v>126</v>
      </c>
      <c r="O323" s="24">
        <f>Stock[[#This Row],[Stock Cultivate]]*Stock[[#This Row],[Precio de Venta]]</f>
        <v>250</v>
      </c>
      <c r="R323" s="16"/>
    </row>
    <row r="324" spans="2:18">
      <c r="B324" s="44">
        <v>608</v>
      </c>
      <c r="C324" t="s">
        <v>745</v>
      </c>
      <c r="D324" s="45">
        <v>430</v>
      </c>
      <c r="E324" s="24">
        <v>900</v>
      </c>
      <c r="F324" s="44">
        <f>Stock[Entradas]-Stock[Compra Cultivate]</f>
        <v>0</v>
      </c>
      <c r="G324" s="11">
        <f>SUMIFS(Compras[Cantidad],Compras[Codigo],Stock[Codigo])</f>
        <v>4</v>
      </c>
      <c r="H324" s="11">
        <f>SUMIFS(Ventas[Cantidad],Ventas[Codigo],Stock[[#This Row],[Codigo]])</f>
        <v>2</v>
      </c>
      <c r="I324" s="12">
        <f>Stock[[#This Row],[Stock Deposito]]*Stock[[#This Row],[Precio de Compra]]</f>
        <v>0</v>
      </c>
      <c r="J324" s="6">
        <f>SUMIFS(ProdDesc[Cantidad],ProdDesc[Codigo],Stock[Codigo])</f>
        <v>2</v>
      </c>
      <c r="K324" s="44">
        <f>Stock[[#This Row],[Compra Cultivate]]-Stock[[#This Row],[Salidas]]-Stock[[#This Row],[Usados]]</f>
        <v>0</v>
      </c>
      <c r="L324" s="24">
        <f>Stock[[#This Row],[Stock Deposito]]*Stock[[#This Row],[Precio de Venta]]</f>
        <v>0</v>
      </c>
      <c r="M324" s="6">
        <f>SUMIFS(Tabla9[Cantidad],Tabla9[Codigo],Stock[Codigo])</f>
        <v>4</v>
      </c>
      <c r="N324" s="24">
        <f>Stock[[#This Row],[Precio de Compra]]*Stock[[#This Row],[Stock Cultivate]]</f>
        <v>0</v>
      </c>
      <c r="O324" s="24">
        <f>Stock[[#This Row],[Stock Cultivate]]*Stock[[#This Row],[Precio de Venta]]</f>
        <v>0</v>
      </c>
      <c r="R324" s="16"/>
    </row>
    <row r="325" spans="2:18">
      <c r="B325" s="44">
        <v>607</v>
      </c>
      <c r="C325" t="s">
        <v>744</v>
      </c>
      <c r="D325" s="45">
        <v>230</v>
      </c>
      <c r="E325" s="24">
        <v>500</v>
      </c>
      <c r="F325" s="44">
        <f>Stock[Entradas]-Stock[Compra Cultivate]</f>
        <v>0</v>
      </c>
      <c r="G325" s="11">
        <f>SUMIFS(Compras[Cantidad],Compras[Codigo],Stock[Codigo])</f>
        <v>5</v>
      </c>
      <c r="H325" s="11">
        <f>SUMIFS(Ventas[Cantidad],Ventas[Codigo],Stock[[#This Row],[Codigo]])</f>
        <v>1</v>
      </c>
      <c r="I325" s="12">
        <f>Stock[[#This Row],[Stock Deposito]]*Stock[[#This Row],[Precio de Compra]]</f>
        <v>0</v>
      </c>
      <c r="J325" s="6">
        <f>SUMIFS(ProdDesc[Cantidad],ProdDesc[Codigo],Stock[Codigo])</f>
        <v>0</v>
      </c>
      <c r="K325" s="44">
        <f>Stock[[#This Row],[Compra Cultivate]]-Stock[[#This Row],[Salidas]]-Stock[[#This Row],[Usados]]</f>
        <v>4</v>
      </c>
      <c r="L325" s="24">
        <f>Stock[[#This Row],[Stock Deposito]]*Stock[[#This Row],[Precio de Venta]]</f>
        <v>0</v>
      </c>
      <c r="M325" s="6">
        <f>SUMIFS(Tabla9[Cantidad],Tabla9[Codigo],Stock[Codigo])</f>
        <v>5</v>
      </c>
      <c r="N325" s="24">
        <f>Stock[[#This Row],[Precio de Compra]]*Stock[[#This Row],[Stock Cultivate]]</f>
        <v>920</v>
      </c>
      <c r="O325" s="24">
        <f>Stock[[#This Row],[Stock Cultivate]]*Stock[[#This Row],[Precio de Venta]]</f>
        <v>2000</v>
      </c>
      <c r="R325" s="16"/>
    </row>
    <row r="326" spans="2:18">
      <c r="B326" s="44">
        <v>605</v>
      </c>
      <c r="C326" t="s">
        <v>741</v>
      </c>
      <c r="D326" s="45">
        <v>412</v>
      </c>
      <c r="E326" s="24">
        <v>800</v>
      </c>
      <c r="F326" s="44">
        <f>Stock[Entradas]-Stock[Compra Cultivate]</f>
        <v>10</v>
      </c>
      <c r="G326" s="11">
        <f>SUMIFS(Compras[Cantidad],Compras[Codigo],Stock[Codigo])</f>
        <v>15</v>
      </c>
      <c r="H326" s="11">
        <f>SUMIFS(Ventas[Cantidad],Ventas[Codigo],Stock[[#This Row],[Codigo]])</f>
        <v>3</v>
      </c>
      <c r="I326" s="12">
        <f>Stock[[#This Row],[Stock Deposito]]*Stock[[#This Row],[Precio de Compra]]</f>
        <v>4120</v>
      </c>
      <c r="J326" s="6">
        <f>SUMIFS(ProdDesc[Cantidad],ProdDesc[Codigo],Stock[Codigo])</f>
        <v>1</v>
      </c>
      <c r="K326" s="44">
        <f>Stock[[#This Row],[Compra Cultivate]]-Stock[[#This Row],[Salidas]]-Stock[[#This Row],[Usados]]</f>
        <v>1</v>
      </c>
      <c r="L326" s="24">
        <f>Stock[[#This Row],[Stock Deposito]]*Stock[[#This Row],[Precio de Venta]]</f>
        <v>8000</v>
      </c>
      <c r="M326" s="6">
        <f>SUMIFS(Tabla9[Cantidad],Tabla9[Codigo],Stock[Codigo])</f>
        <v>5</v>
      </c>
      <c r="N326" s="24">
        <f>Stock[[#This Row],[Precio de Compra]]*Stock[[#This Row],[Stock Cultivate]]</f>
        <v>412</v>
      </c>
      <c r="O326" s="24">
        <f>Stock[[#This Row],[Stock Cultivate]]*Stock[[#This Row],[Precio de Venta]]</f>
        <v>800</v>
      </c>
      <c r="R326" s="16"/>
    </row>
    <row r="327" spans="2:18">
      <c r="B327" s="44">
        <v>604</v>
      </c>
      <c r="C327" t="s">
        <v>764</v>
      </c>
      <c r="D327" s="45">
        <v>1665</v>
      </c>
      <c r="E327" s="24">
        <v>3200</v>
      </c>
      <c r="F327" s="44">
        <f>Stock[Entradas]-Stock[Compra Cultivate]</f>
        <v>0</v>
      </c>
      <c r="G327" s="11">
        <f>SUMIFS(Compras[Cantidad],Compras[Codigo],Stock[Codigo])</f>
        <v>3</v>
      </c>
      <c r="H327" s="11">
        <f>SUMIFS(Ventas[Cantidad],Ventas[Codigo],Stock[[#This Row],[Codigo]])</f>
        <v>0</v>
      </c>
      <c r="I327" s="12">
        <f>Stock[[#This Row],[Stock Deposito]]*Stock[[#This Row],[Precio de Compra]]</f>
        <v>0</v>
      </c>
      <c r="J327" s="6">
        <f>SUMIFS(ProdDesc[Cantidad],ProdDesc[Codigo],Stock[Codigo])</f>
        <v>2</v>
      </c>
      <c r="K327" s="44">
        <f>Stock[[#This Row],[Compra Cultivate]]-Stock[[#This Row],[Salidas]]-Stock[[#This Row],[Usados]]</f>
        <v>1</v>
      </c>
      <c r="L327" s="24">
        <f>Stock[[#This Row],[Stock Deposito]]*Stock[[#This Row],[Precio de Venta]]</f>
        <v>0</v>
      </c>
      <c r="M327" s="6">
        <f>SUMIFS(Tabla9[Cantidad],Tabla9[Codigo],Stock[Codigo])</f>
        <v>3</v>
      </c>
      <c r="N327" s="24">
        <f>Stock[[#This Row],[Precio de Compra]]*Stock[[#This Row],[Stock Cultivate]]</f>
        <v>1665</v>
      </c>
      <c r="O327" s="24">
        <f>Stock[[#This Row],[Stock Cultivate]]*Stock[[#This Row],[Precio de Venta]]</f>
        <v>3200</v>
      </c>
      <c r="R327" s="16"/>
    </row>
    <row r="328" spans="2:18">
      <c r="B328" s="44">
        <v>603</v>
      </c>
      <c r="C328" t="s">
        <v>723</v>
      </c>
      <c r="D328" s="45">
        <v>27360</v>
      </c>
      <c r="E328" s="24">
        <v>36000</v>
      </c>
      <c r="F328" s="44">
        <f>Stock[Entradas]-Stock[Compra Cultivate]</f>
        <v>0</v>
      </c>
      <c r="G328" s="11">
        <f>SUMIFS(Compras[Cantidad],Compras[Codigo],Stock[Codigo])</f>
        <v>1</v>
      </c>
      <c r="H328" s="11">
        <f>SUMIFS(Ventas[Cantidad],Ventas[Codigo],Stock[[#This Row],[Codigo]])</f>
        <v>1</v>
      </c>
      <c r="I328" s="12">
        <f>Stock[[#This Row],[Stock Deposito]]*Stock[[#This Row],[Precio de Compra]]</f>
        <v>0</v>
      </c>
      <c r="J328" s="6">
        <f>SUMIFS(ProdDesc[Cantidad],ProdDesc[Codigo],Stock[Codigo])</f>
        <v>0</v>
      </c>
      <c r="K328" s="44">
        <f>Stock[[#This Row],[Compra Cultivate]]-Stock[[#This Row],[Salidas]]-Stock[[#This Row],[Usados]]</f>
        <v>0</v>
      </c>
      <c r="L328" s="24">
        <f>Stock[[#This Row],[Stock Deposito]]*Stock[[#This Row],[Precio de Venta]]</f>
        <v>0</v>
      </c>
      <c r="M328" s="6">
        <f>SUMIFS(Tabla9[Cantidad],Tabla9[Codigo],Stock[Codigo])</f>
        <v>1</v>
      </c>
      <c r="N328" s="24">
        <f>Stock[[#This Row],[Precio de Compra]]*Stock[[#This Row],[Stock Cultivate]]</f>
        <v>0</v>
      </c>
      <c r="O328" s="24">
        <f>Stock[[#This Row],[Stock Cultivate]]*Stock[[#This Row],[Precio de Venta]]</f>
        <v>0</v>
      </c>
      <c r="R328" s="16"/>
    </row>
    <row r="329" spans="2:18">
      <c r="B329" s="44">
        <v>602</v>
      </c>
      <c r="C329" t="s">
        <v>713</v>
      </c>
      <c r="D329" s="45">
        <v>47532</v>
      </c>
      <c r="E329" s="24">
        <v>60000</v>
      </c>
      <c r="F329" s="44">
        <f>Stock[Entradas]-Stock[Compra Cultivate]</f>
        <v>0</v>
      </c>
      <c r="G329" s="11">
        <f>SUMIFS(Compras[Cantidad],Compras[Codigo],Stock[Codigo])</f>
        <v>1</v>
      </c>
      <c r="H329" s="11">
        <f>SUMIFS(Ventas[Cantidad],Ventas[Codigo],Stock[[#This Row],[Codigo]])</f>
        <v>1</v>
      </c>
      <c r="I329" s="12">
        <f>Stock[[#This Row],[Stock Deposito]]*Stock[[#This Row],[Precio de Compra]]</f>
        <v>0</v>
      </c>
      <c r="J329" s="6">
        <f>SUMIFS(ProdDesc[Cantidad],ProdDesc[Codigo],Stock[Codigo])</f>
        <v>0</v>
      </c>
      <c r="K329" s="44">
        <f>Stock[[#This Row],[Compra Cultivate]]-Stock[[#This Row],[Salidas]]-Stock[[#This Row],[Usados]]</f>
        <v>0</v>
      </c>
      <c r="L329" s="24">
        <f>Stock[[#This Row],[Stock Deposito]]*Stock[[#This Row],[Precio de Venta]]</f>
        <v>0</v>
      </c>
      <c r="M329" s="6">
        <f>SUMIFS(Tabla9[Cantidad],Tabla9[Codigo],Stock[Codigo])</f>
        <v>1</v>
      </c>
      <c r="N329" s="24">
        <f>Stock[[#This Row],[Precio de Compra]]*Stock[[#This Row],[Stock Cultivate]]</f>
        <v>0</v>
      </c>
      <c r="O329" s="24">
        <f>Stock[[#This Row],[Stock Cultivate]]*Stock[[#This Row],[Precio de Venta]]</f>
        <v>0</v>
      </c>
      <c r="R329" s="16"/>
    </row>
    <row r="330" spans="2:18">
      <c r="B330" s="44">
        <v>601</v>
      </c>
      <c r="C330" t="s">
        <v>638</v>
      </c>
      <c r="D330" s="45">
        <v>60000</v>
      </c>
      <c r="E330" s="24">
        <v>95000</v>
      </c>
      <c r="F330" s="44">
        <f>Stock[Entradas]-Stock[Compra Cultivate]</f>
        <v>0</v>
      </c>
      <c r="G330" s="11">
        <f>SUMIFS(Compras[Cantidad],Compras[Codigo],Stock[Codigo])</f>
        <v>1</v>
      </c>
      <c r="H330" s="11">
        <f>SUMIFS(Ventas[Cantidad],Ventas[Codigo],Stock[[#This Row],[Codigo]])</f>
        <v>1</v>
      </c>
      <c r="I330" s="12">
        <f>Stock[[#This Row],[Stock Deposito]]*Stock[[#This Row],[Precio de Compra]]</f>
        <v>0</v>
      </c>
      <c r="J330" s="6">
        <f>SUMIFS(ProdDesc[Cantidad],ProdDesc[Codigo],Stock[Codigo])</f>
        <v>0</v>
      </c>
      <c r="K330" s="44">
        <f>Stock[[#This Row],[Compra Cultivate]]-Stock[[#This Row],[Salidas]]-Stock[[#This Row],[Usados]]</f>
        <v>0</v>
      </c>
      <c r="L330" s="24">
        <f>Stock[[#This Row],[Stock Deposito]]*Stock[[#This Row],[Precio de Venta]]</f>
        <v>0</v>
      </c>
      <c r="M330" s="6">
        <f>SUMIFS(Tabla9[Cantidad],Tabla9[Codigo],Stock[Codigo])</f>
        <v>1</v>
      </c>
      <c r="N330" s="24">
        <f>Stock[[#This Row],[Precio de Compra]]*Stock[[#This Row],[Stock Cultivate]]</f>
        <v>0</v>
      </c>
      <c r="O330" s="24">
        <f>Stock[[#This Row],[Stock Cultivate]]*Stock[[#This Row],[Precio de Venta]]</f>
        <v>0</v>
      </c>
      <c r="R330" s="16"/>
    </row>
    <row r="331" spans="2:18">
      <c r="B331" s="44">
        <v>600</v>
      </c>
      <c r="C331" t="s">
        <v>639</v>
      </c>
      <c r="D331" s="45">
        <v>54665</v>
      </c>
      <c r="E331" s="24">
        <v>80000</v>
      </c>
      <c r="F331" s="44">
        <f>Stock[Entradas]-Stock[Compra Cultivate]</f>
        <v>0</v>
      </c>
      <c r="G331" s="11">
        <f>SUMIFS(Compras[Cantidad],Compras[Codigo],Stock[Codigo])</f>
        <v>1</v>
      </c>
      <c r="H331" s="11">
        <f>SUMIFS(Ventas[Cantidad],Ventas[Codigo],Stock[[#This Row],[Codigo]])</f>
        <v>1</v>
      </c>
      <c r="I331" s="12">
        <f>Stock[[#This Row],[Stock Deposito]]*Stock[[#This Row],[Precio de Compra]]</f>
        <v>0</v>
      </c>
      <c r="J331" s="6">
        <f>SUMIFS(ProdDesc[Cantidad],ProdDesc[Codigo],Stock[Codigo])</f>
        <v>0</v>
      </c>
      <c r="K331" s="44">
        <f>Stock[[#This Row],[Compra Cultivate]]-Stock[[#This Row],[Salidas]]-Stock[[#This Row],[Usados]]</f>
        <v>0</v>
      </c>
      <c r="L331" s="24">
        <f>Stock[[#This Row],[Stock Deposito]]*Stock[[#This Row],[Precio de Venta]]</f>
        <v>0</v>
      </c>
      <c r="M331" s="6">
        <f>SUMIFS(Tabla9[Cantidad],Tabla9[Codigo],Stock[Codigo])</f>
        <v>1</v>
      </c>
      <c r="N331" s="24">
        <f>Stock[[#This Row],[Precio de Compra]]*Stock[[#This Row],[Stock Cultivate]]</f>
        <v>0</v>
      </c>
      <c r="O331" s="24">
        <f>Stock[[#This Row],[Stock Cultivate]]*Stock[[#This Row],[Precio de Venta]]</f>
        <v>0</v>
      </c>
      <c r="R331" s="16"/>
    </row>
    <row r="332" spans="2:18">
      <c r="B332" s="44">
        <v>599</v>
      </c>
      <c r="C332" t="s">
        <v>640</v>
      </c>
      <c r="D332" s="45">
        <v>562</v>
      </c>
      <c r="E332" s="24">
        <v>1100</v>
      </c>
      <c r="F332" s="44">
        <f>Stock[Entradas]-Stock[Compra Cultivate]</f>
        <v>0</v>
      </c>
      <c r="G332" s="11">
        <f>SUMIFS(Compras[Cantidad],Compras[Codigo],Stock[Codigo])</f>
        <v>2</v>
      </c>
      <c r="H332" s="11">
        <f>SUMIFS(Ventas[Cantidad],Ventas[Codigo],Stock[[#This Row],[Codigo]])</f>
        <v>0</v>
      </c>
      <c r="I332" s="12">
        <f>Stock[[#This Row],[Stock Deposito]]*Stock[[#This Row],[Precio de Compra]]</f>
        <v>0</v>
      </c>
      <c r="J332" s="6">
        <f>SUMIFS(ProdDesc[Cantidad],ProdDesc[Codigo],Stock[Codigo])</f>
        <v>0</v>
      </c>
      <c r="K332" s="44">
        <f>Stock[[#This Row],[Compra Cultivate]]-Stock[[#This Row],[Salidas]]-Stock[[#This Row],[Usados]]</f>
        <v>2</v>
      </c>
      <c r="L332" s="24">
        <f>Stock[[#This Row],[Stock Deposito]]*Stock[[#This Row],[Precio de Venta]]</f>
        <v>0</v>
      </c>
      <c r="M332" s="6">
        <f>SUMIFS(Tabla9[Cantidad],Tabla9[Codigo],Stock[Codigo])</f>
        <v>2</v>
      </c>
      <c r="N332" s="24">
        <f>Stock[[#This Row],[Precio de Compra]]*Stock[[#This Row],[Stock Cultivate]]</f>
        <v>1124</v>
      </c>
      <c r="O332" s="24">
        <f>Stock[[#This Row],[Stock Cultivate]]*Stock[[#This Row],[Precio de Venta]]</f>
        <v>2200</v>
      </c>
      <c r="R332" s="16"/>
    </row>
    <row r="333" spans="2:18">
      <c r="B333" s="44">
        <v>598</v>
      </c>
      <c r="C333" t="s">
        <v>641</v>
      </c>
      <c r="D333" s="45">
        <v>490</v>
      </c>
      <c r="E333" s="24">
        <v>1000</v>
      </c>
      <c r="F333" s="44">
        <f>Stock[Entradas]-Stock[Compra Cultivate]</f>
        <v>12</v>
      </c>
      <c r="G333" s="11">
        <f>SUMIFS(Compras[Cantidad],Compras[Codigo],Stock[Codigo])</f>
        <v>22</v>
      </c>
      <c r="H333" s="11">
        <f>SUMIFS(Ventas[Cantidad],Ventas[Codigo],Stock[[#This Row],[Codigo]])</f>
        <v>5</v>
      </c>
      <c r="I333" s="12">
        <f>Stock[[#This Row],[Stock Deposito]]*Stock[[#This Row],[Precio de Compra]]</f>
        <v>5880</v>
      </c>
      <c r="J333" s="6">
        <f>SUMIFS(ProdDesc[Cantidad],ProdDesc[Codigo],Stock[Codigo])</f>
        <v>0</v>
      </c>
      <c r="K333" s="44">
        <f>Stock[[#This Row],[Compra Cultivate]]-Stock[[#This Row],[Salidas]]-Stock[[#This Row],[Usados]]</f>
        <v>5</v>
      </c>
      <c r="L333" s="24">
        <f>Stock[[#This Row],[Stock Deposito]]*Stock[[#This Row],[Precio de Venta]]</f>
        <v>12000</v>
      </c>
      <c r="M333" s="6">
        <f>SUMIFS(Tabla9[Cantidad],Tabla9[Codigo],Stock[Codigo])</f>
        <v>10</v>
      </c>
      <c r="N333" s="24">
        <f>Stock[[#This Row],[Precio de Compra]]*Stock[[#This Row],[Stock Cultivate]]</f>
        <v>2450</v>
      </c>
      <c r="O333" s="24">
        <f>Stock[[#This Row],[Stock Cultivate]]*Stock[[#This Row],[Precio de Venta]]</f>
        <v>5000</v>
      </c>
      <c r="R333" s="16"/>
    </row>
    <row r="334" spans="2:18">
      <c r="B334" s="44">
        <v>597</v>
      </c>
      <c r="C334" t="s">
        <v>642</v>
      </c>
      <c r="D334" s="45">
        <v>638</v>
      </c>
      <c r="E334" s="24">
        <v>1300</v>
      </c>
      <c r="F334" s="44">
        <f>Stock[Entradas]-Stock[Compra Cultivate]</f>
        <v>18</v>
      </c>
      <c r="G334" s="11">
        <f>SUMIFS(Compras[Cantidad],Compras[Codigo],Stock[Codigo])</f>
        <v>23</v>
      </c>
      <c r="H334" s="11">
        <f>SUMIFS(Ventas[Cantidad],Ventas[Codigo],Stock[[#This Row],[Codigo]])</f>
        <v>5</v>
      </c>
      <c r="I334" s="12">
        <f>Stock[[#This Row],[Stock Deposito]]*Stock[[#This Row],[Precio de Compra]]</f>
        <v>11484</v>
      </c>
      <c r="J334" s="6">
        <f>SUMIFS(ProdDesc[Cantidad],ProdDesc[Codigo],Stock[Codigo])</f>
        <v>0</v>
      </c>
      <c r="K334" s="44">
        <f>Stock[[#This Row],[Compra Cultivate]]-Stock[[#This Row],[Salidas]]-Stock[[#This Row],[Usados]]</f>
        <v>0</v>
      </c>
      <c r="L334" s="24">
        <f>Stock[[#This Row],[Stock Deposito]]*Stock[[#This Row],[Precio de Venta]]</f>
        <v>23400</v>
      </c>
      <c r="M334" s="6">
        <f>SUMIFS(Tabla9[Cantidad],Tabla9[Codigo],Stock[Codigo])</f>
        <v>5</v>
      </c>
      <c r="N334" s="24">
        <f>Stock[[#This Row],[Precio de Compra]]*Stock[[#This Row],[Stock Cultivate]]</f>
        <v>0</v>
      </c>
      <c r="O334" s="24">
        <f>Stock[[#This Row],[Stock Cultivate]]*Stock[[#This Row],[Precio de Venta]]</f>
        <v>0</v>
      </c>
      <c r="R334" s="16"/>
    </row>
    <row r="335" spans="2:18">
      <c r="B335" s="44">
        <v>596</v>
      </c>
      <c r="C335" t="s">
        <v>643</v>
      </c>
      <c r="D335" s="45">
        <v>2703</v>
      </c>
      <c r="E335" s="24">
        <v>5000</v>
      </c>
      <c r="F335" s="44">
        <f>Stock[Entradas]-Stock[Compra Cultivate]</f>
        <v>0</v>
      </c>
      <c r="G335" s="11">
        <f>SUMIFS(Compras[Cantidad],Compras[Codigo],Stock[Codigo])</f>
        <v>2</v>
      </c>
      <c r="H335" s="11">
        <f>SUMIFS(Ventas[Cantidad],Ventas[Codigo],Stock[[#This Row],[Codigo]])</f>
        <v>2</v>
      </c>
      <c r="I335" s="12">
        <f>Stock[[#This Row],[Stock Deposito]]*Stock[[#This Row],[Precio de Compra]]</f>
        <v>0</v>
      </c>
      <c r="J335" s="6">
        <f>SUMIFS(ProdDesc[Cantidad],ProdDesc[Codigo],Stock[Codigo])</f>
        <v>0</v>
      </c>
      <c r="K335" s="44">
        <f>Stock[[#This Row],[Compra Cultivate]]-Stock[[#This Row],[Salidas]]-Stock[[#This Row],[Usados]]</f>
        <v>0</v>
      </c>
      <c r="L335" s="24">
        <f>Stock[[#This Row],[Stock Deposito]]*Stock[[#This Row],[Precio de Venta]]</f>
        <v>0</v>
      </c>
      <c r="M335" s="6">
        <f>SUMIFS(Tabla9[Cantidad],Tabla9[Codigo],Stock[Codigo])</f>
        <v>2</v>
      </c>
      <c r="N335" s="24">
        <f>Stock[[#This Row],[Precio de Compra]]*Stock[[#This Row],[Stock Cultivate]]</f>
        <v>0</v>
      </c>
      <c r="O335" s="24">
        <f>Stock[[#This Row],[Stock Cultivate]]*Stock[[#This Row],[Precio de Venta]]</f>
        <v>0</v>
      </c>
      <c r="R335" s="16"/>
    </row>
    <row r="336" spans="2:18">
      <c r="B336" s="44">
        <v>595</v>
      </c>
      <c r="C336" t="s">
        <v>644</v>
      </c>
      <c r="D336" s="45">
        <v>444</v>
      </c>
      <c r="E336" s="24">
        <v>900</v>
      </c>
      <c r="F336" s="44">
        <f>Stock[Entradas]-Stock[Compra Cultivate]</f>
        <v>0</v>
      </c>
      <c r="G336" s="11">
        <f>SUMIFS(Compras[Cantidad],Compras[Codigo],Stock[Codigo])</f>
        <v>10</v>
      </c>
      <c r="H336" s="11">
        <f>SUMIFS(Ventas[Cantidad],Ventas[Codigo],Stock[[#This Row],[Codigo]])</f>
        <v>10</v>
      </c>
      <c r="I336" s="12">
        <f>Stock[[#This Row],[Stock Deposito]]*Stock[[#This Row],[Precio de Compra]]</f>
        <v>0</v>
      </c>
      <c r="J336" s="6">
        <f>SUMIFS(ProdDesc[Cantidad],ProdDesc[Codigo],Stock[Codigo])</f>
        <v>0</v>
      </c>
      <c r="K336" s="44">
        <f>Stock[[#This Row],[Compra Cultivate]]-Stock[[#This Row],[Salidas]]-Stock[[#This Row],[Usados]]</f>
        <v>0</v>
      </c>
      <c r="L336" s="24">
        <f>Stock[[#This Row],[Stock Deposito]]*Stock[[#This Row],[Precio de Venta]]</f>
        <v>0</v>
      </c>
      <c r="M336" s="6">
        <f>SUMIFS(Tabla9[Cantidad],Tabla9[Codigo],Stock[Codigo])</f>
        <v>10</v>
      </c>
      <c r="N336" s="24">
        <f>Stock[[#This Row],[Precio de Compra]]*Stock[[#This Row],[Stock Cultivate]]</f>
        <v>0</v>
      </c>
      <c r="O336" s="24">
        <f>Stock[[#This Row],[Stock Cultivate]]*Stock[[#This Row],[Precio de Venta]]</f>
        <v>0</v>
      </c>
      <c r="R336" s="16"/>
    </row>
    <row r="337" spans="2:18">
      <c r="B337" s="44">
        <v>594</v>
      </c>
      <c r="C337" t="s">
        <v>645</v>
      </c>
      <c r="D337" s="45">
        <v>165</v>
      </c>
      <c r="E337" s="24">
        <v>300</v>
      </c>
      <c r="F337" s="44">
        <f>Stock[Entradas]-Stock[Compra Cultivate]</f>
        <v>0</v>
      </c>
      <c r="G337" s="11">
        <f>SUMIFS(Compras[Cantidad],Compras[Codigo],Stock[Codigo])</f>
        <v>25</v>
      </c>
      <c r="H337" s="11">
        <f>SUMIFS(Ventas[Cantidad],Ventas[Codigo],Stock[[#This Row],[Codigo]])</f>
        <v>14</v>
      </c>
      <c r="I337" s="12">
        <f>Stock[[#This Row],[Stock Deposito]]*Stock[[#This Row],[Precio de Compra]]</f>
        <v>0</v>
      </c>
      <c r="J337" s="6">
        <f>SUMIFS(ProdDesc[Cantidad],ProdDesc[Codigo],Stock[Codigo])</f>
        <v>0</v>
      </c>
      <c r="K337" s="44">
        <f>Stock[[#This Row],[Compra Cultivate]]-Stock[[#This Row],[Salidas]]-Stock[[#This Row],[Usados]]</f>
        <v>11</v>
      </c>
      <c r="L337" s="24">
        <f>Stock[[#This Row],[Stock Deposito]]*Stock[[#This Row],[Precio de Venta]]</f>
        <v>0</v>
      </c>
      <c r="M337" s="6">
        <f>SUMIFS(Tabla9[Cantidad],Tabla9[Codigo],Stock[Codigo])</f>
        <v>25</v>
      </c>
      <c r="N337" s="24">
        <f>Stock[[#This Row],[Precio de Compra]]*Stock[[#This Row],[Stock Cultivate]]</f>
        <v>1815</v>
      </c>
      <c r="O337" s="24">
        <f>Stock[[#This Row],[Stock Cultivate]]*Stock[[#This Row],[Precio de Venta]]</f>
        <v>3300</v>
      </c>
      <c r="R337" s="16"/>
    </row>
    <row r="338" spans="2:18">
      <c r="B338" s="44">
        <v>593</v>
      </c>
      <c r="C338" t="s">
        <v>646</v>
      </c>
      <c r="D338" s="45">
        <v>165</v>
      </c>
      <c r="E338" s="24">
        <v>300</v>
      </c>
      <c r="F338" s="44">
        <f>Stock[Entradas]-Stock[Compra Cultivate]</f>
        <v>0</v>
      </c>
      <c r="G338" s="11">
        <f>SUMIFS(Compras[Cantidad],Compras[Codigo],Stock[Codigo])</f>
        <v>25</v>
      </c>
      <c r="H338" s="11">
        <f>SUMIFS(Ventas[Cantidad],Ventas[Codigo],Stock[[#This Row],[Codigo]])</f>
        <v>14</v>
      </c>
      <c r="I338" s="12">
        <f>Stock[[#This Row],[Stock Deposito]]*Stock[[#This Row],[Precio de Compra]]</f>
        <v>0</v>
      </c>
      <c r="J338" s="6">
        <f>SUMIFS(ProdDesc[Cantidad],ProdDesc[Codigo],Stock[Codigo])</f>
        <v>1</v>
      </c>
      <c r="K338" s="44">
        <f>Stock[[#This Row],[Compra Cultivate]]-Stock[[#This Row],[Salidas]]-Stock[[#This Row],[Usados]]</f>
        <v>10</v>
      </c>
      <c r="L338" s="24">
        <f>Stock[[#This Row],[Stock Deposito]]*Stock[[#This Row],[Precio de Venta]]</f>
        <v>0</v>
      </c>
      <c r="M338" s="6">
        <f>SUMIFS(Tabla9[Cantidad],Tabla9[Codigo],Stock[Codigo])</f>
        <v>25</v>
      </c>
      <c r="N338" s="24">
        <f>Stock[[#This Row],[Precio de Compra]]*Stock[[#This Row],[Stock Cultivate]]</f>
        <v>1650</v>
      </c>
      <c r="O338" s="24">
        <f>Stock[[#This Row],[Stock Cultivate]]*Stock[[#This Row],[Precio de Venta]]</f>
        <v>3000</v>
      </c>
      <c r="R338" s="16"/>
    </row>
    <row r="339" spans="2:18">
      <c r="B339" s="44">
        <v>592</v>
      </c>
      <c r="C339" t="s">
        <v>647</v>
      </c>
      <c r="D339" s="45">
        <v>948</v>
      </c>
      <c r="E339" s="24">
        <v>1900</v>
      </c>
      <c r="F339" s="44">
        <f>Stock[Entradas]-Stock[Compra Cultivate]</f>
        <v>0</v>
      </c>
      <c r="G339" s="11">
        <f>SUMIFS(Compras[Cantidad],Compras[Codigo],Stock[Codigo])</f>
        <v>3</v>
      </c>
      <c r="H339" s="11">
        <f>SUMIFS(Ventas[Cantidad],Ventas[Codigo],Stock[[#This Row],[Codigo]])</f>
        <v>1</v>
      </c>
      <c r="I339" s="12">
        <f>Stock[[#This Row],[Stock Deposito]]*Stock[[#This Row],[Precio de Compra]]</f>
        <v>0</v>
      </c>
      <c r="J339" s="6">
        <f>SUMIFS(ProdDesc[Cantidad],ProdDesc[Codigo],Stock[Codigo])</f>
        <v>0</v>
      </c>
      <c r="K339" s="44">
        <f>Stock[[#This Row],[Compra Cultivate]]-Stock[[#This Row],[Salidas]]-Stock[[#This Row],[Usados]]</f>
        <v>2</v>
      </c>
      <c r="L339" s="24">
        <f>Stock[[#This Row],[Stock Deposito]]*Stock[[#This Row],[Precio de Venta]]</f>
        <v>0</v>
      </c>
      <c r="M339" s="6">
        <f>SUMIFS(Tabla9[Cantidad],Tabla9[Codigo],Stock[Codigo])</f>
        <v>3</v>
      </c>
      <c r="N339" s="24">
        <f>Stock[[#This Row],[Precio de Compra]]*Stock[[#This Row],[Stock Cultivate]]</f>
        <v>1896</v>
      </c>
      <c r="O339" s="24">
        <f>Stock[[#This Row],[Stock Cultivate]]*Stock[[#This Row],[Precio de Venta]]</f>
        <v>3800</v>
      </c>
      <c r="R339" s="16"/>
    </row>
    <row r="340" spans="2:18">
      <c r="B340" s="44">
        <v>591</v>
      </c>
      <c r="C340" t="s">
        <v>648</v>
      </c>
      <c r="D340" s="45">
        <v>854</v>
      </c>
      <c r="E340" s="24">
        <v>1700</v>
      </c>
      <c r="F340" s="44">
        <f>Stock[Entradas]-Stock[Compra Cultivate]</f>
        <v>0</v>
      </c>
      <c r="G340" s="11">
        <f>SUMIFS(Compras[Cantidad],Compras[Codigo],Stock[Codigo])</f>
        <v>1</v>
      </c>
      <c r="H340" s="11">
        <f>SUMIFS(Ventas[Cantidad],Ventas[Codigo],Stock[[#This Row],[Codigo]])</f>
        <v>0</v>
      </c>
      <c r="I340" s="12">
        <f>Stock[[#This Row],[Stock Deposito]]*Stock[[#This Row],[Precio de Compra]]</f>
        <v>0</v>
      </c>
      <c r="J340" s="6">
        <f>SUMIFS(ProdDesc[Cantidad],ProdDesc[Codigo],Stock[Codigo])</f>
        <v>0</v>
      </c>
      <c r="K340" s="44">
        <f>Stock[[#This Row],[Compra Cultivate]]-Stock[[#This Row],[Salidas]]-Stock[[#This Row],[Usados]]</f>
        <v>1</v>
      </c>
      <c r="L340" s="24">
        <f>Stock[[#This Row],[Stock Deposito]]*Stock[[#This Row],[Precio de Venta]]</f>
        <v>0</v>
      </c>
      <c r="M340" s="6">
        <f>SUMIFS(Tabla9[Cantidad],Tabla9[Codigo],Stock[Codigo])</f>
        <v>1</v>
      </c>
      <c r="N340" s="24">
        <f>Stock[[#This Row],[Precio de Compra]]*Stock[[#This Row],[Stock Cultivate]]</f>
        <v>854</v>
      </c>
      <c r="O340" s="24">
        <f>Stock[[#This Row],[Stock Cultivate]]*Stock[[#This Row],[Precio de Venta]]</f>
        <v>1700</v>
      </c>
      <c r="R340" s="16"/>
    </row>
    <row r="341" spans="2:18">
      <c r="B341" s="44">
        <v>590</v>
      </c>
      <c r="C341" t="s">
        <v>649</v>
      </c>
      <c r="D341" s="45">
        <v>1028</v>
      </c>
      <c r="E341" s="24">
        <v>2000</v>
      </c>
      <c r="F341" s="44">
        <f>Stock[Entradas]-Stock[Compra Cultivate]</f>
        <v>0</v>
      </c>
      <c r="G341" s="11">
        <f>SUMIFS(Compras[Cantidad],Compras[Codigo],Stock[Codigo])</f>
        <v>2</v>
      </c>
      <c r="H341" s="11">
        <f>SUMIFS(Ventas[Cantidad],Ventas[Codigo],Stock[[#This Row],[Codigo]])</f>
        <v>1</v>
      </c>
      <c r="I341" s="12">
        <f>Stock[[#This Row],[Stock Deposito]]*Stock[[#This Row],[Precio de Compra]]</f>
        <v>0</v>
      </c>
      <c r="J341" s="6">
        <f>SUMIFS(ProdDesc[Cantidad],ProdDesc[Codigo],Stock[Codigo])</f>
        <v>0</v>
      </c>
      <c r="K341" s="44">
        <f>Stock[[#This Row],[Compra Cultivate]]-Stock[[#This Row],[Salidas]]-Stock[[#This Row],[Usados]]</f>
        <v>1</v>
      </c>
      <c r="L341" s="24">
        <f>Stock[[#This Row],[Stock Deposito]]*Stock[[#This Row],[Precio de Venta]]</f>
        <v>0</v>
      </c>
      <c r="M341" s="6">
        <f>SUMIFS(Tabla9[Cantidad],Tabla9[Codigo],Stock[Codigo])</f>
        <v>2</v>
      </c>
      <c r="N341" s="24">
        <f>Stock[[#This Row],[Precio de Compra]]*Stock[[#This Row],[Stock Cultivate]]</f>
        <v>1028</v>
      </c>
      <c r="O341" s="24">
        <f>Stock[[#This Row],[Stock Cultivate]]*Stock[[#This Row],[Precio de Venta]]</f>
        <v>2000</v>
      </c>
      <c r="R341" s="16"/>
    </row>
    <row r="342" spans="2:18">
      <c r="B342" s="44">
        <v>589</v>
      </c>
      <c r="C342" t="s">
        <v>650</v>
      </c>
      <c r="D342" s="45">
        <v>175</v>
      </c>
      <c r="E342" s="24">
        <v>350</v>
      </c>
      <c r="F342" s="44">
        <f>Stock[Entradas]-Stock[Compra Cultivate]</f>
        <v>0</v>
      </c>
      <c r="G342" s="11">
        <f>SUMIFS(Compras[Cantidad],Compras[Codigo],Stock[Codigo])</f>
        <v>24</v>
      </c>
      <c r="H342" s="11">
        <f>SUMIFS(Ventas[Cantidad],Ventas[Codigo],Stock[[#This Row],[Codigo]])</f>
        <v>5</v>
      </c>
      <c r="I342" s="12">
        <f>Stock[[#This Row],[Stock Deposito]]*Stock[[#This Row],[Precio de Compra]]</f>
        <v>0</v>
      </c>
      <c r="J342" s="6">
        <f>SUMIFS(ProdDesc[Cantidad],ProdDesc[Codigo],Stock[Codigo])</f>
        <v>0</v>
      </c>
      <c r="K342" s="44">
        <f>Stock[[#This Row],[Compra Cultivate]]-Stock[[#This Row],[Salidas]]-Stock[[#This Row],[Usados]]</f>
        <v>19</v>
      </c>
      <c r="L342" s="24">
        <f>Stock[[#This Row],[Stock Deposito]]*Stock[[#This Row],[Precio de Venta]]</f>
        <v>0</v>
      </c>
      <c r="M342" s="6">
        <f>SUMIFS(Tabla9[Cantidad],Tabla9[Codigo],Stock[Codigo])</f>
        <v>24</v>
      </c>
      <c r="N342" s="24">
        <f>Stock[[#This Row],[Precio de Compra]]*Stock[[#This Row],[Stock Cultivate]]</f>
        <v>3325</v>
      </c>
      <c r="O342" s="24">
        <f>Stock[[#This Row],[Stock Cultivate]]*Stock[[#This Row],[Precio de Venta]]</f>
        <v>6650</v>
      </c>
      <c r="R342" s="16"/>
    </row>
    <row r="343" spans="2:18">
      <c r="B343" s="44">
        <v>588</v>
      </c>
      <c r="C343" t="s">
        <v>651</v>
      </c>
      <c r="D343" s="45">
        <v>1046</v>
      </c>
      <c r="E343" s="24">
        <v>2100</v>
      </c>
      <c r="F343" s="44">
        <f>Stock[Entradas]-Stock[Compra Cultivate]</f>
        <v>0</v>
      </c>
      <c r="G343" s="11">
        <f>SUMIFS(Compras[Cantidad],Compras[Codigo],Stock[Codigo])</f>
        <v>2</v>
      </c>
      <c r="H343" s="11">
        <f>SUMIFS(Ventas[Cantidad],Ventas[Codigo],Stock[[#This Row],[Codigo]])</f>
        <v>2</v>
      </c>
      <c r="I343" s="12">
        <f>Stock[[#This Row],[Stock Deposito]]*Stock[[#This Row],[Precio de Compra]]</f>
        <v>0</v>
      </c>
      <c r="J343" s="6">
        <f>SUMIFS(ProdDesc[Cantidad],ProdDesc[Codigo],Stock[Codigo])</f>
        <v>0</v>
      </c>
      <c r="K343" s="44">
        <f>Stock[[#This Row],[Compra Cultivate]]-Stock[[#This Row],[Salidas]]-Stock[[#This Row],[Usados]]</f>
        <v>0</v>
      </c>
      <c r="L343" s="24">
        <f>Stock[[#This Row],[Stock Deposito]]*Stock[[#This Row],[Precio de Venta]]</f>
        <v>0</v>
      </c>
      <c r="M343" s="6">
        <f>SUMIFS(Tabla9[Cantidad],Tabla9[Codigo],Stock[Codigo])</f>
        <v>2</v>
      </c>
      <c r="N343" s="24">
        <f>Stock[[#This Row],[Precio de Compra]]*Stock[[#This Row],[Stock Cultivate]]</f>
        <v>0</v>
      </c>
      <c r="O343" s="24">
        <f>Stock[[#This Row],[Stock Cultivate]]*Stock[[#This Row],[Precio de Venta]]</f>
        <v>0</v>
      </c>
      <c r="R343" s="16"/>
    </row>
    <row r="344" spans="2:18">
      <c r="B344" s="44">
        <v>587</v>
      </c>
      <c r="C344" t="s">
        <v>652</v>
      </c>
      <c r="D344" s="45">
        <v>275</v>
      </c>
      <c r="E344" s="24">
        <v>550</v>
      </c>
      <c r="F344" s="44">
        <f>Stock[Entradas]-Stock[Compra Cultivate]</f>
        <v>0</v>
      </c>
      <c r="G344" s="11">
        <f>SUMIFS(Compras[Cantidad],Compras[Codigo],Stock[Codigo])</f>
        <v>10</v>
      </c>
      <c r="H344" s="11">
        <f>SUMIFS(Ventas[Cantidad],Ventas[Codigo],Stock[[#This Row],[Codigo]])</f>
        <v>0</v>
      </c>
      <c r="I344" s="12">
        <f>Stock[[#This Row],[Stock Deposito]]*Stock[[#This Row],[Precio de Compra]]</f>
        <v>0</v>
      </c>
      <c r="J344" s="6">
        <f>SUMIFS(ProdDesc[Cantidad],ProdDesc[Codigo],Stock[Codigo])</f>
        <v>0</v>
      </c>
      <c r="K344" s="44">
        <f>Stock[[#This Row],[Compra Cultivate]]-Stock[[#This Row],[Salidas]]-Stock[[#This Row],[Usados]]</f>
        <v>10</v>
      </c>
      <c r="L344" s="24">
        <f>Stock[[#This Row],[Stock Deposito]]*Stock[[#This Row],[Precio de Venta]]</f>
        <v>0</v>
      </c>
      <c r="M344" s="6">
        <f>SUMIFS(Tabla9[Cantidad],Tabla9[Codigo],Stock[Codigo])</f>
        <v>10</v>
      </c>
      <c r="N344" s="24">
        <f>Stock[[#This Row],[Precio de Compra]]*Stock[[#This Row],[Stock Cultivate]]</f>
        <v>2750</v>
      </c>
      <c r="O344" s="24">
        <f>Stock[[#This Row],[Stock Cultivate]]*Stock[[#This Row],[Precio de Venta]]</f>
        <v>5500</v>
      </c>
      <c r="R344" s="16"/>
    </row>
    <row r="345" spans="2:18">
      <c r="B345" s="44">
        <v>586</v>
      </c>
      <c r="C345" t="s">
        <v>653</v>
      </c>
      <c r="D345" s="45">
        <v>190</v>
      </c>
      <c r="E345" s="24">
        <v>400</v>
      </c>
      <c r="F345" s="44">
        <f>Stock[Entradas]-Stock[Compra Cultivate]</f>
        <v>0</v>
      </c>
      <c r="G345" s="11">
        <f>SUMIFS(Compras[Cantidad],Compras[Codigo],Stock[Codigo])</f>
        <v>15</v>
      </c>
      <c r="H345" s="11">
        <f>SUMIFS(Ventas[Cantidad],Ventas[Codigo],Stock[[#This Row],[Codigo]])</f>
        <v>4</v>
      </c>
      <c r="I345" s="12">
        <f>Stock[[#This Row],[Stock Deposito]]*Stock[[#This Row],[Precio de Compra]]</f>
        <v>0</v>
      </c>
      <c r="J345" s="6">
        <f>SUMIFS(ProdDesc[Cantidad],ProdDesc[Codigo],Stock[Codigo])</f>
        <v>3</v>
      </c>
      <c r="K345" s="44">
        <f>Stock[[#This Row],[Compra Cultivate]]-Stock[[#This Row],[Salidas]]-Stock[[#This Row],[Usados]]</f>
        <v>8</v>
      </c>
      <c r="L345" s="24">
        <f>Stock[[#This Row],[Stock Deposito]]*Stock[[#This Row],[Precio de Venta]]</f>
        <v>0</v>
      </c>
      <c r="M345" s="6">
        <f>SUMIFS(Tabla9[Cantidad],Tabla9[Codigo],Stock[Codigo])</f>
        <v>15</v>
      </c>
      <c r="N345" s="24">
        <f>Stock[[#This Row],[Precio de Compra]]*Stock[[#This Row],[Stock Cultivate]]</f>
        <v>1520</v>
      </c>
      <c r="O345" s="24">
        <f>Stock[[#This Row],[Stock Cultivate]]*Stock[[#This Row],[Precio de Venta]]</f>
        <v>3200</v>
      </c>
      <c r="R345" s="16"/>
    </row>
    <row r="346" spans="2:18">
      <c r="B346" s="44">
        <v>585</v>
      </c>
      <c r="C346" t="s">
        <v>654</v>
      </c>
      <c r="D346" s="45">
        <v>500</v>
      </c>
      <c r="E346" s="24">
        <v>1000</v>
      </c>
      <c r="F346" s="44">
        <f>Stock[Entradas]-Stock[Compra Cultivate]</f>
        <v>0</v>
      </c>
      <c r="G346" s="11">
        <f>SUMIFS(Compras[Cantidad],Compras[Codigo],Stock[Codigo])</f>
        <v>5</v>
      </c>
      <c r="H346" s="11">
        <f>SUMIFS(Ventas[Cantidad],Ventas[Codigo],Stock[[#This Row],[Codigo]])</f>
        <v>1</v>
      </c>
      <c r="I346" s="12">
        <f>Stock[[#This Row],[Stock Deposito]]*Stock[[#This Row],[Precio de Compra]]</f>
        <v>0</v>
      </c>
      <c r="J346" s="6">
        <f>SUMIFS(ProdDesc[Cantidad],ProdDesc[Codigo],Stock[Codigo])</f>
        <v>0</v>
      </c>
      <c r="K346" s="44">
        <f>Stock[[#This Row],[Compra Cultivate]]-Stock[[#This Row],[Salidas]]-Stock[[#This Row],[Usados]]</f>
        <v>4</v>
      </c>
      <c r="L346" s="24">
        <f>Stock[[#This Row],[Stock Deposito]]*Stock[[#This Row],[Precio de Venta]]</f>
        <v>0</v>
      </c>
      <c r="M346" s="6">
        <f>SUMIFS(Tabla9[Cantidad],Tabla9[Codigo],Stock[Codigo])</f>
        <v>5</v>
      </c>
      <c r="N346" s="24">
        <f>Stock[[#This Row],[Precio de Compra]]*Stock[[#This Row],[Stock Cultivate]]</f>
        <v>2000</v>
      </c>
      <c r="O346" s="24">
        <f>Stock[[#This Row],[Stock Cultivate]]*Stock[[#This Row],[Precio de Venta]]</f>
        <v>4000</v>
      </c>
      <c r="R346" s="16"/>
    </row>
    <row r="347" spans="2:18">
      <c r="B347" s="44">
        <v>584</v>
      </c>
      <c r="C347" t="s">
        <v>655</v>
      </c>
      <c r="D347" s="45">
        <v>1500</v>
      </c>
      <c r="E347" s="24">
        <v>3000</v>
      </c>
      <c r="F347" s="44">
        <f>Stock[Entradas]-Stock[Compra Cultivate]</f>
        <v>0</v>
      </c>
      <c r="G347" s="11">
        <f>SUMIFS(Compras[Cantidad],Compras[Codigo],Stock[Codigo])</f>
        <v>3</v>
      </c>
      <c r="H347" s="11">
        <f>SUMIFS(Ventas[Cantidad],Ventas[Codigo],Stock[[#This Row],[Codigo]])</f>
        <v>3</v>
      </c>
      <c r="I347" s="12">
        <f>Stock[[#This Row],[Stock Deposito]]*Stock[[#This Row],[Precio de Compra]]</f>
        <v>0</v>
      </c>
      <c r="J347" s="6">
        <f>SUMIFS(ProdDesc[Cantidad],ProdDesc[Codigo],Stock[Codigo])</f>
        <v>0</v>
      </c>
      <c r="K347" s="44">
        <f>Stock[[#This Row],[Compra Cultivate]]-Stock[[#This Row],[Salidas]]-Stock[[#This Row],[Usados]]</f>
        <v>0</v>
      </c>
      <c r="L347" s="24">
        <f>Stock[[#This Row],[Stock Deposito]]*Stock[[#This Row],[Precio de Venta]]</f>
        <v>0</v>
      </c>
      <c r="M347" s="6">
        <f>SUMIFS(Tabla9[Cantidad],Tabla9[Codigo],Stock[Codigo])</f>
        <v>3</v>
      </c>
      <c r="N347" s="24">
        <f>Stock[[#This Row],[Precio de Compra]]*Stock[[#This Row],[Stock Cultivate]]</f>
        <v>0</v>
      </c>
      <c r="O347" s="24">
        <f>Stock[[#This Row],[Stock Cultivate]]*Stock[[#This Row],[Precio de Venta]]</f>
        <v>0</v>
      </c>
      <c r="R347" s="16"/>
    </row>
    <row r="348" spans="2:18">
      <c r="B348" s="44">
        <v>583</v>
      </c>
      <c r="C348" t="s">
        <v>656</v>
      </c>
      <c r="D348" s="45">
        <v>1000</v>
      </c>
      <c r="E348" s="24">
        <v>2000</v>
      </c>
      <c r="F348" s="44">
        <f>Stock[Entradas]-Stock[Compra Cultivate]</f>
        <v>0</v>
      </c>
      <c r="G348" s="11">
        <f>SUMIFS(Compras[Cantidad],Compras[Codigo],Stock[Codigo])</f>
        <v>7</v>
      </c>
      <c r="H348" s="11">
        <f>SUMIFS(Ventas[Cantidad],Ventas[Codigo],Stock[[#This Row],[Codigo]])</f>
        <v>2</v>
      </c>
      <c r="I348" s="12">
        <f>Stock[[#This Row],[Stock Deposito]]*Stock[[#This Row],[Precio de Compra]]</f>
        <v>0</v>
      </c>
      <c r="J348" s="6">
        <f>SUMIFS(ProdDesc[Cantidad],ProdDesc[Codigo],Stock[Codigo])</f>
        <v>0</v>
      </c>
      <c r="K348" s="44">
        <f>Stock[[#This Row],[Compra Cultivate]]-Stock[[#This Row],[Salidas]]-Stock[[#This Row],[Usados]]</f>
        <v>5</v>
      </c>
      <c r="L348" s="24">
        <f>Stock[[#This Row],[Stock Deposito]]*Stock[[#This Row],[Precio de Venta]]</f>
        <v>0</v>
      </c>
      <c r="M348" s="6">
        <f>SUMIFS(Tabla9[Cantidad],Tabla9[Codigo],Stock[Codigo])</f>
        <v>7</v>
      </c>
      <c r="N348" s="24">
        <f>Stock[[#This Row],[Precio de Compra]]*Stock[[#This Row],[Stock Cultivate]]</f>
        <v>5000</v>
      </c>
      <c r="O348" s="24">
        <f>Stock[[#This Row],[Stock Cultivate]]*Stock[[#This Row],[Precio de Venta]]</f>
        <v>10000</v>
      </c>
      <c r="R348" s="16"/>
    </row>
    <row r="349" spans="2:18">
      <c r="B349" s="44">
        <v>582</v>
      </c>
      <c r="C349" t="s">
        <v>657</v>
      </c>
      <c r="D349" s="45">
        <v>2188</v>
      </c>
      <c r="E349" s="24">
        <v>4500</v>
      </c>
      <c r="F349" s="44">
        <f>Stock[Entradas]-Stock[Compra Cultivate]</f>
        <v>0</v>
      </c>
      <c r="G349" s="11">
        <f>SUMIFS(Compras[Cantidad],Compras[Codigo],Stock[Codigo])</f>
        <v>1</v>
      </c>
      <c r="H349" s="11">
        <f>SUMIFS(Ventas[Cantidad],Ventas[Codigo],Stock[[#This Row],[Codigo]])</f>
        <v>1</v>
      </c>
      <c r="I349" s="12">
        <f>Stock[[#This Row],[Stock Deposito]]*Stock[[#This Row],[Precio de Compra]]</f>
        <v>0</v>
      </c>
      <c r="J349" s="6">
        <f>SUMIFS(ProdDesc[Cantidad],ProdDesc[Codigo],Stock[Codigo])</f>
        <v>0</v>
      </c>
      <c r="K349" s="44">
        <f>Stock[[#This Row],[Compra Cultivate]]-Stock[[#This Row],[Salidas]]-Stock[[#This Row],[Usados]]</f>
        <v>0</v>
      </c>
      <c r="L349" s="24">
        <f>Stock[[#This Row],[Stock Deposito]]*Stock[[#This Row],[Precio de Venta]]</f>
        <v>0</v>
      </c>
      <c r="M349" s="6">
        <f>SUMIFS(Tabla9[Cantidad],Tabla9[Codigo],Stock[Codigo])</f>
        <v>1</v>
      </c>
      <c r="N349" s="24">
        <f>Stock[[#This Row],[Precio de Compra]]*Stock[[#This Row],[Stock Cultivate]]</f>
        <v>0</v>
      </c>
      <c r="O349" s="24">
        <f>Stock[[#This Row],[Stock Cultivate]]*Stock[[#This Row],[Precio de Venta]]</f>
        <v>0</v>
      </c>
      <c r="R349" s="16"/>
    </row>
    <row r="350" spans="2:18">
      <c r="B350" s="44">
        <v>581</v>
      </c>
      <c r="C350" t="s">
        <v>658</v>
      </c>
      <c r="D350" s="45">
        <v>400</v>
      </c>
      <c r="E350" s="24">
        <v>900</v>
      </c>
      <c r="F350" s="44">
        <f>Stock[Entradas]-Stock[Compra Cultivate]</f>
        <v>0</v>
      </c>
      <c r="G350" s="11">
        <f>SUMIFS(Compras[Cantidad],Compras[Codigo],Stock[Codigo])</f>
        <v>1</v>
      </c>
      <c r="H350" s="11">
        <f>SUMIFS(Ventas[Cantidad],Ventas[Codigo],Stock[[#This Row],[Codigo]])</f>
        <v>0</v>
      </c>
      <c r="I350" s="12">
        <f>Stock[[#This Row],[Stock Deposito]]*Stock[[#This Row],[Precio de Compra]]</f>
        <v>0</v>
      </c>
      <c r="J350" s="6">
        <f>SUMIFS(ProdDesc[Cantidad],ProdDesc[Codigo],Stock[Codigo])</f>
        <v>0</v>
      </c>
      <c r="K350" s="44">
        <f>Stock[[#This Row],[Compra Cultivate]]-Stock[[#This Row],[Salidas]]-Stock[[#This Row],[Usados]]</f>
        <v>1</v>
      </c>
      <c r="L350" s="24">
        <f>Stock[[#This Row],[Stock Deposito]]*Stock[[#This Row],[Precio de Venta]]</f>
        <v>0</v>
      </c>
      <c r="M350" s="6">
        <f>SUMIFS(Tabla9[Cantidad],Tabla9[Codigo],Stock[Codigo])</f>
        <v>1</v>
      </c>
      <c r="N350" s="24">
        <f>Stock[[#This Row],[Precio de Compra]]*Stock[[#This Row],[Stock Cultivate]]</f>
        <v>400</v>
      </c>
      <c r="O350" s="24">
        <f>Stock[[#This Row],[Stock Cultivate]]*Stock[[#This Row],[Precio de Venta]]</f>
        <v>900</v>
      </c>
      <c r="R350" s="16"/>
    </row>
    <row r="351" spans="2:18">
      <c r="B351" s="44">
        <v>580</v>
      </c>
      <c r="C351" t="s">
        <v>659</v>
      </c>
      <c r="D351" s="45">
        <v>250</v>
      </c>
      <c r="E351" s="24">
        <v>500</v>
      </c>
      <c r="F351" s="44">
        <f>Stock[Entradas]-Stock[Compra Cultivate]</f>
        <v>0</v>
      </c>
      <c r="G351" s="11">
        <f>SUMIFS(Compras[Cantidad],Compras[Codigo],Stock[Codigo])</f>
        <v>1</v>
      </c>
      <c r="H351" s="11">
        <f>SUMIFS(Ventas[Cantidad],Ventas[Codigo],Stock[[#This Row],[Codigo]])</f>
        <v>0</v>
      </c>
      <c r="I351" s="12">
        <f>Stock[[#This Row],[Stock Deposito]]*Stock[[#This Row],[Precio de Compra]]</f>
        <v>0</v>
      </c>
      <c r="J351" s="6">
        <f>SUMIFS(ProdDesc[Cantidad],ProdDesc[Codigo],Stock[Codigo])</f>
        <v>0</v>
      </c>
      <c r="K351" s="44">
        <f>Stock[[#This Row],[Compra Cultivate]]-Stock[[#This Row],[Salidas]]-Stock[[#This Row],[Usados]]</f>
        <v>1</v>
      </c>
      <c r="L351" s="24">
        <f>Stock[[#This Row],[Stock Deposito]]*Stock[[#This Row],[Precio de Venta]]</f>
        <v>0</v>
      </c>
      <c r="M351" s="6">
        <f>SUMIFS(Tabla9[Cantidad],Tabla9[Codigo],Stock[Codigo])</f>
        <v>1</v>
      </c>
      <c r="N351" s="24">
        <f>Stock[[#This Row],[Precio de Compra]]*Stock[[#This Row],[Stock Cultivate]]</f>
        <v>250</v>
      </c>
      <c r="O351" s="24">
        <f>Stock[[#This Row],[Stock Cultivate]]*Stock[[#This Row],[Precio de Venta]]</f>
        <v>500</v>
      </c>
      <c r="R351" s="16"/>
    </row>
    <row r="352" spans="2:18">
      <c r="B352" s="44">
        <v>579</v>
      </c>
      <c r="C352" t="s">
        <v>660</v>
      </c>
      <c r="D352" s="45">
        <v>400</v>
      </c>
      <c r="E352" s="24">
        <v>800</v>
      </c>
      <c r="F352" s="44">
        <f>Stock[Entradas]-Stock[Compra Cultivate]</f>
        <v>0</v>
      </c>
      <c r="G352" s="11">
        <f>SUMIFS(Compras[Cantidad],Compras[Codigo],Stock[Codigo])</f>
        <v>2</v>
      </c>
      <c r="H352" s="11">
        <f>SUMIFS(Ventas[Cantidad],Ventas[Codigo],Stock[[#This Row],[Codigo]])</f>
        <v>1</v>
      </c>
      <c r="I352" s="12">
        <f>Stock[[#This Row],[Stock Deposito]]*Stock[[#This Row],[Precio de Compra]]</f>
        <v>0</v>
      </c>
      <c r="J352" s="6">
        <f>SUMIFS(ProdDesc[Cantidad],ProdDesc[Codigo],Stock[Codigo])</f>
        <v>0</v>
      </c>
      <c r="K352" s="44">
        <f>Stock[[#This Row],[Compra Cultivate]]-Stock[[#This Row],[Salidas]]-Stock[[#This Row],[Usados]]</f>
        <v>1</v>
      </c>
      <c r="L352" s="24">
        <f>Stock[[#This Row],[Stock Deposito]]*Stock[[#This Row],[Precio de Venta]]</f>
        <v>0</v>
      </c>
      <c r="M352" s="6">
        <f>SUMIFS(Tabla9[Cantidad],Tabla9[Codigo],Stock[Codigo])</f>
        <v>2</v>
      </c>
      <c r="N352" s="24">
        <f>Stock[[#This Row],[Precio de Compra]]*Stock[[#This Row],[Stock Cultivate]]</f>
        <v>400</v>
      </c>
      <c r="O352" s="24">
        <f>Stock[[#This Row],[Stock Cultivate]]*Stock[[#This Row],[Precio de Venta]]</f>
        <v>800</v>
      </c>
      <c r="R352" s="16"/>
    </row>
    <row r="353" spans="2:18">
      <c r="B353" s="44">
        <v>578</v>
      </c>
      <c r="C353" t="s">
        <v>661</v>
      </c>
      <c r="D353" s="45">
        <v>957</v>
      </c>
      <c r="E353" s="24">
        <v>1900</v>
      </c>
      <c r="F353" s="44">
        <f>Stock[Entradas]-Stock[Compra Cultivate]</f>
        <v>10</v>
      </c>
      <c r="G353" s="11">
        <f>SUMIFS(Compras[Cantidad],Compras[Codigo],Stock[Codigo])</f>
        <v>12</v>
      </c>
      <c r="H353" s="11">
        <f>SUMIFS(Ventas[Cantidad],Ventas[Codigo],Stock[[#This Row],[Codigo]])</f>
        <v>2</v>
      </c>
      <c r="I353" s="12">
        <f>Stock[[#This Row],[Stock Deposito]]*Stock[[#This Row],[Precio de Compra]]</f>
        <v>9570</v>
      </c>
      <c r="J353" s="6">
        <f>SUMIFS(ProdDesc[Cantidad],ProdDesc[Codigo],Stock[Codigo])</f>
        <v>0</v>
      </c>
      <c r="K353" s="44">
        <f>Stock[[#This Row],[Compra Cultivate]]-Stock[[#This Row],[Salidas]]-Stock[[#This Row],[Usados]]</f>
        <v>0</v>
      </c>
      <c r="L353" s="24">
        <f>Stock[[#This Row],[Stock Deposito]]*Stock[[#This Row],[Precio de Venta]]</f>
        <v>19000</v>
      </c>
      <c r="M353" s="6">
        <f>SUMIFS(Tabla9[Cantidad],Tabla9[Codigo],Stock[Codigo])</f>
        <v>2</v>
      </c>
      <c r="N353" s="24">
        <f>Stock[[#This Row],[Precio de Compra]]*Stock[[#This Row],[Stock Cultivate]]</f>
        <v>0</v>
      </c>
      <c r="O353" s="24">
        <f>Stock[[#This Row],[Stock Cultivate]]*Stock[[#This Row],[Precio de Venta]]</f>
        <v>0</v>
      </c>
      <c r="R353" s="16"/>
    </row>
    <row r="354" spans="2:18">
      <c r="B354" s="44">
        <v>577</v>
      </c>
      <c r="C354" t="s">
        <v>662</v>
      </c>
      <c r="D354" s="45">
        <v>498</v>
      </c>
      <c r="E354" s="24">
        <v>1000</v>
      </c>
      <c r="F354" s="44">
        <f>Stock[Entradas]-Stock[Compra Cultivate]</f>
        <v>7</v>
      </c>
      <c r="G354" s="11">
        <f>SUMIFS(Compras[Cantidad],Compras[Codigo],Stock[Codigo])</f>
        <v>8</v>
      </c>
      <c r="H354" s="11">
        <f>SUMIFS(Ventas[Cantidad],Ventas[Codigo],Stock[[#This Row],[Codigo]])</f>
        <v>1</v>
      </c>
      <c r="I354" s="12">
        <f>Stock[[#This Row],[Stock Deposito]]*Stock[[#This Row],[Precio de Compra]]</f>
        <v>3486</v>
      </c>
      <c r="J354" s="6">
        <f>SUMIFS(ProdDesc[Cantidad],ProdDesc[Codigo],Stock[Codigo])</f>
        <v>0</v>
      </c>
      <c r="K354" s="44">
        <f>Stock[[#This Row],[Compra Cultivate]]-Stock[[#This Row],[Salidas]]-Stock[[#This Row],[Usados]]</f>
        <v>0</v>
      </c>
      <c r="L354" s="24">
        <f>Stock[[#This Row],[Stock Deposito]]*Stock[[#This Row],[Precio de Venta]]</f>
        <v>7000</v>
      </c>
      <c r="M354" s="6">
        <f>SUMIFS(Tabla9[Cantidad],Tabla9[Codigo],Stock[Codigo])</f>
        <v>1</v>
      </c>
      <c r="N354" s="24">
        <f>Stock[[#This Row],[Precio de Compra]]*Stock[[#This Row],[Stock Cultivate]]</f>
        <v>0</v>
      </c>
      <c r="O354" s="24">
        <f>Stock[[#This Row],[Stock Cultivate]]*Stock[[#This Row],[Precio de Venta]]</f>
        <v>0</v>
      </c>
      <c r="R354" s="16"/>
    </row>
    <row r="355" spans="2:18">
      <c r="B355" s="44">
        <v>576</v>
      </c>
      <c r="C355" t="s">
        <v>663</v>
      </c>
      <c r="D355" s="45">
        <v>1179</v>
      </c>
      <c r="E355" s="24">
        <v>2300</v>
      </c>
      <c r="F355" s="44">
        <f>Stock[Entradas]-Stock[Compra Cultivate]</f>
        <v>2</v>
      </c>
      <c r="G355" s="11">
        <f>SUMIFS(Compras[Cantidad],Compras[Codigo],Stock[Codigo])</f>
        <v>16</v>
      </c>
      <c r="H355" s="11">
        <f>SUMIFS(Ventas[Cantidad],Ventas[Codigo],Stock[[#This Row],[Codigo]])</f>
        <v>13</v>
      </c>
      <c r="I355" s="12">
        <f>Stock[[#This Row],[Stock Deposito]]*Stock[[#This Row],[Precio de Compra]]</f>
        <v>2358</v>
      </c>
      <c r="J355" s="6">
        <f>SUMIFS(ProdDesc[Cantidad],ProdDesc[Codigo],Stock[Codigo])</f>
        <v>1</v>
      </c>
      <c r="K355" s="44">
        <f>Stock[[#This Row],[Compra Cultivate]]-Stock[[#This Row],[Salidas]]-Stock[[#This Row],[Usados]]</f>
        <v>0</v>
      </c>
      <c r="L355" s="24">
        <f>Stock[[#This Row],[Stock Deposito]]*Stock[[#This Row],[Precio de Venta]]</f>
        <v>4600</v>
      </c>
      <c r="M355" s="6">
        <f>SUMIFS(Tabla9[Cantidad],Tabla9[Codigo],Stock[Codigo])</f>
        <v>14</v>
      </c>
      <c r="N355" s="24">
        <f>Stock[[#This Row],[Precio de Compra]]*Stock[[#This Row],[Stock Cultivate]]</f>
        <v>0</v>
      </c>
      <c r="O355" s="24">
        <f>Stock[[#This Row],[Stock Cultivate]]*Stock[[#This Row],[Precio de Venta]]</f>
        <v>0</v>
      </c>
      <c r="R355" s="16"/>
    </row>
    <row r="356" spans="2:18">
      <c r="B356" s="44">
        <v>575</v>
      </c>
      <c r="C356" t="s">
        <v>664</v>
      </c>
      <c r="D356" s="45">
        <v>498</v>
      </c>
      <c r="E356" s="24">
        <v>1000</v>
      </c>
      <c r="F356" s="44">
        <f>Stock[Entradas]-Stock[Compra Cultivate]</f>
        <v>3</v>
      </c>
      <c r="G356" s="11">
        <f>SUMIFS(Compras[Cantidad],Compras[Codigo],Stock[Codigo])</f>
        <v>21</v>
      </c>
      <c r="H356" s="11">
        <f>SUMIFS(Ventas[Cantidad],Ventas[Codigo],Stock[[#This Row],[Codigo]])</f>
        <v>15</v>
      </c>
      <c r="I356" s="12">
        <f>Stock[[#This Row],[Stock Deposito]]*Stock[[#This Row],[Precio de Compra]]</f>
        <v>1494</v>
      </c>
      <c r="J356" s="6">
        <f>SUMIFS(ProdDesc[Cantidad],ProdDesc[Codigo],Stock[Codigo])</f>
        <v>1</v>
      </c>
      <c r="K356" s="44">
        <f>Stock[[#This Row],[Compra Cultivate]]-Stock[[#This Row],[Salidas]]-Stock[[#This Row],[Usados]]</f>
        <v>2</v>
      </c>
      <c r="L356" s="24">
        <f>Stock[[#This Row],[Stock Deposito]]*Stock[[#This Row],[Precio de Venta]]</f>
        <v>3000</v>
      </c>
      <c r="M356" s="6">
        <f>SUMIFS(Tabla9[Cantidad],Tabla9[Codigo],Stock[Codigo])</f>
        <v>18</v>
      </c>
      <c r="N356" s="24">
        <f>Stock[[#This Row],[Precio de Compra]]*Stock[[#This Row],[Stock Cultivate]]</f>
        <v>996</v>
      </c>
      <c r="O356" s="24">
        <f>Stock[[#This Row],[Stock Cultivate]]*Stock[[#This Row],[Precio de Venta]]</f>
        <v>2000</v>
      </c>
      <c r="R356" s="16"/>
    </row>
    <row r="357" spans="2:18">
      <c r="B357" s="44">
        <v>574</v>
      </c>
      <c r="C357" t="s">
        <v>665</v>
      </c>
      <c r="D357" s="45">
        <v>1786</v>
      </c>
      <c r="E357" s="24">
        <v>3000</v>
      </c>
      <c r="F357" s="44">
        <f>Stock[Entradas]-Stock[Compra Cultivate]</f>
        <v>0</v>
      </c>
      <c r="G357" s="11">
        <f>SUMIFS(Compras[Cantidad],Compras[Codigo],Stock[Codigo])</f>
        <v>5</v>
      </c>
      <c r="H357" s="11">
        <f>SUMIFS(Ventas[Cantidad],Ventas[Codigo],Stock[[#This Row],[Codigo]])</f>
        <v>2</v>
      </c>
      <c r="I357" s="12">
        <f>Stock[[#This Row],[Stock Deposito]]*Stock[[#This Row],[Precio de Compra]]</f>
        <v>0</v>
      </c>
      <c r="J357" s="6">
        <f>SUMIFS(ProdDesc[Cantidad],ProdDesc[Codigo],Stock[Codigo])</f>
        <v>0</v>
      </c>
      <c r="K357" s="44">
        <f>Stock[[#This Row],[Compra Cultivate]]-Stock[[#This Row],[Salidas]]-Stock[[#This Row],[Usados]]</f>
        <v>3</v>
      </c>
      <c r="L357" s="24">
        <f>Stock[[#This Row],[Stock Deposito]]*Stock[[#This Row],[Precio de Venta]]</f>
        <v>0</v>
      </c>
      <c r="M357" s="6">
        <f>SUMIFS(Tabla9[Cantidad],Tabla9[Codigo],Stock[Codigo])</f>
        <v>5</v>
      </c>
      <c r="N357" s="24">
        <f>Stock[[#This Row],[Precio de Compra]]*Stock[[#This Row],[Stock Cultivate]]</f>
        <v>5358</v>
      </c>
      <c r="O357" s="24">
        <f>Stock[[#This Row],[Stock Cultivate]]*Stock[[#This Row],[Precio de Venta]]</f>
        <v>9000</v>
      </c>
      <c r="R357" s="16"/>
    </row>
    <row r="358" spans="2:18">
      <c r="B358" s="44">
        <v>573</v>
      </c>
      <c r="C358" t="s">
        <v>666</v>
      </c>
      <c r="D358" s="45">
        <v>1500</v>
      </c>
      <c r="E358" s="24">
        <v>2500</v>
      </c>
      <c r="F358" s="44">
        <f>Stock[Entradas]-Stock[Compra Cultivate]</f>
        <v>0</v>
      </c>
      <c r="G358" s="11">
        <f>SUMIFS(Compras[Cantidad],Compras[Codigo],Stock[Codigo])</f>
        <v>5</v>
      </c>
      <c r="H358" s="11">
        <f>SUMIFS(Ventas[Cantidad],Ventas[Codigo],Stock[[#This Row],[Codigo]])</f>
        <v>1</v>
      </c>
      <c r="I358" s="12">
        <f>Stock[[#This Row],[Stock Deposito]]*Stock[[#This Row],[Precio de Compra]]</f>
        <v>0</v>
      </c>
      <c r="J358" s="6">
        <f>SUMIFS(ProdDesc[Cantidad],ProdDesc[Codigo],Stock[Codigo])</f>
        <v>0</v>
      </c>
      <c r="K358" s="44">
        <f>Stock[[#This Row],[Compra Cultivate]]-Stock[[#This Row],[Salidas]]-Stock[[#This Row],[Usados]]</f>
        <v>4</v>
      </c>
      <c r="L358" s="24">
        <f>Stock[[#This Row],[Stock Deposito]]*Stock[[#This Row],[Precio de Venta]]</f>
        <v>0</v>
      </c>
      <c r="M358" s="6">
        <f>SUMIFS(Tabla9[Cantidad],Tabla9[Codigo],Stock[Codigo])</f>
        <v>5</v>
      </c>
      <c r="N358" s="24">
        <f>Stock[[#This Row],[Precio de Compra]]*Stock[[#This Row],[Stock Cultivate]]</f>
        <v>6000</v>
      </c>
      <c r="O358" s="24">
        <f>Stock[[#This Row],[Stock Cultivate]]*Stock[[#This Row],[Precio de Venta]]</f>
        <v>10000</v>
      </c>
      <c r="R358" s="16"/>
    </row>
    <row r="359" spans="2:18">
      <c r="B359" s="44">
        <v>572</v>
      </c>
      <c r="C359" t="s">
        <v>667</v>
      </c>
      <c r="D359" s="45">
        <v>130</v>
      </c>
      <c r="E359" s="24">
        <v>300</v>
      </c>
      <c r="F359" s="44">
        <f>Stock[Entradas]-Stock[Compra Cultivate]</f>
        <v>0</v>
      </c>
      <c r="G359" s="11">
        <f>SUMIFS(Compras[Cantidad],Compras[Codigo],Stock[Codigo])</f>
        <v>4</v>
      </c>
      <c r="H359" s="11">
        <f>SUMIFS(Ventas[Cantidad],Ventas[Codigo],Stock[[#This Row],[Codigo]])</f>
        <v>4</v>
      </c>
      <c r="I359" s="12">
        <f>Stock[[#This Row],[Stock Deposito]]*Stock[[#This Row],[Precio de Compra]]</f>
        <v>0</v>
      </c>
      <c r="J359" s="6">
        <f>SUMIFS(ProdDesc[Cantidad],ProdDesc[Codigo],Stock[Codigo])</f>
        <v>0</v>
      </c>
      <c r="K359" s="44">
        <f>Stock[[#This Row],[Compra Cultivate]]-Stock[[#This Row],[Salidas]]-Stock[[#This Row],[Usados]]</f>
        <v>0</v>
      </c>
      <c r="L359" s="24">
        <f>Stock[[#This Row],[Stock Deposito]]*Stock[[#This Row],[Precio de Venta]]</f>
        <v>0</v>
      </c>
      <c r="M359" s="6">
        <f>SUMIFS(Tabla9[Cantidad],Tabla9[Codigo],Stock[Codigo])</f>
        <v>4</v>
      </c>
      <c r="N359" s="24">
        <f>Stock[[#This Row],[Precio de Compra]]*Stock[[#This Row],[Stock Cultivate]]</f>
        <v>0</v>
      </c>
      <c r="O359" s="24">
        <f>Stock[[#This Row],[Stock Cultivate]]*Stock[[#This Row],[Precio de Venta]]</f>
        <v>0</v>
      </c>
      <c r="R359" s="16"/>
    </row>
    <row r="360" spans="2:18">
      <c r="B360" s="44">
        <v>571</v>
      </c>
      <c r="C360" t="s">
        <v>668</v>
      </c>
      <c r="D360" s="45">
        <v>1250</v>
      </c>
      <c r="E360" s="24">
        <v>2500</v>
      </c>
      <c r="F360" s="44">
        <f>Stock[Entradas]-Stock[Compra Cultivate]</f>
        <v>0</v>
      </c>
      <c r="G360" s="11">
        <f>SUMIFS(Compras[Cantidad],Compras[Codigo],Stock[Codigo])</f>
        <v>5</v>
      </c>
      <c r="H360" s="11">
        <f>SUMIFS(Ventas[Cantidad],Ventas[Codigo],Stock[[#This Row],[Codigo]])</f>
        <v>4</v>
      </c>
      <c r="I360" s="12">
        <f>Stock[[#This Row],[Stock Deposito]]*Stock[[#This Row],[Precio de Compra]]</f>
        <v>0</v>
      </c>
      <c r="J360" s="6">
        <f>SUMIFS(ProdDesc[Cantidad],ProdDesc[Codigo],Stock[Codigo])</f>
        <v>0</v>
      </c>
      <c r="K360" s="44">
        <f>Stock[[#This Row],[Compra Cultivate]]-Stock[[#This Row],[Salidas]]-Stock[[#This Row],[Usados]]</f>
        <v>1</v>
      </c>
      <c r="L360" s="24">
        <f>Stock[[#This Row],[Stock Deposito]]*Stock[[#This Row],[Precio de Venta]]</f>
        <v>0</v>
      </c>
      <c r="M360" s="6">
        <f>SUMIFS(Tabla9[Cantidad],Tabla9[Codigo],Stock[Codigo])</f>
        <v>5</v>
      </c>
      <c r="N360" s="24">
        <f>Stock[[#This Row],[Precio de Compra]]*Stock[[#This Row],[Stock Cultivate]]</f>
        <v>1250</v>
      </c>
      <c r="O360" s="24">
        <f>Stock[[#This Row],[Stock Cultivate]]*Stock[[#This Row],[Precio de Venta]]</f>
        <v>2500</v>
      </c>
      <c r="R360" s="16"/>
    </row>
    <row r="361" spans="2:18">
      <c r="B361" s="44">
        <v>570</v>
      </c>
      <c r="C361" t="s">
        <v>669</v>
      </c>
      <c r="D361" s="45">
        <v>645</v>
      </c>
      <c r="E361" s="24">
        <v>1300</v>
      </c>
      <c r="F361" s="44">
        <f>Stock[Entradas]-Stock[Compra Cultivate]</f>
        <v>0</v>
      </c>
      <c r="G361" s="11">
        <f>SUMIFS(Compras[Cantidad],Compras[Codigo],Stock[Codigo])</f>
        <v>2</v>
      </c>
      <c r="H361" s="11">
        <f>SUMIFS(Ventas[Cantidad],Ventas[Codigo],Stock[[#This Row],[Codigo]])</f>
        <v>2</v>
      </c>
      <c r="I361" s="12">
        <f>Stock[[#This Row],[Stock Deposito]]*Stock[[#This Row],[Precio de Compra]]</f>
        <v>0</v>
      </c>
      <c r="J361" s="6">
        <f>SUMIFS(ProdDesc[Cantidad],ProdDesc[Codigo],Stock[Codigo])</f>
        <v>0</v>
      </c>
      <c r="K361" s="44">
        <f>Stock[[#This Row],[Compra Cultivate]]-Stock[[#This Row],[Salidas]]-Stock[[#This Row],[Usados]]</f>
        <v>0</v>
      </c>
      <c r="L361" s="24">
        <f>Stock[[#This Row],[Stock Deposito]]*Stock[[#This Row],[Precio de Venta]]</f>
        <v>0</v>
      </c>
      <c r="M361" s="6">
        <f>SUMIFS(Tabla9[Cantidad],Tabla9[Codigo],Stock[Codigo])</f>
        <v>2</v>
      </c>
      <c r="N361" s="24">
        <f>Stock[[#This Row],[Precio de Compra]]*Stock[[#This Row],[Stock Cultivate]]</f>
        <v>0</v>
      </c>
      <c r="O361" s="24">
        <f>Stock[[#This Row],[Stock Cultivate]]*Stock[[#This Row],[Precio de Venta]]</f>
        <v>0</v>
      </c>
      <c r="R361" s="16"/>
    </row>
    <row r="362" spans="2:18">
      <c r="B362" s="44">
        <v>569</v>
      </c>
      <c r="C362" t="s">
        <v>670</v>
      </c>
      <c r="D362" s="45">
        <v>932</v>
      </c>
      <c r="E362" s="24">
        <v>2000</v>
      </c>
      <c r="F362" s="44">
        <f>Stock[Entradas]-Stock[Compra Cultivate]</f>
        <v>2</v>
      </c>
      <c r="G362" s="11">
        <f>SUMIFS(Compras[Cantidad],Compras[Codigo],Stock[Codigo])</f>
        <v>31</v>
      </c>
      <c r="H362" s="11">
        <f>SUMIFS(Ventas[Cantidad],Ventas[Codigo],Stock[[#This Row],[Codigo]])</f>
        <v>28</v>
      </c>
      <c r="I362" s="12">
        <f>Stock[[#This Row],[Stock Deposito]]*Stock[[#This Row],[Precio de Compra]]</f>
        <v>1864</v>
      </c>
      <c r="J362" s="6">
        <f>SUMIFS(ProdDesc[Cantidad],ProdDesc[Codigo],Stock[Codigo])</f>
        <v>1</v>
      </c>
      <c r="K362" s="44">
        <f>Stock[[#This Row],[Compra Cultivate]]-Stock[[#This Row],[Salidas]]-Stock[[#This Row],[Usados]]</f>
        <v>0</v>
      </c>
      <c r="L362" s="24">
        <f>Stock[[#This Row],[Stock Deposito]]*Stock[[#This Row],[Precio de Venta]]</f>
        <v>4000</v>
      </c>
      <c r="M362" s="6">
        <f>SUMIFS(Tabla9[Cantidad],Tabla9[Codigo],Stock[Codigo])</f>
        <v>29</v>
      </c>
      <c r="N362" s="24">
        <f>Stock[[#This Row],[Precio de Compra]]*Stock[[#This Row],[Stock Cultivate]]</f>
        <v>0</v>
      </c>
      <c r="O362" s="24">
        <f>Stock[[#This Row],[Stock Cultivate]]*Stock[[#This Row],[Precio de Venta]]</f>
        <v>0</v>
      </c>
      <c r="R362" s="16"/>
    </row>
    <row r="363" spans="2:18">
      <c r="B363" s="44">
        <v>568</v>
      </c>
      <c r="C363" t="s">
        <v>671</v>
      </c>
      <c r="D363" s="45">
        <v>1050</v>
      </c>
      <c r="E363" s="24">
        <v>2100</v>
      </c>
      <c r="F363" s="44">
        <f>Stock[Entradas]-Stock[Compra Cultivate]</f>
        <v>0</v>
      </c>
      <c r="G363" s="11">
        <f>SUMIFS(Compras[Cantidad],Compras[Codigo],Stock[Codigo])</f>
        <v>2</v>
      </c>
      <c r="H363" s="11">
        <f>SUMIFS(Ventas[Cantidad],Ventas[Codigo],Stock[[#This Row],[Codigo]])</f>
        <v>2</v>
      </c>
      <c r="I363" s="12">
        <f>Stock[[#This Row],[Stock Deposito]]*Stock[[#This Row],[Precio de Compra]]</f>
        <v>0</v>
      </c>
      <c r="J363" s="6">
        <f>SUMIFS(ProdDesc[Cantidad],ProdDesc[Codigo],Stock[Codigo])</f>
        <v>0</v>
      </c>
      <c r="K363" s="44">
        <f>Stock[[#This Row],[Compra Cultivate]]-Stock[[#This Row],[Salidas]]-Stock[[#This Row],[Usados]]</f>
        <v>0</v>
      </c>
      <c r="L363" s="24">
        <f>Stock[[#This Row],[Stock Deposito]]*Stock[[#This Row],[Precio de Venta]]</f>
        <v>0</v>
      </c>
      <c r="M363" s="6">
        <f>SUMIFS(Tabla9[Cantidad],Tabla9[Codigo],Stock[Codigo])</f>
        <v>2</v>
      </c>
      <c r="N363" s="24">
        <f>Stock[[#This Row],[Precio de Compra]]*Stock[[#This Row],[Stock Cultivate]]</f>
        <v>0</v>
      </c>
      <c r="O363" s="24">
        <f>Stock[[#This Row],[Stock Cultivate]]*Stock[[#This Row],[Precio de Venta]]</f>
        <v>0</v>
      </c>
      <c r="R363" s="16"/>
    </row>
    <row r="364" spans="2:18">
      <c r="B364" s="44">
        <v>567</v>
      </c>
      <c r="C364" t="s">
        <v>672</v>
      </c>
      <c r="D364" s="45">
        <v>1685</v>
      </c>
      <c r="E364" s="24">
        <v>3400</v>
      </c>
      <c r="F364" s="44">
        <f>Stock[Entradas]-Stock[Compra Cultivate]</f>
        <v>0</v>
      </c>
      <c r="G364" s="11">
        <f>SUMIFS(Compras[Cantidad],Compras[Codigo],Stock[Codigo])</f>
        <v>2</v>
      </c>
      <c r="H364" s="11">
        <f>SUMIFS(Ventas[Cantidad],Ventas[Codigo],Stock[[#This Row],[Codigo]])</f>
        <v>2</v>
      </c>
      <c r="I364" s="12">
        <f>Stock[[#This Row],[Stock Deposito]]*Stock[[#This Row],[Precio de Compra]]</f>
        <v>0</v>
      </c>
      <c r="J364" s="6">
        <f>SUMIFS(ProdDesc[Cantidad],ProdDesc[Codigo],Stock[Codigo])</f>
        <v>0</v>
      </c>
      <c r="K364" s="44">
        <f>Stock[[#This Row],[Compra Cultivate]]-Stock[[#This Row],[Salidas]]-Stock[[#This Row],[Usados]]</f>
        <v>0</v>
      </c>
      <c r="L364" s="24">
        <f>Stock[[#This Row],[Stock Deposito]]*Stock[[#This Row],[Precio de Venta]]</f>
        <v>0</v>
      </c>
      <c r="M364" s="6">
        <f>SUMIFS(Tabla9[Cantidad],Tabla9[Codigo],Stock[Codigo])</f>
        <v>2</v>
      </c>
      <c r="N364" s="24">
        <f>Stock[[#This Row],[Precio de Compra]]*Stock[[#This Row],[Stock Cultivate]]</f>
        <v>0</v>
      </c>
      <c r="O364" s="24">
        <f>Stock[[#This Row],[Stock Cultivate]]*Stock[[#This Row],[Precio de Venta]]</f>
        <v>0</v>
      </c>
      <c r="R364" s="16"/>
    </row>
    <row r="365" spans="2:18">
      <c r="B365" s="44">
        <v>566</v>
      </c>
      <c r="C365" t="s">
        <v>673</v>
      </c>
      <c r="D365" s="45">
        <v>5750</v>
      </c>
      <c r="E365" s="24">
        <v>12000</v>
      </c>
      <c r="F365" s="44">
        <f>Stock[Entradas]-Stock[Compra Cultivate]</f>
        <v>0</v>
      </c>
      <c r="G365" s="11">
        <f>SUMIFS(Compras[Cantidad],Compras[Codigo],Stock[Codigo])</f>
        <v>3</v>
      </c>
      <c r="H365" s="11">
        <f>SUMIFS(Ventas[Cantidad],Ventas[Codigo],Stock[[#This Row],[Codigo]])</f>
        <v>1</v>
      </c>
      <c r="I365" s="12">
        <f>Stock[[#This Row],[Stock Deposito]]*Stock[[#This Row],[Precio de Compra]]</f>
        <v>0</v>
      </c>
      <c r="J365" s="6">
        <f>SUMIFS(ProdDesc[Cantidad],ProdDesc[Codigo],Stock[Codigo])</f>
        <v>0</v>
      </c>
      <c r="K365" s="44">
        <f>Stock[[#This Row],[Compra Cultivate]]-Stock[[#This Row],[Salidas]]-Stock[[#This Row],[Usados]]</f>
        <v>2</v>
      </c>
      <c r="L365" s="24">
        <f>Stock[[#This Row],[Stock Deposito]]*Stock[[#This Row],[Precio de Venta]]</f>
        <v>0</v>
      </c>
      <c r="M365" s="6">
        <f>SUMIFS(Tabla9[Cantidad],Tabla9[Codigo],Stock[Codigo])</f>
        <v>3</v>
      </c>
      <c r="N365" s="24">
        <f>Stock[[#This Row],[Precio de Compra]]*Stock[[#This Row],[Stock Cultivate]]</f>
        <v>11500</v>
      </c>
      <c r="O365" s="24">
        <f>Stock[[#This Row],[Stock Cultivate]]*Stock[[#This Row],[Precio de Venta]]</f>
        <v>24000</v>
      </c>
      <c r="R365" s="16"/>
    </row>
    <row r="366" spans="2:18">
      <c r="B366" s="44">
        <v>565</v>
      </c>
      <c r="C366" t="s">
        <v>674</v>
      </c>
      <c r="D366" s="45">
        <v>760</v>
      </c>
      <c r="E366" s="24">
        <v>1500</v>
      </c>
      <c r="F366" s="44">
        <f>Stock[Entradas]-Stock[Compra Cultivate]</f>
        <v>0</v>
      </c>
      <c r="G366" s="11">
        <f>SUMIFS(Compras[Cantidad],Compras[Codigo],Stock[Codigo])</f>
        <v>1</v>
      </c>
      <c r="H366" s="11">
        <f>SUMIFS(Ventas[Cantidad],Ventas[Codigo],Stock[[#This Row],[Codigo]])</f>
        <v>1</v>
      </c>
      <c r="I366" s="12">
        <f>Stock[[#This Row],[Stock Deposito]]*Stock[[#This Row],[Precio de Compra]]</f>
        <v>0</v>
      </c>
      <c r="J366" s="6">
        <f>SUMIFS(ProdDesc[Cantidad],ProdDesc[Codigo],Stock[Codigo])</f>
        <v>0</v>
      </c>
      <c r="K366" s="44">
        <f>Stock[[#This Row],[Compra Cultivate]]-Stock[[#This Row],[Salidas]]-Stock[[#This Row],[Usados]]</f>
        <v>0</v>
      </c>
      <c r="L366" s="24">
        <f>Stock[[#This Row],[Stock Deposito]]*Stock[[#This Row],[Precio de Venta]]</f>
        <v>0</v>
      </c>
      <c r="M366" s="6">
        <f>SUMIFS(Tabla9[Cantidad],Tabla9[Codigo],Stock[Codigo])</f>
        <v>1</v>
      </c>
      <c r="N366" s="24">
        <f>Stock[[#This Row],[Precio de Compra]]*Stock[[#This Row],[Stock Cultivate]]</f>
        <v>0</v>
      </c>
      <c r="O366" s="24">
        <f>Stock[[#This Row],[Stock Cultivate]]*Stock[[#This Row],[Precio de Venta]]</f>
        <v>0</v>
      </c>
      <c r="R366" s="16"/>
    </row>
    <row r="367" spans="2:18">
      <c r="B367" s="44">
        <v>564</v>
      </c>
      <c r="C367" t="s">
        <v>574</v>
      </c>
      <c r="D367" s="45">
        <v>460</v>
      </c>
      <c r="E367" s="24">
        <v>1000</v>
      </c>
      <c r="F367" s="44">
        <f>Stock[Entradas]-Stock[Compra Cultivate]</f>
        <v>0</v>
      </c>
      <c r="G367" s="11">
        <f>SUMIFS(Compras[Cantidad],Compras[Codigo],Stock[Codigo])</f>
        <v>4</v>
      </c>
      <c r="H367" s="11">
        <f>SUMIFS(Ventas[Cantidad],Ventas[Codigo],Stock[[#This Row],[Codigo]])</f>
        <v>3</v>
      </c>
      <c r="I367" s="12">
        <f>Stock[[#This Row],[Stock Deposito]]*Stock[[#This Row],[Precio de Compra]]</f>
        <v>0</v>
      </c>
      <c r="J367" s="6">
        <f>SUMIFS(ProdDesc[Cantidad],ProdDesc[Codigo],Stock[Codigo])</f>
        <v>1</v>
      </c>
      <c r="K367" s="44">
        <f>Stock[[#This Row],[Compra Cultivate]]-Stock[[#This Row],[Salidas]]-Stock[[#This Row],[Usados]]</f>
        <v>0</v>
      </c>
      <c r="L367" s="24">
        <f>Stock[[#This Row],[Stock Deposito]]*Stock[[#This Row],[Precio de Venta]]</f>
        <v>0</v>
      </c>
      <c r="M367" s="6">
        <f>SUMIFS(Tabla9[Cantidad],Tabla9[Codigo],Stock[Codigo])</f>
        <v>4</v>
      </c>
      <c r="N367" s="24">
        <f>Stock[[#This Row],[Precio de Compra]]*Stock[[#This Row],[Stock Cultivate]]</f>
        <v>0</v>
      </c>
      <c r="O367" s="24">
        <f>Stock[[#This Row],[Stock Cultivate]]*Stock[[#This Row],[Precio de Venta]]</f>
        <v>0</v>
      </c>
      <c r="R367" s="16"/>
    </row>
    <row r="368" spans="2:18">
      <c r="B368" s="44">
        <v>563</v>
      </c>
      <c r="C368" t="s">
        <v>567</v>
      </c>
      <c r="D368" s="45">
        <v>3991</v>
      </c>
      <c r="E368" s="24">
        <v>8000</v>
      </c>
      <c r="F368" s="44">
        <f>Stock[Entradas]-Stock[Compra Cultivate]</f>
        <v>0</v>
      </c>
      <c r="G368" s="11">
        <f>SUMIFS(Compras[Cantidad],Compras[Codigo],Stock[Codigo])</f>
        <v>1</v>
      </c>
      <c r="H368" s="11">
        <f>SUMIFS(Ventas[Cantidad],Ventas[Codigo],Stock[[#This Row],[Codigo]])</f>
        <v>0</v>
      </c>
      <c r="I368" s="12">
        <f>Stock[[#This Row],[Stock Deposito]]*Stock[[#This Row],[Precio de Compra]]</f>
        <v>0</v>
      </c>
      <c r="J368" s="6">
        <f>SUMIFS(ProdDesc[Cantidad],ProdDesc[Codigo],Stock[Codigo])</f>
        <v>1</v>
      </c>
      <c r="K368" s="44">
        <f>Stock[[#This Row],[Compra Cultivate]]-Stock[[#This Row],[Salidas]]-Stock[[#This Row],[Usados]]</f>
        <v>0</v>
      </c>
      <c r="L368" s="24">
        <f>Stock[[#This Row],[Stock Deposito]]*Stock[[#This Row],[Precio de Venta]]</f>
        <v>0</v>
      </c>
      <c r="M368" s="6">
        <f>SUMIFS(Tabla9[Cantidad],Tabla9[Codigo],Stock[Codigo])</f>
        <v>1</v>
      </c>
      <c r="N368" s="24">
        <f>Stock[[#This Row],[Precio de Compra]]*Stock[[#This Row],[Stock Cultivate]]</f>
        <v>0</v>
      </c>
      <c r="O368" s="24">
        <f>Stock[[#This Row],[Stock Cultivate]]*Stock[[#This Row],[Precio de Venta]]</f>
        <v>0</v>
      </c>
      <c r="R368" s="16"/>
    </row>
    <row r="369" spans="2:18">
      <c r="B369" s="44">
        <v>562</v>
      </c>
      <c r="C369" t="s">
        <v>566</v>
      </c>
      <c r="D369" s="45">
        <v>2491</v>
      </c>
      <c r="E369" s="24">
        <v>5000</v>
      </c>
      <c r="F369" s="44">
        <f>Stock[Entradas]-Stock[Compra Cultivate]</f>
        <v>0</v>
      </c>
      <c r="G369" s="11">
        <f>SUMIFS(Compras[Cantidad],Compras[Codigo],Stock[Codigo])</f>
        <v>1</v>
      </c>
      <c r="H369" s="11">
        <f>SUMIFS(Ventas[Cantidad],Ventas[Codigo],Stock[[#This Row],[Codigo]])</f>
        <v>1</v>
      </c>
      <c r="I369" s="12">
        <f>Stock[[#This Row],[Stock Deposito]]*Stock[[#This Row],[Precio de Compra]]</f>
        <v>0</v>
      </c>
      <c r="J369" s="6">
        <f>SUMIFS(ProdDesc[Cantidad],ProdDesc[Codigo],Stock[Codigo])</f>
        <v>0</v>
      </c>
      <c r="K369" s="44">
        <f>Stock[[#This Row],[Compra Cultivate]]-Stock[[#This Row],[Salidas]]-Stock[[#This Row],[Usados]]</f>
        <v>0</v>
      </c>
      <c r="L369" s="24">
        <f>Stock[[#This Row],[Stock Deposito]]*Stock[[#This Row],[Precio de Venta]]</f>
        <v>0</v>
      </c>
      <c r="M369" s="6">
        <f>SUMIFS(Tabla9[Cantidad],Tabla9[Codigo],Stock[Codigo])</f>
        <v>1</v>
      </c>
      <c r="N369" s="24">
        <f>Stock[[#This Row],[Precio de Compra]]*Stock[[#This Row],[Stock Cultivate]]</f>
        <v>0</v>
      </c>
      <c r="O369" s="24">
        <f>Stock[[#This Row],[Stock Cultivate]]*Stock[[#This Row],[Precio de Venta]]</f>
        <v>0</v>
      </c>
      <c r="R369" s="16"/>
    </row>
    <row r="370" spans="2:18">
      <c r="B370" s="44">
        <v>561</v>
      </c>
      <c r="C370" t="s">
        <v>549</v>
      </c>
      <c r="D370" s="45">
        <v>316</v>
      </c>
      <c r="E370" s="24">
        <v>550</v>
      </c>
      <c r="F370" s="44">
        <f>Stock[Entradas]-Stock[Compra Cultivate]</f>
        <v>0</v>
      </c>
      <c r="G370" s="11">
        <f>SUMIFS(Compras[Cantidad],Compras[Codigo],Stock[Codigo])</f>
        <v>1</v>
      </c>
      <c r="H370" s="11">
        <f>SUMIFS(Ventas[Cantidad],Ventas[Codigo],Stock[[#This Row],[Codigo]])</f>
        <v>1</v>
      </c>
      <c r="I370" s="12">
        <f>Stock[[#This Row],[Stock Deposito]]*Stock[[#This Row],[Precio de Compra]]</f>
        <v>0</v>
      </c>
      <c r="J370" s="6">
        <f>SUMIFS(ProdDesc[Cantidad],ProdDesc[Codigo],Stock[Codigo])</f>
        <v>0</v>
      </c>
      <c r="K370" s="44">
        <f>Stock[[#This Row],[Compra Cultivate]]-Stock[[#This Row],[Salidas]]-Stock[[#This Row],[Usados]]</f>
        <v>0</v>
      </c>
      <c r="L370" s="24">
        <f>Stock[[#This Row],[Stock Deposito]]*Stock[[#This Row],[Precio de Venta]]</f>
        <v>0</v>
      </c>
      <c r="M370" s="6">
        <f>SUMIFS(Tabla9[Cantidad],Tabla9[Codigo],Stock[Codigo])</f>
        <v>1</v>
      </c>
      <c r="N370" s="24">
        <f>Stock[[#This Row],[Precio de Compra]]*Stock[[#This Row],[Stock Cultivate]]</f>
        <v>0</v>
      </c>
      <c r="O370" s="24">
        <f>Stock[[#This Row],[Stock Cultivate]]*Stock[[#This Row],[Precio de Venta]]</f>
        <v>0</v>
      </c>
      <c r="R370" s="16"/>
    </row>
    <row r="371" spans="2:18">
      <c r="B371" s="44">
        <v>560</v>
      </c>
      <c r="C371" t="s">
        <v>547</v>
      </c>
      <c r="D371" s="45">
        <v>350</v>
      </c>
      <c r="E371" s="24">
        <v>700</v>
      </c>
      <c r="F371" s="44">
        <f>Stock[Entradas]-Stock[Compra Cultivate]</f>
        <v>0</v>
      </c>
      <c r="G371" s="11">
        <f>SUMIFS(Compras[Cantidad],Compras[Codigo],Stock[Codigo])</f>
        <v>2</v>
      </c>
      <c r="H371" s="11">
        <f>SUMIFS(Ventas[Cantidad],Ventas[Codigo],Stock[[#This Row],[Codigo]])</f>
        <v>2</v>
      </c>
      <c r="I371" s="12">
        <f>Stock[[#This Row],[Stock Deposito]]*Stock[[#This Row],[Precio de Compra]]</f>
        <v>0</v>
      </c>
      <c r="J371" s="6">
        <f>SUMIFS(ProdDesc[Cantidad],ProdDesc[Codigo],Stock[Codigo])</f>
        <v>0</v>
      </c>
      <c r="K371" s="44">
        <f>Stock[[#This Row],[Compra Cultivate]]-Stock[[#This Row],[Salidas]]-Stock[[#This Row],[Usados]]</f>
        <v>0</v>
      </c>
      <c r="L371" s="24">
        <f>Stock[[#This Row],[Stock Deposito]]*Stock[[#This Row],[Precio de Venta]]</f>
        <v>0</v>
      </c>
      <c r="M371" s="6">
        <f>SUMIFS(Tabla9[Cantidad],Tabla9[Codigo],Stock[Codigo])</f>
        <v>2</v>
      </c>
      <c r="N371" s="24">
        <f>Stock[[#This Row],[Precio de Compra]]*Stock[[#This Row],[Stock Cultivate]]</f>
        <v>0</v>
      </c>
      <c r="O371" s="24">
        <f>Stock[[#This Row],[Stock Cultivate]]*Stock[[#This Row],[Precio de Venta]]</f>
        <v>0</v>
      </c>
      <c r="R371" s="16"/>
    </row>
    <row r="372" spans="2:18">
      <c r="B372" s="44">
        <v>559</v>
      </c>
      <c r="C372" t="s">
        <v>546</v>
      </c>
      <c r="D372" s="45">
        <v>600</v>
      </c>
      <c r="E372" s="24">
        <v>1500</v>
      </c>
      <c r="F372" s="44">
        <f>Stock[Entradas]-Stock[Compra Cultivate]</f>
        <v>0</v>
      </c>
      <c r="G372" s="11">
        <f>SUMIFS(Compras[Cantidad],Compras[Codigo],Stock[Codigo])</f>
        <v>3</v>
      </c>
      <c r="H372" s="11">
        <f>SUMIFS(Ventas[Cantidad],Ventas[Codigo],Stock[[#This Row],[Codigo]])</f>
        <v>1</v>
      </c>
      <c r="I372" s="12">
        <f>Stock[[#This Row],[Stock Deposito]]*Stock[[#This Row],[Precio de Compra]]</f>
        <v>0</v>
      </c>
      <c r="J372" s="6">
        <f>SUMIFS(ProdDesc[Cantidad],ProdDesc[Codigo],Stock[Codigo])</f>
        <v>0</v>
      </c>
      <c r="K372" s="44">
        <f>Stock[[#This Row],[Compra Cultivate]]-Stock[[#This Row],[Salidas]]-Stock[[#This Row],[Usados]]</f>
        <v>2</v>
      </c>
      <c r="L372" s="24">
        <f>Stock[[#This Row],[Stock Deposito]]*Stock[[#This Row],[Precio de Venta]]</f>
        <v>0</v>
      </c>
      <c r="M372" s="6">
        <f>SUMIFS(Tabla9[Cantidad],Tabla9[Codigo],Stock[Codigo])</f>
        <v>3</v>
      </c>
      <c r="N372" s="24">
        <f>Stock[[#This Row],[Precio de Compra]]*Stock[[#This Row],[Stock Cultivate]]</f>
        <v>1200</v>
      </c>
      <c r="O372" s="24">
        <f>Stock[[#This Row],[Stock Cultivate]]*Stock[[#This Row],[Precio de Venta]]</f>
        <v>3000</v>
      </c>
      <c r="R372" s="16"/>
    </row>
    <row r="373" spans="2:18">
      <c r="B373" s="44">
        <v>558</v>
      </c>
      <c r="C373" t="s">
        <v>545</v>
      </c>
      <c r="D373" s="45">
        <v>1177</v>
      </c>
      <c r="E373" s="24">
        <v>2300</v>
      </c>
      <c r="F373" s="44">
        <f>Stock[Entradas]-Stock[Compra Cultivate]</f>
        <v>0</v>
      </c>
      <c r="G373" s="11">
        <f>SUMIFS(Compras[Cantidad],Compras[Codigo],Stock[Codigo])</f>
        <v>2</v>
      </c>
      <c r="H373" s="11">
        <f>SUMIFS(Ventas[Cantidad],Ventas[Codigo],Stock[[#This Row],[Codigo]])</f>
        <v>0</v>
      </c>
      <c r="I373" s="12">
        <f>Stock[[#This Row],[Stock Deposito]]*Stock[[#This Row],[Precio de Compra]]</f>
        <v>0</v>
      </c>
      <c r="J373" s="6">
        <f>SUMIFS(ProdDesc[Cantidad],ProdDesc[Codigo],Stock[Codigo])</f>
        <v>0</v>
      </c>
      <c r="K373" s="44">
        <f>Stock[[#This Row],[Compra Cultivate]]-Stock[[#This Row],[Salidas]]-Stock[[#This Row],[Usados]]</f>
        <v>2</v>
      </c>
      <c r="L373" s="24">
        <f>Stock[[#This Row],[Stock Deposito]]*Stock[[#This Row],[Precio de Venta]]</f>
        <v>0</v>
      </c>
      <c r="M373" s="6">
        <f>SUMIFS(Tabla9[Cantidad],Tabla9[Codigo],Stock[Codigo])</f>
        <v>2</v>
      </c>
      <c r="N373" s="24">
        <f>Stock[[#This Row],[Precio de Compra]]*Stock[[#This Row],[Stock Cultivate]]</f>
        <v>2354</v>
      </c>
      <c r="O373" s="24">
        <f>Stock[[#This Row],[Stock Cultivate]]*Stock[[#This Row],[Precio de Venta]]</f>
        <v>4600</v>
      </c>
      <c r="R373" s="16"/>
    </row>
    <row r="374" spans="2:18">
      <c r="B374" s="44">
        <v>557</v>
      </c>
      <c r="C374" t="s">
        <v>544</v>
      </c>
      <c r="D374" s="45">
        <v>300</v>
      </c>
      <c r="E374" s="24">
        <v>700</v>
      </c>
      <c r="F374" s="44">
        <f>Stock[Entradas]-Stock[Compra Cultivate]</f>
        <v>0</v>
      </c>
      <c r="G374" s="11">
        <f>SUMIFS(Compras[Cantidad],Compras[Codigo],Stock[Codigo])</f>
        <v>2</v>
      </c>
      <c r="H374" s="11">
        <f>SUMIFS(Ventas[Cantidad],Ventas[Codigo],Stock[[#This Row],[Codigo]])</f>
        <v>0</v>
      </c>
      <c r="I374" s="12">
        <f>Stock[[#This Row],[Stock Deposito]]*Stock[[#This Row],[Precio de Compra]]</f>
        <v>0</v>
      </c>
      <c r="J374" s="6">
        <f>SUMIFS(ProdDesc[Cantidad],ProdDesc[Codigo],Stock[Codigo])</f>
        <v>1</v>
      </c>
      <c r="K374" s="44">
        <f>Stock[[#This Row],[Compra Cultivate]]-Stock[[#This Row],[Salidas]]-Stock[[#This Row],[Usados]]</f>
        <v>1</v>
      </c>
      <c r="L374" s="24">
        <f>Stock[[#This Row],[Stock Deposito]]*Stock[[#This Row],[Precio de Venta]]</f>
        <v>0</v>
      </c>
      <c r="M374" s="6">
        <f>SUMIFS(Tabla9[Cantidad],Tabla9[Codigo],Stock[Codigo])</f>
        <v>2</v>
      </c>
      <c r="N374" s="24">
        <f>Stock[[#This Row],[Precio de Compra]]*Stock[[#This Row],[Stock Cultivate]]</f>
        <v>300</v>
      </c>
      <c r="O374" s="24">
        <f>Stock[[#This Row],[Stock Cultivate]]*Stock[[#This Row],[Precio de Venta]]</f>
        <v>700</v>
      </c>
      <c r="R374" s="16"/>
    </row>
    <row r="375" spans="2:18">
      <c r="B375" s="44">
        <v>556</v>
      </c>
      <c r="C375" t="s">
        <v>543</v>
      </c>
      <c r="D375" s="45">
        <v>200</v>
      </c>
      <c r="E375" s="24">
        <v>500</v>
      </c>
      <c r="F375" s="44">
        <f>Stock[Entradas]-Stock[Compra Cultivate]</f>
        <v>0</v>
      </c>
      <c r="G375" s="11">
        <f>SUMIFS(Compras[Cantidad],Compras[Codigo],Stock[Codigo])</f>
        <v>2</v>
      </c>
      <c r="H375" s="11">
        <f>SUMIFS(Ventas[Cantidad],Ventas[Codigo],Stock[[#This Row],[Codigo]])</f>
        <v>0</v>
      </c>
      <c r="I375" s="12">
        <f>Stock[[#This Row],[Stock Deposito]]*Stock[[#This Row],[Precio de Compra]]</f>
        <v>0</v>
      </c>
      <c r="J375" s="6">
        <f>SUMIFS(ProdDesc[Cantidad],ProdDesc[Codigo],Stock[Codigo])</f>
        <v>1</v>
      </c>
      <c r="K375" s="44">
        <f>Stock[[#This Row],[Compra Cultivate]]-Stock[[#This Row],[Salidas]]-Stock[[#This Row],[Usados]]</f>
        <v>1</v>
      </c>
      <c r="L375" s="24">
        <f>Stock[[#This Row],[Stock Deposito]]*Stock[[#This Row],[Precio de Venta]]</f>
        <v>0</v>
      </c>
      <c r="M375" s="6">
        <f>SUMIFS(Tabla9[Cantidad],Tabla9[Codigo],Stock[Codigo])</f>
        <v>2</v>
      </c>
      <c r="N375" s="24">
        <f>Stock[[#This Row],[Precio de Compra]]*Stock[[#This Row],[Stock Cultivate]]</f>
        <v>200</v>
      </c>
      <c r="O375" s="24">
        <f>Stock[[#This Row],[Stock Cultivate]]*Stock[[#This Row],[Precio de Venta]]</f>
        <v>500</v>
      </c>
      <c r="R375" s="16"/>
    </row>
    <row r="376" spans="2:18">
      <c r="B376" s="44">
        <v>555</v>
      </c>
      <c r="C376" t="s">
        <v>542</v>
      </c>
      <c r="D376" s="45">
        <v>376</v>
      </c>
      <c r="E376" s="24">
        <v>1000</v>
      </c>
      <c r="F376" s="44">
        <f>Stock[Entradas]-Stock[Compra Cultivate]</f>
        <v>0</v>
      </c>
      <c r="G376" s="11">
        <f>SUMIFS(Compras[Cantidad],Compras[Codigo],Stock[Codigo])</f>
        <v>3</v>
      </c>
      <c r="H376" s="11">
        <f>SUMIFS(Ventas[Cantidad],Ventas[Codigo],Stock[[#This Row],[Codigo]])</f>
        <v>3</v>
      </c>
      <c r="I376" s="12">
        <f>Stock[[#This Row],[Stock Deposito]]*Stock[[#This Row],[Precio de Compra]]</f>
        <v>0</v>
      </c>
      <c r="J376" s="6">
        <f>SUMIFS(ProdDesc[Cantidad],ProdDesc[Codigo],Stock[Codigo])</f>
        <v>0</v>
      </c>
      <c r="K376" s="44">
        <f>Stock[[#This Row],[Compra Cultivate]]-Stock[[#This Row],[Salidas]]-Stock[[#This Row],[Usados]]</f>
        <v>0</v>
      </c>
      <c r="L376" s="24">
        <f>Stock[[#This Row],[Stock Deposito]]*Stock[[#This Row],[Precio de Venta]]</f>
        <v>0</v>
      </c>
      <c r="M376" s="6">
        <f>SUMIFS(Tabla9[Cantidad],Tabla9[Codigo],Stock[Codigo])</f>
        <v>3</v>
      </c>
      <c r="N376" s="24">
        <f>Stock[[#This Row],[Precio de Compra]]*Stock[[#This Row],[Stock Cultivate]]</f>
        <v>0</v>
      </c>
      <c r="O376" s="24">
        <f>Stock[[#This Row],[Stock Cultivate]]*Stock[[#This Row],[Precio de Venta]]</f>
        <v>0</v>
      </c>
      <c r="R376" s="16"/>
    </row>
    <row r="377" spans="2:18">
      <c r="B377" s="44">
        <v>554</v>
      </c>
      <c r="C377" t="s">
        <v>541</v>
      </c>
      <c r="D377" s="45">
        <v>300</v>
      </c>
      <c r="E377" s="24">
        <v>700</v>
      </c>
      <c r="F377" s="44">
        <f>Stock[Entradas]-Stock[Compra Cultivate]</f>
        <v>0</v>
      </c>
      <c r="G377" s="11">
        <f>SUMIFS(Compras[Cantidad],Compras[Codigo],Stock[Codigo])</f>
        <v>5</v>
      </c>
      <c r="H377" s="11">
        <f>SUMIFS(Ventas[Cantidad],Ventas[Codigo],Stock[[#This Row],[Codigo]])</f>
        <v>3</v>
      </c>
      <c r="I377" s="12">
        <f>Stock[[#This Row],[Stock Deposito]]*Stock[[#This Row],[Precio de Compra]]</f>
        <v>0</v>
      </c>
      <c r="J377" s="6">
        <f>SUMIFS(ProdDesc[Cantidad],ProdDesc[Codigo],Stock[Codigo])</f>
        <v>0</v>
      </c>
      <c r="K377" s="44">
        <f>Stock[[#This Row],[Compra Cultivate]]-Stock[[#This Row],[Salidas]]-Stock[[#This Row],[Usados]]</f>
        <v>2</v>
      </c>
      <c r="L377" s="24">
        <f>Stock[[#This Row],[Stock Deposito]]*Stock[[#This Row],[Precio de Venta]]</f>
        <v>0</v>
      </c>
      <c r="M377" s="6">
        <f>SUMIFS(Tabla9[Cantidad],Tabla9[Codigo],Stock[Codigo])</f>
        <v>5</v>
      </c>
      <c r="N377" s="24">
        <f>Stock[[#This Row],[Precio de Compra]]*Stock[[#This Row],[Stock Cultivate]]</f>
        <v>600</v>
      </c>
      <c r="O377" s="24">
        <f>Stock[[#This Row],[Stock Cultivate]]*Stock[[#This Row],[Precio de Venta]]</f>
        <v>1400</v>
      </c>
      <c r="R377" s="16"/>
    </row>
    <row r="378" spans="2:18">
      <c r="B378" s="44">
        <v>553</v>
      </c>
      <c r="C378" t="s">
        <v>540</v>
      </c>
      <c r="D378" s="45">
        <v>450</v>
      </c>
      <c r="E378" s="24">
        <v>900</v>
      </c>
      <c r="F378" s="44">
        <f>Stock[Entradas]-Stock[Compra Cultivate]</f>
        <v>0</v>
      </c>
      <c r="G378" s="11">
        <f>SUMIFS(Compras[Cantidad],Compras[Codigo],Stock[Codigo])</f>
        <v>1</v>
      </c>
      <c r="H378" s="11">
        <f>SUMIFS(Ventas[Cantidad],Ventas[Codigo],Stock[[#This Row],[Codigo]])</f>
        <v>1</v>
      </c>
      <c r="I378" s="12">
        <f>Stock[[#This Row],[Stock Deposito]]*Stock[[#This Row],[Precio de Compra]]</f>
        <v>0</v>
      </c>
      <c r="J378" s="6">
        <f>SUMIFS(ProdDesc[Cantidad],ProdDesc[Codigo],Stock[Codigo])</f>
        <v>0</v>
      </c>
      <c r="K378" s="44">
        <f>Stock[[#This Row],[Compra Cultivate]]-Stock[[#This Row],[Salidas]]-Stock[[#This Row],[Usados]]</f>
        <v>0</v>
      </c>
      <c r="L378" s="24">
        <f>Stock[[#This Row],[Stock Deposito]]*Stock[[#This Row],[Precio de Venta]]</f>
        <v>0</v>
      </c>
      <c r="M378" s="6">
        <f>SUMIFS(Tabla9[Cantidad],Tabla9[Codigo],Stock[Codigo])</f>
        <v>1</v>
      </c>
      <c r="N378" s="24">
        <f>Stock[[#This Row],[Precio de Compra]]*Stock[[#This Row],[Stock Cultivate]]</f>
        <v>0</v>
      </c>
      <c r="O378" s="24">
        <f>Stock[[#This Row],[Stock Cultivate]]*Stock[[#This Row],[Precio de Venta]]</f>
        <v>0</v>
      </c>
      <c r="R378" s="16"/>
    </row>
    <row r="379" spans="2:18">
      <c r="B379" s="44">
        <v>552</v>
      </c>
      <c r="C379" t="s">
        <v>539</v>
      </c>
      <c r="D379" s="45">
        <v>1252</v>
      </c>
      <c r="E379" s="24">
        <v>2500</v>
      </c>
      <c r="F379" s="44">
        <f>Stock[Entradas]-Stock[Compra Cultivate]</f>
        <v>0</v>
      </c>
      <c r="G379" s="11">
        <f>SUMIFS(Compras[Cantidad],Compras[Codigo],Stock[Codigo])</f>
        <v>2</v>
      </c>
      <c r="H379" s="11">
        <f>SUMIFS(Ventas[Cantidad],Ventas[Codigo],Stock[[#This Row],[Codigo]])</f>
        <v>1</v>
      </c>
      <c r="I379" s="12">
        <f>Stock[[#This Row],[Stock Deposito]]*Stock[[#This Row],[Precio de Compra]]</f>
        <v>0</v>
      </c>
      <c r="J379" s="6">
        <f>SUMIFS(ProdDesc[Cantidad],ProdDesc[Codigo],Stock[Codigo])</f>
        <v>0</v>
      </c>
      <c r="K379" s="44">
        <f>Stock[[#This Row],[Compra Cultivate]]-Stock[[#This Row],[Salidas]]-Stock[[#This Row],[Usados]]</f>
        <v>1</v>
      </c>
      <c r="L379" s="24">
        <f>Stock[[#This Row],[Stock Deposito]]*Stock[[#This Row],[Precio de Venta]]</f>
        <v>0</v>
      </c>
      <c r="M379" s="6">
        <f>SUMIFS(Tabla9[Cantidad],Tabla9[Codigo],Stock[Codigo])</f>
        <v>2</v>
      </c>
      <c r="N379" s="24">
        <f>Stock[[#This Row],[Precio de Compra]]*Stock[[#This Row],[Stock Cultivate]]</f>
        <v>1252</v>
      </c>
      <c r="O379" s="24">
        <f>Stock[[#This Row],[Stock Cultivate]]*Stock[[#This Row],[Precio de Venta]]</f>
        <v>2500</v>
      </c>
      <c r="R379" s="16"/>
    </row>
    <row r="380" spans="2:18">
      <c r="B380" s="44">
        <v>551</v>
      </c>
      <c r="C380" t="s">
        <v>536</v>
      </c>
      <c r="D380" s="45">
        <v>200</v>
      </c>
      <c r="E380" s="24">
        <v>600</v>
      </c>
      <c r="F380" s="44">
        <f>Stock[Entradas]-Stock[Compra Cultivate]</f>
        <v>0</v>
      </c>
      <c r="G380" s="11">
        <f>SUMIFS(Compras[Cantidad],Compras[Codigo],Stock[Codigo])</f>
        <v>1</v>
      </c>
      <c r="H380" s="11">
        <f>SUMIFS(Ventas[Cantidad],Ventas[Codigo],Stock[[#This Row],[Codigo]])</f>
        <v>0</v>
      </c>
      <c r="I380" s="12">
        <f>Stock[[#This Row],[Stock Deposito]]*Stock[[#This Row],[Precio de Compra]]</f>
        <v>0</v>
      </c>
      <c r="J380" s="6">
        <f>SUMIFS(ProdDesc[Cantidad],ProdDesc[Codigo],Stock[Codigo])</f>
        <v>1</v>
      </c>
      <c r="K380" s="44">
        <f>Stock[[#This Row],[Compra Cultivate]]-Stock[[#This Row],[Salidas]]-Stock[[#This Row],[Usados]]</f>
        <v>0</v>
      </c>
      <c r="L380" s="24">
        <f>Stock[[#This Row],[Stock Deposito]]*Stock[[#This Row],[Precio de Venta]]</f>
        <v>0</v>
      </c>
      <c r="M380" s="6">
        <f>SUMIFS(Tabla9[Cantidad],Tabla9[Codigo],Stock[Codigo])</f>
        <v>1</v>
      </c>
      <c r="N380" s="24">
        <f>Stock[[#This Row],[Precio de Compra]]*Stock[[#This Row],[Stock Cultivate]]</f>
        <v>0</v>
      </c>
      <c r="O380" s="24">
        <f>Stock[[#This Row],[Stock Cultivate]]*Stock[[#This Row],[Precio de Venta]]</f>
        <v>0</v>
      </c>
      <c r="R380" s="16"/>
    </row>
    <row r="381" spans="2:18">
      <c r="B381" s="44">
        <v>550</v>
      </c>
      <c r="C381" t="s">
        <v>535</v>
      </c>
      <c r="D381" s="45">
        <v>100</v>
      </c>
      <c r="E381" s="24">
        <v>300</v>
      </c>
      <c r="F381" s="44">
        <f>Stock[Entradas]-Stock[Compra Cultivate]</f>
        <v>9</v>
      </c>
      <c r="G381" s="11">
        <f>SUMIFS(Compras[Cantidad],Compras[Codigo],Stock[Codigo])</f>
        <v>15</v>
      </c>
      <c r="H381" s="11">
        <f>SUMIFS(Ventas[Cantidad],Ventas[Codigo],Stock[[#This Row],[Codigo]])</f>
        <v>0</v>
      </c>
      <c r="I381" s="12">
        <f>Stock[[#This Row],[Stock Deposito]]*Stock[[#This Row],[Precio de Compra]]</f>
        <v>900</v>
      </c>
      <c r="J381" s="6">
        <f>SUMIFS(ProdDesc[Cantidad],ProdDesc[Codigo],Stock[Codigo])</f>
        <v>0</v>
      </c>
      <c r="K381" s="44">
        <f>Stock[[#This Row],[Compra Cultivate]]-Stock[[#This Row],[Salidas]]-Stock[[#This Row],[Usados]]</f>
        <v>6</v>
      </c>
      <c r="L381" s="24">
        <f>Stock[[#This Row],[Stock Deposito]]*Stock[[#This Row],[Precio de Venta]]</f>
        <v>2700</v>
      </c>
      <c r="M381" s="6">
        <f>SUMIFS(Tabla9[Cantidad],Tabla9[Codigo],Stock[Codigo])</f>
        <v>6</v>
      </c>
      <c r="N381" s="24">
        <f>Stock[[#This Row],[Precio de Compra]]*Stock[[#This Row],[Stock Cultivate]]</f>
        <v>600</v>
      </c>
      <c r="O381" s="24">
        <f>Stock[[#This Row],[Stock Cultivate]]*Stock[[#This Row],[Precio de Venta]]</f>
        <v>1800</v>
      </c>
      <c r="R381" s="16"/>
    </row>
    <row r="382" spans="2:18">
      <c r="B382" s="44">
        <v>549</v>
      </c>
      <c r="C382" t="s">
        <v>534</v>
      </c>
      <c r="D382" s="45">
        <v>800</v>
      </c>
      <c r="E382" s="24">
        <v>1700</v>
      </c>
      <c r="F382" s="44">
        <f>Stock[Entradas]-Stock[Compra Cultivate]</f>
        <v>0</v>
      </c>
      <c r="G382" s="11">
        <f>SUMIFS(Compras[Cantidad],Compras[Codigo],Stock[Codigo])</f>
        <v>1</v>
      </c>
      <c r="H382" s="11">
        <f>SUMIFS(Ventas[Cantidad],Ventas[Codigo],Stock[[#This Row],[Codigo]])</f>
        <v>0</v>
      </c>
      <c r="I382" s="12">
        <f>Stock[[#This Row],[Stock Deposito]]*Stock[[#This Row],[Precio de Compra]]</f>
        <v>0</v>
      </c>
      <c r="J382" s="6">
        <f>SUMIFS(ProdDesc[Cantidad],ProdDesc[Codigo],Stock[Codigo])</f>
        <v>0</v>
      </c>
      <c r="K382" s="44">
        <f>Stock[[#This Row],[Compra Cultivate]]-Stock[[#This Row],[Salidas]]-Stock[[#This Row],[Usados]]</f>
        <v>1</v>
      </c>
      <c r="L382" s="24">
        <f>Stock[[#This Row],[Stock Deposito]]*Stock[[#This Row],[Precio de Venta]]</f>
        <v>0</v>
      </c>
      <c r="M382" s="6">
        <f>SUMIFS(Tabla9[Cantidad],Tabla9[Codigo],Stock[Codigo])</f>
        <v>1</v>
      </c>
      <c r="N382" s="24">
        <f>Stock[[#This Row],[Precio de Compra]]*Stock[[#This Row],[Stock Cultivate]]</f>
        <v>800</v>
      </c>
      <c r="O382" s="24">
        <f>Stock[[#This Row],[Stock Cultivate]]*Stock[[#This Row],[Precio de Venta]]</f>
        <v>1700</v>
      </c>
      <c r="R382" s="16"/>
    </row>
    <row r="383" spans="2:18">
      <c r="B383" s="44">
        <v>548</v>
      </c>
      <c r="C383" t="s">
        <v>533</v>
      </c>
      <c r="D383" s="45">
        <v>345</v>
      </c>
      <c r="E383" s="24">
        <v>700</v>
      </c>
      <c r="F383" s="44">
        <f>Stock[Entradas]-Stock[Compra Cultivate]</f>
        <v>6</v>
      </c>
      <c r="G383" s="11">
        <f>SUMIFS(Compras[Cantidad],Compras[Codigo],Stock[Codigo])</f>
        <v>12</v>
      </c>
      <c r="H383" s="11">
        <f>SUMIFS(Ventas[Cantidad],Ventas[Codigo],Stock[[#This Row],[Codigo]])</f>
        <v>1</v>
      </c>
      <c r="I383" s="12">
        <f>Stock[[#This Row],[Stock Deposito]]*Stock[[#This Row],[Precio de Compra]]</f>
        <v>2070</v>
      </c>
      <c r="J383" s="6">
        <f>SUMIFS(ProdDesc[Cantidad],ProdDesc[Codigo],Stock[Codigo])</f>
        <v>3</v>
      </c>
      <c r="K383" s="44">
        <f>Stock[[#This Row],[Compra Cultivate]]-Stock[[#This Row],[Salidas]]-Stock[[#This Row],[Usados]]</f>
        <v>2</v>
      </c>
      <c r="L383" s="24">
        <f>Stock[[#This Row],[Stock Deposito]]*Stock[[#This Row],[Precio de Venta]]</f>
        <v>4200</v>
      </c>
      <c r="M383" s="6">
        <f>SUMIFS(Tabla9[Cantidad],Tabla9[Codigo],Stock[Codigo])</f>
        <v>6</v>
      </c>
      <c r="N383" s="24">
        <f>Stock[[#This Row],[Precio de Compra]]*Stock[[#This Row],[Stock Cultivate]]</f>
        <v>690</v>
      </c>
      <c r="O383" s="24">
        <f>Stock[[#This Row],[Stock Cultivate]]*Stock[[#This Row],[Precio de Venta]]</f>
        <v>1400</v>
      </c>
      <c r="R383" s="16"/>
    </row>
    <row r="384" spans="2:18">
      <c r="B384" s="44">
        <v>547</v>
      </c>
      <c r="C384" t="s">
        <v>532</v>
      </c>
      <c r="D384" s="45">
        <v>383</v>
      </c>
      <c r="E384" s="24">
        <v>800</v>
      </c>
      <c r="F384" s="44">
        <f>Stock[Entradas]-Stock[Compra Cultivate]</f>
        <v>0</v>
      </c>
      <c r="G384" s="11">
        <f>SUMIFS(Compras[Cantidad],Compras[Codigo],Stock[Codigo])</f>
        <v>8</v>
      </c>
      <c r="H384" s="11">
        <f>SUMIFS(Ventas[Cantidad],Ventas[Codigo],Stock[[#This Row],[Codigo]])</f>
        <v>0</v>
      </c>
      <c r="I384" s="12">
        <f>Stock[[#This Row],[Stock Deposito]]*Stock[[#This Row],[Precio de Compra]]</f>
        <v>0</v>
      </c>
      <c r="J384" s="6">
        <f>SUMIFS(ProdDesc[Cantidad],ProdDesc[Codigo],Stock[Codigo])</f>
        <v>0</v>
      </c>
      <c r="K384" s="44">
        <f>Stock[[#This Row],[Compra Cultivate]]-Stock[[#This Row],[Salidas]]-Stock[[#This Row],[Usados]]</f>
        <v>8</v>
      </c>
      <c r="L384" s="24">
        <f>Stock[[#This Row],[Stock Deposito]]*Stock[[#This Row],[Precio de Venta]]</f>
        <v>0</v>
      </c>
      <c r="M384" s="6">
        <f>SUMIFS(Tabla9[Cantidad],Tabla9[Codigo],Stock[Codigo])</f>
        <v>8</v>
      </c>
      <c r="N384" s="24">
        <f>Stock[[#This Row],[Precio de Compra]]*Stock[[#This Row],[Stock Cultivate]]</f>
        <v>3064</v>
      </c>
      <c r="O384" s="24">
        <f>Stock[[#This Row],[Stock Cultivate]]*Stock[[#This Row],[Precio de Venta]]</f>
        <v>6400</v>
      </c>
      <c r="R384" s="16"/>
    </row>
    <row r="385" spans="2:18">
      <c r="B385" s="44">
        <v>546</v>
      </c>
      <c r="C385" t="s">
        <v>531</v>
      </c>
      <c r="D385" s="45">
        <v>1321</v>
      </c>
      <c r="E385" s="24">
        <v>3000</v>
      </c>
      <c r="F385" s="44">
        <f>Stock[Entradas]-Stock[Compra Cultivate]</f>
        <v>0</v>
      </c>
      <c r="G385" s="11">
        <f>SUMIFS(Compras[Cantidad],Compras[Codigo],Stock[Codigo])</f>
        <v>5</v>
      </c>
      <c r="H385" s="11">
        <f>SUMIFS(Ventas[Cantidad],Ventas[Codigo],Stock[[#This Row],[Codigo]])</f>
        <v>3</v>
      </c>
      <c r="I385" s="12">
        <f>Stock[[#This Row],[Stock Deposito]]*Stock[[#This Row],[Precio de Compra]]</f>
        <v>0</v>
      </c>
      <c r="J385" s="6">
        <f>SUMIFS(ProdDesc[Cantidad],ProdDesc[Codigo],Stock[Codigo])</f>
        <v>0</v>
      </c>
      <c r="K385" s="44">
        <f>Stock[[#This Row],[Compra Cultivate]]-Stock[[#This Row],[Salidas]]-Stock[[#This Row],[Usados]]</f>
        <v>2</v>
      </c>
      <c r="L385" s="24">
        <f>Stock[[#This Row],[Stock Deposito]]*Stock[[#This Row],[Precio de Venta]]</f>
        <v>0</v>
      </c>
      <c r="M385" s="6">
        <f>SUMIFS(Tabla9[Cantidad],Tabla9[Codigo],Stock[Codigo])</f>
        <v>5</v>
      </c>
      <c r="N385" s="24">
        <f>Stock[[#This Row],[Precio de Compra]]*Stock[[#This Row],[Stock Cultivate]]</f>
        <v>2642</v>
      </c>
      <c r="O385" s="24">
        <f>Stock[[#This Row],[Stock Cultivate]]*Stock[[#This Row],[Precio de Venta]]</f>
        <v>6000</v>
      </c>
      <c r="R385" s="16"/>
    </row>
    <row r="386" spans="2:18">
      <c r="B386" s="44">
        <v>545</v>
      </c>
      <c r="C386" t="s">
        <v>530</v>
      </c>
      <c r="D386" s="45">
        <v>1250</v>
      </c>
      <c r="E386" s="24">
        <v>2500</v>
      </c>
      <c r="F386" s="44">
        <f>Stock[Entradas]-Stock[Compra Cultivate]</f>
        <v>0</v>
      </c>
      <c r="G386" s="11">
        <f>SUMIFS(Compras[Cantidad],Compras[Codigo],Stock[Codigo])</f>
        <v>1</v>
      </c>
      <c r="H386" s="11">
        <f>SUMIFS(Ventas[Cantidad],Ventas[Codigo],Stock[[#This Row],[Codigo]])</f>
        <v>1</v>
      </c>
      <c r="I386" s="12">
        <f>Stock[[#This Row],[Stock Deposito]]*Stock[[#This Row],[Precio de Compra]]</f>
        <v>0</v>
      </c>
      <c r="J386" s="6">
        <f>SUMIFS(ProdDesc[Cantidad],ProdDesc[Codigo],Stock[Codigo])</f>
        <v>0</v>
      </c>
      <c r="K386" s="44">
        <f>Stock[[#This Row],[Compra Cultivate]]-Stock[[#This Row],[Salidas]]-Stock[[#This Row],[Usados]]</f>
        <v>0</v>
      </c>
      <c r="L386" s="24">
        <f>Stock[[#This Row],[Stock Deposito]]*Stock[[#This Row],[Precio de Venta]]</f>
        <v>0</v>
      </c>
      <c r="M386" s="6">
        <f>SUMIFS(Tabla9[Cantidad],Tabla9[Codigo],Stock[Codigo])</f>
        <v>1</v>
      </c>
      <c r="N386" s="24">
        <f>Stock[[#This Row],[Precio de Compra]]*Stock[[#This Row],[Stock Cultivate]]</f>
        <v>0</v>
      </c>
      <c r="O386" s="24">
        <f>Stock[[#This Row],[Stock Cultivate]]*Stock[[#This Row],[Precio de Venta]]</f>
        <v>0</v>
      </c>
      <c r="R386" s="16"/>
    </row>
    <row r="387" spans="2:18">
      <c r="B387" s="44">
        <v>544</v>
      </c>
      <c r="C387" t="s">
        <v>529</v>
      </c>
      <c r="D387" s="45">
        <v>740</v>
      </c>
      <c r="E387" s="24">
        <v>1500</v>
      </c>
      <c r="F387" s="44">
        <f>Stock[Entradas]-Stock[Compra Cultivate]</f>
        <v>0</v>
      </c>
      <c r="G387" s="11">
        <f>SUMIFS(Compras[Cantidad],Compras[Codigo],Stock[Codigo])</f>
        <v>3</v>
      </c>
      <c r="H387" s="11">
        <f>SUMIFS(Ventas[Cantidad],Ventas[Codigo],Stock[[#This Row],[Codigo]])</f>
        <v>2</v>
      </c>
      <c r="I387" s="12">
        <f>Stock[[#This Row],[Stock Deposito]]*Stock[[#This Row],[Precio de Compra]]</f>
        <v>0</v>
      </c>
      <c r="J387" s="6">
        <f>SUMIFS(ProdDesc[Cantidad],ProdDesc[Codigo],Stock[Codigo])</f>
        <v>0</v>
      </c>
      <c r="K387" s="44">
        <f>Stock[[#This Row],[Compra Cultivate]]-Stock[[#This Row],[Salidas]]-Stock[[#This Row],[Usados]]</f>
        <v>1</v>
      </c>
      <c r="L387" s="24">
        <f>Stock[[#This Row],[Stock Deposito]]*Stock[[#This Row],[Precio de Venta]]</f>
        <v>0</v>
      </c>
      <c r="M387" s="6">
        <f>SUMIFS(Tabla9[Cantidad],Tabla9[Codigo],Stock[Codigo])</f>
        <v>3</v>
      </c>
      <c r="N387" s="24">
        <f>Stock[[#This Row],[Precio de Compra]]*Stock[[#This Row],[Stock Cultivate]]</f>
        <v>740</v>
      </c>
      <c r="O387" s="24">
        <f>Stock[[#This Row],[Stock Cultivate]]*Stock[[#This Row],[Precio de Venta]]</f>
        <v>1500</v>
      </c>
      <c r="R387" s="16"/>
    </row>
    <row r="388" spans="2:18">
      <c r="B388" s="44">
        <v>543</v>
      </c>
      <c r="C388" t="s">
        <v>528</v>
      </c>
      <c r="D388" s="45">
        <v>650</v>
      </c>
      <c r="E388" s="24">
        <v>1300</v>
      </c>
      <c r="F388" s="44">
        <f>Stock[Entradas]-Stock[Compra Cultivate]</f>
        <v>0</v>
      </c>
      <c r="G388" s="11">
        <f>SUMIFS(Compras[Cantidad],Compras[Codigo],Stock[Codigo])</f>
        <v>5</v>
      </c>
      <c r="H388" s="11">
        <f>SUMIFS(Ventas[Cantidad],Ventas[Codigo],Stock[[#This Row],[Codigo]])</f>
        <v>5</v>
      </c>
      <c r="I388" s="12">
        <f>Stock[[#This Row],[Stock Deposito]]*Stock[[#This Row],[Precio de Compra]]</f>
        <v>0</v>
      </c>
      <c r="J388" s="6">
        <f>SUMIFS(ProdDesc[Cantidad],ProdDesc[Codigo],Stock[Codigo])</f>
        <v>0</v>
      </c>
      <c r="K388" s="44">
        <f>Stock[[#This Row],[Compra Cultivate]]-Stock[[#This Row],[Salidas]]-Stock[[#This Row],[Usados]]</f>
        <v>0</v>
      </c>
      <c r="L388" s="24">
        <f>Stock[[#This Row],[Stock Deposito]]*Stock[[#This Row],[Precio de Venta]]</f>
        <v>0</v>
      </c>
      <c r="M388" s="6">
        <f>SUMIFS(Tabla9[Cantidad],Tabla9[Codigo],Stock[Codigo])</f>
        <v>5</v>
      </c>
      <c r="N388" s="24">
        <f>Stock[[#This Row],[Precio de Compra]]*Stock[[#This Row],[Stock Cultivate]]</f>
        <v>0</v>
      </c>
      <c r="O388" s="24">
        <f>Stock[[#This Row],[Stock Cultivate]]*Stock[[#This Row],[Precio de Venta]]</f>
        <v>0</v>
      </c>
      <c r="R388" s="16"/>
    </row>
    <row r="389" spans="2:18">
      <c r="B389" s="44">
        <v>542</v>
      </c>
      <c r="C389" t="s">
        <v>527</v>
      </c>
      <c r="D389" s="45">
        <v>810</v>
      </c>
      <c r="E389" s="24">
        <v>1600</v>
      </c>
      <c r="F389" s="44">
        <f>Stock[Entradas]-Stock[Compra Cultivate]</f>
        <v>4</v>
      </c>
      <c r="G389" s="11">
        <f>SUMIFS(Compras[Cantidad],Compras[Codigo],Stock[Codigo])</f>
        <v>6</v>
      </c>
      <c r="H389" s="11">
        <f>SUMIFS(Ventas[Cantidad],Ventas[Codigo],Stock[[#This Row],[Codigo]])</f>
        <v>2</v>
      </c>
      <c r="I389" s="12">
        <f>Stock[[#This Row],[Stock Deposito]]*Stock[[#This Row],[Precio de Compra]]</f>
        <v>3240</v>
      </c>
      <c r="J389" s="6">
        <f>SUMIFS(ProdDesc[Cantidad],ProdDesc[Codigo],Stock[Codigo])</f>
        <v>0</v>
      </c>
      <c r="K389" s="44">
        <f>Stock[[#This Row],[Compra Cultivate]]-Stock[[#This Row],[Salidas]]-Stock[[#This Row],[Usados]]</f>
        <v>0</v>
      </c>
      <c r="L389" s="24">
        <f>Stock[[#This Row],[Stock Deposito]]*Stock[[#This Row],[Precio de Venta]]</f>
        <v>6400</v>
      </c>
      <c r="M389" s="6">
        <f>SUMIFS(Tabla9[Cantidad],Tabla9[Codigo],Stock[Codigo])</f>
        <v>2</v>
      </c>
      <c r="N389" s="24">
        <f>Stock[[#This Row],[Precio de Compra]]*Stock[[#This Row],[Stock Cultivate]]</f>
        <v>0</v>
      </c>
      <c r="O389" s="24">
        <f>Stock[[#This Row],[Stock Cultivate]]*Stock[[#This Row],[Precio de Venta]]</f>
        <v>0</v>
      </c>
      <c r="R389" s="16"/>
    </row>
    <row r="390" spans="2:18">
      <c r="B390" s="44">
        <v>541</v>
      </c>
      <c r="C390" t="s">
        <v>526</v>
      </c>
      <c r="D390" s="45">
        <v>1345</v>
      </c>
      <c r="E390" s="24">
        <v>2500</v>
      </c>
      <c r="F390" s="44">
        <f>Stock[Entradas]-Stock[Compra Cultivate]</f>
        <v>5</v>
      </c>
      <c r="G390" s="11">
        <f>SUMIFS(Compras[Cantidad],Compras[Codigo],Stock[Codigo])</f>
        <v>6</v>
      </c>
      <c r="H390" s="11">
        <f>SUMIFS(Ventas[Cantidad],Ventas[Codigo],Stock[[#This Row],[Codigo]])</f>
        <v>0</v>
      </c>
      <c r="I390" s="12">
        <f>Stock[[#This Row],[Stock Deposito]]*Stock[[#This Row],[Precio de Compra]]</f>
        <v>6725</v>
      </c>
      <c r="J390" s="6">
        <f>SUMIFS(ProdDesc[Cantidad],ProdDesc[Codigo],Stock[Codigo])</f>
        <v>0</v>
      </c>
      <c r="K390" s="44">
        <f>Stock[[#This Row],[Compra Cultivate]]-Stock[[#This Row],[Salidas]]-Stock[[#This Row],[Usados]]</f>
        <v>1</v>
      </c>
      <c r="L390" s="24">
        <f>Stock[[#This Row],[Stock Deposito]]*Stock[[#This Row],[Precio de Venta]]</f>
        <v>12500</v>
      </c>
      <c r="M390" s="6">
        <f>SUMIFS(Tabla9[Cantidad],Tabla9[Codigo],Stock[Codigo])</f>
        <v>1</v>
      </c>
      <c r="N390" s="24">
        <f>Stock[[#This Row],[Precio de Compra]]*Stock[[#This Row],[Stock Cultivate]]</f>
        <v>1345</v>
      </c>
      <c r="O390" s="24">
        <f>Stock[[#This Row],[Stock Cultivate]]*Stock[[#This Row],[Precio de Venta]]</f>
        <v>2500</v>
      </c>
      <c r="R390" s="16"/>
    </row>
    <row r="391" spans="2:18">
      <c r="B391" s="44">
        <v>540</v>
      </c>
      <c r="C391" t="s">
        <v>525</v>
      </c>
      <c r="D391" s="45">
        <v>600</v>
      </c>
      <c r="E391" s="24">
        <v>1500</v>
      </c>
      <c r="F391" s="44">
        <f>Stock[Entradas]-Stock[Compra Cultivate]</f>
        <v>10</v>
      </c>
      <c r="G391" s="11">
        <f>SUMIFS(Compras[Cantidad],Compras[Codigo],Stock[Codigo])</f>
        <v>11</v>
      </c>
      <c r="H391" s="11">
        <f>SUMIFS(Ventas[Cantidad],Ventas[Codigo],Stock[[#This Row],[Codigo]])</f>
        <v>0</v>
      </c>
      <c r="I391" s="12">
        <f>Stock[[#This Row],[Stock Deposito]]*Stock[[#This Row],[Precio de Compra]]</f>
        <v>6000</v>
      </c>
      <c r="J391" s="6">
        <f>SUMIFS(ProdDesc[Cantidad],ProdDesc[Codigo],Stock[Codigo])</f>
        <v>0</v>
      </c>
      <c r="K391" s="44">
        <f>Stock[[#This Row],[Compra Cultivate]]-Stock[[#This Row],[Salidas]]-Stock[[#This Row],[Usados]]</f>
        <v>1</v>
      </c>
      <c r="L391" s="24">
        <f>Stock[[#This Row],[Stock Deposito]]*Stock[[#This Row],[Precio de Venta]]</f>
        <v>15000</v>
      </c>
      <c r="M391" s="6">
        <f>SUMIFS(Tabla9[Cantidad],Tabla9[Codigo],Stock[Codigo])</f>
        <v>1</v>
      </c>
      <c r="N391" s="24">
        <f>Stock[[#This Row],[Precio de Compra]]*Stock[[#This Row],[Stock Cultivate]]</f>
        <v>600</v>
      </c>
      <c r="O391" s="24">
        <f>Stock[[#This Row],[Stock Cultivate]]*Stock[[#This Row],[Precio de Venta]]</f>
        <v>1500</v>
      </c>
      <c r="R391" s="16"/>
    </row>
    <row r="392" spans="2:18">
      <c r="B392" s="44">
        <v>539</v>
      </c>
      <c r="C392" t="s">
        <v>577</v>
      </c>
      <c r="D392" s="45">
        <v>3216</v>
      </c>
      <c r="E392" s="24">
        <v>6000</v>
      </c>
      <c r="F392" s="44">
        <f>Stock[Entradas]-Stock[Compra Cultivate]</f>
        <v>2</v>
      </c>
      <c r="G392" s="11">
        <f>SUMIFS(Compras[Cantidad],Compras[Codigo],Stock[Codigo])</f>
        <v>6</v>
      </c>
      <c r="H392" s="11">
        <f>SUMIFS(Ventas[Cantidad],Ventas[Codigo],Stock[[#This Row],[Codigo]])</f>
        <v>1</v>
      </c>
      <c r="I392" s="12">
        <f>Stock[[#This Row],[Stock Deposito]]*Stock[[#This Row],[Precio de Compra]]</f>
        <v>6432</v>
      </c>
      <c r="J392" s="6">
        <f>SUMIFS(ProdDesc[Cantidad],ProdDesc[Codigo],Stock[Codigo])</f>
        <v>0</v>
      </c>
      <c r="K392" s="44">
        <f>Stock[[#This Row],[Compra Cultivate]]-Stock[[#This Row],[Salidas]]-Stock[[#This Row],[Usados]]</f>
        <v>3</v>
      </c>
      <c r="L392" s="24">
        <f>Stock[[#This Row],[Stock Deposito]]*Stock[[#This Row],[Precio de Venta]]</f>
        <v>12000</v>
      </c>
      <c r="M392" s="6">
        <f>SUMIFS(Tabla9[Cantidad],Tabla9[Codigo],Stock[Codigo])</f>
        <v>4</v>
      </c>
      <c r="N392" s="24">
        <f>Stock[[#This Row],[Precio de Compra]]*Stock[[#This Row],[Stock Cultivate]]</f>
        <v>9648</v>
      </c>
      <c r="O392" s="24">
        <f>Stock[[#This Row],[Stock Cultivate]]*Stock[[#This Row],[Precio de Venta]]</f>
        <v>18000</v>
      </c>
      <c r="R392" s="16"/>
    </row>
    <row r="393" spans="2:18">
      <c r="B393" s="44">
        <v>538</v>
      </c>
      <c r="C393" t="s">
        <v>515</v>
      </c>
      <c r="D393" s="45">
        <v>2000</v>
      </c>
      <c r="E393" s="24">
        <v>3500</v>
      </c>
      <c r="F393" s="44">
        <f>Stock[Entradas]-Stock[Compra Cultivate]</f>
        <v>0</v>
      </c>
      <c r="G393" s="11">
        <f>SUMIFS(Compras[Cantidad],Compras[Codigo],Stock[Codigo])</f>
        <v>1</v>
      </c>
      <c r="H393" s="11">
        <f>SUMIFS(Ventas[Cantidad],Ventas[Codigo],Stock[[#This Row],[Codigo]])</f>
        <v>1</v>
      </c>
      <c r="I393" s="12">
        <f>Stock[[#This Row],[Stock Deposito]]*Stock[[#This Row],[Precio de Compra]]</f>
        <v>0</v>
      </c>
      <c r="J393" s="6">
        <f>SUMIFS(ProdDesc[Cantidad],ProdDesc[Codigo],Stock[Codigo])</f>
        <v>0</v>
      </c>
      <c r="K393" s="44">
        <f>Stock[[#This Row],[Compra Cultivate]]-Stock[[#This Row],[Salidas]]-Stock[[#This Row],[Usados]]</f>
        <v>0</v>
      </c>
      <c r="L393" s="24">
        <f>Stock[[#This Row],[Stock Deposito]]*Stock[[#This Row],[Precio de Venta]]</f>
        <v>0</v>
      </c>
      <c r="M393" s="6">
        <f>SUMIFS(Tabla9[Cantidad],Tabla9[Codigo],Stock[Codigo])</f>
        <v>1</v>
      </c>
      <c r="N393" s="24">
        <f>Stock[[#This Row],[Precio de Compra]]*Stock[[#This Row],[Stock Cultivate]]</f>
        <v>0</v>
      </c>
      <c r="O393" s="24">
        <f>Stock[[#This Row],[Stock Cultivate]]*Stock[[#This Row],[Precio de Venta]]</f>
        <v>0</v>
      </c>
      <c r="R393" s="16"/>
    </row>
    <row r="394" spans="2:18">
      <c r="B394" s="44">
        <v>537</v>
      </c>
      <c r="C394" t="s">
        <v>514</v>
      </c>
      <c r="D394" s="45">
        <v>2000</v>
      </c>
      <c r="E394" s="24">
        <v>3500</v>
      </c>
      <c r="F394" s="44">
        <f>Stock[Entradas]-Stock[Compra Cultivate]</f>
        <v>0</v>
      </c>
      <c r="G394" s="11">
        <f>SUMIFS(Compras[Cantidad],Compras[Codigo],Stock[Codigo])</f>
        <v>1</v>
      </c>
      <c r="H394" s="11">
        <f>SUMIFS(Ventas[Cantidad],Ventas[Codigo],Stock[[#This Row],[Codigo]])</f>
        <v>1</v>
      </c>
      <c r="I394" s="12">
        <f>Stock[[#This Row],[Stock Deposito]]*Stock[[#This Row],[Precio de Compra]]</f>
        <v>0</v>
      </c>
      <c r="J394" s="6">
        <f>SUMIFS(ProdDesc[Cantidad],ProdDesc[Codigo],Stock[Codigo])</f>
        <v>0</v>
      </c>
      <c r="K394" s="44">
        <f>Stock[[#This Row],[Compra Cultivate]]-Stock[[#This Row],[Salidas]]-Stock[[#This Row],[Usados]]</f>
        <v>0</v>
      </c>
      <c r="L394" s="24">
        <f>Stock[[#This Row],[Stock Deposito]]*Stock[[#This Row],[Precio de Venta]]</f>
        <v>0</v>
      </c>
      <c r="M394" s="6">
        <f>SUMIFS(Tabla9[Cantidad],Tabla9[Codigo],Stock[Codigo])</f>
        <v>1</v>
      </c>
      <c r="N394" s="24">
        <f>Stock[[#This Row],[Precio de Compra]]*Stock[[#This Row],[Stock Cultivate]]</f>
        <v>0</v>
      </c>
      <c r="O394" s="24">
        <f>Stock[[#This Row],[Stock Cultivate]]*Stock[[#This Row],[Precio de Venta]]</f>
        <v>0</v>
      </c>
      <c r="R394" s="16"/>
    </row>
    <row r="395" spans="2:18">
      <c r="B395" s="44">
        <v>536</v>
      </c>
      <c r="C395" t="s">
        <v>513</v>
      </c>
      <c r="D395" s="45">
        <v>2500</v>
      </c>
      <c r="E395" s="24">
        <v>5000</v>
      </c>
      <c r="F395" s="44">
        <f>Stock[Entradas]-Stock[Compra Cultivate]</f>
        <v>0</v>
      </c>
      <c r="G395" s="11">
        <f>SUMIFS(Compras[Cantidad],Compras[Codigo],Stock[Codigo])</f>
        <v>1</v>
      </c>
      <c r="H395" s="11">
        <f>SUMIFS(Ventas[Cantidad],Ventas[Codigo],Stock[[#This Row],[Codigo]])</f>
        <v>1</v>
      </c>
      <c r="I395" s="12">
        <f>Stock[[#This Row],[Stock Deposito]]*Stock[[#This Row],[Precio de Compra]]</f>
        <v>0</v>
      </c>
      <c r="J395" s="6">
        <f>SUMIFS(ProdDesc[Cantidad],ProdDesc[Codigo],Stock[Codigo])</f>
        <v>0</v>
      </c>
      <c r="K395" s="44">
        <f>Stock[[#This Row],[Compra Cultivate]]-Stock[[#This Row],[Salidas]]-Stock[[#This Row],[Usados]]</f>
        <v>0</v>
      </c>
      <c r="L395" s="24">
        <f>Stock[[#This Row],[Stock Deposito]]*Stock[[#This Row],[Precio de Venta]]</f>
        <v>0</v>
      </c>
      <c r="M395" s="6">
        <f>SUMIFS(Tabla9[Cantidad],Tabla9[Codigo],Stock[Codigo])</f>
        <v>1</v>
      </c>
      <c r="N395" s="24">
        <f>Stock[[#This Row],[Precio de Compra]]*Stock[[#This Row],[Stock Cultivate]]</f>
        <v>0</v>
      </c>
      <c r="O395" s="24">
        <f>Stock[[#This Row],[Stock Cultivate]]*Stock[[#This Row],[Precio de Venta]]</f>
        <v>0</v>
      </c>
      <c r="R395" s="16"/>
    </row>
    <row r="396" spans="2:18">
      <c r="B396" s="44">
        <v>535</v>
      </c>
      <c r="C396" t="s">
        <v>512</v>
      </c>
      <c r="D396" s="45">
        <v>1299</v>
      </c>
      <c r="E396" s="24">
        <v>2600</v>
      </c>
      <c r="F396" s="44">
        <f>Stock[Entradas]-Stock[Compra Cultivate]</f>
        <v>0</v>
      </c>
      <c r="G396" s="11">
        <f>SUMIFS(Compras[Cantidad],Compras[Codigo],Stock[Codigo])</f>
        <v>2</v>
      </c>
      <c r="H396" s="11">
        <f>SUMIFS(Ventas[Cantidad],Ventas[Codigo],Stock[[#This Row],[Codigo]])</f>
        <v>1</v>
      </c>
      <c r="I396" s="12">
        <f>Stock[[#This Row],[Stock Deposito]]*Stock[[#This Row],[Precio de Compra]]</f>
        <v>0</v>
      </c>
      <c r="J396" s="6">
        <f>SUMIFS(ProdDesc[Cantidad],ProdDesc[Codigo],Stock[Codigo])</f>
        <v>0</v>
      </c>
      <c r="K396" s="44">
        <f>Stock[[#This Row],[Compra Cultivate]]-Stock[[#This Row],[Salidas]]-Stock[[#This Row],[Usados]]</f>
        <v>1</v>
      </c>
      <c r="L396" s="24">
        <f>Stock[[#This Row],[Stock Deposito]]*Stock[[#This Row],[Precio de Venta]]</f>
        <v>0</v>
      </c>
      <c r="M396" s="6">
        <f>SUMIFS(Tabla9[Cantidad],Tabla9[Codigo],Stock[Codigo])</f>
        <v>2</v>
      </c>
      <c r="N396" s="24">
        <f>Stock[[#This Row],[Precio de Compra]]*Stock[[#This Row],[Stock Cultivate]]</f>
        <v>1299</v>
      </c>
      <c r="O396" s="24">
        <f>Stock[[#This Row],[Stock Cultivate]]*Stock[[#This Row],[Precio de Venta]]</f>
        <v>2600</v>
      </c>
      <c r="R396" s="16"/>
    </row>
    <row r="397" spans="2:18">
      <c r="B397" s="44">
        <v>534</v>
      </c>
      <c r="C397" t="s">
        <v>511</v>
      </c>
      <c r="D397" s="45">
        <v>1150</v>
      </c>
      <c r="E397" s="24">
        <v>2300</v>
      </c>
      <c r="F397" s="44">
        <f>Stock[Entradas]-Stock[Compra Cultivate]</f>
        <v>0</v>
      </c>
      <c r="G397" s="11">
        <f>SUMIFS(Compras[Cantidad],Compras[Codigo],Stock[Codigo])</f>
        <v>2</v>
      </c>
      <c r="H397" s="11">
        <f>SUMIFS(Ventas[Cantidad],Ventas[Codigo],Stock[[#This Row],[Codigo]])</f>
        <v>0</v>
      </c>
      <c r="I397" s="12">
        <f>Stock[[#This Row],[Stock Deposito]]*Stock[[#This Row],[Precio de Compra]]</f>
        <v>0</v>
      </c>
      <c r="J397" s="6">
        <f>SUMIFS(ProdDesc[Cantidad],ProdDesc[Codigo],Stock[Codigo])</f>
        <v>1</v>
      </c>
      <c r="K397" s="44">
        <f>Stock[[#This Row],[Compra Cultivate]]-Stock[[#This Row],[Salidas]]-Stock[[#This Row],[Usados]]</f>
        <v>1</v>
      </c>
      <c r="L397" s="24">
        <f>Stock[[#This Row],[Stock Deposito]]*Stock[[#This Row],[Precio de Venta]]</f>
        <v>0</v>
      </c>
      <c r="M397" s="6">
        <f>SUMIFS(Tabla9[Cantidad],Tabla9[Codigo],Stock[Codigo])</f>
        <v>2</v>
      </c>
      <c r="N397" s="24">
        <f>Stock[[#This Row],[Precio de Compra]]*Stock[[#This Row],[Stock Cultivate]]</f>
        <v>1150</v>
      </c>
      <c r="O397" s="24">
        <f>Stock[[#This Row],[Stock Cultivate]]*Stock[[#This Row],[Precio de Venta]]</f>
        <v>2300</v>
      </c>
      <c r="R397" s="16"/>
    </row>
    <row r="398" spans="2:18">
      <c r="B398" s="44">
        <v>533</v>
      </c>
      <c r="C398" t="s">
        <v>510</v>
      </c>
      <c r="D398" s="45">
        <v>926</v>
      </c>
      <c r="E398" s="24">
        <v>2000</v>
      </c>
      <c r="F398" s="44">
        <f>Stock[Entradas]-Stock[Compra Cultivate]</f>
        <v>0</v>
      </c>
      <c r="G398" s="11">
        <f>SUMIFS(Compras[Cantidad],Compras[Codigo],Stock[Codigo])</f>
        <v>2</v>
      </c>
      <c r="H398" s="11">
        <f>SUMIFS(Ventas[Cantidad],Ventas[Codigo],Stock[[#This Row],[Codigo]])</f>
        <v>1</v>
      </c>
      <c r="I398" s="12">
        <f>Stock[[#This Row],[Stock Deposito]]*Stock[[#This Row],[Precio de Compra]]</f>
        <v>0</v>
      </c>
      <c r="J398" s="6">
        <f>SUMIFS(ProdDesc[Cantidad],ProdDesc[Codigo],Stock[Codigo])</f>
        <v>1</v>
      </c>
      <c r="K398" s="44">
        <f>Stock[[#This Row],[Compra Cultivate]]-Stock[[#This Row],[Salidas]]-Stock[[#This Row],[Usados]]</f>
        <v>0</v>
      </c>
      <c r="L398" s="24">
        <f>Stock[[#This Row],[Stock Deposito]]*Stock[[#This Row],[Precio de Venta]]</f>
        <v>0</v>
      </c>
      <c r="M398" s="6">
        <f>SUMIFS(Tabla9[Cantidad],Tabla9[Codigo],Stock[Codigo])</f>
        <v>2</v>
      </c>
      <c r="N398" s="24">
        <f>Stock[[#This Row],[Precio de Compra]]*Stock[[#This Row],[Stock Cultivate]]</f>
        <v>0</v>
      </c>
      <c r="O398" s="24">
        <f>Stock[[#This Row],[Stock Cultivate]]*Stock[[#This Row],[Precio de Venta]]</f>
        <v>0</v>
      </c>
      <c r="R398" s="16"/>
    </row>
    <row r="399" spans="2:18">
      <c r="B399" s="44">
        <v>532</v>
      </c>
      <c r="C399" t="s">
        <v>509</v>
      </c>
      <c r="D399" s="45">
        <v>6116</v>
      </c>
      <c r="E399" s="24">
        <v>12000</v>
      </c>
      <c r="F399" s="44">
        <f>Stock[Entradas]-Stock[Compra Cultivate]</f>
        <v>0</v>
      </c>
      <c r="G399" s="11">
        <f>SUMIFS(Compras[Cantidad],Compras[Codigo],Stock[Codigo])</f>
        <v>1</v>
      </c>
      <c r="H399" s="11">
        <f>SUMIFS(Ventas[Cantidad],Ventas[Codigo],Stock[[#This Row],[Codigo]])</f>
        <v>1</v>
      </c>
      <c r="I399" s="12">
        <f>Stock[[#This Row],[Stock Deposito]]*Stock[[#This Row],[Precio de Compra]]</f>
        <v>0</v>
      </c>
      <c r="J399" s="6">
        <f>SUMIFS(ProdDesc[Cantidad],ProdDesc[Codigo],Stock[Codigo])</f>
        <v>0</v>
      </c>
      <c r="K399" s="44">
        <f>Stock[[#This Row],[Compra Cultivate]]-Stock[[#This Row],[Salidas]]-Stock[[#This Row],[Usados]]</f>
        <v>0</v>
      </c>
      <c r="L399" s="24">
        <f>Stock[[#This Row],[Stock Deposito]]*Stock[[#This Row],[Precio de Venta]]</f>
        <v>0</v>
      </c>
      <c r="M399" s="6">
        <f>SUMIFS(Tabla9[Cantidad],Tabla9[Codigo],Stock[Codigo])</f>
        <v>1</v>
      </c>
      <c r="N399" s="24">
        <f>Stock[[#This Row],[Precio de Compra]]*Stock[[#This Row],[Stock Cultivate]]</f>
        <v>0</v>
      </c>
      <c r="O399" s="24">
        <f>Stock[[#This Row],[Stock Cultivate]]*Stock[[#This Row],[Precio de Venta]]</f>
        <v>0</v>
      </c>
      <c r="R399" s="16"/>
    </row>
    <row r="400" spans="2:18">
      <c r="B400" s="44">
        <v>531</v>
      </c>
      <c r="C400" t="s">
        <v>508</v>
      </c>
      <c r="D400" s="45">
        <v>1490</v>
      </c>
      <c r="E400" s="24">
        <v>3000</v>
      </c>
      <c r="F400" s="44">
        <f>Stock[Entradas]-Stock[Compra Cultivate]</f>
        <v>0</v>
      </c>
      <c r="G400" s="11">
        <f>SUMIFS(Compras[Cantidad],Compras[Codigo],Stock[Codigo])</f>
        <v>2</v>
      </c>
      <c r="H400" s="11">
        <f>SUMIFS(Ventas[Cantidad],Ventas[Codigo],Stock[[#This Row],[Codigo]])</f>
        <v>2</v>
      </c>
      <c r="I400" s="12">
        <f>Stock[[#This Row],[Stock Deposito]]*Stock[[#This Row],[Precio de Compra]]</f>
        <v>0</v>
      </c>
      <c r="J400" s="6">
        <f>SUMIFS(ProdDesc[Cantidad],ProdDesc[Codigo],Stock[Codigo])</f>
        <v>0</v>
      </c>
      <c r="K400" s="44">
        <f>Stock[[#This Row],[Compra Cultivate]]-Stock[[#This Row],[Salidas]]-Stock[[#This Row],[Usados]]</f>
        <v>0</v>
      </c>
      <c r="L400" s="24">
        <f>Stock[[#This Row],[Stock Deposito]]*Stock[[#This Row],[Precio de Venta]]</f>
        <v>0</v>
      </c>
      <c r="M400" s="6">
        <f>SUMIFS(Tabla9[Cantidad],Tabla9[Codigo],Stock[Codigo])</f>
        <v>2</v>
      </c>
      <c r="N400" s="24">
        <f>Stock[[#This Row],[Precio de Compra]]*Stock[[#This Row],[Stock Cultivate]]</f>
        <v>0</v>
      </c>
      <c r="O400" s="24">
        <f>Stock[[#This Row],[Stock Cultivate]]*Stock[[#This Row],[Precio de Venta]]</f>
        <v>0</v>
      </c>
      <c r="R400" s="16"/>
    </row>
    <row r="401" spans="2:18">
      <c r="B401" s="44">
        <v>530</v>
      </c>
      <c r="C401" t="s">
        <v>507</v>
      </c>
      <c r="D401" s="45">
        <v>3947</v>
      </c>
      <c r="E401" s="24">
        <v>7900</v>
      </c>
      <c r="F401" s="44">
        <f>Stock[Entradas]-Stock[Compra Cultivate]</f>
        <v>0</v>
      </c>
      <c r="G401" s="11">
        <f>SUMIFS(Compras[Cantidad],Compras[Codigo],Stock[Codigo])</f>
        <v>2</v>
      </c>
      <c r="H401" s="11">
        <f>SUMIFS(Ventas[Cantidad],Ventas[Codigo],Stock[[#This Row],[Codigo]])</f>
        <v>0</v>
      </c>
      <c r="I401" s="12">
        <f>Stock[[#This Row],[Stock Deposito]]*Stock[[#This Row],[Precio de Compra]]</f>
        <v>0</v>
      </c>
      <c r="J401" s="6">
        <f>SUMIFS(ProdDesc[Cantidad],ProdDesc[Codigo],Stock[Codigo])</f>
        <v>0</v>
      </c>
      <c r="K401" s="44">
        <f>Stock[[#This Row],[Compra Cultivate]]-Stock[[#This Row],[Salidas]]-Stock[[#This Row],[Usados]]</f>
        <v>2</v>
      </c>
      <c r="L401" s="24">
        <f>Stock[[#This Row],[Stock Deposito]]*Stock[[#This Row],[Precio de Venta]]</f>
        <v>0</v>
      </c>
      <c r="M401" s="6">
        <f>SUMIFS(Tabla9[Cantidad],Tabla9[Codigo],Stock[Codigo])</f>
        <v>2</v>
      </c>
      <c r="N401" s="24">
        <f>Stock[[#This Row],[Precio de Compra]]*Stock[[#This Row],[Stock Cultivate]]</f>
        <v>7894</v>
      </c>
      <c r="O401" s="24">
        <f>Stock[[#This Row],[Stock Cultivate]]*Stock[[#This Row],[Precio de Venta]]</f>
        <v>15800</v>
      </c>
      <c r="R401" s="16"/>
    </row>
    <row r="402" spans="2:18">
      <c r="B402" s="44">
        <v>529</v>
      </c>
      <c r="C402" t="s">
        <v>497</v>
      </c>
      <c r="D402" s="45">
        <v>65</v>
      </c>
      <c r="E402" s="24">
        <v>200</v>
      </c>
      <c r="F402" s="44">
        <f>Stock[Entradas]-Stock[Compra Cultivate]</f>
        <v>0</v>
      </c>
      <c r="G402" s="11">
        <f>SUMIFS(Compras[Cantidad],Compras[Codigo],Stock[Codigo])</f>
        <v>38</v>
      </c>
      <c r="H402" s="11">
        <f>SUMIFS(Ventas[Cantidad],Ventas[Codigo],Stock[[#This Row],[Codigo]])</f>
        <v>19</v>
      </c>
      <c r="I402" s="12">
        <f>Stock[[#This Row],[Stock Deposito]]*Stock[[#This Row],[Precio de Compra]]</f>
        <v>0</v>
      </c>
      <c r="J402" s="6">
        <f>SUMIFS(ProdDesc[Cantidad],ProdDesc[Codigo],Stock[Codigo])</f>
        <v>6</v>
      </c>
      <c r="K402" s="44">
        <f>Stock[[#This Row],[Compra Cultivate]]-Stock[[#This Row],[Salidas]]-Stock[[#This Row],[Usados]]</f>
        <v>13</v>
      </c>
      <c r="L402" s="24">
        <f>Stock[[#This Row],[Stock Deposito]]*Stock[[#This Row],[Precio de Venta]]</f>
        <v>0</v>
      </c>
      <c r="M402" s="6">
        <f>SUMIFS(Tabla9[Cantidad],Tabla9[Codigo],Stock[Codigo])</f>
        <v>38</v>
      </c>
      <c r="N402" s="24">
        <f>Stock[[#This Row],[Precio de Compra]]*Stock[[#This Row],[Stock Cultivate]]</f>
        <v>845</v>
      </c>
      <c r="O402" s="24">
        <f>Stock[[#This Row],[Stock Cultivate]]*Stock[[#This Row],[Precio de Venta]]</f>
        <v>2600</v>
      </c>
      <c r="R402" s="16"/>
    </row>
    <row r="403" spans="2:18">
      <c r="B403" s="44">
        <v>528</v>
      </c>
      <c r="C403" t="s">
        <v>495</v>
      </c>
      <c r="D403" s="45">
        <v>1330</v>
      </c>
      <c r="E403" s="24">
        <v>2500</v>
      </c>
      <c r="F403" s="44">
        <f>Stock[Entradas]-Stock[Compra Cultivate]</f>
        <v>0</v>
      </c>
      <c r="G403" s="11">
        <f>SUMIFS(Compras[Cantidad],Compras[Codigo],Stock[Codigo])</f>
        <v>3</v>
      </c>
      <c r="H403" s="11">
        <f>SUMIFS(Ventas[Cantidad],Ventas[Codigo],Stock[[#This Row],[Codigo]])</f>
        <v>1</v>
      </c>
      <c r="I403" s="12">
        <f>Stock[[#This Row],[Stock Deposito]]*Stock[[#This Row],[Precio de Compra]]</f>
        <v>0</v>
      </c>
      <c r="J403" s="6">
        <f>SUMIFS(ProdDesc[Cantidad],ProdDesc[Codigo],Stock[Codigo])</f>
        <v>0</v>
      </c>
      <c r="K403" s="44">
        <f>Stock[[#This Row],[Compra Cultivate]]-Stock[[#This Row],[Salidas]]-Stock[[#This Row],[Usados]]</f>
        <v>2</v>
      </c>
      <c r="L403" s="24">
        <f>Stock[[#This Row],[Stock Deposito]]*Stock[[#This Row],[Precio de Venta]]</f>
        <v>0</v>
      </c>
      <c r="M403" s="6">
        <f>SUMIFS(Tabla9[Cantidad],Tabla9[Codigo],Stock[Codigo])</f>
        <v>3</v>
      </c>
      <c r="N403" s="24">
        <f>Stock[[#This Row],[Precio de Compra]]*Stock[[#This Row],[Stock Cultivate]]</f>
        <v>2660</v>
      </c>
      <c r="O403" s="24">
        <f>Stock[[#This Row],[Stock Cultivate]]*Stock[[#This Row],[Precio de Venta]]</f>
        <v>5000</v>
      </c>
      <c r="R403" s="16"/>
    </row>
    <row r="404" spans="2:18">
      <c r="B404" s="44">
        <v>527</v>
      </c>
      <c r="C404" t="s">
        <v>494</v>
      </c>
      <c r="D404" s="45">
        <v>924</v>
      </c>
      <c r="E404" s="24">
        <v>2000</v>
      </c>
      <c r="F404" s="44">
        <f>Stock[Entradas]-Stock[Compra Cultivate]</f>
        <v>0</v>
      </c>
      <c r="G404" s="11">
        <f>SUMIFS(Compras[Cantidad],Compras[Codigo],Stock[Codigo])</f>
        <v>1</v>
      </c>
      <c r="H404" s="11">
        <f>SUMIFS(Ventas[Cantidad],Ventas[Codigo],Stock[[#This Row],[Codigo]])</f>
        <v>1</v>
      </c>
      <c r="I404" s="12">
        <f>Stock[[#This Row],[Stock Deposito]]*Stock[[#This Row],[Precio de Compra]]</f>
        <v>0</v>
      </c>
      <c r="J404" s="6">
        <f>SUMIFS(ProdDesc[Cantidad],ProdDesc[Codigo],Stock[Codigo])</f>
        <v>0</v>
      </c>
      <c r="K404" s="44">
        <f>Stock[[#This Row],[Compra Cultivate]]-Stock[[#This Row],[Salidas]]-Stock[[#This Row],[Usados]]</f>
        <v>0</v>
      </c>
      <c r="L404" s="24">
        <f>Stock[[#This Row],[Stock Deposito]]*Stock[[#This Row],[Precio de Venta]]</f>
        <v>0</v>
      </c>
      <c r="M404" s="6">
        <f>SUMIFS(Tabla9[Cantidad],Tabla9[Codigo],Stock[Codigo])</f>
        <v>1</v>
      </c>
      <c r="N404" s="24">
        <f>Stock[[#This Row],[Precio de Compra]]*Stock[[#This Row],[Stock Cultivate]]</f>
        <v>0</v>
      </c>
      <c r="O404" s="24">
        <f>Stock[[#This Row],[Stock Cultivate]]*Stock[[#This Row],[Precio de Venta]]</f>
        <v>0</v>
      </c>
      <c r="R404" s="16"/>
    </row>
    <row r="405" spans="2:18">
      <c r="B405" s="44">
        <v>526</v>
      </c>
      <c r="C405" t="s">
        <v>493</v>
      </c>
      <c r="D405" s="45">
        <v>924</v>
      </c>
      <c r="E405" s="24">
        <v>2000</v>
      </c>
      <c r="F405" s="44">
        <f>Stock[Entradas]-Stock[Compra Cultivate]</f>
        <v>0</v>
      </c>
      <c r="G405" s="11">
        <f>SUMIFS(Compras[Cantidad],Compras[Codigo],Stock[Codigo])</f>
        <v>1</v>
      </c>
      <c r="H405" s="11">
        <f>SUMIFS(Ventas[Cantidad],Ventas[Codigo],Stock[[#This Row],[Codigo]])</f>
        <v>0</v>
      </c>
      <c r="I405" s="12">
        <f>Stock[[#This Row],[Stock Deposito]]*Stock[[#This Row],[Precio de Compra]]</f>
        <v>0</v>
      </c>
      <c r="J405" s="6">
        <f>SUMIFS(ProdDesc[Cantidad],ProdDesc[Codigo],Stock[Codigo])</f>
        <v>0</v>
      </c>
      <c r="K405" s="44">
        <f>Stock[[#This Row],[Compra Cultivate]]-Stock[[#This Row],[Salidas]]-Stock[[#This Row],[Usados]]</f>
        <v>1</v>
      </c>
      <c r="L405" s="24">
        <f>Stock[[#This Row],[Stock Deposito]]*Stock[[#This Row],[Precio de Venta]]</f>
        <v>0</v>
      </c>
      <c r="M405" s="6">
        <f>SUMIFS(Tabla9[Cantidad],Tabla9[Codigo],Stock[Codigo])</f>
        <v>1</v>
      </c>
      <c r="N405" s="24">
        <f>Stock[[#This Row],[Precio de Compra]]*Stock[[#This Row],[Stock Cultivate]]</f>
        <v>924</v>
      </c>
      <c r="O405" s="24">
        <f>Stock[[#This Row],[Stock Cultivate]]*Stock[[#This Row],[Precio de Venta]]</f>
        <v>2000</v>
      </c>
      <c r="R405" s="16"/>
    </row>
    <row r="406" spans="2:18">
      <c r="B406" s="44">
        <v>525</v>
      </c>
      <c r="C406" t="s">
        <v>490</v>
      </c>
      <c r="D406" s="45">
        <v>5500</v>
      </c>
      <c r="E406" s="24">
        <v>7500</v>
      </c>
      <c r="F406" s="44">
        <f>Stock[Entradas]-Stock[Compra Cultivate]</f>
        <v>0</v>
      </c>
      <c r="G406" s="11">
        <f>SUMIFS(Compras[Cantidad],Compras[Codigo],Stock[Codigo])</f>
        <v>10</v>
      </c>
      <c r="H406" s="11">
        <f>SUMIFS(Ventas[Cantidad],Ventas[Codigo],Stock[[#This Row],[Codigo]])</f>
        <v>9</v>
      </c>
      <c r="I406" s="12">
        <f>Stock[[#This Row],[Stock Deposito]]*Stock[[#This Row],[Precio de Compra]]</f>
        <v>0</v>
      </c>
      <c r="J406" s="6">
        <f>SUMIFS(ProdDesc[Cantidad],ProdDesc[Codigo],Stock[Codigo])</f>
        <v>0</v>
      </c>
      <c r="K406" s="44">
        <f>Stock[[#This Row],[Compra Cultivate]]-Stock[[#This Row],[Salidas]]-Stock[[#This Row],[Usados]]</f>
        <v>1</v>
      </c>
      <c r="L406" s="24">
        <f>Stock[[#This Row],[Stock Deposito]]*Stock[[#This Row],[Precio de Venta]]</f>
        <v>0</v>
      </c>
      <c r="M406" s="6">
        <f>SUMIFS(Tabla9[Cantidad],Tabla9[Codigo],Stock[Codigo])</f>
        <v>10</v>
      </c>
      <c r="N406" s="24">
        <f>Stock[[#This Row],[Precio de Compra]]*Stock[[#This Row],[Stock Cultivate]]</f>
        <v>5500</v>
      </c>
      <c r="O406" s="24">
        <f>Stock[[#This Row],[Stock Cultivate]]*Stock[[#This Row],[Precio de Venta]]</f>
        <v>7500</v>
      </c>
      <c r="R406" s="16"/>
    </row>
    <row r="407" spans="2:18">
      <c r="B407" s="44">
        <v>524</v>
      </c>
      <c r="C407" t="s">
        <v>487</v>
      </c>
      <c r="D407" s="45">
        <v>6338</v>
      </c>
      <c r="E407" s="24">
        <v>12000</v>
      </c>
      <c r="F407" s="44">
        <f>Stock[Entradas]-Stock[Compra Cultivate]</f>
        <v>0</v>
      </c>
      <c r="G407" s="11">
        <f>SUMIFS(Compras[Cantidad],Compras[Codigo],Stock[Codigo])</f>
        <v>1</v>
      </c>
      <c r="H407" s="11">
        <f>SUMIFS(Ventas[Cantidad],Ventas[Codigo],Stock[[#This Row],[Codigo]])</f>
        <v>0</v>
      </c>
      <c r="I407" s="12">
        <f>Stock[[#This Row],[Stock Deposito]]*Stock[[#This Row],[Precio de Compra]]</f>
        <v>0</v>
      </c>
      <c r="J407" s="6">
        <f>SUMIFS(ProdDesc[Cantidad],ProdDesc[Codigo],Stock[Codigo])</f>
        <v>0</v>
      </c>
      <c r="K407" s="44">
        <f>Stock[[#This Row],[Compra Cultivate]]-Stock[[#This Row],[Salidas]]-Stock[[#This Row],[Usados]]</f>
        <v>1</v>
      </c>
      <c r="L407" s="24">
        <f>Stock[[#This Row],[Stock Deposito]]*Stock[[#This Row],[Precio de Venta]]</f>
        <v>0</v>
      </c>
      <c r="M407" s="6">
        <f>SUMIFS(Tabla9[Cantidad],Tabla9[Codigo],Stock[Codigo])</f>
        <v>1</v>
      </c>
      <c r="N407" s="24">
        <f>Stock[[#This Row],[Precio de Compra]]*Stock[[#This Row],[Stock Cultivate]]</f>
        <v>6338</v>
      </c>
      <c r="O407" s="24">
        <f>Stock[[#This Row],[Stock Cultivate]]*Stock[[#This Row],[Precio de Venta]]</f>
        <v>12000</v>
      </c>
      <c r="R407" s="16"/>
    </row>
    <row r="408" spans="2:18">
      <c r="B408" s="44">
        <v>523</v>
      </c>
      <c r="C408" t="s">
        <v>485</v>
      </c>
      <c r="D408" s="45">
        <v>400</v>
      </c>
      <c r="E408" s="24">
        <v>800</v>
      </c>
      <c r="F408" s="44">
        <f>Stock[Entradas]-Stock[Compra Cultivate]</f>
        <v>0</v>
      </c>
      <c r="G408" s="11">
        <f>SUMIFS(Compras[Cantidad],Compras[Codigo],Stock[Codigo])</f>
        <v>2</v>
      </c>
      <c r="H408" s="11">
        <f>SUMIFS(Ventas[Cantidad],Ventas[Codigo],Stock[[#This Row],[Codigo]])</f>
        <v>1</v>
      </c>
      <c r="I408" s="12">
        <f>Stock[[#This Row],[Stock Deposito]]*Stock[[#This Row],[Precio de Compra]]</f>
        <v>0</v>
      </c>
      <c r="J408" s="6">
        <f>SUMIFS(ProdDesc[Cantidad],ProdDesc[Codigo],Stock[Codigo])</f>
        <v>0</v>
      </c>
      <c r="K408" s="44">
        <f>Stock[[#This Row],[Compra Cultivate]]-Stock[[#This Row],[Salidas]]-Stock[[#This Row],[Usados]]</f>
        <v>1</v>
      </c>
      <c r="L408" s="24">
        <f>Stock[[#This Row],[Stock Deposito]]*Stock[[#This Row],[Precio de Venta]]</f>
        <v>0</v>
      </c>
      <c r="M408" s="6">
        <f>SUMIFS(Tabla9[Cantidad],Tabla9[Codigo],Stock[Codigo])</f>
        <v>2</v>
      </c>
      <c r="N408" s="24">
        <f>Stock[[#This Row],[Precio de Compra]]*Stock[[#This Row],[Stock Cultivate]]</f>
        <v>400</v>
      </c>
      <c r="O408" s="24">
        <f>Stock[[#This Row],[Stock Cultivate]]*Stock[[#This Row],[Precio de Venta]]</f>
        <v>800</v>
      </c>
      <c r="R408" s="16"/>
    </row>
    <row r="409" spans="2:18">
      <c r="B409" s="44">
        <v>522</v>
      </c>
      <c r="C409" t="s">
        <v>484</v>
      </c>
      <c r="D409" s="45">
        <v>2000</v>
      </c>
      <c r="E409" s="24">
        <v>3500</v>
      </c>
      <c r="F409" s="44">
        <f>Stock[Entradas]-Stock[Compra Cultivate]</f>
        <v>0</v>
      </c>
      <c r="G409" s="11">
        <f>SUMIFS(Compras[Cantidad],Compras[Codigo],Stock[Codigo])</f>
        <v>1</v>
      </c>
      <c r="H409" s="11">
        <f>SUMIFS(Ventas[Cantidad],Ventas[Codigo],Stock[[#This Row],[Codigo]])</f>
        <v>1</v>
      </c>
      <c r="I409" s="12">
        <f>Stock[[#This Row],[Stock Deposito]]*Stock[[#This Row],[Precio de Compra]]</f>
        <v>0</v>
      </c>
      <c r="J409" s="6">
        <f>SUMIFS(ProdDesc[Cantidad],ProdDesc[Codigo],Stock[Codigo])</f>
        <v>0</v>
      </c>
      <c r="K409" s="44">
        <f>Stock[[#This Row],[Compra Cultivate]]-Stock[[#This Row],[Salidas]]-Stock[[#This Row],[Usados]]</f>
        <v>0</v>
      </c>
      <c r="L409" s="24">
        <f>Stock[[#This Row],[Stock Deposito]]*Stock[[#This Row],[Precio de Venta]]</f>
        <v>0</v>
      </c>
      <c r="M409" s="6">
        <f>SUMIFS(Tabla9[Cantidad],Tabla9[Codigo],Stock[Codigo])</f>
        <v>1</v>
      </c>
      <c r="N409" s="24">
        <f>Stock[[#This Row],[Precio de Compra]]*Stock[[#This Row],[Stock Cultivate]]</f>
        <v>0</v>
      </c>
      <c r="O409" s="24">
        <f>Stock[[#This Row],[Stock Cultivate]]*Stock[[#This Row],[Precio de Venta]]</f>
        <v>0</v>
      </c>
      <c r="R409" s="16"/>
    </row>
    <row r="410" spans="2:18">
      <c r="B410" s="44">
        <v>521</v>
      </c>
      <c r="C410" t="s">
        <v>483</v>
      </c>
      <c r="D410" s="45">
        <v>1500</v>
      </c>
      <c r="E410" s="24">
        <v>3000</v>
      </c>
      <c r="F410" s="44">
        <f>Stock[Entradas]-Stock[Compra Cultivate]</f>
        <v>0</v>
      </c>
      <c r="G410" s="11">
        <f>SUMIFS(Compras[Cantidad],Compras[Codigo],Stock[Codigo])</f>
        <v>4</v>
      </c>
      <c r="H410" s="11">
        <f>SUMIFS(Ventas[Cantidad],Ventas[Codigo],Stock[[#This Row],[Codigo]])</f>
        <v>1</v>
      </c>
      <c r="I410" s="12">
        <f>Stock[[#This Row],[Stock Deposito]]*Stock[[#This Row],[Precio de Compra]]</f>
        <v>0</v>
      </c>
      <c r="J410" s="6">
        <f>SUMIFS(ProdDesc[Cantidad],ProdDesc[Codigo],Stock[Codigo])</f>
        <v>1</v>
      </c>
      <c r="K410" s="44">
        <f>Stock[[#This Row],[Compra Cultivate]]-Stock[[#This Row],[Salidas]]-Stock[[#This Row],[Usados]]</f>
        <v>2</v>
      </c>
      <c r="L410" s="24">
        <f>Stock[[#This Row],[Stock Deposito]]*Stock[[#This Row],[Precio de Venta]]</f>
        <v>0</v>
      </c>
      <c r="M410" s="6">
        <f>SUMIFS(Tabla9[Cantidad],Tabla9[Codigo],Stock[Codigo])</f>
        <v>4</v>
      </c>
      <c r="N410" s="24">
        <f>Stock[[#This Row],[Precio de Compra]]*Stock[[#This Row],[Stock Cultivate]]</f>
        <v>3000</v>
      </c>
      <c r="O410" s="24">
        <f>Stock[[#This Row],[Stock Cultivate]]*Stock[[#This Row],[Precio de Venta]]</f>
        <v>6000</v>
      </c>
      <c r="R410" s="16"/>
    </row>
    <row r="411" spans="2:18">
      <c r="B411" s="44">
        <v>520</v>
      </c>
      <c r="C411" t="s">
        <v>482</v>
      </c>
      <c r="D411" s="45">
        <v>300</v>
      </c>
      <c r="E411" s="24">
        <v>600</v>
      </c>
      <c r="F411" s="44">
        <f>Stock[Entradas]-Stock[Compra Cultivate]</f>
        <v>0</v>
      </c>
      <c r="G411" s="11">
        <f>SUMIFS(Compras[Cantidad],Compras[Codigo],Stock[Codigo])</f>
        <v>2</v>
      </c>
      <c r="H411" s="11">
        <f>SUMIFS(Ventas[Cantidad],Ventas[Codigo],Stock[[#This Row],[Codigo]])</f>
        <v>1</v>
      </c>
      <c r="I411" s="12">
        <f>Stock[[#This Row],[Stock Deposito]]*Stock[[#This Row],[Precio de Compra]]</f>
        <v>0</v>
      </c>
      <c r="J411" s="6">
        <f>SUMIFS(ProdDesc[Cantidad],ProdDesc[Codigo],Stock[Codigo])</f>
        <v>0</v>
      </c>
      <c r="K411" s="44">
        <f>Stock[[#This Row],[Compra Cultivate]]-Stock[[#This Row],[Salidas]]-Stock[[#This Row],[Usados]]</f>
        <v>1</v>
      </c>
      <c r="L411" s="24">
        <f>Stock[[#This Row],[Stock Deposito]]*Stock[[#This Row],[Precio de Venta]]</f>
        <v>0</v>
      </c>
      <c r="M411" s="6">
        <f>SUMIFS(Tabla9[Cantidad],Tabla9[Codigo],Stock[Codigo])</f>
        <v>2</v>
      </c>
      <c r="N411" s="24">
        <f>Stock[[#This Row],[Precio de Compra]]*Stock[[#This Row],[Stock Cultivate]]</f>
        <v>300</v>
      </c>
      <c r="O411" s="24">
        <f>Stock[[#This Row],[Stock Cultivate]]*Stock[[#This Row],[Precio de Venta]]</f>
        <v>600</v>
      </c>
      <c r="R411" s="16"/>
    </row>
    <row r="412" spans="2:18">
      <c r="B412" s="44">
        <v>519</v>
      </c>
      <c r="C412" t="s">
        <v>481</v>
      </c>
      <c r="D412" s="45">
        <v>400</v>
      </c>
      <c r="E412" s="24">
        <v>800</v>
      </c>
      <c r="F412" s="44">
        <f>Stock[Entradas]-Stock[Compra Cultivate]</f>
        <v>0</v>
      </c>
      <c r="G412" s="11">
        <f>SUMIFS(Compras[Cantidad],Compras[Codigo],Stock[Codigo])</f>
        <v>1</v>
      </c>
      <c r="H412" s="11">
        <f>SUMIFS(Ventas[Cantidad],Ventas[Codigo],Stock[[#This Row],[Codigo]])</f>
        <v>0</v>
      </c>
      <c r="I412" s="12">
        <f>Stock[[#This Row],[Stock Deposito]]*Stock[[#This Row],[Precio de Compra]]</f>
        <v>0</v>
      </c>
      <c r="J412" s="6">
        <f>SUMIFS(ProdDesc[Cantidad],ProdDesc[Codigo],Stock[Codigo])</f>
        <v>0</v>
      </c>
      <c r="K412" s="44">
        <f>Stock[[#This Row],[Compra Cultivate]]-Stock[[#This Row],[Salidas]]-Stock[[#This Row],[Usados]]</f>
        <v>1</v>
      </c>
      <c r="L412" s="24">
        <f>Stock[[#This Row],[Stock Deposito]]*Stock[[#This Row],[Precio de Venta]]</f>
        <v>0</v>
      </c>
      <c r="M412" s="6">
        <f>SUMIFS(Tabla9[Cantidad],Tabla9[Codigo],Stock[Codigo])</f>
        <v>1</v>
      </c>
      <c r="N412" s="24">
        <f>Stock[[#This Row],[Precio de Compra]]*Stock[[#This Row],[Stock Cultivate]]</f>
        <v>400</v>
      </c>
      <c r="O412" s="24">
        <f>Stock[[#This Row],[Stock Cultivate]]*Stock[[#This Row],[Precio de Venta]]</f>
        <v>800</v>
      </c>
      <c r="R412" s="16"/>
    </row>
    <row r="413" spans="2:18">
      <c r="B413" s="44">
        <v>518</v>
      </c>
      <c r="C413" t="s">
        <v>480</v>
      </c>
      <c r="D413" s="45">
        <v>178</v>
      </c>
      <c r="E413" s="24">
        <v>350</v>
      </c>
      <c r="F413" s="44">
        <f>Stock[Entradas]-Stock[Compra Cultivate]</f>
        <v>0</v>
      </c>
      <c r="G413" s="11">
        <f>SUMIFS(Compras[Cantidad],Compras[Codigo],Stock[Codigo])</f>
        <v>1</v>
      </c>
      <c r="H413" s="11">
        <f>SUMIFS(Ventas[Cantidad],Ventas[Codigo],Stock[[#This Row],[Codigo]])</f>
        <v>1</v>
      </c>
      <c r="I413" s="12">
        <f>Stock[[#This Row],[Stock Deposito]]*Stock[[#This Row],[Precio de Compra]]</f>
        <v>0</v>
      </c>
      <c r="J413" s="6">
        <f>SUMIFS(ProdDesc[Cantidad],ProdDesc[Codigo],Stock[Codigo])</f>
        <v>0</v>
      </c>
      <c r="K413" s="44">
        <f>Stock[[#This Row],[Compra Cultivate]]-Stock[[#This Row],[Salidas]]-Stock[[#This Row],[Usados]]</f>
        <v>0</v>
      </c>
      <c r="L413" s="24">
        <f>Stock[[#This Row],[Stock Deposito]]*Stock[[#This Row],[Precio de Venta]]</f>
        <v>0</v>
      </c>
      <c r="M413" s="6">
        <f>SUMIFS(Tabla9[Cantidad],Tabla9[Codigo],Stock[Codigo])</f>
        <v>1</v>
      </c>
      <c r="N413" s="24">
        <f>Stock[[#This Row],[Precio de Compra]]*Stock[[#This Row],[Stock Cultivate]]</f>
        <v>0</v>
      </c>
      <c r="O413" s="24">
        <f>Stock[[#This Row],[Stock Cultivate]]*Stock[[#This Row],[Precio de Venta]]</f>
        <v>0</v>
      </c>
      <c r="R413" s="16"/>
    </row>
    <row r="414" spans="2:18">
      <c r="B414" s="44">
        <v>517</v>
      </c>
      <c r="C414" t="s">
        <v>479</v>
      </c>
      <c r="D414" s="45">
        <v>178</v>
      </c>
      <c r="E414" s="24">
        <v>350</v>
      </c>
      <c r="F414" s="44">
        <f>Stock[Entradas]-Stock[Compra Cultivate]</f>
        <v>0</v>
      </c>
      <c r="G414" s="11">
        <f>SUMIFS(Compras[Cantidad],Compras[Codigo],Stock[Codigo])</f>
        <v>2</v>
      </c>
      <c r="H414" s="11">
        <f>SUMIFS(Ventas[Cantidad],Ventas[Codigo],Stock[[#This Row],[Codigo]])</f>
        <v>2</v>
      </c>
      <c r="I414" s="12">
        <f>Stock[[#This Row],[Stock Deposito]]*Stock[[#This Row],[Precio de Compra]]</f>
        <v>0</v>
      </c>
      <c r="J414" s="6">
        <f>SUMIFS(ProdDesc[Cantidad],ProdDesc[Codigo],Stock[Codigo])</f>
        <v>0</v>
      </c>
      <c r="K414" s="44">
        <f>Stock[[#This Row],[Compra Cultivate]]-Stock[[#This Row],[Salidas]]-Stock[[#This Row],[Usados]]</f>
        <v>0</v>
      </c>
      <c r="L414" s="24">
        <f>Stock[[#This Row],[Stock Deposito]]*Stock[[#This Row],[Precio de Venta]]</f>
        <v>0</v>
      </c>
      <c r="M414" s="6">
        <f>SUMIFS(Tabla9[Cantidad],Tabla9[Codigo],Stock[Codigo])</f>
        <v>2</v>
      </c>
      <c r="N414" s="24">
        <f>Stock[[#This Row],[Precio de Compra]]*Stock[[#This Row],[Stock Cultivate]]</f>
        <v>0</v>
      </c>
      <c r="O414" s="24">
        <f>Stock[[#This Row],[Stock Cultivate]]*Stock[[#This Row],[Precio de Venta]]</f>
        <v>0</v>
      </c>
      <c r="R414" s="16"/>
    </row>
    <row r="415" spans="2:18">
      <c r="B415" s="44">
        <v>516</v>
      </c>
      <c r="C415" t="s">
        <v>478</v>
      </c>
      <c r="D415" s="45">
        <v>2000</v>
      </c>
      <c r="E415" s="24">
        <v>4000</v>
      </c>
      <c r="F415" s="44">
        <f>Stock[Entradas]-Stock[Compra Cultivate]</f>
        <v>0</v>
      </c>
      <c r="G415" s="11">
        <f>SUMIFS(Compras[Cantidad],Compras[Codigo],Stock[Codigo])</f>
        <v>1</v>
      </c>
      <c r="H415" s="11">
        <f>SUMIFS(Ventas[Cantidad],Ventas[Codigo],Stock[[#This Row],[Codigo]])</f>
        <v>0</v>
      </c>
      <c r="I415" s="12">
        <f>Stock[[#This Row],[Stock Deposito]]*Stock[[#This Row],[Precio de Compra]]</f>
        <v>0</v>
      </c>
      <c r="J415" s="6">
        <f>SUMIFS(ProdDesc[Cantidad],ProdDesc[Codigo],Stock[Codigo])</f>
        <v>1</v>
      </c>
      <c r="K415" s="44">
        <f>Stock[[#This Row],[Compra Cultivate]]-Stock[[#This Row],[Salidas]]-Stock[[#This Row],[Usados]]</f>
        <v>0</v>
      </c>
      <c r="L415" s="24">
        <f>Stock[[#This Row],[Stock Deposito]]*Stock[[#This Row],[Precio de Venta]]</f>
        <v>0</v>
      </c>
      <c r="M415" s="6">
        <f>SUMIFS(Tabla9[Cantidad],Tabla9[Codigo],Stock[Codigo])</f>
        <v>1</v>
      </c>
      <c r="N415" s="24">
        <f>Stock[[#This Row],[Precio de Compra]]*Stock[[#This Row],[Stock Cultivate]]</f>
        <v>0</v>
      </c>
      <c r="O415" s="24">
        <f>Stock[[#This Row],[Stock Cultivate]]*Stock[[#This Row],[Precio de Venta]]</f>
        <v>0</v>
      </c>
      <c r="R415" s="16"/>
    </row>
    <row r="416" spans="2:18">
      <c r="B416" s="44">
        <v>515</v>
      </c>
      <c r="C416" t="s">
        <v>477</v>
      </c>
      <c r="D416" s="45">
        <v>50</v>
      </c>
      <c r="E416" s="24">
        <v>100</v>
      </c>
      <c r="F416" s="44">
        <f>Stock[Entradas]-Stock[Compra Cultivate]</f>
        <v>0</v>
      </c>
      <c r="G416" s="11">
        <f>SUMIFS(Compras[Cantidad],Compras[Codigo],Stock[Codigo])</f>
        <v>12</v>
      </c>
      <c r="H416" s="11">
        <f>SUMIFS(Ventas[Cantidad],Ventas[Codigo],Stock[[#This Row],[Codigo]])</f>
        <v>0</v>
      </c>
      <c r="I416" s="12">
        <f>Stock[[#This Row],[Stock Deposito]]*Stock[[#This Row],[Precio de Compra]]</f>
        <v>0</v>
      </c>
      <c r="J416" s="6">
        <f>SUMIFS(ProdDesc[Cantidad],ProdDesc[Codigo],Stock[Codigo])</f>
        <v>0</v>
      </c>
      <c r="K416" s="44">
        <f>Stock[[#This Row],[Compra Cultivate]]-Stock[[#This Row],[Salidas]]-Stock[[#This Row],[Usados]]</f>
        <v>12</v>
      </c>
      <c r="L416" s="24">
        <f>Stock[[#This Row],[Stock Deposito]]*Stock[[#This Row],[Precio de Venta]]</f>
        <v>0</v>
      </c>
      <c r="M416" s="6">
        <f>SUMIFS(Tabla9[Cantidad],Tabla9[Codigo],Stock[Codigo])</f>
        <v>12</v>
      </c>
      <c r="N416" s="24">
        <f>Stock[[#This Row],[Precio de Compra]]*Stock[[#This Row],[Stock Cultivate]]</f>
        <v>600</v>
      </c>
      <c r="O416" s="24">
        <f>Stock[[#This Row],[Stock Cultivate]]*Stock[[#This Row],[Precio de Venta]]</f>
        <v>1200</v>
      </c>
      <c r="R416" s="16"/>
    </row>
    <row r="417" spans="2:18">
      <c r="B417" s="44">
        <v>514</v>
      </c>
      <c r="C417" t="s">
        <v>476</v>
      </c>
      <c r="D417" s="45">
        <v>50</v>
      </c>
      <c r="E417" s="24">
        <v>100</v>
      </c>
      <c r="F417" s="44">
        <f>Stock[Entradas]-Stock[Compra Cultivate]</f>
        <v>0</v>
      </c>
      <c r="G417" s="11">
        <f>SUMIFS(Compras[Cantidad],Compras[Codigo],Stock[Codigo])</f>
        <v>12</v>
      </c>
      <c r="H417" s="11">
        <f>SUMIFS(Ventas[Cantidad],Ventas[Codigo],Stock[[#This Row],[Codigo]])</f>
        <v>1</v>
      </c>
      <c r="I417" s="12">
        <f>Stock[[#This Row],[Stock Deposito]]*Stock[[#This Row],[Precio de Compra]]</f>
        <v>0</v>
      </c>
      <c r="J417" s="6">
        <f>SUMIFS(ProdDesc[Cantidad],ProdDesc[Codigo],Stock[Codigo])</f>
        <v>0</v>
      </c>
      <c r="K417" s="44">
        <f>Stock[[#This Row],[Compra Cultivate]]-Stock[[#This Row],[Salidas]]-Stock[[#This Row],[Usados]]</f>
        <v>11</v>
      </c>
      <c r="L417" s="24">
        <f>Stock[[#This Row],[Stock Deposito]]*Stock[[#This Row],[Precio de Venta]]</f>
        <v>0</v>
      </c>
      <c r="M417" s="6">
        <f>SUMIFS(Tabla9[Cantidad],Tabla9[Codigo],Stock[Codigo])</f>
        <v>12</v>
      </c>
      <c r="N417" s="24">
        <f>Stock[[#This Row],[Precio de Compra]]*Stock[[#This Row],[Stock Cultivate]]</f>
        <v>550</v>
      </c>
      <c r="O417" s="24">
        <f>Stock[[#This Row],[Stock Cultivate]]*Stock[[#This Row],[Precio de Venta]]</f>
        <v>1100</v>
      </c>
      <c r="R417" s="16"/>
    </row>
    <row r="418" spans="2:18">
      <c r="B418" s="44">
        <v>513</v>
      </c>
      <c r="C418" t="s">
        <v>475</v>
      </c>
      <c r="D418" s="45">
        <v>50</v>
      </c>
      <c r="E418" s="24">
        <v>100</v>
      </c>
      <c r="F418" s="44">
        <f>Stock[Entradas]-Stock[Compra Cultivate]</f>
        <v>0</v>
      </c>
      <c r="G418" s="11">
        <f>SUMIFS(Compras[Cantidad],Compras[Codigo],Stock[Codigo])</f>
        <v>10</v>
      </c>
      <c r="H418" s="11">
        <f>SUMIFS(Ventas[Cantidad],Ventas[Codigo],Stock[[#This Row],[Codigo]])</f>
        <v>1</v>
      </c>
      <c r="I418" s="12">
        <f>Stock[[#This Row],[Stock Deposito]]*Stock[[#This Row],[Precio de Compra]]</f>
        <v>0</v>
      </c>
      <c r="J418" s="6">
        <f>SUMIFS(ProdDesc[Cantidad],ProdDesc[Codigo],Stock[Codigo])</f>
        <v>0</v>
      </c>
      <c r="K418" s="44">
        <f>Stock[[#This Row],[Compra Cultivate]]-Stock[[#This Row],[Salidas]]-Stock[[#This Row],[Usados]]</f>
        <v>9</v>
      </c>
      <c r="L418" s="24">
        <f>Stock[[#This Row],[Stock Deposito]]*Stock[[#This Row],[Precio de Venta]]</f>
        <v>0</v>
      </c>
      <c r="M418" s="6">
        <f>SUMIFS(Tabla9[Cantidad],Tabla9[Codigo],Stock[Codigo])</f>
        <v>10</v>
      </c>
      <c r="N418" s="24">
        <f>Stock[[#This Row],[Precio de Compra]]*Stock[[#This Row],[Stock Cultivate]]</f>
        <v>450</v>
      </c>
      <c r="O418" s="24">
        <f>Stock[[#This Row],[Stock Cultivate]]*Stock[[#This Row],[Precio de Venta]]</f>
        <v>900</v>
      </c>
      <c r="R418" s="16"/>
    </row>
    <row r="419" spans="2:18">
      <c r="B419" s="44">
        <v>512</v>
      </c>
      <c r="C419" t="s">
        <v>474</v>
      </c>
      <c r="D419" s="45">
        <v>110</v>
      </c>
      <c r="E419" s="24">
        <v>150</v>
      </c>
      <c r="F419" s="44">
        <f>Stock[Entradas]-Stock[Compra Cultivate]</f>
        <v>0</v>
      </c>
      <c r="G419" s="11">
        <f>SUMIFS(Compras[Cantidad],Compras[Codigo],Stock[Codigo])</f>
        <v>11</v>
      </c>
      <c r="H419" s="11">
        <f>SUMIFS(Ventas[Cantidad],Ventas[Codigo],Stock[[#This Row],[Codigo]])</f>
        <v>1</v>
      </c>
      <c r="I419" s="12">
        <f>Stock[[#This Row],[Stock Deposito]]*Stock[[#This Row],[Precio de Compra]]</f>
        <v>0</v>
      </c>
      <c r="J419" s="6">
        <f>SUMIFS(ProdDesc[Cantidad],ProdDesc[Codigo],Stock[Codigo])</f>
        <v>0</v>
      </c>
      <c r="K419" s="44">
        <f>Stock[[#This Row],[Compra Cultivate]]-Stock[[#This Row],[Salidas]]-Stock[[#This Row],[Usados]]</f>
        <v>10</v>
      </c>
      <c r="L419" s="24">
        <f>Stock[[#This Row],[Stock Deposito]]*Stock[[#This Row],[Precio de Venta]]</f>
        <v>0</v>
      </c>
      <c r="M419" s="6">
        <f>SUMIFS(Tabla9[Cantidad],Tabla9[Codigo],Stock[Codigo])</f>
        <v>11</v>
      </c>
      <c r="N419" s="24">
        <f>Stock[[#This Row],[Precio de Compra]]*Stock[[#This Row],[Stock Cultivate]]</f>
        <v>1100</v>
      </c>
      <c r="O419" s="24">
        <f>Stock[[#This Row],[Stock Cultivate]]*Stock[[#This Row],[Precio de Venta]]</f>
        <v>1500</v>
      </c>
      <c r="R419" s="16"/>
    </row>
    <row r="420" spans="2:18">
      <c r="B420" s="44">
        <v>511</v>
      </c>
      <c r="C420" t="s">
        <v>473</v>
      </c>
      <c r="D420" s="45">
        <v>1000</v>
      </c>
      <c r="E420" s="24">
        <v>2000</v>
      </c>
      <c r="F420" s="44">
        <f>Stock[Entradas]-Stock[Compra Cultivate]</f>
        <v>0</v>
      </c>
      <c r="G420" s="11">
        <f>SUMIFS(Compras[Cantidad],Compras[Codigo],Stock[Codigo])</f>
        <v>1</v>
      </c>
      <c r="H420" s="11">
        <f>SUMIFS(Ventas[Cantidad],Ventas[Codigo],Stock[[#This Row],[Codigo]])</f>
        <v>0</v>
      </c>
      <c r="I420" s="12">
        <f>Stock[[#This Row],[Stock Deposito]]*Stock[[#This Row],[Precio de Compra]]</f>
        <v>0</v>
      </c>
      <c r="J420" s="6">
        <f>SUMIFS(ProdDesc[Cantidad],ProdDesc[Codigo],Stock[Codigo])</f>
        <v>0</v>
      </c>
      <c r="K420" s="44">
        <f>Stock[[#This Row],[Compra Cultivate]]-Stock[[#This Row],[Salidas]]-Stock[[#This Row],[Usados]]</f>
        <v>1</v>
      </c>
      <c r="L420" s="24">
        <f>Stock[[#This Row],[Stock Deposito]]*Stock[[#This Row],[Precio de Venta]]</f>
        <v>0</v>
      </c>
      <c r="M420" s="6">
        <f>SUMIFS(Tabla9[Cantidad],Tabla9[Codigo],Stock[Codigo])</f>
        <v>1</v>
      </c>
      <c r="N420" s="24">
        <f>Stock[[#This Row],[Precio de Compra]]*Stock[[#This Row],[Stock Cultivate]]</f>
        <v>1000</v>
      </c>
      <c r="O420" s="24">
        <f>Stock[[#This Row],[Stock Cultivate]]*Stock[[#This Row],[Precio de Venta]]</f>
        <v>2000</v>
      </c>
      <c r="R420" s="16"/>
    </row>
    <row r="421" spans="2:18">
      <c r="B421" s="44">
        <v>510</v>
      </c>
      <c r="C421" t="s">
        <v>607</v>
      </c>
      <c r="D421" s="45">
        <v>1375</v>
      </c>
      <c r="E421" s="24">
        <v>2500</v>
      </c>
      <c r="F421" s="44">
        <f>Stock[Entradas]-Stock[Compra Cultivate]</f>
        <v>0</v>
      </c>
      <c r="G421" s="11">
        <f>SUMIFS(Compras[Cantidad],Compras[Codigo],Stock[Codigo])</f>
        <v>3</v>
      </c>
      <c r="H421" s="11">
        <f>SUMIFS(Ventas[Cantidad],Ventas[Codigo],Stock[[#This Row],[Codigo]])</f>
        <v>3</v>
      </c>
      <c r="I421" s="12">
        <f>Stock[[#This Row],[Stock Deposito]]*Stock[[#This Row],[Precio de Compra]]</f>
        <v>0</v>
      </c>
      <c r="J421" s="6">
        <f>SUMIFS(ProdDesc[Cantidad],ProdDesc[Codigo],Stock[Codigo])</f>
        <v>0</v>
      </c>
      <c r="K421" s="44">
        <f>Stock[[#This Row],[Compra Cultivate]]-Stock[[#This Row],[Salidas]]-Stock[[#This Row],[Usados]]</f>
        <v>0</v>
      </c>
      <c r="L421" s="24">
        <f>Stock[[#This Row],[Stock Deposito]]*Stock[[#This Row],[Precio de Venta]]</f>
        <v>0</v>
      </c>
      <c r="M421" s="6">
        <f>SUMIFS(Tabla9[Cantidad],Tabla9[Codigo],Stock[Codigo])</f>
        <v>3</v>
      </c>
      <c r="N421" s="24">
        <f>Stock[[#This Row],[Precio de Compra]]*Stock[[#This Row],[Stock Cultivate]]</f>
        <v>0</v>
      </c>
      <c r="O421" s="24">
        <f>Stock[[#This Row],[Stock Cultivate]]*Stock[[#This Row],[Precio de Venta]]</f>
        <v>0</v>
      </c>
      <c r="R421" s="16"/>
    </row>
    <row r="422" spans="2:18">
      <c r="B422" s="44">
        <v>509</v>
      </c>
      <c r="C422" t="s">
        <v>472</v>
      </c>
      <c r="D422" s="45">
        <v>225</v>
      </c>
      <c r="E422" s="24">
        <v>500</v>
      </c>
      <c r="F422" s="44">
        <f>Stock[Entradas]-Stock[Compra Cultivate]</f>
        <v>0</v>
      </c>
      <c r="G422" s="11">
        <f>SUMIFS(Compras[Cantidad],Compras[Codigo],Stock[Codigo])</f>
        <v>2</v>
      </c>
      <c r="H422" s="11">
        <f>SUMIFS(Ventas[Cantidad],Ventas[Codigo],Stock[[#This Row],[Codigo]])</f>
        <v>0</v>
      </c>
      <c r="I422" s="12">
        <f>Stock[[#This Row],[Stock Deposito]]*Stock[[#This Row],[Precio de Compra]]</f>
        <v>0</v>
      </c>
      <c r="J422" s="6">
        <f>SUMIFS(ProdDesc[Cantidad],ProdDesc[Codigo],Stock[Codigo])</f>
        <v>0</v>
      </c>
      <c r="K422" s="44">
        <f>Stock[[#This Row],[Compra Cultivate]]-Stock[[#This Row],[Salidas]]-Stock[[#This Row],[Usados]]</f>
        <v>2</v>
      </c>
      <c r="L422" s="24">
        <f>Stock[[#This Row],[Stock Deposito]]*Stock[[#This Row],[Precio de Venta]]</f>
        <v>0</v>
      </c>
      <c r="M422" s="6">
        <f>SUMIFS(Tabla9[Cantidad],Tabla9[Codigo],Stock[Codigo])</f>
        <v>2</v>
      </c>
      <c r="N422" s="24">
        <f>Stock[[#This Row],[Precio de Compra]]*Stock[[#This Row],[Stock Cultivate]]</f>
        <v>450</v>
      </c>
      <c r="O422" s="24">
        <f>Stock[[#This Row],[Stock Cultivate]]*Stock[[#This Row],[Precio de Venta]]</f>
        <v>1000</v>
      </c>
      <c r="R422" s="16"/>
    </row>
    <row r="423" spans="2:18">
      <c r="B423" s="44">
        <v>508</v>
      </c>
      <c r="C423" t="s">
        <v>471</v>
      </c>
      <c r="D423" s="45">
        <v>300</v>
      </c>
      <c r="E423" s="24">
        <v>600</v>
      </c>
      <c r="F423" s="44">
        <f>Stock[Entradas]-Stock[Compra Cultivate]</f>
        <v>0</v>
      </c>
      <c r="G423" s="11">
        <f>SUMIFS(Compras[Cantidad],Compras[Codigo],Stock[Codigo])</f>
        <v>2</v>
      </c>
      <c r="H423" s="11">
        <f>SUMIFS(Ventas[Cantidad],Ventas[Codigo],Stock[[#This Row],[Codigo]])</f>
        <v>2</v>
      </c>
      <c r="I423" s="12">
        <f>Stock[[#This Row],[Stock Deposito]]*Stock[[#This Row],[Precio de Compra]]</f>
        <v>0</v>
      </c>
      <c r="J423" s="6">
        <f>SUMIFS(ProdDesc[Cantidad],ProdDesc[Codigo],Stock[Codigo])</f>
        <v>0</v>
      </c>
      <c r="K423" s="44">
        <f>Stock[[#This Row],[Compra Cultivate]]-Stock[[#This Row],[Salidas]]-Stock[[#This Row],[Usados]]</f>
        <v>0</v>
      </c>
      <c r="L423" s="24">
        <f>Stock[[#This Row],[Stock Deposito]]*Stock[[#This Row],[Precio de Venta]]</f>
        <v>0</v>
      </c>
      <c r="M423" s="6">
        <f>SUMIFS(Tabla9[Cantidad],Tabla9[Codigo],Stock[Codigo])</f>
        <v>2</v>
      </c>
      <c r="N423" s="24">
        <f>Stock[[#This Row],[Precio de Compra]]*Stock[[#This Row],[Stock Cultivate]]</f>
        <v>0</v>
      </c>
      <c r="O423" s="24">
        <f>Stock[[#This Row],[Stock Cultivate]]*Stock[[#This Row],[Precio de Venta]]</f>
        <v>0</v>
      </c>
      <c r="R423" s="16"/>
    </row>
    <row r="424" spans="2:18">
      <c r="B424" s="44">
        <v>507</v>
      </c>
      <c r="C424" t="s">
        <v>470</v>
      </c>
      <c r="D424" s="45">
        <v>225</v>
      </c>
      <c r="E424" s="24">
        <v>500</v>
      </c>
      <c r="F424" s="44">
        <f>Stock[Entradas]-Stock[Compra Cultivate]</f>
        <v>0</v>
      </c>
      <c r="G424" s="11">
        <f>SUMIFS(Compras[Cantidad],Compras[Codigo],Stock[Codigo])</f>
        <v>5</v>
      </c>
      <c r="H424" s="11">
        <f>SUMIFS(Ventas[Cantidad],Ventas[Codigo],Stock[[#This Row],[Codigo]])</f>
        <v>1</v>
      </c>
      <c r="I424" s="12">
        <f>Stock[[#This Row],[Stock Deposito]]*Stock[[#This Row],[Precio de Compra]]</f>
        <v>0</v>
      </c>
      <c r="J424" s="6">
        <f>SUMIFS(ProdDesc[Cantidad],ProdDesc[Codigo],Stock[Codigo])</f>
        <v>0</v>
      </c>
      <c r="K424" s="44">
        <f>Stock[[#This Row],[Compra Cultivate]]-Stock[[#This Row],[Salidas]]-Stock[[#This Row],[Usados]]</f>
        <v>4</v>
      </c>
      <c r="L424" s="24">
        <f>Stock[[#This Row],[Stock Deposito]]*Stock[[#This Row],[Precio de Venta]]</f>
        <v>0</v>
      </c>
      <c r="M424" s="6">
        <f>SUMIFS(Tabla9[Cantidad],Tabla9[Codigo],Stock[Codigo])</f>
        <v>5</v>
      </c>
      <c r="N424" s="24">
        <f>Stock[[#This Row],[Precio de Compra]]*Stock[[#This Row],[Stock Cultivate]]</f>
        <v>900</v>
      </c>
      <c r="O424" s="24">
        <f>Stock[[#This Row],[Stock Cultivate]]*Stock[[#This Row],[Precio de Venta]]</f>
        <v>2000</v>
      </c>
      <c r="R424" s="16"/>
    </row>
    <row r="425" spans="2:18">
      <c r="B425" s="44">
        <v>504</v>
      </c>
      <c r="C425" t="s">
        <v>469</v>
      </c>
      <c r="D425" s="45">
        <v>225</v>
      </c>
      <c r="E425" s="24">
        <v>500</v>
      </c>
      <c r="F425" s="44">
        <f>Stock[Entradas]-Stock[Compra Cultivate]</f>
        <v>0</v>
      </c>
      <c r="G425" s="11">
        <f>SUMIFS(Compras[Cantidad],Compras[Codigo],Stock[Codigo])</f>
        <v>2</v>
      </c>
      <c r="H425" s="11">
        <f>SUMIFS(Ventas[Cantidad],Ventas[Codigo],Stock[[#This Row],[Codigo]])</f>
        <v>0</v>
      </c>
      <c r="I425" s="12">
        <f>Stock[[#This Row],[Stock Deposito]]*Stock[[#This Row],[Precio de Compra]]</f>
        <v>0</v>
      </c>
      <c r="J425" s="6">
        <f>SUMIFS(ProdDesc[Cantidad],ProdDesc[Codigo],Stock[Codigo])</f>
        <v>0</v>
      </c>
      <c r="K425" s="44">
        <f>Stock[[#This Row],[Compra Cultivate]]-Stock[[#This Row],[Salidas]]-Stock[[#This Row],[Usados]]</f>
        <v>2</v>
      </c>
      <c r="L425" s="24">
        <f>Stock[[#This Row],[Stock Deposito]]*Stock[[#This Row],[Precio de Venta]]</f>
        <v>0</v>
      </c>
      <c r="M425" s="6">
        <f>SUMIFS(Tabla9[Cantidad],Tabla9[Codigo],Stock[Codigo])</f>
        <v>2</v>
      </c>
      <c r="N425" s="24">
        <f>Stock[[#This Row],[Precio de Compra]]*Stock[[#This Row],[Stock Cultivate]]</f>
        <v>450</v>
      </c>
      <c r="O425" s="24">
        <f>Stock[[#This Row],[Stock Cultivate]]*Stock[[#This Row],[Precio de Venta]]</f>
        <v>1000</v>
      </c>
      <c r="P425" s="17"/>
      <c r="R425" s="16"/>
    </row>
    <row r="426" spans="2:18">
      <c r="B426" s="44">
        <v>503</v>
      </c>
      <c r="C426" t="s">
        <v>467</v>
      </c>
      <c r="D426" s="45">
        <v>150</v>
      </c>
      <c r="E426" s="24">
        <v>300</v>
      </c>
      <c r="F426" s="44">
        <f>Stock[Entradas]-Stock[Compra Cultivate]</f>
        <v>0</v>
      </c>
      <c r="G426" s="11">
        <f>SUMIFS(Compras[Cantidad],Compras[Codigo],Stock[Codigo])</f>
        <v>14</v>
      </c>
      <c r="H426" s="11">
        <f>SUMIFS(Ventas[Cantidad],Ventas[Codigo],Stock[[#This Row],[Codigo]])</f>
        <v>0</v>
      </c>
      <c r="I426" s="12">
        <f>Stock[[#This Row],[Stock Deposito]]*Stock[[#This Row],[Precio de Compra]]</f>
        <v>0</v>
      </c>
      <c r="J426" s="6">
        <f>SUMIFS(ProdDesc[Cantidad],ProdDesc[Codigo],Stock[Codigo])</f>
        <v>9</v>
      </c>
      <c r="K426" s="44">
        <f>Stock[[#This Row],[Compra Cultivate]]-Stock[[#This Row],[Salidas]]-Stock[[#This Row],[Usados]]</f>
        <v>5</v>
      </c>
      <c r="L426" s="24">
        <f>Stock[[#This Row],[Stock Deposito]]*Stock[[#This Row],[Precio de Venta]]</f>
        <v>0</v>
      </c>
      <c r="M426" s="6">
        <f>SUMIFS(Tabla9[Cantidad],Tabla9[Codigo],Stock[Codigo])</f>
        <v>14</v>
      </c>
      <c r="N426" s="24">
        <f>Stock[[#This Row],[Precio de Compra]]*Stock[[#This Row],[Stock Cultivate]]</f>
        <v>750</v>
      </c>
      <c r="O426" s="24">
        <f>Stock[[#This Row],[Stock Cultivate]]*Stock[[#This Row],[Precio de Venta]]</f>
        <v>1500</v>
      </c>
      <c r="P426" s="17"/>
      <c r="R426" s="16"/>
    </row>
    <row r="427" spans="2:18">
      <c r="B427" s="44">
        <v>502</v>
      </c>
      <c r="C427" t="s">
        <v>466</v>
      </c>
      <c r="D427" s="45">
        <v>276</v>
      </c>
      <c r="E427" s="24">
        <v>550</v>
      </c>
      <c r="F427" s="44">
        <f>Stock[Entradas]-Stock[Compra Cultivate]</f>
        <v>0</v>
      </c>
      <c r="G427" s="11">
        <f>SUMIFS(Compras[Cantidad],Compras[Codigo],Stock[Codigo])</f>
        <v>20</v>
      </c>
      <c r="H427" s="11">
        <f>SUMIFS(Ventas[Cantidad],Ventas[Codigo],Stock[[#This Row],[Codigo]])</f>
        <v>19</v>
      </c>
      <c r="I427" s="12">
        <f>Stock[[#This Row],[Stock Deposito]]*Stock[[#This Row],[Precio de Compra]]</f>
        <v>0</v>
      </c>
      <c r="J427" s="6">
        <f>SUMIFS(ProdDesc[Cantidad],ProdDesc[Codigo],Stock[Codigo])</f>
        <v>1</v>
      </c>
      <c r="K427" s="44">
        <f>Stock[[#This Row],[Compra Cultivate]]-Stock[[#This Row],[Salidas]]-Stock[[#This Row],[Usados]]</f>
        <v>0</v>
      </c>
      <c r="L427" s="24">
        <f>Stock[[#This Row],[Stock Deposito]]*Stock[[#This Row],[Precio de Venta]]</f>
        <v>0</v>
      </c>
      <c r="M427" s="6">
        <f>SUMIFS(Tabla9[Cantidad],Tabla9[Codigo],Stock[Codigo])</f>
        <v>20</v>
      </c>
      <c r="N427" s="24">
        <f>Stock[[#This Row],[Precio de Compra]]*Stock[[#This Row],[Stock Cultivate]]</f>
        <v>0</v>
      </c>
      <c r="O427" s="24">
        <f>Stock[[#This Row],[Stock Cultivate]]*Stock[[#This Row],[Precio de Venta]]</f>
        <v>0</v>
      </c>
      <c r="P427" s="17"/>
      <c r="R427" s="16"/>
    </row>
    <row r="428" spans="2:18">
      <c r="B428" s="44">
        <v>501</v>
      </c>
      <c r="C428" t="s">
        <v>465</v>
      </c>
      <c r="D428" s="45">
        <v>2000</v>
      </c>
      <c r="E428" s="24">
        <v>4000</v>
      </c>
      <c r="F428" s="44">
        <f>Stock[Entradas]-Stock[Compra Cultivate]</f>
        <v>0</v>
      </c>
      <c r="G428" s="11">
        <f>SUMIFS(Compras[Cantidad],Compras[Codigo],Stock[Codigo])</f>
        <v>2</v>
      </c>
      <c r="H428" s="11">
        <f>SUMIFS(Ventas[Cantidad],Ventas[Codigo],Stock[[#This Row],[Codigo]])</f>
        <v>2</v>
      </c>
      <c r="I428" s="12">
        <f>Stock[[#This Row],[Stock Deposito]]*Stock[[#This Row],[Precio de Compra]]</f>
        <v>0</v>
      </c>
      <c r="J428" s="6">
        <f>SUMIFS(ProdDesc[Cantidad],ProdDesc[Codigo],Stock[Codigo])</f>
        <v>0</v>
      </c>
      <c r="K428" s="44">
        <f>Stock[[#This Row],[Compra Cultivate]]-Stock[[#This Row],[Salidas]]-Stock[[#This Row],[Usados]]</f>
        <v>0</v>
      </c>
      <c r="L428" s="24">
        <f>Stock[[#This Row],[Stock Deposito]]*Stock[[#This Row],[Precio de Venta]]</f>
        <v>0</v>
      </c>
      <c r="M428" s="6">
        <f>SUMIFS(Tabla9[Cantidad],Tabla9[Codigo],Stock[Codigo])</f>
        <v>2</v>
      </c>
      <c r="N428" s="24">
        <f>Stock[[#This Row],[Precio de Compra]]*Stock[[#This Row],[Stock Cultivate]]</f>
        <v>0</v>
      </c>
      <c r="O428" s="24">
        <f>Stock[[#This Row],[Stock Cultivate]]*Stock[[#This Row],[Precio de Venta]]</f>
        <v>0</v>
      </c>
      <c r="P428" s="17"/>
      <c r="R428" s="16"/>
    </row>
    <row r="429" spans="2:18">
      <c r="B429" s="44">
        <v>500</v>
      </c>
      <c r="C429" t="s">
        <v>1159</v>
      </c>
      <c r="D429" s="45">
        <v>1033</v>
      </c>
      <c r="E429" s="24">
        <v>2000</v>
      </c>
      <c r="F429" s="44">
        <f>Stock[Entradas]-Stock[Compra Cultivate]</f>
        <v>0</v>
      </c>
      <c r="G429" s="11">
        <f>SUMIFS(Compras[Cantidad],Compras[Codigo],Stock[Codigo])</f>
        <v>11</v>
      </c>
      <c r="H429" s="11">
        <f>SUMIFS(Ventas[Cantidad],Ventas[Codigo],Stock[[#This Row],[Codigo]])</f>
        <v>7</v>
      </c>
      <c r="I429" s="12">
        <f>Stock[[#This Row],[Stock Deposito]]*Stock[[#This Row],[Precio de Compra]]</f>
        <v>0</v>
      </c>
      <c r="J429" s="6">
        <f>SUMIFS(ProdDesc[Cantidad],ProdDesc[Codigo],Stock[Codigo])</f>
        <v>0</v>
      </c>
      <c r="K429" s="44">
        <f>Stock[[#This Row],[Compra Cultivate]]-Stock[[#This Row],[Salidas]]-Stock[[#This Row],[Usados]]</f>
        <v>4</v>
      </c>
      <c r="L429" s="24">
        <f>Stock[[#This Row],[Stock Deposito]]*Stock[[#This Row],[Precio de Venta]]</f>
        <v>0</v>
      </c>
      <c r="M429" s="6">
        <f>SUMIFS(Tabla9[Cantidad],Tabla9[Codigo],Stock[Codigo])</f>
        <v>11</v>
      </c>
      <c r="N429" s="24">
        <f>Stock[[#This Row],[Precio de Compra]]*Stock[[#This Row],[Stock Cultivate]]</f>
        <v>4132</v>
      </c>
      <c r="O429" s="24">
        <f>Stock[[#This Row],[Stock Cultivate]]*Stock[[#This Row],[Precio de Venta]]</f>
        <v>8000</v>
      </c>
      <c r="P429" s="17"/>
      <c r="R429" s="16"/>
    </row>
    <row r="430" spans="2:18">
      <c r="B430" s="44">
        <v>499</v>
      </c>
      <c r="C430" t="s">
        <v>464</v>
      </c>
      <c r="D430" s="45">
        <v>380</v>
      </c>
      <c r="E430" s="24">
        <v>850</v>
      </c>
      <c r="F430" s="44">
        <f>Stock[Entradas]-Stock[Compra Cultivate]</f>
        <v>0</v>
      </c>
      <c r="G430" s="11">
        <f>SUMIFS(Compras[Cantidad],Compras[Codigo],Stock[Codigo])</f>
        <v>1</v>
      </c>
      <c r="H430" s="11">
        <f>SUMIFS(Ventas[Cantidad],Ventas[Codigo],Stock[[#This Row],[Codigo]])</f>
        <v>1</v>
      </c>
      <c r="I430" s="12">
        <f>Stock[[#This Row],[Stock Deposito]]*Stock[[#This Row],[Precio de Compra]]</f>
        <v>0</v>
      </c>
      <c r="J430" s="6">
        <f>SUMIFS(ProdDesc[Cantidad],ProdDesc[Codigo],Stock[Codigo])</f>
        <v>0</v>
      </c>
      <c r="K430" s="44">
        <f>Stock[[#This Row],[Compra Cultivate]]-Stock[[#This Row],[Salidas]]-Stock[[#This Row],[Usados]]</f>
        <v>0</v>
      </c>
      <c r="L430" s="24">
        <f>Stock[[#This Row],[Stock Deposito]]*Stock[[#This Row],[Precio de Venta]]</f>
        <v>0</v>
      </c>
      <c r="M430" s="6">
        <f>SUMIFS(Tabla9[Cantidad],Tabla9[Codigo],Stock[Codigo])</f>
        <v>1</v>
      </c>
      <c r="N430" s="24">
        <f>Stock[[#This Row],[Precio de Compra]]*Stock[[#This Row],[Stock Cultivate]]</f>
        <v>0</v>
      </c>
      <c r="O430" s="24">
        <f>Stock[[#This Row],[Stock Cultivate]]*Stock[[#This Row],[Precio de Venta]]</f>
        <v>0</v>
      </c>
      <c r="R430" s="16"/>
    </row>
    <row r="431" spans="2:18">
      <c r="B431" s="44">
        <v>498</v>
      </c>
      <c r="C431" t="s">
        <v>463</v>
      </c>
      <c r="D431" s="45">
        <v>400</v>
      </c>
      <c r="E431" s="24">
        <v>1500</v>
      </c>
      <c r="F431" s="44">
        <f>Stock[Entradas]-Stock[Compra Cultivate]</f>
        <v>0</v>
      </c>
      <c r="G431" s="11">
        <f>SUMIFS(Compras[Cantidad],Compras[Codigo],Stock[Codigo])</f>
        <v>2</v>
      </c>
      <c r="H431" s="11">
        <f>SUMIFS(Ventas[Cantidad],Ventas[Codigo],Stock[[#This Row],[Codigo]])</f>
        <v>0</v>
      </c>
      <c r="I431" s="12">
        <f>Stock[[#This Row],[Stock Deposito]]*Stock[[#This Row],[Precio de Compra]]</f>
        <v>0</v>
      </c>
      <c r="J431" s="6">
        <f>SUMIFS(ProdDesc[Cantidad],ProdDesc[Codigo],Stock[Codigo])</f>
        <v>0</v>
      </c>
      <c r="K431" s="44">
        <f>Stock[[#This Row],[Compra Cultivate]]-Stock[[#This Row],[Salidas]]-Stock[[#This Row],[Usados]]</f>
        <v>2</v>
      </c>
      <c r="L431" s="24">
        <f>Stock[[#This Row],[Stock Deposito]]*Stock[[#This Row],[Precio de Venta]]</f>
        <v>0</v>
      </c>
      <c r="M431" s="6">
        <f>SUMIFS(Tabla9[Cantidad],Tabla9[Codigo],Stock[Codigo])</f>
        <v>2</v>
      </c>
      <c r="N431" s="24">
        <f>Stock[[#This Row],[Precio de Compra]]*Stock[[#This Row],[Stock Cultivate]]</f>
        <v>800</v>
      </c>
      <c r="O431" s="24">
        <f>Stock[[#This Row],[Stock Cultivate]]*Stock[[#This Row],[Precio de Venta]]</f>
        <v>3000</v>
      </c>
      <c r="R431" s="16"/>
    </row>
    <row r="432" spans="2:18">
      <c r="B432" s="44">
        <v>497</v>
      </c>
      <c r="C432" t="s">
        <v>1156</v>
      </c>
      <c r="D432" s="45">
        <v>1390</v>
      </c>
      <c r="E432" s="24">
        <v>2500</v>
      </c>
      <c r="F432" s="44">
        <f>Stock[Entradas]-Stock[Compra Cultivate]</f>
        <v>0</v>
      </c>
      <c r="G432" s="11">
        <f>SUMIFS(Compras[Cantidad],Compras[Codigo],Stock[Codigo])</f>
        <v>9</v>
      </c>
      <c r="H432" s="11">
        <f>SUMIFS(Ventas[Cantidad],Ventas[Codigo],Stock[[#This Row],[Codigo]])</f>
        <v>5</v>
      </c>
      <c r="I432" s="12">
        <f>Stock[[#This Row],[Stock Deposito]]*Stock[[#This Row],[Precio de Compra]]</f>
        <v>0</v>
      </c>
      <c r="J432" s="6">
        <f>SUMIFS(ProdDesc[Cantidad],ProdDesc[Codigo],Stock[Codigo])</f>
        <v>0</v>
      </c>
      <c r="K432" s="44">
        <f>Stock[[#This Row],[Compra Cultivate]]-Stock[[#This Row],[Salidas]]-Stock[[#This Row],[Usados]]</f>
        <v>4</v>
      </c>
      <c r="L432" s="24">
        <f>Stock[[#This Row],[Stock Deposito]]*Stock[[#This Row],[Precio de Venta]]</f>
        <v>0</v>
      </c>
      <c r="M432" s="6">
        <f>SUMIFS(Tabla9[Cantidad],Tabla9[Codigo],Stock[Codigo])</f>
        <v>9</v>
      </c>
      <c r="N432" s="24">
        <f>Stock[[#This Row],[Precio de Compra]]*Stock[[#This Row],[Stock Cultivate]]</f>
        <v>5560</v>
      </c>
      <c r="O432" s="24">
        <f>Stock[[#This Row],[Stock Cultivate]]*Stock[[#This Row],[Precio de Venta]]</f>
        <v>10000</v>
      </c>
      <c r="R432" s="16"/>
    </row>
    <row r="433" spans="2:18">
      <c r="B433" s="44">
        <v>496</v>
      </c>
      <c r="C433" t="s">
        <v>1157</v>
      </c>
      <c r="D433" s="45">
        <v>1377</v>
      </c>
      <c r="E433" s="24">
        <v>2500</v>
      </c>
      <c r="F433" s="44">
        <f>Stock[Entradas]-Stock[Compra Cultivate]</f>
        <v>0</v>
      </c>
      <c r="G433" s="11">
        <f>SUMIFS(Compras[Cantidad],Compras[Codigo],Stock[Codigo])</f>
        <v>18</v>
      </c>
      <c r="H433" s="11">
        <f>SUMIFS(Ventas[Cantidad],Ventas[Codigo],Stock[[#This Row],[Codigo]])</f>
        <v>16</v>
      </c>
      <c r="I433" s="12">
        <f>Stock[[#This Row],[Stock Deposito]]*Stock[[#This Row],[Precio de Compra]]</f>
        <v>0</v>
      </c>
      <c r="J433" s="6">
        <f>SUMIFS(ProdDesc[Cantidad],ProdDesc[Codigo],Stock[Codigo])</f>
        <v>0</v>
      </c>
      <c r="K433" s="44">
        <f>Stock[[#This Row],[Compra Cultivate]]-Stock[[#This Row],[Salidas]]-Stock[[#This Row],[Usados]]</f>
        <v>2</v>
      </c>
      <c r="L433" s="24">
        <f>Stock[[#This Row],[Stock Deposito]]*Stock[[#This Row],[Precio de Venta]]</f>
        <v>0</v>
      </c>
      <c r="M433" s="6">
        <f>SUMIFS(Tabla9[Cantidad],Tabla9[Codigo],Stock[Codigo])</f>
        <v>18</v>
      </c>
      <c r="N433" s="24">
        <f>Stock[[#This Row],[Precio de Compra]]*Stock[[#This Row],[Stock Cultivate]]</f>
        <v>2754</v>
      </c>
      <c r="O433" s="24">
        <f>Stock[[#This Row],[Stock Cultivate]]*Stock[[#This Row],[Precio de Venta]]</f>
        <v>5000</v>
      </c>
      <c r="R433" s="16"/>
    </row>
    <row r="434" spans="2:18">
      <c r="B434" s="44">
        <v>495</v>
      </c>
      <c r="C434" t="s">
        <v>462</v>
      </c>
      <c r="D434" s="45">
        <v>1250</v>
      </c>
      <c r="E434" s="24">
        <v>2500</v>
      </c>
      <c r="F434" s="44">
        <f>Stock[Entradas]-Stock[Compra Cultivate]</f>
        <v>0</v>
      </c>
      <c r="G434" s="11">
        <f>SUMIFS(Compras[Cantidad],Compras[Codigo],Stock[Codigo])</f>
        <v>3</v>
      </c>
      <c r="H434" s="11">
        <f>SUMIFS(Ventas[Cantidad],Ventas[Codigo],Stock[[#This Row],[Codigo]])</f>
        <v>3</v>
      </c>
      <c r="I434" s="12">
        <f>Stock[[#This Row],[Stock Deposito]]*Stock[[#This Row],[Precio de Compra]]</f>
        <v>0</v>
      </c>
      <c r="J434" s="6">
        <f>SUMIFS(ProdDesc[Cantidad],ProdDesc[Codigo],Stock[Codigo])</f>
        <v>0</v>
      </c>
      <c r="K434" s="44">
        <f>Stock[[#This Row],[Compra Cultivate]]-Stock[[#This Row],[Salidas]]-Stock[[#This Row],[Usados]]</f>
        <v>0</v>
      </c>
      <c r="L434" s="24">
        <f>Stock[[#This Row],[Stock Deposito]]*Stock[[#This Row],[Precio de Venta]]</f>
        <v>0</v>
      </c>
      <c r="M434" s="6">
        <f>SUMIFS(Tabla9[Cantidad],Tabla9[Codigo],Stock[Codigo])</f>
        <v>3</v>
      </c>
      <c r="N434" s="24">
        <f>Stock[[#This Row],[Precio de Compra]]*Stock[[#This Row],[Stock Cultivate]]</f>
        <v>0</v>
      </c>
      <c r="O434" s="24">
        <f>Stock[[#This Row],[Stock Cultivate]]*Stock[[#This Row],[Precio de Venta]]</f>
        <v>0</v>
      </c>
      <c r="R434" s="16"/>
    </row>
    <row r="435" spans="2:18">
      <c r="B435" s="44">
        <v>494</v>
      </c>
      <c r="C435" t="s">
        <v>461</v>
      </c>
      <c r="D435" s="45">
        <v>1660</v>
      </c>
      <c r="E435" s="24">
        <v>3000</v>
      </c>
      <c r="F435" s="44">
        <f>Stock[Entradas]-Stock[Compra Cultivate]</f>
        <v>4</v>
      </c>
      <c r="G435" s="11">
        <f>SUMIFS(Compras[Cantidad],Compras[Codigo],Stock[Codigo])</f>
        <v>6</v>
      </c>
      <c r="H435" s="11">
        <f>SUMIFS(Ventas[Cantidad],Ventas[Codigo],Stock[[#This Row],[Codigo]])</f>
        <v>2</v>
      </c>
      <c r="I435" s="12">
        <f>Stock[[#This Row],[Stock Deposito]]*Stock[[#This Row],[Precio de Compra]]</f>
        <v>6640</v>
      </c>
      <c r="J435" s="6">
        <f>SUMIFS(ProdDesc[Cantidad],ProdDesc[Codigo],Stock[Codigo])</f>
        <v>0</v>
      </c>
      <c r="K435" s="44">
        <f>Stock[[#This Row],[Compra Cultivate]]-Stock[[#This Row],[Salidas]]-Stock[[#This Row],[Usados]]</f>
        <v>0</v>
      </c>
      <c r="L435" s="24">
        <f>Stock[[#This Row],[Stock Deposito]]*Stock[[#This Row],[Precio de Venta]]</f>
        <v>12000</v>
      </c>
      <c r="M435" s="6">
        <f>SUMIFS(Tabla9[Cantidad],Tabla9[Codigo],Stock[Codigo])</f>
        <v>2</v>
      </c>
      <c r="N435" s="24">
        <f>Stock[[#This Row],[Precio de Compra]]*Stock[[#This Row],[Stock Cultivate]]</f>
        <v>0</v>
      </c>
      <c r="O435" s="24">
        <f>Stock[[#This Row],[Stock Cultivate]]*Stock[[#This Row],[Precio de Venta]]</f>
        <v>0</v>
      </c>
      <c r="R435" s="16"/>
    </row>
    <row r="436" spans="2:18">
      <c r="B436" s="44">
        <v>493</v>
      </c>
      <c r="C436" t="s">
        <v>460</v>
      </c>
      <c r="D436" s="45">
        <v>2600</v>
      </c>
      <c r="E436" s="24">
        <v>5000</v>
      </c>
      <c r="F436" s="44">
        <f>Stock[Entradas]-Stock[Compra Cultivate]</f>
        <v>0</v>
      </c>
      <c r="G436" s="11">
        <f>SUMIFS(Compras[Cantidad],Compras[Codigo],Stock[Codigo])</f>
        <v>2</v>
      </c>
      <c r="H436" s="11">
        <f>SUMIFS(Ventas[Cantidad],Ventas[Codigo],Stock[[#This Row],[Codigo]])</f>
        <v>2</v>
      </c>
      <c r="I436" s="12">
        <f>Stock[[#This Row],[Stock Deposito]]*Stock[[#This Row],[Precio de Compra]]</f>
        <v>0</v>
      </c>
      <c r="J436" s="6">
        <f>SUMIFS(ProdDesc[Cantidad],ProdDesc[Codigo],Stock[Codigo])</f>
        <v>0</v>
      </c>
      <c r="K436" s="44">
        <f>Stock[[#This Row],[Compra Cultivate]]-Stock[[#This Row],[Salidas]]-Stock[[#This Row],[Usados]]</f>
        <v>0</v>
      </c>
      <c r="L436" s="24">
        <f>Stock[[#This Row],[Stock Deposito]]*Stock[[#This Row],[Precio de Venta]]</f>
        <v>0</v>
      </c>
      <c r="M436" s="6">
        <f>SUMIFS(Tabla9[Cantidad],Tabla9[Codigo],Stock[Codigo])</f>
        <v>2</v>
      </c>
      <c r="N436" s="24">
        <f>Stock[[#This Row],[Precio de Compra]]*Stock[[#This Row],[Stock Cultivate]]</f>
        <v>0</v>
      </c>
      <c r="O436" s="24">
        <f>Stock[[#This Row],[Stock Cultivate]]*Stock[[#This Row],[Precio de Venta]]</f>
        <v>0</v>
      </c>
      <c r="R436" s="16"/>
    </row>
    <row r="437" spans="2:18">
      <c r="B437" s="44">
        <v>492</v>
      </c>
      <c r="C437" t="s">
        <v>459</v>
      </c>
      <c r="D437" s="45">
        <v>250</v>
      </c>
      <c r="E437" s="24">
        <v>500</v>
      </c>
      <c r="F437" s="44">
        <f>Stock[Entradas]-Stock[Compra Cultivate]</f>
        <v>0</v>
      </c>
      <c r="G437" s="11">
        <f>SUMIFS(Compras[Cantidad],Compras[Codigo],Stock[Codigo])</f>
        <v>9</v>
      </c>
      <c r="H437" s="11">
        <f>SUMIFS(Ventas[Cantidad],Ventas[Codigo],Stock[[#This Row],[Codigo]])</f>
        <v>2</v>
      </c>
      <c r="I437" s="12">
        <f>Stock[[#This Row],[Stock Deposito]]*Stock[[#This Row],[Precio de Compra]]</f>
        <v>0</v>
      </c>
      <c r="J437" s="6">
        <f>SUMIFS(ProdDesc[Cantidad],ProdDesc[Codigo],Stock[Codigo])</f>
        <v>0</v>
      </c>
      <c r="K437" s="44">
        <f>Stock[[#This Row],[Compra Cultivate]]-Stock[[#This Row],[Salidas]]-Stock[[#This Row],[Usados]]</f>
        <v>7</v>
      </c>
      <c r="L437" s="24">
        <f>Stock[[#This Row],[Stock Deposito]]*Stock[[#This Row],[Precio de Venta]]</f>
        <v>0</v>
      </c>
      <c r="M437" s="6">
        <f>SUMIFS(Tabla9[Cantidad],Tabla9[Codigo],Stock[Codigo])</f>
        <v>9</v>
      </c>
      <c r="N437" s="24">
        <f>Stock[[#This Row],[Precio de Compra]]*Stock[[#This Row],[Stock Cultivate]]</f>
        <v>1750</v>
      </c>
      <c r="O437" s="24">
        <f>Stock[[#This Row],[Stock Cultivate]]*Stock[[#This Row],[Precio de Venta]]</f>
        <v>3500</v>
      </c>
      <c r="R437" s="16"/>
    </row>
    <row r="438" spans="2:18">
      <c r="B438" s="44">
        <v>490</v>
      </c>
      <c r="C438" t="s">
        <v>458</v>
      </c>
      <c r="D438" s="45">
        <v>540</v>
      </c>
      <c r="E438" s="24">
        <v>1100</v>
      </c>
      <c r="F438" s="44">
        <f>Stock[Entradas]-Stock[Compra Cultivate]</f>
        <v>0</v>
      </c>
      <c r="G438" s="11">
        <f>SUMIFS(Compras[Cantidad],Compras[Codigo],Stock[Codigo])</f>
        <v>1</v>
      </c>
      <c r="H438" s="11">
        <f>SUMIFS(Ventas[Cantidad],Ventas[Codigo],Stock[[#This Row],[Codigo]])</f>
        <v>0</v>
      </c>
      <c r="I438" s="12">
        <f>Stock[[#This Row],[Stock Deposito]]*Stock[[#This Row],[Precio de Compra]]</f>
        <v>0</v>
      </c>
      <c r="J438" s="6">
        <f>SUMIFS(ProdDesc[Cantidad],ProdDesc[Codigo],Stock[Codigo])</f>
        <v>1</v>
      </c>
      <c r="K438" s="44">
        <f>Stock[[#This Row],[Compra Cultivate]]-Stock[[#This Row],[Salidas]]-Stock[[#This Row],[Usados]]</f>
        <v>0</v>
      </c>
      <c r="L438" s="24">
        <f>Stock[[#This Row],[Stock Deposito]]*Stock[[#This Row],[Precio de Venta]]</f>
        <v>0</v>
      </c>
      <c r="M438" s="6">
        <f>SUMIFS(Tabla9[Cantidad],Tabla9[Codigo],Stock[Codigo])</f>
        <v>1</v>
      </c>
      <c r="N438" s="24">
        <f>Stock[[#This Row],[Precio de Compra]]*Stock[[#This Row],[Stock Cultivate]]</f>
        <v>0</v>
      </c>
      <c r="O438" s="24">
        <f>Stock[[#This Row],[Stock Cultivate]]*Stock[[#This Row],[Precio de Venta]]</f>
        <v>0</v>
      </c>
      <c r="R438" s="16"/>
    </row>
    <row r="439" spans="2:18">
      <c r="B439" s="44">
        <v>489</v>
      </c>
      <c r="C439" t="s">
        <v>457</v>
      </c>
      <c r="D439" s="45">
        <v>325</v>
      </c>
      <c r="E439" s="24">
        <v>650</v>
      </c>
      <c r="F439" s="44">
        <f>Stock[Entradas]-Stock[Compra Cultivate]</f>
        <v>0</v>
      </c>
      <c r="G439" s="11">
        <f>SUMIFS(Compras[Cantidad],Compras[Codigo],Stock[Codigo])</f>
        <v>10</v>
      </c>
      <c r="H439" s="11">
        <f>SUMIFS(Ventas[Cantidad],Ventas[Codigo],Stock[[#This Row],[Codigo]])</f>
        <v>1</v>
      </c>
      <c r="I439" s="12">
        <f>Stock[[#This Row],[Stock Deposito]]*Stock[[#This Row],[Precio de Compra]]</f>
        <v>0</v>
      </c>
      <c r="J439" s="6">
        <f>SUMIFS(ProdDesc[Cantidad],ProdDesc[Codigo],Stock[Codigo])</f>
        <v>1</v>
      </c>
      <c r="K439" s="44">
        <f>Stock[[#This Row],[Compra Cultivate]]-Stock[[#This Row],[Salidas]]-Stock[[#This Row],[Usados]]</f>
        <v>8</v>
      </c>
      <c r="L439" s="24">
        <f>Stock[[#This Row],[Stock Deposito]]*Stock[[#This Row],[Precio de Venta]]</f>
        <v>0</v>
      </c>
      <c r="M439" s="6">
        <f>SUMIFS(Tabla9[Cantidad],Tabla9[Codigo],Stock[Codigo])</f>
        <v>10</v>
      </c>
      <c r="N439" s="24">
        <f>Stock[[#This Row],[Precio de Compra]]*Stock[[#This Row],[Stock Cultivate]]</f>
        <v>2600</v>
      </c>
      <c r="O439" s="24">
        <f>Stock[[#This Row],[Stock Cultivate]]*Stock[[#This Row],[Precio de Venta]]</f>
        <v>5200</v>
      </c>
      <c r="R439" s="16"/>
    </row>
    <row r="440" spans="2:18">
      <c r="B440" s="44">
        <v>488</v>
      </c>
      <c r="C440" t="s">
        <v>455</v>
      </c>
      <c r="D440" s="45">
        <v>1200</v>
      </c>
      <c r="E440" s="24">
        <v>2500</v>
      </c>
      <c r="F440" s="44">
        <f>Stock[Entradas]-Stock[Compra Cultivate]</f>
        <v>0</v>
      </c>
      <c r="G440" s="11">
        <f>SUMIFS(Compras[Cantidad],Compras[Codigo],Stock[Codigo])</f>
        <v>2</v>
      </c>
      <c r="H440" s="11">
        <f>SUMIFS(Ventas[Cantidad],Ventas[Codigo],Stock[[#This Row],[Codigo]])</f>
        <v>0</v>
      </c>
      <c r="I440" s="12">
        <f>Stock[[#This Row],[Stock Deposito]]*Stock[[#This Row],[Precio de Compra]]</f>
        <v>0</v>
      </c>
      <c r="J440" s="6">
        <f>SUMIFS(ProdDesc[Cantidad],ProdDesc[Codigo],Stock[Codigo])</f>
        <v>0</v>
      </c>
      <c r="K440" s="44">
        <f>Stock[[#This Row],[Compra Cultivate]]-Stock[[#This Row],[Salidas]]-Stock[[#This Row],[Usados]]</f>
        <v>2</v>
      </c>
      <c r="L440" s="24">
        <f>Stock[[#This Row],[Stock Deposito]]*Stock[[#This Row],[Precio de Venta]]</f>
        <v>0</v>
      </c>
      <c r="M440" s="6">
        <f>SUMIFS(Tabla9[Cantidad],Tabla9[Codigo],Stock[Codigo])</f>
        <v>2</v>
      </c>
      <c r="N440" s="24">
        <f>Stock[[#This Row],[Precio de Compra]]*Stock[[#This Row],[Stock Cultivate]]</f>
        <v>2400</v>
      </c>
      <c r="O440" s="24">
        <f>Stock[[#This Row],[Stock Cultivate]]*Stock[[#This Row],[Precio de Venta]]</f>
        <v>5000</v>
      </c>
      <c r="R440" s="16"/>
    </row>
    <row r="441" spans="2:18">
      <c r="B441" s="44">
        <v>487</v>
      </c>
      <c r="C441" t="s">
        <v>454</v>
      </c>
      <c r="D441" s="45">
        <v>2000</v>
      </c>
      <c r="E441" s="24">
        <v>4000</v>
      </c>
      <c r="F441" s="44">
        <f>Stock[Entradas]-Stock[Compra Cultivate]</f>
        <v>0</v>
      </c>
      <c r="G441" s="11">
        <f>SUMIFS(Compras[Cantidad],Compras[Codigo],Stock[Codigo])</f>
        <v>2</v>
      </c>
      <c r="H441" s="11">
        <f>SUMIFS(Ventas[Cantidad],Ventas[Codigo],Stock[[#This Row],[Codigo]])</f>
        <v>0</v>
      </c>
      <c r="I441" s="12">
        <f>Stock[[#This Row],[Stock Deposito]]*Stock[[#This Row],[Precio de Compra]]</f>
        <v>0</v>
      </c>
      <c r="J441" s="6">
        <f>SUMIFS(ProdDesc[Cantidad],ProdDesc[Codigo],Stock[Codigo])</f>
        <v>0</v>
      </c>
      <c r="K441" s="44">
        <f>Stock[[#This Row],[Compra Cultivate]]-Stock[[#This Row],[Salidas]]-Stock[[#This Row],[Usados]]</f>
        <v>2</v>
      </c>
      <c r="L441" s="24">
        <f>Stock[[#This Row],[Stock Deposito]]*Stock[[#This Row],[Precio de Venta]]</f>
        <v>0</v>
      </c>
      <c r="M441" s="6">
        <f>SUMIFS(Tabla9[Cantidad],Tabla9[Codigo],Stock[Codigo])</f>
        <v>2</v>
      </c>
      <c r="N441" s="24">
        <f>Stock[[#This Row],[Precio de Compra]]*Stock[[#This Row],[Stock Cultivate]]</f>
        <v>4000</v>
      </c>
      <c r="O441" s="24">
        <f>Stock[[#This Row],[Stock Cultivate]]*Stock[[#This Row],[Precio de Venta]]</f>
        <v>8000</v>
      </c>
      <c r="R441" s="16"/>
    </row>
    <row r="442" spans="2:18">
      <c r="B442" s="44">
        <v>486</v>
      </c>
      <c r="C442" t="s">
        <v>453</v>
      </c>
      <c r="D442" s="45">
        <v>1054</v>
      </c>
      <c r="E442" s="24">
        <v>2000</v>
      </c>
      <c r="F442" s="44">
        <f>Stock[Entradas]-Stock[Compra Cultivate]</f>
        <v>3</v>
      </c>
      <c r="G442" s="11">
        <f>SUMIFS(Compras[Cantidad],Compras[Codigo],Stock[Codigo])</f>
        <v>10</v>
      </c>
      <c r="H442" s="11">
        <f>SUMIFS(Ventas[Cantidad],Ventas[Codigo],Stock[[#This Row],[Codigo]])</f>
        <v>5</v>
      </c>
      <c r="I442" s="12">
        <f>Stock[[#This Row],[Stock Deposito]]*Stock[[#This Row],[Precio de Compra]]</f>
        <v>3162</v>
      </c>
      <c r="J442" s="6">
        <f>SUMIFS(ProdDesc[Cantidad],ProdDesc[Codigo],Stock[Codigo])</f>
        <v>1</v>
      </c>
      <c r="K442" s="44">
        <f>Stock[[#This Row],[Compra Cultivate]]-Stock[[#This Row],[Salidas]]-Stock[[#This Row],[Usados]]</f>
        <v>1</v>
      </c>
      <c r="L442" s="24">
        <f>Stock[[#This Row],[Stock Deposito]]*Stock[[#This Row],[Precio de Venta]]</f>
        <v>6000</v>
      </c>
      <c r="M442" s="6">
        <f>SUMIFS(Tabla9[Cantidad],Tabla9[Codigo],Stock[Codigo])</f>
        <v>7</v>
      </c>
      <c r="N442" s="24">
        <f>Stock[[#This Row],[Precio de Compra]]*Stock[[#This Row],[Stock Cultivate]]</f>
        <v>1054</v>
      </c>
      <c r="O442" s="24">
        <f>Stock[[#This Row],[Stock Cultivate]]*Stock[[#This Row],[Precio de Venta]]</f>
        <v>2000</v>
      </c>
      <c r="R442" s="16"/>
    </row>
    <row r="443" spans="2:18">
      <c r="B443" s="44">
        <v>485</v>
      </c>
      <c r="C443" t="s">
        <v>452</v>
      </c>
      <c r="D443" s="45">
        <v>433</v>
      </c>
      <c r="E443" s="24">
        <v>900</v>
      </c>
      <c r="F443" s="44">
        <f>Stock[Entradas]-Stock[Compra Cultivate]</f>
        <v>0</v>
      </c>
      <c r="G443" s="11">
        <f>SUMIFS(Compras[Cantidad],Compras[Codigo],Stock[Codigo])</f>
        <v>1</v>
      </c>
      <c r="H443" s="11">
        <f>SUMIFS(Ventas[Cantidad],Ventas[Codigo],Stock[[#This Row],[Codigo]])</f>
        <v>1</v>
      </c>
      <c r="I443" s="12">
        <f>Stock[[#This Row],[Stock Deposito]]*Stock[[#This Row],[Precio de Compra]]</f>
        <v>0</v>
      </c>
      <c r="J443" s="6">
        <f>SUMIFS(ProdDesc[Cantidad],ProdDesc[Codigo],Stock[Codigo])</f>
        <v>0</v>
      </c>
      <c r="K443" s="44">
        <f>Stock[[#This Row],[Compra Cultivate]]-Stock[[#This Row],[Salidas]]-Stock[[#This Row],[Usados]]</f>
        <v>0</v>
      </c>
      <c r="L443" s="24">
        <f>Stock[[#This Row],[Stock Deposito]]*Stock[[#This Row],[Precio de Venta]]</f>
        <v>0</v>
      </c>
      <c r="M443" s="6">
        <f>SUMIFS(Tabla9[Cantidad],Tabla9[Codigo],Stock[Codigo])</f>
        <v>1</v>
      </c>
      <c r="N443" s="24">
        <f>Stock[[#This Row],[Precio de Compra]]*Stock[[#This Row],[Stock Cultivate]]</f>
        <v>0</v>
      </c>
      <c r="O443" s="24">
        <f>Stock[[#This Row],[Stock Cultivate]]*Stock[[#This Row],[Precio de Venta]]</f>
        <v>0</v>
      </c>
      <c r="R443" s="16"/>
    </row>
    <row r="444" spans="2:18">
      <c r="B444" s="44">
        <v>484</v>
      </c>
      <c r="C444" t="s">
        <v>451</v>
      </c>
      <c r="D444" s="45">
        <v>565</v>
      </c>
      <c r="E444" s="24">
        <v>1200</v>
      </c>
      <c r="F444" s="44">
        <f>Stock[Entradas]-Stock[Compra Cultivate]</f>
        <v>0</v>
      </c>
      <c r="G444" s="11">
        <f>SUMIFS(Compras[Cantidad],Compras[Codigo],Stock[Codigo])</f>
        <v>3</v>
      </c>
      <c r="H444" s="11">
        <f>SUMIFS(Ventas[Cantidad],Ventas[Codigo],Stock[[#This Row],[Codigo]])</f>
        <v>0</v>
      </c>
      <c r="I444" s="12">
        <f>Stock[[#This Row],[Stock Deposito]]*Stock[[#This Row],[Precio de Compra]]</f>
        <v>0</v>
      </c>
      <c r="J444" s="6">
        <f>SUMIFS(ProdDesc[Cantidad],ProdDesc[Codigo],Stock[Codigo])</f>
        <v>0</v>
      </c>
      <c r="K444" s="44">
        <f>Stock[[#This Row],[Compra Cultivate]]-Stock[[#This Row],[Salidas]]-Stock[[#This Row],[Usados]]</f>
        <v>3</v>
      </c>
      <c r="L444" s="24">
        <f>Stock[[#This Row],[Stock Deposito]]*Stock[[#This Row],[Precio de Venta]]</f>
        <v>0</v>
      </c>
      <c r="M444" s="6">
        <f>SUMIFS(Tabla9[Cantidad],Tabla9[Codigo],Stock[Codigo])</f>
        <v>3</v>
      </c>
      <c r="N444" s="24">
        <f>Stock[[#This Row],[Precio de Compra]]*Stock[[#This Row],[Stock Cultivate]]</f>
        <v>1695</v>
      </c>
      <c r="O444" s="24">
        <f>Stock[[#This Row],[Stock Cultivate]]*Stock[[#This Row],[Precio de Venta]]</f>
        <v>3600</v>
      </c>
      <c r="R444" s="16"/>
    </row>
    <row r="445" spans="2:18">
      <c r="B445" s="44">
        <v>482</v>
      </c>
      <c r="C445" t="s">
        <v>433</v>
      </c>
      <c r="D445" s="45">
        <v>550</v>
      </c>
      <c r="E445" s="24">
        <v>110</v>
      </c>
      <c r="F445" s="44">
        <f>Stock[Entradas]-Stock[Compra Cultivate]</f>
        <v>0</v>
      </c>
      <c r="G445" s="11">
        <f>SUMIFS(Compras[Cantidad],Compras[Codigo],Stock[Codigo])</f>
        <v>1</v>
      </c>
      <c r="H445" s="11">
        <f>SUMIFS(Ventas[Cantidad],Ventas[Codigo],Stock[[#This Row],[Codigo]])</f>
        <v>1</v>
      </c>
      <c r="I445" s="12">
        <f>Stock[[#This Row],[Stock Deposito]]*Stock[[#This Row],[Precio de Compra]]</f>
        <v>0</v>
      </c>
      <c r="J445" s="6">
        <f>SUMIFS(ProdDesc[Cantidad],ProdDesc[Codigo],Stock[Codigo])</f>
        <v>0</v>
      </c>
      <c r="K445" s="44">
        <f>Stock[[#This Row],[Compra Cultivate]]-Stock[[#This Row],[Salidas]]-Stock[[#This Row],[Usados]]</f>
        <v>0</v>
      </c>
      <c r="L445" s="24">
        <f>Stock[[#This Row],[Stock Deposito]]*Stock[[#This Row],[Precio de Venta]]</f>
        <v>0</v>
      </c>
      <c r="M445" s="6">
        <f>SUMIFS(Tabla9[Cantidad],Tabla9[Codigo],Stock[Codigo])</f>
        <v>1</v>
      </c>
      <c r="N445" s="24">
        <f>Stock[[#This Row],[Precio de Compra]]*Stock[[#This Row],[Stock Cultivate]]</f>
        <v>0</v>
      </c>
      <c r="O445" s="24">
        <f>Stock[[#This Row],[Stock Cultivate]]*Stock[[#This Row],[Precio de Venta]]</f>
        <v>0</v>
      </c>
      <c r="R445" s="16"/>
    </row>
    <row r="446" spans="2:18">
      <c r="B446" s="44">
        <v>481</v>
      </c>
      <c r="C446" t="s">
        <v>557</v>
      </c>
      <c r="D446" s="45">
        <v>540</v>
      </c>
      <c r="E446" s="24">
        <v>1100</v>
      </c>
      <c r="F446" s="44">
        <f>Stock[Entradas]-Stock[Compra Cultivate]</f>
        <v>0</v>
      </c>
      <c r="G446" s="11">
        <f>SUMIFS(Compras[Cantidad],Compras[Codigo],Stock[Codigo])</f>
        <v>2</v>
      </c>
      <c r="H446" s="11">
        <f>SUMIFS(Ventas[Cantidad],Ventas[Codigo],Stock[[#This Row],[Codigo]])</f>
        <v>1</v>
      </c>
      <c r="I446" s="12">
        <f>Stock[[#This Row],[Stock Deposito]]*Stock[[#This Row],[Precio de Compra]]</f>
        <v>0</v>
      </c>
      <c r="J446" s="6">
        <f>SUMIFS(ProdDesc[Cantidad],ProdDesc[Codigo],Stock[Codigo])</f>
        <v>1</v>
      </c>
      <c r="K446" s="44">
        <f>Stock[[#This Row],[Compra Cultivate]]-Stock[[#This Row],[Salidas]]-Stock[[#This Row],[Usados]]</f>
        <v>0</v>
      </c>
      <c r="L446" s="24">
        <f>Stock[[#This Row],[Stock Deposito]]*Stock[[#This Row],[Precio de Venta]]</f>
        <v>0</v>
      </c>
      <c r="M446" s="6">
        <f>SUMIFS(Tabla9[Cantidad],Tabla9[Codigo],Stock[Codigo])</f>
        <v>2</v>
      </c>
      <c r="N446" s="24">
        <f>Stock[[#This Row],[Precio de Compra]]*Stock[[#This Row],[Stock Cultivate]]</f>
        <v>0</v>
      </c>
      <c r="O446" s="24">
        <f>Stock[[#This Row],[Stock Cultivate]]*Stock[[#This Row],[Precio de Venta]]</f>
        <v>0</v>
      </c>
      <c r="R446" s="16"/>
    </row>
    <row r="447" spans="2:18">
      <c r="B447" s="44">
        <v>480</v>
      </c>
      <c r="C447" t="s">
        <v>432</v>
      </c>
      <c r="D447" s="45">
        <v>517</v>
      </c>
      <c r="E447" s="24">
        <v>1000</v>
      </c>
      <c r="F447" s="44">
        <f>Stock[Entradas]-Stock[Compra Cultivate]</f>
        <v>0</v>
      </c>
      <c r="G447" s="11">
        <f>SUMIFS(Compras[Cantidad],Compras[Codigo],Stock[Codigo])</f>
        <v>46</v>
      </c>
      <c r="H447" s="11">
        <f>SUMIFS(Ventas[Cantidad],Ventas[Codigo],Stock[[#This Row],[Codigo]])</f>
        <v>46</v>
      </c>
      <c r="I447" s="12">
        <f>Stock[[#This Row],[Stock Deposito]]*Stock[[#This Row],[Precio de Compra]]</f>
        <v>0</v>
      </c>
      <c r="J447" s="6">
        <f>SUMIFS(ProdDesc[Cantidad],ProdDesc[Codigo],Stock[Codigo])</f>
        <v>0</v>
      </c>
      <c r="K447" s="44">
        <f>Stock[[#This Row],[Compra Cultivate]]-Stock[[#This Row],[Salidas]]-Stock[[#This Row],[Usados]]</f>
        <v>0</v>
      </c>
      <c r="L447" s="24">
        <f>Stock[[#This Row],[Stock Deposito]]*Stock[[#This Row],[Precio de Venta]]</f>
        <v>0</v>
      </c>
      <c r="M447" s="6">
        <f>SUMIFS(Tabla9[Cantidad],Tabla9[Codigo],Stock[Codigo])</f>
        <v>46</v>
      </c>
      <c r="N447" s="24">
        <f>Stock[[#This Row],[Precio de Compra]]*Stock[[#This Row],[Stock Cultivate]]</f>
        <v>0</v>
      </c>
      <c r="O447" s="24">
        <f>Stock[[#This Row],[Stock Cultivate]]*Stock[[#This Row],[Precio de Venta]]</f>
        <v>0</v>
      </c>
      <c r="R447" s="16"/>
    </row>
    <row r="448" spans="2:18">
      <c r="B448" s="44">
        <v>479</v>
      </c>
      <c r="C448" t="s">
        <v>431</v>
      </c>
      <c r="D448" s="45">
        <v>541</v>
      </c>
      <c r="E448" s="24">
        <v>1000</v>
      </c>
      <c r="F448" s="44">
        <f>Stock[Entradas]-Stock[Compra Cultivate]</f>
        <v>2</v>
      </c>
      <c r="G448" s="11">
        <f>SUMIFS(Compras[Cantidad],Compras[Codigo],Stock[Codigo])</f>
        <v>24</v>
      </c>
      <c r="H448" s="11">
        <f>SUMIFS(Ventas[Cantidad],Ventas[Codigo],Stock[[#This Row],[Codigo]])</f>
        <v>21</v>
      </c>
      <c r="I448" s="12">
        <f>Stock[[#This Row],[Stock Deposito]]*Stock[[#This Row],[Precio de Compra]]</f>
        <v>1082</v>
      </c>
      <c r="J448" s="6">
        <f>SUMIFS(ProdDesc[Cantidad],ProdDesc[Codigo],Stock[Codigo])</f>
        <v>0</v>
      </c>
      <c r="K448" s="44">
        <f>Stock[[#This Row],[Compra Cultivate]]-Stock[[#This Row],[Salidas]]-Stock[[#This Row],[Usados]]</f>
        <v>1</v>
      </c>
      <c r="L448" s="24">
        <f>Stock[[#This Row],[Stock Deposito]]*Stock[[#This Row],[Precio de Venta]]</f>
        <v>2000</v>
      </c>
      <c r="M448" s="6">
        <f>SUMIFS(Tabla9[Cantidad],Tabla9[Codigo],Stock[Codigo])</f>
        <v>22</v>
      </c>
      <c r="N448" s="24">
        <f>Stock[[#This Row],[Precio de Compra]]*Stock[[#This Row],[Stock Cultivate]]</f>
        <v>541</v>
      </c>
      <c r="O448" s="24">
        <f>Stock[[#This Row],[Stock Cultivate]]*Stock[[#This Row],[Precio de Venta]]</f>
        <v>1000</v>
      </c>
      <c r="R448" s="16"/>
    </row>
    <row r="449" spans="2:18">
      <c r="B449" s="44">
        <v>478</v>
      </c>
      <c r="C449" t="s">
        <v>430</v>
      </c>
      <c r="D449" s="45">
        <v>515</v>
      </c>
      <c r="E449" s="24">
        <v>1000</v>
      </c>
      <c r="F449" s="44">
        <f>Stock[Entradas]-Stock[Compra Cultivate]</f>
        <v>0</v>
      </c>
      <c r="G449" s="11">
        <f>SUMIFS(Compras[Cantidad],Compras[Codigo],Stock[Codigo])</f>
        <v>21</v>
      </c>
      <c r="H449" s="11">
        <f>SUMIFS(Ventas[Cantidad],Ventas[Codigo],Stock[[#This Row],[Codigo]])</f>
        <v>18</v>
      </c>
      <c r="I449" s="12">
        <f>Stock[[#This Row],[Stock Deposito]]*Stock[[#This Row],[Precio de Compra]]</f>
        <v>0</v>
      </c>
      <c r="J449" s="6">
        <f>SUMIFS(ProdDesc[Cantidad],ProdDesc[Codigo],Stock[Codigo])</f>
        <v>1</v>
      </c>
      <c r="K449" s="44">
        <f>Stock[[#This Row],[Compra Cultivate]]-Stock[[#This Row],[Salidas]]-Stock[[#This Row],[Usados]]</f>
        <v>2</v>
      </c>
      <c r="L449" s="24">
        <f>Stock[[#This Row],[Stock Deposito]]*Stock[[#This Row],[Precio de Venta]]</f>
        <v>0</v>
      </c>
      <c r="M449" s="6">
        <f>SUMIFS(Tabla9[Cantidad],Tabla9[Codigo],Stock[Codigo])</f>
        <v>21</v>
      </c>
      <c r="N449" s="24">
        <f>Stock[[#This Row],[Precio de Compra]]*Stock[[#This Row],[Stock Cultivate]]</f>
        <v>1030</v>
      </c>
      <c r="O449" s="24">
        <f>Stock[[#This Row],[Stock Cultivate]]*Stock[[#This Row],[Precio de Venta]]</f>
        <v>2000</v>
      </c>
      <c r="R449" s="16"/>
    </row>
    <row r="450" spans="2:18">
      <c r="B450" s="44">
        <v>477</v>
      </c>
      <c r="C450" t="s">
        <v>429</v>
      </c>
      <c r="D450" s="45">
        <v>1218</v>
      </c>
      <c r="E450" s="24">
        <v>2200</v>
      </c>
      <c r="F450" s="44">
        <f>Stock[Entradas]-Stock[Compra Cultivate]</f>
        <v>0</v>
      </c>
      <c r="G450" s="11">
        <f>SUMIFS(Compras[Cantidad],Compras[Codigo],Stock[Codigo])</f>
        <v>7</v>
      </c>
      <c r="H450" s="11">
        <f>SUMIFS(Ventas[Cantidad],Ventas[Codigo],Stock[[#This Row],[Codigo]])</f>
        <v>5</v>
      </c>
      <c r="I450" s="12">
        <f>Stock[[#This Row],[Stock Deposito]]*Stock[[#This Row],[Precio de Compra]]</f>
        <v>0</v>
      </c>
      <c r="J450" s="6">
        <f>SUMIFS(ProdDesc[Cantidad],ProdDesc[Codigo],Stock[Codigo])</f>
        <v>0</v>
      </c>
      <c r="K450" s="44">
        <f>Stock[[#This Row],[Compra Cultivate]]-Stock[[#This Row],[Salidas]]-Stock[[#This Row],[Usados]]</f>
        <v>2</v>
      </c>
      <c r="L450" s="24">
        <f>Stock[[#This Row],[Stock Deposito]]*Stock[[#This Row],[Precio de Venta]]</f>
        <v>0</v>
      </c>
      <c r="M450" s="6">
        <f>SUMIFS(Tabla9[Cantidad],Tabla9[Codigo],Stock[Codigo])</f>
        <v>7</v>
      </c>
      <c r="N450" s="24">
        <f>Stock[[#This Row],[Precio de Compra]]*Stock[[#This Row],[Stock Cultivate]]</f>
        <v>2436</v>
      </c>
      <c r="O450" s="24">
        <f>Stock[[#This Row],[Stock Cultivate]]*Stock[[#This Row],[Precio de Venta]]</f>
        <v>4400</v>
      </c>
      <c r="R450" s="16"/>
    </row>
    <row r="451" spans="2:18">
      <c r="B451" s="44">
        <v>476</v>
      </c>
      <c r="C451" t="s">
        <v>428</v>
      </c>
      <c r="D451" s="45">
        <v>150</v>
      </c>
      <c r="E451" s="24">
        <v>350</v>
      </c>
      <c r="F451" s="44">
        <f>Stock[Entradas]-Stock[Compra Cultivate]</f>
        <v>0</v>
      </c>
      <c r="G451" s="11">
        <f>SUMIFS(Compras[Cantidad],Compras[Codigo],Stock[Codigo])</f>
        <v>13</v>
      </c>
      <c r="H451" s="11">
        <f>SUMIFS(Ventas[Cantidad],Ventas[Codigo],Stock[[#This Row],[Codigo]])</f>
        <v>13</v>
      </c>
      <c r="I451" s="12">
        <f>Stock[[#This Row],[Stock Deposito]]*Stock[[#This Row],[Precio de Compra]]</f>
        <v>0</v>
      </c>
      <c r="J451" s="6">
        <f>SUMIFS(ProdDesc[Cantidad],ProdDesc[Codigo],Stock[Codigo])</f>
        <v>0</v>
      </c>
      <c r="K451" s="44">
        <f>Stock[[#This Row],[Compra Cultivate]]-Stock[[#This Row],[Salidas]]-Stock[[#This Row],[Usados]]</f>
        <v>0</v>
      </c>
      <c r="L451" s="24">
        <f>Stock[[#This Row],[Stock Deposito]]*Stock[[#This Row],[Precio de Venta]]</f>
        <v>0</v>
      </c>
      <c r="M451" s="6">
        <f>SUMIFS(Tabla9[Cantidad],Tabla9[Codigo],Stock[Codigo])</f>
        <v>13</v>
      </c>
      <c r="N451" s="24">
        <f>Stock[[#This Row],[Precio de Compra]]*Stock[[#This Row],[Stock Cultivate]]</f>
        <v>0</v>
      </c>
      <c r="O451" s="24">
        <f>Stock[[#This Row],[Stock Cultivate]]*Stock[[#This Row],[Precio de Venta]]</f>
        <v>0</v>
      </c>
      <c r="R451" s="16"/>
    </row>
    <row r="452" spans="2:18">
      <c r="B452" s="44">
        <v>475</v>
      </c>
      <c r="C452" t="s">
        <v>427</v>
      </c>
      <c r="D452" s="45">
        <v>770</v>
      </c>
      <c r="E452" s="24">
        <v>1600</v>
      </c>
      <c r="F452" s="44">
        <f>Stock[Entradas]-Stock[Compra Cultivate]</f>
        <v>0</v>
      </c>
      <c r="G452" s="11">
        <f>SUMIFS(Compras[Cantidad],Compras[Codigo],Stock[Codigo])</f>
        <v>5</v>
      </c>
      <c r="H452" s="11">
        <f>SUMIFS(Ventas[Cantidad],Ventas[Codigo],Stock[[#This Row],[Codigo]])</f>
        <v>3</v>
      </c>
      <c r="I452" s="12">
        <f>Stock[[#This Row],[Stock Deposito]]*Stock[[#This Row],[Precio de Compra]]</f>
        <v>0</v>
      </c>
      <c r="J452" s="6">
        <f>SUMIFS(ProdDesc[Cantidad],ProdDesc[Codigo],Stock[Codigo])</f>
        <v>0</v>
      </c>
      <c r="K452" s="44">
        <f>Stock[[#This Row],[Compra Cultivate]]-Stock[[#This Row],[Salidas]]-Stock[[#This Row],[Usados]]</f>
        <v>2</v>
      </c>
      <c r="L452" s="24">
        <f>Stock[[#This Row],[Stock Deposito]]*Stock[[#This Row],[Precio de Venta]]</f>
        <v>0</v>
      </c>
      <c r="M452" s="6">
        <f>SUMIFS(Tabla9[Cantidad],Tabla9[Codigo],Stock[Codigo])</f>
        <v>5</v>
      </c>
      <c r="N452" s="24">
        <f>Stock[[#This Row],[Precio de Compra]]*Stock[[#This Row],[Stock Cultivate]]</f>
        <v>1540</v>
      </c>
      <c r="O452" s="24">
        <f>Stock[[#This Row],[Stock Cultivate]]*Stock[[#This Row],[Precio de Venta]]</f>
        <v>3200</v>
      </c>
      <c r="R452" s="16"/>
    </row>
    <row r="453" spans="2:18">
      <c r="B453" s="44">
        <v>474</v>
      </c>
      <c r="C453" t="s">
        <v>1142</v>
      </c>
      <c r="D453" s="45">
        <v>650</v>
      </c>
      <c r="E453" s="24">
        <v>1500</v>
      </c>
      <c r="F453" s="44">
        <f>Stock[Entradas]-Stock[Compra Cultivate]</f>
        <v>0</v>
      </c>
      <c r="G453" s="11">
        <f>SUMIFS(Compras[Cantidad],Compras[Codigo],Stock[Codigo])</f>
        <v>2</v>
      </c>
      <c r="H453" s="11">
        <f>SUMIFS(Ventas[Cantidad],Ventas[Codigo],Stock[[#This Row],[Codigo]])</f>
        <v>1</v>
      </c>
      <c r="I453" s="12">
        <f>Stock[[#This Row],[Stock Deposito]]*Stock[[#This Row],[Precio de Compra]]</f>
        <v>0</v>
      </c>
      <c r="J453" s="6">
        <f>SUMIFS(ProdDesc[Cantidad],ProdDesc[Codigo],Stock[Codigo])</f>
        <v>0</v>
      </c>
      <c r="K453" s="44">
        <f>Stock[[#This Row],[Compra Cultivate]]-Stock[[#This Row],[Salidas]]-Stock[[#This Row],[Usados]]</f>
        <v>1</v>
      </c>
      <c r="L453" s="24">
        <f>Stock[[#This Row],[Stock Deposito]]*Stock[[#This Row],[Precio de Venta]]</f>
        <v>0</v>
      </c>
      <c r="M453" s="6">
        <f>SUMIFS(Tabla9[Cantidad],Tabla9[Codigo],Stock[Codigo])</f>
        <v>2</v>
      </c>
      <c r="N453" s="24">
        <f>Stock[[#This Row],[Precio de Compra]]*Stock[[#This Row],[Stock Cultivate]]</f>
        <v>650</v>
      </c>
      <c r="O453" s="24">
        <f>Stock[[#This Row],[Stock Cultivate]]*Stock[[#This Row],[Precio de Venta]]</f>
        <v>1500</v>
      </c>
      <c r="R453" s="16"/>
    </row>
    <row r="454" spans="2:18">
      <c r="B454" s="44">
        <v>473</v>
      </c>
      <c r="C454" t="s">
        <v>1150</v>
      </c>
      <c r="D454" s="45">
        <v>1210</v>
      </c>
      <c r="E454" s="24">
        <v>2400</v>
      </c>
      <c r="F454" s="44">
        <f>Stock[Entradas]-Stock[Compra Cultivate]</f>
        <v>0</v>
      </c>
      <c r="G454" s="11">
        <f>SUMIFS(Compras[Cantidad],Compras[Codigo],Stock[Codigo])</f>
        <v>7</v>
      </c>
      <c r="H454" s="11">
        <f>SUMIFS(Ventas[Cantidad],Ventas[Codigo],Stock[[#This Row],[Codigo]])</f>
        <v>0</v>
      </c>
      <c r="I454" s="12">
        <f>Stock[[#This Row],[Stock Deposito]]*Stock[[#This Row],[Precio de Compra]]</f>
        <v>0</v>
      </c>
      <c r="J454" s="6">
        <f>SUMIFS(ProdDesc[Cantidad],ProdDesc[Codigo],Stock[Codigo])</f>
        <v>0</v>
      </c>
      <c r="K454" s="44">
        <f>Stock[[#This Row],[Compra Cultivate]]-Stock[[#This Row],[Salidas]]-Stock[[#This Row],[Usados]]</f>
        <v>7</v>
      </c>
      <c r="L454" s="24">
        <f>Stock[[#This Row],[Stock Deposito]]*Stock[[#This Row],[Precio de Venta]]</f>
        <v>0</v>
      </c>
      <c r="M454" s="6">
        <f>SUMIFS(Tabla9[Cantidad],Tabla9[Codigo],Stock[Codigo])</f>
        <v>7</v>
      </c>
      <c r="N454" s="24">
        <f>Stock[[#This Row],[Precio de Compra]]*Stock[[#This Row],[Stock Cultivate]]</f>
        <v>8470</v>
      </c>
      <c r="O454" s="24">
        <f>Stock[[#This Row],[Stock Cultivate]]*Stock[[#This Row],[Precio de Venta]]</f>
        <v>16800</v>
      </c>
      <c r="R454" s="16"/>
    </row>
    <row r="455" spans="2:18">
      <c r="B455" s="44">
        <v>472</v>
      </c>
      <c r="C455" t="s">
        <v>426</v>
      </c>
      <c r="D455" s="45">
        <v>1084</v>
      </c>
      <c r="E455" s="24">
        <v>2100</v>
      </c>
      <c r="F455" s="44">
        <f>Stock[Entradas]-Stock[Compra Cultivate]</f>
        <v>0</v>
      </c>
      <c r="G455" s="11">
        <f>SUMIFS(Compras[Cantidad],Compras[Codigo],Stock[Codigo])</f>
        <v>1</v>
      </c>
      <c r="H455" s="11">
        <f>SUMIFS(Ventas[Cantidad],Ventas[Codigo],Stock[[#This Row],[Codigo]])</f>
        <v>0</v>
      </c>
      <c r="I455" s="12">
        <f>Stock[[#This Row],[Stock Deposito]]*Stock[[#This Row],[Precio de Compra]]</f>
        <v>0</v>
      </c>
      <c r="J455" s="6">
        <f>SUMIFS(ProdDesc[Cantidad],ProdDesc[Codigo],Stock[Codigo])</f>
        <v>1</v>
      </c>
      <c r="K455" s="44">
        <f>Stock[[#This Row],[Compra Cultivate]]-Stock[[#This Row],[Salidas]]-Stock[[#This Row],[Usados]]</f>
        <v>0</v>
      </c>
      <c r="L455" s="24">
        <f>Stock[[#This Row],[Stock Deposito]]*Stock[[#This Row],[Precio de Venta]]</f>
        <v>0</v>
      </c>
      <c r="M455" s="6">
        <f>SUMIFS(Tabla9[Cantidad],Tabla9[Codigo],Stock[Codigo])</f>
        <v>1</v>
      </c>
      <c r="N455" s="24">
        <f>Stock[[#This Row],[Precio de Compra]]*Stock[[#This Row],[Stock Cultivate]]</f>
        <v>0</v>
      </c>
      <c r="O455" s="24">
        <f>Stock[[#This Row],[Stock Cultivate]]*Stock[[#This Row],[Precio de Venta]]</f>
        <v>0</v>
      </c>
      <c r="R455" s="16"/>
    </row>
    <row r="456" spans="2:18">
      <c r="B456" s="44">
        <v>471</v>
      </c>
      <c r="C456" t="s">
        <v>425</v>
      </c>
      <c r="D456" s="45">
        <v>808</v>
      </c>
      <c r="E456" s="24">
        <v>1600</v>
      </c>
      <c r="F456" s="44">
        <f>Stock[Entradas]-Stock[Compra Cultivate]</f>
        <v>2</v>
      </c>
      <c r="G456" s="11">
        <f>SUMIFS(Compras[Cantidad],Compras[Codigo],Stock[Codigo])</f>
        <v>19</v>
      </c>
      <c r="H456" s="11">
        <f>SUMIFS(Ventas[Cantidad],Ventas[Codigo],Stock[[#This Row],[Codigo]])</f>
        <v>8</v>
      </c>
      <c r="I456" s="12">
        <f>Stock[[#This Row],[Stock Deposito]]*Stock[[#This Row],[Precio de Compra]]</f>
        <v>1616</v>
      </c>
      <c r="J456" s="6">
        <f>SUMIFS(ProdDesc[Cantidad],ProdDesc[Codigo],Stock[Codigo])</f>
        <v>0</v>
      </c>
      <c r="K456" s="44">
        <f>Stock[[#This Row],[Compra Cultivate]]-Stock[[#This Row],[Salidas]]-Stock[[#This Row],[Usados]]</f>
        <v>9</v>
      </c>
      <c r="L456" s="24">
        <f>Stock[[#This Row],[Stock Deposito]]*Stock[[#This Row],[Precio de Venta]]</f>
        <v>3200</v>
      </c>
      <c r="M456" s="6">
        <f>SUMIFS(Tabla9[Cantidad],Tabla9[Codigo],Stock[Codigo])</f>
        <v>17</v>
      </c>
      <c r="N456" s="24">
        <f>Stock[[#This Row],[Precio de Compra]]*Stock[[#This Row],[Stock Cultivate]]</f>
        <v>7272</v>
      </c>
      <c r="O456" s="24">
        <f>Stock[[#This Row],[Stock Cultivate]]*Stock[[#This Row],[Precio de Venta]]</f>
        <v>14400</v>
      </c>
      <c r="R456" s="16"/>
    </row>
    <row r="457" spans="2:18">
      <c r="B457" s="44">
        <v>470</v>
      </c>
      <c r="C457" t="s">
        <v>1154</v>
      </c>
      <c r="D457" s="45">
        <v>904</v>
      </c>
      <c r="E457" s="24">
        <v>1800</v>
      </c>
      <c r="F457" s="44">
        <f>Stock[Entradas]-Stock[Compra Cultivate]</f>
        <v>0</v>
      </c>
      <c r="G457" s="11">
        <f>SUMIFS(Compras[Cantidad],Compras[Codigo],Stock[Codigo])</f>
        <v>15</v>
      </c>
      <c r="H457" s="11">
        <f>SUMIFS(Ventas[Cantidad],Ventas[Codigo],Stock[[#This Row],[Codigo]])</f>
        <v>14</v>
      </c>
      <c r="I457" s="12">
        <f>Stock[[#This Row],[Stock Deposito]]*Stock[[#This Row],[Precio de Compra]]</f>
        <v>0</v>
      </c>
      <c r="J457" s="6">
        <f>SUMIFS(ProdDesc[Cantidad],ProdDesc[Codigo],Stock[Codigo])</f>
        <v>1</v>
      </c>
      <c r="K457" s="44">
        <f>Stock[[#This Row],[Compra Cultivate]]-Stock[[#This Row],[Salidas]]-Stock[[#This Row],[Usados]]</f>
        <v>0</v>
      </c>
      <c r="L457" s="24">
        <f>Stock[[#This Row],[Stock Deposito]]*Stock[[#This Row],[Precio de Venta]]</f>
        <v>0</v>
      </c>
      <c r="M457" s="6">
        <f>SUMIFS(Tabla9[Cantidad],Tabla9[Codigo],Stock[Codigo])</f>
        <v>15</v>
      </c>
      <c r="N457" s="24">
        <f>Stock[[#This Row],[Precio de Compra]]*Stock[[#This Row],[Stock Cultivate]]</f>
        <v>0</v>
      </c>
      <c r="O457" s="24">
        <f>Stock[[#This Row],[Stock Cultivate]]*Stock[[#This Row],[Precio de Venta]]</f>
        <v>0</v>
      </c>
      <c r="R457" s="16"/>
    </row>
    <row r="458" spans="2:18">
      <c r="B458" s="44">
        <v>469</v>
      </c>
      <c r="C458" t="s">
        <v>1153</v>
      </c>
      <c r="D458" s="45">
        <v>498</v>
      </c>
      <c r="E458" s="24">
        <v>1000</v>
      </c>
      <c r="F458" s="44">
        <f>Stock[Entradas]-Stock[Compra Cultivate]</f>
        <v>6</v>
      </c>
      <c r="G458" s="11">
        <f>SUMIFS(Compras[Cantidad],Compras[Codigo],Stock[Codigo])</f>
        <v>11</v>
      </c>
      <c r="H458" s="11">
        <f>SUMIFS(Ventas[Cantidad],Ventas[Codigo],Stock[[#This Row],[Codigo]])</f>
        <v>1</v>
      </c>
      <c r="I458" s="12">
        <f>Stock[[#This Row],[Stock Deposito]]*Stock[[#This Row],[Precio de Compra]]</f>
        <v>2988</v>
      </c>
      <c r="J458" s="6">
        <f>SUMIFS(ProdDesc[Cantidad],ProdDesc[Codigo],Stock[Codigo])</f>
        <v>0</v>
      </c>
      <c r="K458" s="44">
        <f>Stock[[#This Row],[Compra Cultivate]]-Stock[[#This Row],[Salidas]]-Stock[[#This Row],[Usados]]</f>
        <v>4</v>
      </c>
      <c r="L458" s="24">
        <f>Stock[[#This Row],[Stock Deposito]]*Stock[[#This Row],[Precio de Venta]]</f>
        <v>6000</v>
      </c>
      <c r="M458" s="6">
        <f>SUMIFS(Tabla9[Cantidad],Tabla9[Codigo],Stock[Codigo])</f>
        <v>5</v>
      </c>
      <c r="N458" s="24">
        <f>Stock[[#This Row],[Precio de Compra]]*Stock[[#This Row],[Stock Cultivate]]</f>
        <v>1992</v>
      </c>
      <c r="O458" s="24">
        <f>Stock[[#This Row],[Stock Cultivate]]*Stock[[#This Row],[Precio de Venta]]</f>
        <v>4000</v>
      </c>
      <c r="R458" s="16"/>
    </row>
    <row r="459" spans="2:18">
      <c r="B459" s="44">
        <v>468</v>
      </c>
      <c r="C459" t="s">
        <v>1173</v>
      </c>
      <c r="D459" s="45">
        <v>720</v>
      </c>
      <c r="E459" s="24">
        <v>1500</v>
      </c>
      <c r="F459" s="44">
        <f>Stock[Entradas]-Stock[Compra Cultivate]</f>
        <v>0</v>
      </c>
      <c r="G459" s="11">
        <f>SUMIFS(Compras[Cantidad],Compras[Codigo],Stock[Codigo])</f>
        <v>4</v>
      </c>
      <c r="H459" s="11">
        <f>SUMIFS(Ventas[Cantidad],Ventas[Codigo],Stock[[#This Row],[Codigo]])</f>
        <v>3</v>
      </c>
      <c r="I459" s="12">
        <f>Stock[[#This Row],[Stock Deposito]]*Stock[[#This Row],[Precio de Compra]]</f>
        <v>0</v>
      </c>
      <c r="J459" s="6">
        <f>SUMIFS(ProdDesc[Cantidad],ProdDesc[Codigo],Stock[Codigo])</f>
        <v>0</v>
      </c>
      <c r="K459" s="44">
        <f>Stock[[#This Row],[Compra Cultivate]]-Stock[[#This Row],[Salidas]]-Stock[[#This Row],[Usados]]</f>
        <v>1</v>
      </c>
      <c r="L459" s="24">
        <f>Stock[[#This Row],[Stock Deposito]]*Stock[[#This Row],[Precio de Venta]]</f>
        <v>0</v>
      </c>
      <c r="M459" s="6">
        <f>SUMIFS(Tabla9[Cantidad],Tabla9[Codigo],Stock[Codigo])</f>
        <v>4</v>
      </c>
      <c r="N459" s="24">
        <f>Stock[[#This Row],[Precio de Compra]]*Stock[[#This Row],[Stock Cultivate]]</f>
        <v>720</v>
      </c>
      <c r="O459" s="24">
        <f>Stock[[#This Row],[Stock Cultivate]]*Stock[[#This Row],[Precio de Venta]]</f>
        <v>1500</v>
      </c>
      <c r="R459" s="16"/>
    </row>
    <row r="460" spans="2:18">
      <c r="B460" s="44">
        <v>467</v>
      </c>
      <c r="C460" t="s">
        <v>456</v>
      </c>
      <c r="D460" s="45">
        <v>421</v>
      </c>
      <c r="E460" s="24">
        <v>850</v>
      </c>
      <c r="F460" s="44">
        <f>Stock[Entradas]-Stock[Compra Cultivate]</f>
        <v>0</v>
      </c>
      <c r="G460" s="11">
        <f>SUMIFS(Compras[Cantidad],Compras[Codigo],Stock[Codigo])</f>
        <v>2</v>
      </c>
      <c r="H460" s="11">
        <f>SUMIFS(Ventas[Cantidad],Ventas[Codigo],Stock[[#This Row],[Codigo]])</f>
        <v>1</v>
      </c>
      <c r="I460" s="12">
        <f>Stock[[#This Row],[Stock Deposito]]*Stock[[#This Row],[Precio de Compra]]</f>
        <v>0</v>
      </c>
      <c r="J460" s="6">
        <f>SUMIFS(ProdDesc[Cantidad],ProdDesc[Codigo],Stock[Codigo])</f>
        <v>0</v>
      </c>
      <c r="K460" s="44">
        <f>Stock[[#This Row],[Compra Cultivate]]-Stock[[#This Row],[Salidas]]-Stock[[#This Row],[Usados]]</f>
        <v>1</v>
      </c>
      <c r="L460" s="24">
        <f>Stock[[#This Row],[Stock Deposito]]*Stock[[#This Row],[Precio de Venta]]</f>
        <v>0</v>
      </c>
      <c r="M460" s="6">
        <f>SUMIFS(Tabla9[Cantidad],Tabla9[Codigo],Stock[Codigo])</f>
        <v>2</v>
      </c>
      <c r="N460" s="24">
        <f>Stock[[#This Row],[Precio de Compra]]*Stock[[#This Row],[Stock Cultivate]]</f>
        <v>421</v>
      </c>
      <c r="O460" s="24">
        <f>Stock[[#This Row],[Stock Cultivate]]*Stock[[#This Row],[Precio de Venta]]</f>
        <v>850</v>
      </c>
      <c r="R460" s="16"/>
    </row>
    <row r="461" spans="2:18">
      <c r="B461" s="44">
        <v>466</v>
      </c>
      <c r="C461" t="s">
        <v>492</v>
      </c>
      <c r="D461" s="45">
        <v>4000</v>
      </c>
      <c r="E461" s="24">
        <v>5500</v>
      </c>
      <c r="F461" s="44">
        <f>Stock[Entradas]-Stock[Compra Cultivate]</f>
        <v>0</v>
      </c>
      <c r="G461" s="11">
        <f>SUMIFS(Compras[Cantidad],Compras[Codigo],Stock[Codigo])</f>
        <v>2</v>
      </c>
      <c r="H461" s="11">
        <f>SUMIFS(Ventas[Cantidad],Ventas[Codigo],Stock[[#This Row],[Codigo]])</f>
        <v>2</v>
      </c>
      <c r="I461" s="12">
        <f>Stock[[#This Row],[Stock Deposito]]*Stock[[#This Row],[Precio de Compra]]</f>
        <v>0</v>
      </c>
      <c r="J461" s="6">
        <f>SUMIFS(ProdDesc[Cantidad],ProdDesc[Codigo],Stock[Codigo])</f>
        <v>0</v>
      </c>
      <c r="K461" s="44">
        <f>Stock[[#This Row],[Compra Cultivate]]-Stock[[#This Row],[Salidas]]-Stock[[#This Row],[Usados]]</f>
        <v>0</v>
      </c>
      <c r="L461" s="24">
        <f>Stock[[#This Row],[Stock Deposito]]*Stock[[#This Row],[Precio de Venta]]</f>
        <v>0</v>
      </c>
      <c r="M461" s="6">
        <f>SUMIFS(Tabla9[Cantidad],Tabla9[Codigo],Stock[Codigo])</f>
        <v>2</v>
      </c>
      <c r="N461" s="24">
        <f>Stock[[#This Row],[Precio de Compra]]*Stock[[#This Row],[Stock Cultivate]]</f>
        <v>0</v>
      </c>
      <c r="O461" s="24">
        <f>Stock[[#This Row],[Stock Cultivate]]*Stock[[#This Row],[Precio de Venta]]</f>
        <v>0</v>
      </c>
      <c r="R461" s="16"/>
    </row>
    <row r="462" spans="2:18">
      <c r="B462" s="44">
        <v>465</v>
      </c>
      <c r="C462" t="s">
        <v>424</v>
      </c>
      <c r="D462" s="45">
        <v>1000</v>
      </c>
      <c r="E462" s="24">
        <v>2000</v>
      </c>
      <c r="F462" s="44">
        <f>Stock[Entradas]-Stock[Compra Cultivate]</f>
        <v>0</v>
      </c>
      <c r="G462" s="11">
        <f>SUMIFS(Compras[Cantidad],Compras[Codigo],Stock[Codigo])</f>
        <v>1</v>
      </c>
      <c r="H462" s="11">
        <f>SUMIFS(Ventas[Cantidad],Ventas[Codigo],Stock[[#This Row],[Codigo]])</f>
        <v>1</v>
      </c>
      <c r="I462" s="12">
        <f>Stock[[#This Row],[Stock Deposito]]*Stock[[#This Row],[Precio de Compra]]</f>
        <v>0</v>
      </c>
      <c r="J462" s="6">
        <f>SUMIFS(ProdDesc[Cantidad],ProdDesc[Codigo],Stock[Codigo])</f>
        <v>0</v>
      </c>
      <c r="K462" s="44">
        <f>Stock[[#This Row],[Compra Cultivate]]-Stock[[#This Row],[Salidas]]-Stock[[#This Row],[Usados]]</f>
        <v>0</v>
      </c>
      <c r="L462" s="24">
        <f>Stock[[#This Row],[Stock Deposito]]*Stock[[#This Row],[Precio de Venta]]</f>
        <v>0</v>
      </c>
      <c r="M462" s="6">
        <f>SUMIFS(Tabla9[Cantidad],Tabla9[Codigo],Stock[Codigo])</f>
        <v>1</v>
      </c>
      <c r="N462" s="24">
        <f>Stock[[#This Row],[Precio de Compra]]*Stock[[#This Row],[Stock Cultivate]]</f>
        <v>0</v>
      </c>
      <c r="O462" s="24">
        <f>Stock[[#This Row],[Stock Cultivate]]*Stock[[#This Row],[Precio de Venta]]</f>
        <v>0</v>
      </c>
      <c r="R462" s="16"/>
    </row>
    <row r="463" spans="2:18">
      <c r="B463" s="44">
        <v>464</v>
      </c>
      <c r="C463" t="s">
        <v>423</v>
      </c>
      <c r="D463" s="45">
        <v>500</v>
      </c>
      <c r="E463" s="24">
        <v>1000</v>
      </c>
      <c r="F463" s="44">
        <f>Stock[Entradas]-Stock[Compra Cultivate]</f>
        <v>0</v>
      </c>
      <c r="G463" s="11">
        <f>SUMIFS(Compras[Cantidad],Compras[Codigo],Stock[Codigo])</f>
        <v>2</v>
      </c>
      <c r="H463" s="11">
        <f>SUMIFS(Ventas[Cantidad],Ventas[Codigo],Stock[[#This Row],[Codigo]])</f>
        <v>2</v>
      </c>
      <c r="I463" s="12">
        <f>Stock[[#This Row],[Stock Deposito]]*Stock[[#This Row],[Precio de Compra]]</f>
        <v>0</v>
      </c>
      <c r="J463" s="6">
        <f>SUMIFS(ProdDesc[Cantidad],ProdDesc[Codigo],Stock[Codigo])</f>
        <v>0</v>
      </c>
      <c r="K463" s="44">
        <f>Stock[[#This Row],[Compra Cultivate]]-Stock[[#This Row],[Salidas]]-Stock[[#This Row],[Usados]]</f>
        <v>0</v>
      </c>
      <c r="L463" s="24">
        <f>Stock[[#This Row],[Stock Deposito]]*Stock[[#This Row],[Precio de Venta]]</f>
        <v>0</v>
      </c>
      <c r="M463" s="6">
        <f>SUMIFS(Tabla9[Cantidad],Tabla9[Codigo],Stock[Codigo])</f>
        <v>2</v>
      </c>
      <c r="N463" s="24">
        <f>Stock[[#This Row],[Precio de Compra]]*Stock[[#This Row],[Stock Cultivate]]</f>
        <v>0</v>
      </c>
      <c r="O463" s="24">
        <f>Stock[[#This Row],[Stock Cultivate]]*Stock[[#This Row],[Precio de Venta]]</f>
        <v>0</v>
      </c>
      <c r="R463" s="16"/>
    </row>
    <row r="464" spans="2:18">
      <c r="B464" s="44">
        <v>463</v>
      </c>
      <c r="C464" t="s">
        <v>422</v>
      </c>
      <c r="D464" s="45">
        <v>2000</v>
      </c>
      <c r="E464" s="24">
        <v>4000</v>
      </c>
      <c r="F464" s="44">
        <f>Stock[Entradas]-Stock[Compra Cultivate]</f>
        <v>0</v>
      </c>
      <c r="G464" s="11">
        <f>SUMIFS(Compras[Cantidad],Compras[Codigo],Stock[Codigo])</f>
        <v>1</v>
      </c>
      <c r="H464" s="11">
        <f>SUMIFS(Ventas[Cantidad],Ventas[Codigo],Stock[[#This Row],[Codigo]])</f>
        <v>0</v>
      </c>
      <c r="I464" s="12">
        <f>Stock[[#This Row],[Stock Deposito]]*Stock[[#This Row],[Precio de Compra]]</f>
        <v>0</v>
      </c>
      <c r="J464" s="6">
        <f>SUMIFS(ProdDesc[Cantidad],ProdDesc[Codigo],Stock[Codigo])</f>
        <v>0</v>
      </c>
      <c r="K464" s="44">
        <f>Stock[[#This Row],[Compra Cultivate]]-Stock[[#This Row],[Salidas]]-Stock[[#This Row],[Usados]]</f>
        <v>1</v>
      </c>
      <c r="L464" s="24">
        <f>Stock[[#This Row],[Stock Deposito]]*Stock[[#This Row],[Precio de Venta]]</f>
        <v>0</v>
      </c>
      <c r="M464" s="6">
        <f>SUMIFS(Tabla9[Cantidad],Tabla9[Codigo],Stock[Codigo])</f>
        <v>1</v>
      </c>
      <c r="N464" s="24">
        <f>Stock[[#This Row],[Precio de Compra]]*Stock[[#This Row],[Stock Cultivate]]</f>
        <v>2000</v>
      </c>
      <c r="O464" s="24">
        <f>Stock[[#This Row],[Stock Cultivate]]*Stock[[#This Row],[Precio de Venta]]</f>
        <v>4000</v>
      </c>
      <c r="R464" s="16"/>
    </row>
    <row r="465" spans="2:18">
      <c r="B465" s="44">
        <v>462</v>
      </c>
      <c r="C465" t="s">
        <v>421</v>
      </c>
      <c r="D465" s="45">
        <v>575</v>
      </c>
      <c r="E465" s="24">
        <v>1200</v>
      </c>
      <c r="F465" s="44">
        <f>Stock[Entradas]-Stock[Compra Cultivate]</f>
        <v>0</v>
      </c>
      <c r="G465" s="11">
        <f>SUMIFS(Compras[Cantidad],Compras[Codigo],Stock[Codigo])</f>
        <v>2</v>
      </c>
      <c r="H465" s="11">
        <f>SUMIFS(Ventas[Cantidad],Ventas[Codigo],Stock[[#This Row],[Codigo]])</f>
        <v>1</v>
      </c>
      <c r="I465" s="12">
        <f>Stock[[#This Row],[Stock Deposito]]*Stock[[#This Row],[Precio de Compra]]</f>
        <v>0</v>
      </c>
      <c r="J465" s="6">
        <f>SUMIFS(ProdDesc[Cantidad],ProdDesc[Codigo],Stock[Codigo])</f>
        <v>0</v>
      </c>
      <c r="K465" s="44">
        <f>Stock[[#This Row],[Compra Cultivate]]-Stock[[#This Row],[Salidas]]-Stock[[#This Row],[Usados]]</f>
        <v>1</v>
      </c>
      <c r="L465" s="24">
        <f>Stock[[#This Row],[Stock Deposito]]*Stock[[#This Row],[Precio de Venta]]</f>
        <v>0</v>
      </c>
      <c r="M465" s="6">
        <f>SUMIFS(Tabla9[Cantidad],Tabla9[Codigo],Stock[Codigo])</f>
        <v>2</v>
      </c>
      <c r="N465" s="24">
        <f>Stock[[#This Row],[Precio de Compra]]*Stock[[#This Row],[Stock Cultivate]]</f>
        <v>575</v>
      </c>
      <c r="O465" s="24">
        <f>Stock[[#This Row],[Stock Cultivate]]*Stock[[#This Row],[Precio de Venta]]</f>
        <v>1200</v>
      </c>
      <c r="R465" s="16"/>
    </row>
    <row r="466" spans="2:18">
      <c r="B466" s="44">
        <v>461</v>
      </c>
      <c r="C466" t="s">
        <v>1161</v>
      </c>
      <c r="D466" s="45">
        <v>345</v>
      </c>
      <c r="E466" s="24">
        <v>700</v>
      </c>
      <c r="F466" s="44">
        <f>Stock[Entradas]-Stock[Compra Cultivate]</f>
        <v>5</v>
      </c>
      <c r="G466" s="11">
        <f>SUMIFS(Compras[Cantidad],Compras[Codigo],Stock[Codigo])</f>
        <v>5</v>
      </c>
      <c r="H466" s="11">
        <f>SUMIFS(Ventas[Cantidad],Ventas[Codigo],Stock[[#This Row],[Codigo]])</f>
        <v>0</v>
      </c>
      <c r="I466" s="12">
        <f>Stock[[#This Row],[Stock Deposito]]*Stock[[#This Row],[Precio de Compra]]</f>
        <v>1725</v>
      </c>
      <c r="J466" s="6">
        <f>SUMIFS(ProdDesc[Cantidad],ProdDesc[Codigo],Stock[Codigo])</f>
        <v>0</v>
      </c>
      <c r="K466" s="44">
        <f>Stock[[#This Row],[Compra Cultivate]]-Stock[[#This Row],[Salidas]]-Stock[[#This Row],[Usados]]</f>
        <v>0</v>
      </c>
      <c r="L466" s="24">
        <f>Stock[[#This Row],[Stock Deposito]]*Stock[[#This Row],[Precio de Venta]]</f>
        <v>3500</v>
      </c>
      <c r="M466" s="6">
        <f>SUMIFS(Tabla9[Cantidad],Tabla9[Codigo],Stock[Codigo])</f>
        <v>0</v>
      </c>
      <c r="N466" s="24">
        <f>Stock[[#This Row],[Precio de Compra]]*Stock[[#This Row],[Stock Cultivate]]</f>
        <v>0</v>
      </c>
      <c r="O466" s="24">
        <f>Stock[[#This Row],[Stock Cultivate]]*Stock[[#This Row],[Precio de Venta]]</f>
        <v>0</v>
      </c>
      <c r="R466" s="16"/>
    </row>
    <row r="467" spans="2:18">
      <c r="B467" s="44">
        <v>460</v>
      </c>
      <c r="C467" t="s">
        <v>420</v>
      </c>
      <c r="D467" s="45">
        <v>2727</v>
      </c>
      <c r="E467" s="24">
        <v>5500</v>
      </c>
      <c r="F467" s="44">
        <f>Stock[Entradas]-Stock[Compra Cultivate]</f>
        <v>0</v>
      </c>
      <c r="G467" s="11">
        <f>SUMIFS(Compras[Cantidad],Compras[Codigo],Stock[Codigo])</f>
        <v>1</v>
      </c>
      <c r="H467" s="11">
        <f>SUMIFS(Ventas[Cantidad],Ventas[Codigo],Stock[[#This Row],[Codigo]])</f>
        <v>1</v>
      </c>
      <c r="I467" s="12">
        <f>Stock[[#This Row],[Stock Deposito]]*Stock[[#This Row],[Precio de Compra]]</f>
        <v>0</v>
      </c>
      <c r="J467" s="6">
        <f>SUMIFS(ProdDesc[Cantidad],ProdDesc[Codigo],Stock[Codigo])</f>
        <v>0</v>
      </c>
      <c r="K467" s="44">
        <f>Stock[[#This Row],[Compra Cultivate]]-Stock[[#This Row],[Salidas]]-Stock[[#This Row],[Usados]]</f>
        <v>0</v>
      </c>
      <c r="L467" s="24">
        <f>Stock[[#This Row],[Stock Deposito]]*Stock[[#This Row],[Precio de Venta]]</f>
        <v>0</v>
      </c>
      <c r="M467" s="6">
        <f>SUMIFS(Tabla9[Cantidad],Tabla9[Codigo],Stock[Codigo])</f>
        <v>1</v>
      </c>
      <c r="N467" s="24">
        <f>Stock[[#This Row],[Precio de Compra]]*Stock[[#This Row],[Stock Cultivate]]</f>
        <v>0</v>
      </c>
      <c r="O467" s="24">
        <f>Stock[[#This Row],[Stock Cultivate]]*Stock[[#This Row],[Precio de Venta]]</f>
        <v>0</v>
      </c>
      <c r="R467" s="16"/>
    </row>
    <row r="468" spans="2:18">
      <c r="B468" s="44">
        <v>459</v>
      </c>
      <c r="C468" t="s">
        <v>419</v>
      </c>
      <c r="D468" s="45">
        <v>1822</v>
      </c>
      <c r="E468" s="24">
        <v>3600</v>
      </c>
      <c r="F468" s="44">
        <f>Stock[Entradas]-Stock[Compra Cultivate]</f>
        <v>0</v>
      </c>
      <c r="G468" s="11">
        <f>SUMIFS(Compras[Cantidad],Compras[Codigo],Stock[Codigo])</f>
        <v>2</v>
      </c>
      <c r="H468" s="11">
        <f>SUMIFS(Ventas[Cantidad],Ventas[Codigo],Stock[[#This Row],[Codigo]])</f>
        <v>0</v>
      </c>
      <c r="I468" s="12">
        <f>Stock[[#This Row],[Stock Deposito]]*Stock[[#This Row],[Precio de Compra]]</f>
        <v>0</v>
      </c>
      <c r="J468" s="6">
        <f>SUMIFS(ProdDesc[Cantidad],ProdDesc[Codigo],Stock[Codigo])</f>
        <v>0</v>
      </c>
      <c r="K468" s="44">
        <f>Stock[[#This Row],[Compra Cultivate]]-Stock[[#This Row],[Salidas]]-Stock[[#This Row],[Usados]]</f>
        <v>2</v>
      </c>
      <c r="L468" s="24">
        <f>Stock[[#This Row],[Stock Deposito]]*Stock[[#This Row],[Precio de Venta]]</f>
        <v>0</v>
      </c>
      <c r="M468" s="6">
        <f>SUMIFS(Tabla9[Cantidad],Tabla9[Codigo],Stock[Codigo])</f>
        <v>2</v>
      </c>
      <c r="N468" s="24">
        <f>Stock[[#This Row],[Precio de Compra]]*Stock[[#This Row],[Stock Cultivate]]</f>
        <v>3644</v>
      </c>
      <c r="O468" s="24">
        <f>Stock[[#This Row],[Stock Cultivate]]*Stock[[#This Row],[Precio de Venta]]</f>
        <v>7200</v>
      </c>
      <c r="R468" s="16"/>
    </row>
    <row r="469" spans="2:18">
      <c r="B469" s="44">
        <v>458</v>
      </c>
      <c r="C469" t="s">
        <v>418</v>
      </c>
      <c r="D469" s="45">
        <v>137</v>
      </c>
      <c r="E469" s="24">
        <v>250</v>
      </c>
      <c r="F469" s="44">
        <f>Stock[Entradas]-Stock[Compra Cultivate]</f>
        <v>14</v>
      </c>
      <c r="G469" s="11">
        <f>SUMIFS(Compras[Cantidad],Compras[Codigo],Stock[Codigo])</f>
        <v>31</v>
      </c>
      <c r="H469" s="11">
        <f>SUMIFS(Ventas[Cantidad],Ventas[Codigo],Stock[[#This Row],[Codigo]])</f>
        <v>16</v>
      </c>
      <c r="I469" s="12">
        <f>Stock[[#This Row],[Stock Deposito]]*Stock[[#This Row],[Precio de Compra]]</f>
        <v>1918</v>
      </c>
      <c r="J469" s="6">
        <f>SUMIFS(ProdDesc[Cantidad],ProdDesc[Codigo],Stock[Codigo])</f>
        <v>0</v>
      </c>
      <c r="K469" s="44">
        <f>Stock[[#This Row],[Compra Cultivate]]-Stock[[#This Row],[Salidas]]-Stock[[#This Row],[Usados]]</f>
        <v>1</v>
      </c>
      <c r="L469" s="24">
        <f>Stock[[#This Row],[Stock Deposito]]*Stock[[#This Row],[Precio de Venta]]</f>
        <v>3500</v>
      </c>
      <c r="M469" s="6">
        <f>SUMIFS(Tabla9[Cantidad],Tabla9[Codigo],Stock[Codigo])</f>
        <v>17</v>
      </c>
      <c r="N469" s="24">
        <f>Stock[[#This Row],[Precio de Compra]]*Stock[[#This Row],[Stock Cultivate]]</f>
        <v>137</v>
      </c>
      <c r="O469" s="24">
        <f>Stock[[#This Row],[Stock Cultivate]]*Stock[[#This Row],[Precio de Venta]]</f>
        <v>250</v>
      </c>
      <c r="R469" s="16"/>
    </row>
    <row r="470" spans="2:18">
      <c r="B470" s="44">
        <v>457</v>
      </c>
      <c r="C470" t="s">
        <v>417</v>
      </c>
      <c r="D470" s="45">
        <v>137</v>
      </c>
      <c r="E470" s="24">
        <v>250</v>
      </c>
      <c r="F470" s="44">
        <f>Stock[Entradas]-Stock[Compra Cultivate]</f>
        <v>0</v>
      </c>
      <c r="G470" s="11">
        <f>SUMIFS(Compras[Cantidad],Compras[Codigo],Stock[Codigo])</f>
        <v>13</v>
      </c>
      <c r="H470" s="11">
        <f>SUMIFS(Ventas[Cantidad],Ventas[Codigo],Stock[[#This Row],[Codigo]])</f>
        <v>13</v>
      </c>
      <c r="I470" s="12">
        <f>Stock[[#This Row],[Stock Deposito]]*Stock[[#This Row],[Precio de Compra]]</f>
        <v>0</v>
      </c>
      <c r="J470" s="6">
        <f>SUMIFS(ProdDesc[Cantidad],ProdDesc[Codigo],Stock[Codigo])</f>
        <v>0</v>
      </c>
      <c r="K470" s="44">
        <f>Stock[[#This Row],[Compra Cultivate]]-Stock[[#This Row],[Salidas]]-Stock[[#This Row],[Usados]]</f>
        <v>0</v>
      </c>
      <c r="L470" s="24">
        <f>Stock[[#This Row],[Stock Deposito]]*Stock[[#This Row],[Precio de Venta]]</f>
        <v>0</v>
      </c>
      <c r="M470" s="6">
        <f>SUMIFS(Tabla9[Cantidad],Tabla9[Codigo],Stock[Codigo])</f>
        <v>13</v>
      </c>
      <c r="N470" s="24">
        <f>Stock[[#This Row],[Precio de Compra]]*Stock[[#This Row],[Stock Cultivate]]</f>
        <v>0</v>
      </c>
      <c r="O470" s="24">
        <f>Stock[[#This Row],[Stock Cultivate]]*Stock[[#This Row],[Precio de Venta]]</f>
        <v>0</v>
      </c>
      <c r="R470" s="16"/>
    </row>
    <row r="471" spans="2:18">
      <c r="B471" s="44">
        <v>456</v>
      </c>
      <c r="C471" t="s">
        <v>416</v>
      </c>
      <c r="D471" s="45">
        <v>58</v>
      </c>
      <c r="E471" s="24">
        <v>120</v>
      </c>
      <c r="F471" s="44">
        <f>Stock[Entradas]-Stock[Compra Cultivate]</f>
        <v>0</v>
      </c>
      <c r="G471" s="11">
        <f>SUMIFS(Compras[Cantidad],Compras[Codigo],Stock[Codigo])</f>
        <v>76</v>
      </c>
      <c r="H471" s="11">
        <f>SUMIFS(Ventas[Cantidad],Ventas[Codigo],Stock[[#This Row],[Codigo]])</f>
        <v>13</v>
      </c>
      <c r="I471" s="12">
        <f>Stock[[#This Row],[Stock Deposito]]*Stock[[#This Row],[Precio de Compra]]</f>
        <v>0</v>
      </c>
      <c r="J471" s="6">
        <f>SUMIFS(ProdDesc[Cantidad],ProdDesc[Codigo],Stock[Codigo])</f>
        <v>8</v>
      </c>
      <c r="K471" s="44">
        <f>Stock[[#This Row],[Compra Cultivate]]-Stock[[#This Row],[Salidas]]-Stock[[#This Row],[Usados]]</f>
        <v>55</v>
      </c>
      <c r="L471" s="24">
        <f>Stock[[#This Row],[Stock Deposito]]*Stock[[#This Row],[Precio de Venta]]</f>
        <v>0</v>
      </c>
      <c r="M471" s="6">
        <f>SUMIFS(Tabla9[Cantidad],Tabla9[Codigo],Stock[Codigo])</f>
        <v>76</v>
      </c>
      <c r="N471" s="24">
        <f>Stock[[#This Row],[Precio de Compra]]*Stock[[#This Row],[Stock Cultivate]]</f>
        <v>3190</v>
      </c>
      <c r="O471" s="24">
        <f>Stock[[#This Row],[Stock Cultivate]]*Stock[[#This Row],[Precio de Venta]]</f>
        <v>6600</v>
      </c>
      <c r="R471" s="16"/>
    </row>
    <row r="472" spans="2:18">
      <c r="B472" s="44">
        <v>455</v>
      </c>
      <c r="C472" t="s">
        <v>415</v>
      </c>
      <c r="D472" s="45">
        <v>340</v>
      </c>
      <c r="E472" s="24">
        <v>700</v>
      </c>
      <c r="F472" s="44">
        <f>Stock[Entradas]-Stock[Compra Cultivate]</f>
        <v>0</v>
      </c>
      <c r="G472" s="11">
        <f>SUMIFS(Compras[Cantidad],Compras[Codigo],Stock[Codigo])</f>
        <v>5</v>
      </c>
      <c r="H472" s="11">
        <f>SUMIFS(Ventas[Cantidad],Ventas[Codigo],Stock[[#This Row],[Codigo]])</f>
        <v>4</v>
      </c>
      <c r="I472" s="12">
        <f>Stock[[#This Row],[Stock Deposito]]*Stock[[#This Row],[Precio de Compra]]</f>
        <v>0</v>
      </c>
      <c r="J472" s="6">
        <f>SUMIFS(ProdDesc[Cantidad],ProdDesc[Codigo],Stock[Codigo])</f>
        <v>1</v>
      </c>
      <c r="K472" s="44">
        <f>Stock[[#This Row],[Compra Cultivate]]-Stock[[#This Row],[Salidas]]-Stock[[#This Row],[Usados]]</f>
        <v>0</v>
      </c>
      <c r="L472" s="24">
        <f>Stock[[#This Row],[Stock Deposito]]*Stock[[#This Row],[Precio de Venta]]</f>
        <v>0</v>
      </c>
      <c r="M472" s="6">
        <f>SUMIFS(Tabla9[Cantidad],Tabla9[Codigo],Stock[Codigo])</f>
        <v>5</v>
      </c>
      <c r="N472" s="24">
        <f>Stock[[#This Row],[Precio de Compra]]*Stock[[#This Row],[Stock Cultivate]]</f>
        <v>0</v>
      </c>
      <c r="O472" s="24">
        <f>Stock[[#This Row],[Stock Cultivate]]*Stock[[#This Row],[Precio de Venta]]</f>
        <v>0</v>
      </c>
      <c r="R472" s="16"/>
    </row>
    <row r="473" spans="2:18">
      <c r="B473" s="44">
        <v>454</v>
      </c>
      <c r="C473" t="s">
        <v>414</v>
      </c>
      <c r="D473" s="45">
        <v>376</v>
      </c>
      <c r="E473" s="24">
        <v>800</v>
      </c>
      <c r="F473" s="44">
        <f>Stock[Entradas]-Stock[Compra Cultivate]</f>
        <v>7</v>
      </c>
      <c r="G473" s="11">
        <f>SUMIFS(Compras[Cantidad],Compras[Codigo],Stock[Codigo])</f>
        <v>17</v>
      </c>
      <c r="H473" s="11">
        <f>SUMIFS(Ventas[Cantidad],Ventas[Codigo],Stock[[#This Row],[Codigo]])</f>
        <v>0</v>
      </c>
      <c r="I473" s="12">
        <f>Stock[[#This Row],[Stock Deposito]]*Stock[[#This Row],[Precio de Compra]]</f>
        <v>2632</v>
      </c>
      <c r="J473" s="6">
        <f>SUMIFS(ProdDesc[Cantidad],ProdDesc[Codigo],Stock[Codigo])</f>
        <v>0</v>
      </c>
      <c r="K473" s="44">
        <f>Stock[[#This Row],[Compra Cultivate]]-Stock[[#This Row],[Salidas]]-Stock[[#This Row],[Usados]]</f>
        <v>10</v>
      </c>
      <c r="L473" s="24">
        <f>Stock[[#This Row],[Stock Deposito]]*Stock[[#This Row],[Precio de Venta]]</f>
        <v>5600</v>
      </c>
      <c r="M473" s="6">
        <f>SUMIFS(Tabla9[Cantidad],Tabla9[Codigo],Stock[Codigo])</f>
        <v>10</v>
      </c>
      <c r="N473" s="24">
        <f>Stock[[#This Row],[Precio de Compra]]*Stock[[#This Row],[Stock Cultivate]]</f>
        <v>3760</v>
      </c>
      <c r="O473" s="24">
        <f>Stock[[#This Row],[Stock Cultivate]]*Stock[[#This Row],[Precio de Venta]]</f>
        <v>8000</v>
      </c>
      <c r="R473" s="16"/>
    </row>
    <row r="474" spans="2:18">
      <c r="B474" s="44">
        <v>453</v>
      </c>
      <c r="C474" t="s">
        <v>413</v>
      </c>
      <c r="D474" s="45">
        <v>230</v>
      </c>
      <c r="E474" s="24">
        <v>450</v>
      </c>
      <c r="F474" s="44">
        <f>Stock[Entradas]-Stock[Compra Cultivate]</f>
        <v>0</v>
      </c>
      <c r="G474" s="11">
        <f>SUMIFS(Compras[Cantidad],Compras[Codigo],Stock[Codigo])</f>
        <v>18</v>
      </c>
      <c r="H474" s="11">
        <f>SUMIFS(Ventas[Cantidad],Ventas[Codigo],Stock[[#This Row],[Codigo]])</f>
        <v>3</v>
      </c>
      <c r="I474" s="12">
        <f>Stock[[#This Row],[Stock Deposito]]*Stock[[#This Row],[Precio de Compra]]</f>
        <v>0</v>
      </c>
      <c r="J474" s="6">
        <f>SUMIFS(ProdDesc[Cantidad],ProdDesc[Codigo],Stock[Codigo])</f>
        <v>0</v>
      </c>
      <c r="K474" s="44">
        <f>Stock[[#This Row],[Compra Cultivate]]-Stock[[#This Row],[Salidas]]-Stock[[#This Row],[Usados]]</f>
        <v>15</v>
      </c>
      <c r="L474" s="24">
        <f>Stock[[#This Row],[Stock Deposito]]*Stock[[#This Row],[Precio de Venta]]</f>
        <v>0</v>
      </c>
      <c r="M474" s="6">
        <f>SUMIFS(Tabla9[Cantidad],Tabla9[Codigo],Stock[Codigo])</f>
        <v>18</v>
      </c>
      <c r="N474" s="24">
        <f>Stock[[#This Row],[Precio de Compra]]*Stock[[#This Row],[Stock Cultivate]]</f>
        <v>3450</v>
      </c>
      <c r="O474" s="24">
        <f>Stock[[#This Row],[Stock Cultivate]]*Stock[[#This Row],[Precio de Venta]]</f>
        <v>6750</v>
      </c>
      <c r="R474" s="16"/>
    </row>
    <row r="475" spans="2:18">
      <c r="B475" s="44">
        <v>452</v>
      </c>
      <c r="C475" t="s">
        <v>1169</v>
      </c>
      <c r="D475" s="45">
        <v>230</v>
      </c>
      <c r="E475" s="24">
        <v>500</v>
      </c>
      <c r="F475" s="44">
        <f>Stock[Entradas]-Stock[Compra Cultivate]</f>
        <v>3</v>
      </c>
      <c r="G475" s="11">
        <f>SUMIFS(Compras[Cantidad],Compras[Codigo],Stock[Codigo])</f>
        <v>8</v>
      </c>
      <c r="H475" s="11">
        <f>SUMIFS(Ventas[Cantidad],Ventas[Codigo],Stock[[#This Row],[Codigo]])</f>
        <v>2</v>
      </c>
      <c r="I475" s="12">
        <f>Stock[[#This Row],[Stock Deposito]]*Stock[[#This Row],[Precio de Compra]]</f>
        <v>690</v>
      </c>
      <c r="J475" s="6">
        <f>SUMIFS(ProdDesc[Cantidad],ProdDesc[Codigo],Stock[Codigo])</f>
        <v>0</v>
      </c>
      <c r="K475" s="44">
        <f>Stock[[#This Row],[Compra Cultivate]]-Stock[[#This Row],[Salidas]]-Stock[[#This Row],[Usados]]</f>
        <v>3</v>
      </c>
      <c r="L475" s="24">
        <f>Stock[[#This Row],[Stock Deposito]]*Stock[[#This Row],[Precio de Venta]]</f>
        <v>1500</v>
      </c>
      <c r="M475" s="6">
        <f>SUMIFS(Tabla9[Cantidad],Tabla9[Codigo],Stock[Codigo])</f>
        <v>5</v>
      </c>
      <c r="N475" s="24">
        <f>Stock[[#This Row],[Precio de Compra]]*Stock[[#This Row],[Stock Cultivate]]</f>
        <v>690</v>
      </c>
      <c r="O475" s="24">
        <f>Stock[[#This Row],[Stock Cultivate]]*Stock[[#This Row],[Precio de Venta]]</f>
        <v>1500</v>
      </c>
      <c r="R475" s="16"/>
    </row>
    <row r="476" spans="2:18">
      <c r="B476" s="44">
        <v>451</v>
      </c>
      <c r="C476" t="s">
        <v>412</v>
      </c>
      <c r="D476" s="45">
        <v>844</v>
      </c>
      <c r="E476" s="24">
        <v>1200</v>
      </c>
      <c r="F476" s="44">
        <f>Stock[Entradas]-Stock[Compra Cultivate]</f>
        <v>0</v>
      </c>
      <c r="G476" s="11">
        <f>SUMIFS(Compras[Cantidad],Compras[Codigo],Stock[Codigo])</f>
        <v>4</v>
      </c>
      <c r="H476" s="11">
        <f>SUMIFS(Ventas[Cantidad],Ventas[Codigo],Stock[[#This Row],[Codigo]])</f>
        <v>2</v>
      </c>
      <c r="I476" s="12">
        <f>Stock[[#This Row],[Stock Deposito]]*Stock[[#This Row],[Precio de Compra]]</f>
        <v>0</v>
      </c>
      <c r="J476" s="6">
        <f>SUMIFS(ProdDesc[Cantidad],ProdDesc[Codigo],Stock[Codigo])</f>
        <v>2</v>
      </c>
      <c r="K476" s="44">
        <f>Stock[[#This Row],[Compra Cultivate]]-Stock[[#This Row],[Salidas]]-Stock[[#This Row],[Usados]]</f>
        <v>0</v>
      </c>
      <c r="L476" s="24">
        <f>Stock[[#This Row],[Stock Deposito]]*Stock[[#This Row],[Precio de Venta]]</f>
        <v>0</v>
      </c>
      <c r="M476" s="6">
        <f>SUMIFS(Tabla9[Cantidad],Tabla9[Codigo],Stock[Codigo])</f>
        <v>4</v>
      </c>
      <c r="N476" s="24">
        <f>Stock[[#This Row],[Precio de Compra]]*Stock[[#This Row],[Stock Cultivate]]</f>
        <v>0</v>
      </c>
      <c r="O476" s="24">
        <f>Stock[[#This Row],[Stock Cultivate]]*Stock[[#This Row],[Precio de Venta]]</f>
        <v>0</v>
      </c>
      <c r="R476" s="16"/>
    </row>
    <row r="477" spans="2:18">
      <c r="B477" s="44">
        <v>450</v>
      </c>
      <c r="C477" t="s">
        <v>411</v>
      </c>
      <c r="D477" s="45">
        <v>520</v>
      </c>
      <c r="E477" s="24">
        <v>1000</v>
      </c>
      <c r="F477" s="44">
        <f>Stock[Entradas]-Stock[Compra Cultivate]</f>
        <v>3</v>
      </c>
      <c r="G477" s="11">
        <f>SUMIFS(Compras[Cantidad],Compras[Codigo],Stock[Codigo])</f>
        <v>8</v>
      </c>
      <c r="H477" s="11">
        <f>SUMIFS(Ventas[Cantidad],Ventas[Codigo],Stock[[#This Row],[Codigo]])</f>
        <v>5</v>
      </c>
      <c r="I477" s="12">
        <f>Stock[[#This Row],[Stock Deposito]]*Stock[[#This Row],[Precio de Compra]]</f>
        <v>1560</v>
      </c>
      <c r="J477" s="6">
        <f>SUMIFS(ProdDesc[Cantidad],ProdDesc[Codigo],Stock[Codigo])</f>
        <v>0</v>
      </c>
      <c r="K477" s="44">
        <f>Stock[[#This Row],[Compra Cultivate]]-Stock[[#This Row],[Salidas]]-Stock[[#This Row],[Usados]]</f>
        <v>0</v>
      </c>
      <c r="L477" s="24">
        <f>Stock[[#This Row],[Stock Deposito]]*Stock[[#This Row],[Precio de Venta]]</f>
        <v>3000</v>
      </c>
      <c r="M477" s="6">
        <f>SUMIFS(Tabla9[Cantidad],Tabla9[Codigo],Stock[Codigo])</f>
        <v>5</v>
      </c>
      <c r="N477" s="24">
        <f>Stock[[#This Row],[Precio de Compra]]*Stock[[#This Row],[Stock Cultivate]]</f>
        <v>0</v>
      </c>
      <c r="O477" s="24">
        <f>Stock[[#This Row],[Stock Cultivate]]*Stock[[#This Row],[Precio de Venta]]</f>
        <v>0</v>
      </c>
      <c r="R477" s="16"/>
    </row>
    <row r="478" spans="2:18">
      <c r="B478" s="44">
        <v>449</v>
      </c>
      <c r="C478" t="s">
        <v>410</v>
      </c>
      <c r="D478" s="45">
        <v>1260</v>
      </c>
      <c r="E478" s="24">
        <v>2500</v>
      </c>
      <c r="F478" s="44">
        <f>Stock[Entradas]-Stock[Compra Cultivate]</f>
        <v>0</v>
      </c>
      <c r="G478" s="11">
        <f>SUMIFS(Compras[Cantidad],Compras[Codigo],Stock[Codigo])</f>
        <v>1</v>
      </c>
      <c r="H478" s="11">
        <f>SUMIFS(Ventas[Cantidad],Ventas[Codigo],Stock[[#This Row],[Codigo]])</f>
        <v>0</v>
      </c>
      <c r="I478" s="12">
        <f>Stock[[#This Row],[Stock Deposito]]*Stock[[#This Row],[Precio de Compra]]</f>
        <v>0</v>
      </c>
      <c r="J478" s="6">
        <f>SUMIFS(ProdDesc[Cantidad],ProdDesc[Codigo],Stock[Codigo])</f>
        <v>0</v>
      </c>
      <c r="K478" s="44">
        <f>Stock[[#This Row],[Compra Cultivate]]-Stock[[#This Row],[Salidas]]-Stock[[#This Row],[Usados]]</f>
        <v>1</v>
      </c>
      <c r="L478" s="24">
        <f>Stock[[#This Row],[Stock Deposito]]*Stock[[#This Row],[Precio de Venta]]</f>
        <v>0</v>
      </c>
      <c r="M478" s="6">
        <f>SUMIFS(Tabla9[Cantidad],Tabla9[Codigo],Stock[Codigo])</f>
        <v>1</v>
      </c>
      <c r="N478" s="24">
        <f>Stock[[#This Row],[Precio de Compra]]*Stock[[#This Row],[Stock Cultivate]]</f>
        <v>1260</v>
      </c>
      <c r="O478" s="24">
        <f>Stock[[#This Row],[Stock Cultivate]]*Stock[[#This Row],[Precio de Venta]]</f>
        <v>2500</v>
      </c>
      <c r="R478" s="16"/>
    </row>
    <row r="479" spans="2:18">
      <c r="B479" s="44">
        <v>448</v>
      </c>
      <c r="C479" t="s">
        <v>409</v>
      </c>
      <c r="D479" s="45">
        <v>1320</v>
      </c>
      <c r="E479" s="24">
        <v>2600</v>
      </c>
      <c r="F479" s="44">
        <f>Stock[Entradas]-Stock[Compra Cultivate]</f>
        <v>0</v>
      </c>
      <c r="G479" s="11">
        <f>SUMIFS(Compras[Cantidad],Compras[Codigo],Stock[Codigo])</f>
        <v>2</v>
      </c>
      <c r="H479" s="11">
        <f>SUMIFS(Ventas[Cantidad],Ventas[Codigo],Stock[[#This Row],[Codigo]])</f>
        <v>1</v>
      </c>
      <c r="I479" s="12">
        <f>Stock[[#This Row],[Stock Deposito]]*Stock[[#This Row],[Precio de Compra]]</f>
        <v>0</v>
      </c>
      <c r="J479" s="6">
        <f>SUMIFS(ProdDesc[Cantidad],ProdDesc[Codigo],Stock[Codigo])</f>
        <v>1</v>
      </c>
      <c r="K479" s="44">
        <f>Stock[[#This Row],[Compra Cultivate]]-Stock[[#This Row],[Salidas]]-Stock[[#This Row],[Usados]]</f>
        <v>0</v>
      </c>
      <c r="L479" s="24">
        <f>Stock[[#This Row],[Stock Deposito]]*Stock[[#This Row],[Precio de Venta]]</f>
        <v>0</v>
      </c>
      <c r="M479" s="6">
        <f>SUMIFS(Tabla9[Cantidad],Tabla9[Codigo],Stock[Codigo])</f>
        <v>2</v>
      </c>
      <c r="N479" s="24">
        <f>Stock[[#This Row],[Precio de Compra]]*Stock[[#This Row],[Stock Cultivate]]</f>
        <v>0</v>
      </c>
      <c r="O479" s="24">
        <f>Stock[[#This Row],[Stock Cultivate]]*Stock[[#This Row],[Precio de Venta]]</f>
        <v>0</v>
      </c>
      <c r="R479" s="16"/>
    </row>
    <row r="480" spans="2:18">
      <c r="B480" s="44">
        <v>447</v>
      </c>
      <c r="C480" t="s">
        <v>408</v>
      </c>
      <c r="D480" s="45">
        <v>1430</v>
      </c>
      <c r="E480" s="24">
        <v>2800</v>
      </c>
      <c r="F480" s="44">
        <f>Stock[Entradas]-Stock[Compra Cultivate]</f>
        <v>0</v>
      </c>
      <c r="G480" s="11">
        <f>SUMIFS(Compras[Cantidad],Compras[Codigo],Stock[Codigo])</f>
        <v>1</v>
      </c>
      <c r="H480" s="11">
        <f>SUMIFS(Ventas[Cantidad],Ventas[Codigo],Stock[[#This Row],[Codigo]])</f>
        <v>0</v>
      </c>
      <c r="I480" s="12">
        <f>Stock[[#This Row],[Stock Deposito]]*Stock[[#This Row],[Precio de Compra]]</f>
        <v>0</v>
      </c>
      <c r="J480" s="6">
        <f>SUMIFS(ProdDesc[Cantidad],ProdDesc[Codigo],Stock[Codigo])</f>
        <v>0</v>
      </c>
      <c r="K480" s="44">
        <f>Stock[[#This Row],[Compra Cultivate]]-Stock[[#This Row],[Salidas]]-Stock[[#This Row],[Usados]]</f>
        <v>1</v>
      </c>
      <c r="L480" s="24">
        <f>Stock[[#This Row],[Stock Deposito]]*Stock[[#This Row],[Precio de Venta]]</f>
        <v>0</v>
      </c>
      <c r="M480" s="6">
        <f>SUMIFS(Tabla9[Cantidad],Tabla9[Codigo],Stock[Codigo])</f>
        <v>1</v>
      </c>
      <c r="N480" s="24">
        <f>Stock[[#This Row],[Precio de Compra]]*Stock[[#This Row],[Stock Cultivate]]</f>
        <v>1430</v>
      </c>
      <c r="O480" s="24">
        <f>Stock[[#This Row],[Stock Cultivate]]*Stock[[#This Row],[Precio de Venta]]</f>
        <v>2800</v>
      </c>
      <c r="R480" s="16"/>
    </row>
    <row r="481" spans="2:18">
      <c r="B481" s="44">
        <v>446</v>
      </c>
      <c r="C481" t="s">
        <v>407</v>
      </c>
      <c r="D481" s="45">
        <v>1260</v>
      </c>
      <c r="E481" s="24">
        <v>2500</v>
      </c>
      <c r="F481" s="44">
        <f>Stock[Entradas]-Stock[Compra Cultivate]</f>
        <v>0</v>
      </c>
      <c r="G481" s="11">
        <f>SUMIFS(Compras[Cantidad],Compras[Codigo],Stock[Codigo])</f>
        <v>3</v>
      </c>
      <c r="H481" s="11">
        <f>SUMIFS(Ventas[Cantidad],Ventas[Codigo],Stock[[#This Row],[Codigo]])</f>
        <v>0</v>
      </c>
      <c r="I481" s="12">
        <f>Stock[[#This Row],[Stock Deposito]]*Stock[[#This Row],[Precio de Compra]]</f>
        <v>0</v>
      </c>
      <c r="J481" s="6">
        <f>SUMIFS(ProdDesc[Cantidad],ProdDesc[Codigo],Stock[Codigo])</f>
        <v>0</v>
      </c>
      <c r="K481" s="44">
        <f>Stock[[#This Row],[Compra Cultivate]]-Stock[[#This Row],[Salidas]]-Stock[[#This Row],[Usados]]</f>
        <v>3</v>
      </c>
      <c r="L481" s="24">
        <f>Stock[[#This Row],[Stock Deposito]]*Stock[[#This Row],[Precio de Venta]]</f>
        <v>0</v>
      </c>
      <c r="M481" s="6">
        <f>SUMIFS(Tabla9[Cantidad],Tabla9[Codigo],Stock[Codigo])</f>
        <v>3</v>
      </c>
      <c r="N481" s="24">
        <f>Stock[[#This Row],[Precio de Compra]]*Stock[[#This Row],[Stock Cultivate]]</f>
        <v>3780</v>
      </c>
      <c r="O481" s="24">
        <f>Stock[[#This Row],[Stock Cultivate]]*Stock[[#This Row],[Precio de Venta]]</f>
        <v>7500</v>
      </c>
      <c r="R481" s="16"/>
    </row>
    <row r="482" spans="2:18">
      <c r="B482" s="44">
        <v>445</v>
      </c>
      <c r="C482" t="s">
        <v>406</v>
      </c>
      <c r="D482" s="45">
        <v>1320</v>
      </c>
      <c r="E482" s="24">
        <v>2600</v>
      </c>
      <c r="F482" s="44">
        <f>Stock[Entradas]-Stock[Compra Cultivate]</f>
        <v>0</v>
      </c>
      <c r="G482" s="11">
        <f>SUMIFS(Compras[Cantidad],Compras[Codigo],Stock[Codigo])</f>
        <v>0</v>
      </c>
      <c r="H482" s="11">
        <f>SUMIFS(Ventas[Cantidad],Ventas[Codigo],Stock[[#This Row],[Codigo]])</f>
        <v>0</v>
      </c>
      <c r="I482" s="12">
        <f>Stock[[#This Row],[Stock Deposito]]*Stock[[#This Row],[Precio de Compra]]</f>
        <v>0</v>
      </c>
      <c r="J482" s="6">
        <f>SUMIFS(ProdDesc[Cantidad],ProdDesc[Codigo],Stock[Codigo])</f>
        <v>0</v>
      </c>
      <c r="K482" s="44">
        <f>Stock[[#This Row],[Compra Cultivate]]-Stock[[#This Row],[Salidas]]-Stock[[#This Row],[Usados]]</f>
        <v>0</v>
      </c>
      <c r="L482" s="24">
        <f>Stock[[#This Row],[Stock Deposito]]*Stock[[#This Row],[Precio de Venta]]</f>
        <v>0</v>
      </c>
      <c r="M482" s="6">
        <f>SUMIFS(Tabla9[Cantidad],Tabla9[Codigo],Stock[Codigo])</f>
        <v>0</v>
      </c>
      <c r="N482" s="24">
        <f>Stock[[#This Row],[Precio de Compra]]*Stock[[#This Row],[Stock Cultivate]]</f>
        <v>0</v>
      </c>
      <c r="O482" s="24">
        <f>Stock[[#This Row],[Stock Cultivate]]*Stock[[#This Row],[Precio de Venta]]</f>
        <v>0</v>
      </c>
      <c r="R482" s="16"/>
    </row>
    <row r="483" spans="2:18">
      <c r="B483" s="44">
        <v>444</v>
      </c>
      <c r="C483" t="s">
        <v>405</v>
      </c>
      <c r="D483" s="45">
        <v>2670</v>
      </c>
      <c r="E483" s="24">
        <v>5300</v>
      </c>
      <c r="F483" s="44">
        <f>Stock[Entradas]-Stock[Compra Cultivate]</f>
        <v>0</v>
      </c>
      <c r="G483" s="11">
        <f>SUMIFS(Compras[Cantidad],Compras[Codigo],Stock[Codigo])</f>
        <v>2</v>
      </c>
      <c r="H483" s="11">
        <f>SUMIFS(Ventas[Cantidad],Ventas[Codigo],Stock[[#This Row],[Codigo]])</f>
        <v>1</v>
      </c>
      <c r="I483" s="12">
        <f>Stock[[#This Row],[Stock Deposito]]*Stock[[#This Row],[Precio de Compra]]</f>
        <v>0</v>
      </c>
      <c r="J483" s="6">
        <f>SUMIFS(ProdDesc[Cantidad],ProdDesc[Codigo],Stock[Codigo])</f>
        <v>0</v>
      </c>
      <c r="K483" s="44">
        <f>Stock[[#This Row],[Compra Cultivate]]-Stock[[#This Row],[Salidas]]-Stock[[#This Row],[Usados]]</f>
        <v>1</v>
      </c>
      <c r="L483" s="24">
        <f>Stock[[#This Row],[Stock Deposito]]*Stock[[#This Row],[Precio de Venta]]</f>
        <v>0</v>
      </c>
      <c r="M483" s="6">
        <f>SUMIFS(Tabla9[Cantidad],Tabla9[Codigo],Stock[Codigo])</f>
        <v>2</v>
      </c>
      <c r="N483" s="24">
        <f>Stock[[#This Row],[Precio de Compra]]*Stock[[#This Row],[Stock Cultivate]]</f>
        <v>2670</v>
      </c>
      <c r="O483" s="24">
        <f>Stock[[#This Row],[Stock Cultivate]]*Stock[[#This Row],[Precio de Venta]]</f>
        <v>5300</v>
      </c>
      <c r="R483" s="16"/>
    </row>
    <row r="484" spans="2:18">
      <c r="B484" s="44">
        <v>443</v>
      </c>
      <c r="C484" t="s">
        <v>404</v>
      </c>
      <c r="D484" s="45">
        <v>2300</v>
      </c>
      <c r="E484" s="24">
        <v>4600</v>
      </c>
      <c r="F484" s="44">
        <f>Stock[Entradas]-Stock[Compra Cultivate]</f>
        <v>0</v>
      </c>
      <c r="G484" s="11">
        <f>SUMIFS(Compras[Cantidad],Compras[Codigo],Stock[Codigo])</f>
        <v>1</v>
      </c>
      <c r="H484" s="11">
        <f>SUMIFS(Ventas[Cantidad],Ventas[Codigo],Stock[[#This Row],[Codigo]])</f>
        <v>0</v>
      </c>
      <c r="I484" s="12">
        <f>Stock[[#This Row],[Stock Deposito]]*Stock[[#This Row],[Precio de Compra]]</f>
        <v>0</v>
      </c>
      <c r="J484" s="6">
        <f>SUMIFS(ProdDesc[Cantidad],ProdDesc[Codigo],Stock[Codigo])</f>
        <v>0</v>
      </c>
      <c r="K484" s="44">
        <f>Stock[[#This Row],[Compra Cultivate]]-Stock[[#This Row],[Salidas]]-Stock[[#This Row],[Usados]]</f>
        <v>1</v>
      </c>
      <c r="L484" s="24">
        <f>Stock[[#This Row],[Stock Deposito]]*Stock[[#This Row],[Precio de Venta]]</f>
        <v>0</v>
      </c>
      <c r="M484" s="6">
        <f>SUMIFS(Tabla9[Cantidad],Tabla9[Codigo],Stock[Codigo])</f>
        <v>1</v>
      </c>
      <c r="N484" s="24">
        <f>Stock[[#This Row],[Precio de Compra]]*Stock[[#This Row],[Stock Cultivate]]</f>
        <v>2300</v>
      </c>
      <c r="O484" s="24">
        <f>Stock[[#This Row],[Stock Cultivate]]*Stock[[#This Row],[Precio de Venta]]</f>
        <v>4600</v>
      </c>
      <c r="R484" s="16"/>
    </row>
    <row r="485" spans="2:18">
      <c r="B485" s="44">
        <v>442</v>
      </c>
      <c r="C485" t="s">
        <v>403</v>
      </c>
      <c r="D485" s="45">
        <v>2310</v>
      </c>
      <c r="E485" s="24">
        <v>4600</v>
      </c>
      <c r="F485" s="44">
        <f>Stock[Entradas]-Stock[Compra Cultivate]</f>
        <v>0</v>
      </c>
      <c r="G485" s="11">
        <f>SUMIFS(Compras[Cantidad],Compras[Codigo],Stock[Codigo])</f>
        <v>2</v>
      </c>
      <c r="H485" s="11">
        <f>SUMIFS(Ventas[Cantidad],Ventas[Codigo],Stock[[#This Row],[Codigo]])</f>
        <v>0</v>
      </c>
      <c r="I485" s="12">
        <f>Stock[[#This Row],[Stock Deposito]]*Stock[[#This Row],[Precio de Compra]]</f>
        <v>0</v>
      </c>
      <c r="J485" s="6">
        <f>SUMIFS(ProdDesc[Cantidad],ProdDesc[Codigo],Stock[Codigo])</f>
        <v>1</v>
      </c>
      <c r="K485" s="44">
        <f>Stock[[#This Row],[Compra Cultivate]]-Stock[[#This Row],[Salidas]]-Stock[[#This Row],[Usados]]</f>
        <v>1</v>
      </c>
      <c r="L485" s="24">
        <f>Stock[[#This Row],[Stock Deposito]]*Stock[[#This Row],[Precio de Venta]]</f>
        <v>0</v>
      </c>
      <c r="M485" s="6">
        <f>SUMIFS(Tabla9[Cantidad],Tabla9[Codigo],Stock[Codigo])</f>
        <v>2</v>
      </c>
      <c r="N485" s="24">
        <f>Stock[[#This Row],[Precio de Compra]]*Stock[[#This Row],[Stock Cultivate]]</f>
        <v>2310</v>
      </c>
      <c r="O485" s="24">
        <f>Stock[[#This Row],[Stock Cultivate]]*Stock[[#This Row],[Precio de Venta]]</f>
        <v>4600</v>
      </c>
      <c r="R485" s="16"/>
    </row>
    <row r="486" spans="2:18">
      <c r="B486" s="44">
        <v>441</v>
      </c>
      <c r="C486" t="s">
        <v>1155</v>
      </c>
      <c r="D486" s="45">
        <v>631</v>
      </c>
      <c r="E486" s="24">
        <v>1300</v>
      </c>
      <c r="F486" s="44">
        <f>Stock[Entradas]-Stock[Compra Cultivate]</f>
        <v>0</v>
      </c>
      <c r="G486" s="11">
        <f>SUMIFS(Compras[Cantidad],Compras[Codigo],Stock[Codigo])</f>
        <v>9</v>
      </c>
      <c r="H486" s="11">
        <f>SUMIFS(Ventas[Cantidad],Ventas[Codigo],Stock[[#This Row],[Codigo]])</f>
        <v>4</v>
      </c>
      <c r="I486" s="12">
        <f>Stock[[#This Row],[Stock Deposito]]*Stock[[#This Row],[Precio de Compra]]</f>
        <v>0</v>
      </c>
      <c r="J486" s="6">
        <f>SUMIFS(ProdDesc[Cantidad],ProdDesc[Codigo],Stock[Codigo])</f>
        <v>3</v>
      </c>
      <c r="K486" s="44">
        <f>Stock[[#This Row],[Compra Cultivate]]-Stock[[#This Row],[Salidas]]-Stock[[#This Row],[Usados]]</f>
        <v>2</v>
      </c>
      <c r="L486" s="24">
        <f>Stock[[#This Row],[Stock Deposito]]*Stock[[#This Row],[Precio de Venta]]</f>
        <v>0</v>
      </c>
      <c r="M486" s="6">
        <f>SUMIFS(Tabla9[Cantidad],Tabla9[Codigo],Stock[Codigo])</f>
        <v>9</v>
      </c>
      <c r="N486" s="24">
        <f>Stock[[#This Row],[Precio de Compra]]*Stock[[#This Row],[Stock Cultivate]]</f>
        <v>1262</v>
      </c>
      <c r="O486" s="24">
        <f>Stock[[#This Row],[Stock Cultivate]]*Stock[[#This Row],[Precio de Venta]]</f>
        <v>2600</v>
      </c>
      <c r="R486" s="16"/>
    </row>
    <row r="487" spans="2:18">
      <c r="B487" s="44">
        <v>440</v>
      </c>
      <c r="C487" t="s">
        <v>573</v>
      </c>
      <c r="D487" s="45">
        <v>1011</v>
      </c>
      <c r="E487" s="24">
        <v>2000</v>
      </c>
      <c r="F487" s="44">
        <f>Stock[Entradas]-Stock[Compra Cultivate]</f>
        <v>0</v>
      </c>
      <c r="G487" s="11">
        <f>SUMIFS(Compras[Cantidad],Compras[Codigo],Stock[Codigo])</f>
        <v>2</v>
      </c>
      <c r="H487" s="11">
        <f>SUMIFS(Ventas[Cantidad],Ventas[Codigo],Stock[[#This Row],[Codigo]])</f>
        <v>0</v>
      </c>
      <c r="I487" s="12">
        <f>Stock[[#This Row],[Stock Deposito]]*Stock[[#This Row],[Precio de Compra]]</f>
        <v>0</v>
      </c>
      <c r="J487" s="6">
        <f>SUMIFS(ProdDesc[Cantidad],ProdDesc[Codigo],Stock[Codigo])</f>
        <v>0</v>
      </c>
      <c r="K487" s="44">
        <f>Stock[[#This Row],[Compra Cultivate]]-Stock[[#This Row],[Salidas]]-Stock[[#This Row],[Usados]]</f>
        <v>2</v>
      </c>
      <c r="L487" s="24">
        <f>Stock[[#This Row],[Stock Deposito]]*Stock[[#This Row],[Precio de Venta]]</f>
        <v>0</v>
      </c>
      <c r="M487" s="6">
        <f>SUMIFS(Tabla9[Cantidad],Tabla9[Codigo],Stock[Codigo])</f>
        <v>2</v>
      </c>
      <c r="N487" s="24">
        <f>Stock[[#This Row],[Precio de Compra]]*Stock[[#This Row],[Stock Cultivate]]</f>
        <v>2022</v>
      </c>
      <c r="O487" s="24">
        <f>Stock[[#This Row],[Stock Cultivate]]*Stock[[#This Row],[Precio de Venta]]</f>
        <v>4000</v>
      </c>
      <c r="R487" s="16"/>
    </row>
    <row r="488" spans="2:18">
      <c r="B488" s="44">
        <v>439</v>
      </c>
      <c r="C488" t="s">
        <v>402</v>
      </c>
      <c r="D488" s="45">
        <v>160</v>
      </c>
      <c r="E488" s="24">
        <v>300</v>
      </c>
      <c r="F488" s="44">
        <f>Stock[Entradas]-Stock[Compra Cultivate]</f>
        <v>0</v>
      </c>
      <c r="G488" s="11">
        <f>SUMIFS(Compras[Cantidad],Compras[Codigo],Stock[Codigo])</f>
        <v>1</v>
      </c>
      <c r="H488" s="11">
        <f>SUMIFS(Ventas[Cantidad],Ventas[Codigo],Stock[[#This Row],[Codigo]])</f>
        <v>0</v>
      </c>
      <c r="I488" s="12">
        <f>Stock[[#This Row],[Stock Deposito]]*Stock[[#This Row],[Precio de Compra]]</f>
        <v>0</v>
      </c>
      <c r="J488" s="6">
        <f>SUMIFS(ProdDesc[Cantidad],ProdDesc[Codigo],Stock[Codigo])</f>
        <v>0</v>
      </c>
      <c r="K488" s="44">
        <f>Stock[[#This Row],[Compra Cultivate]]-Stock[[#This Row],[Salidas]]-Stock[[#This Row],[Usados]]</f>
        <v>1</v>
      </c>
      <c r="L488" s="24">
        <f>Stock[[#This Row],[Stock Deposito]]*Stock[[#This Row],[Precio de Venta]]</f>
        <v>0</v>
      </c>
      <c r="M488" s="6">
        <f>SUMIFS(Tabla9[Cantidad],Tabla9[Codigo],Stock[Codigo])</f>
        <v>1</v>
      </c>
      <c r="N488" s="24">
        <f>Stock[[#This Row],[Precio de Compra]]*Stock[[#This Row],[Stock Cultivate]]</f>
        <v>160</v>
      </c>
      <c r="O488" s="24">
        <f>Stock[[#This Row],[Stock Cultivate]]*Stock[[#This Row],[Precio de Venta]]</f>
        <v>300</v>
      </c>
      <c r="R488" s="16"/>
    </row>
    <row r="489" spans="2:18">
      <c r="B489" s="44">
        <v>438</v>
      </c>
      <c r="C489" t="s">
        <v>401</v>
      </c>
      <c r="D489" s="45">
        <v>820</v>
      </c>
      <c r="E489" s="24">
        <v>1500</v>
      </c>
      <c r="F489" s="44">
        <f>Stock[Entradas]-Stock[Compra Cultivate]</f>
        <v>0</v>
      </c>
      <c r="G489" s="11">
        <f>SUMIFS(Compras[Cantidad],Compras[Codigo],Stock[Codigo])</f>
        <v>5</v>
      </c>
      <c r="H489" s="11">
        <f>SUMIFS(Ventas[Cantidad],Ventas[Codigo],Stock[[#This Row],[Codigo]])</f>
        <v>3</v>
      </c>
      <c r="I489" s="12">
        <f>Stock[[#This Row],[Stock Deposito]]*Stock[[#This Row],[Precio de Compra]]</f>
        <v>0</v>
      </c>
      <c r="J489" s="6">
        <f>SUMIFS(ProdDesc[Cantidad],ProdDesc[Codigo],Stock[Codigo])</f>
        <v>0</v>
      </c>
      <c r="K489" s="44">
        <f>Stock[[#This Row],[Compra Cultivate]]-Stock[[#This Row],[Salidas]]-Stock[[#This Row],[Usados]]</f>
        <v>2</v>
      </c>
      <c r="L489" s="24">
        <f>Stock[[#This Row],[Stock Deposito]]*Stock[[#This Row],[Precio de Venta]]</f>
        <v>0</v>
      </c>
      <c r="M489" s="6">
        <f>SUMIFS(Tabla9[Cantidad],Tabla9[Codigo],Stock[Codigo])</f>
        <v>5</v>
      </c>
      <c r="N489" s="24">
        <f>Stock[[#This Row],[Precio de Compra]]*Stock[[#This Row],[Stock Cultivate]]</f>
        <v>1640</v>
      </c>
      <c r="O489" s="24">
        <f>Stock[[#This Row],[Stock Cultivate]]*Stock[[#This Row],[Precio de Venta]]</f>
        <v>3000</v>
      </c>
      <c r="R489" s="16"/>
    </row>
    <row r="490" spans="2:18">
      <c r="B490" s="44">
        <v>437</v>
      </c>
      <c r="C490" t="s">
        <v>400</v>
      </c>
      <c r="D490" s="45">
        <v>1325</v>
      </c>
      <c r="E490" s="24">
        <v>2600</v>
      </c>
      <c r="F490" s="44">
        <f>Stock[Entradas]-Stock[Compra Cultivate]</f>
        <v>0</v>
      </c>
      <c r="G490" s="11">
        <f>SUMIFS(Compras[Cantidad],Compras[Codigo],Stock[Codigo])</f>
        <v>2</v>
      </c>
      <c r="H490" s="11">
        <f>SUMIFS(Ventas[Cantidad],Ventas[Codigo],Stock[[#This Row],[Codigo]])</f>
        <v>0</v>
      </c>
      <c r="I490" s="12">
        <f>Stock[[#This Row],[Stock Deposito]]*Stock[[#This Row],[Precio de Compra]]</f>
        <v>0</v>
      </c>
      <c r="J490" s="6">
        <f>SUMIFS(ProdDesc[Cantidad],ProdDesc[Codigo],Stock[Codigo])</f>
        <v>0</v>
      </c>
      <c r="K490" s="44">
        <f>Stock[[#This Row],[Compra Cultivate]]-Stock[[#This Row],[Salidas]]-Stock[[#This Row],[Usados]]</f>
        <v>2</v>
      </c>
      <c r="L490" s="24">
        <f>Stock[[#This Row],[Stock Deposito]]*Stock[[#This Row],[Precio de Venta]]</f>
        <v>0</v>
      </c>
      <c r="M490" s="6">
        <f>SUMIFS(Tabla9[Cantidad],Tabla9[Codigo],Stock[Codigo])</f>
        <v>2</v>
      </c>
      <c r="N490" s="24">
        <f>Stock[[#This Row],[Precio de Compra]]*Stock[[#This Row],[Stock Cultivate]]</f>
        <v>2650</v>
      </c>
      <c r="O490" s="24">
        <f>Stock[[#This Row],[Stock Cultivate]]*Stock[[#This Row],[Precio de Venta]]</f>
        <v>5200</v>
      </c>
      <c r="R490" s="16"/>
    </row>
    <row r="491" spans="2:18">
      <c r="B491" s="44">
        <v>436</v>
      </c>
      <c r="C491" t="s">
        <v>399</v>
      </c>
      <c r="D491" s="45">
        <v>4500</v>
      </c>
      <c r="E491" s="24">
        <v>9000</v>
      </c>
      <c r="F491" s="44">
        <f>Stock[Entradas]-Stock[Compra Cultivate]</f>
        <v>0</v>
      </c>
      <c r="G491" s="11">
        <f>SUMIFS(Compras[Cantidad],Compras[Codigo],Stock[Codigo])</f>
        <v>1</v>
      </c>
      <c r="H491" s="11">
        <f>SUMIFS(Ventas[Cantidad],Ventas[Codigo],Stock[[#This Row],[Codigo]])</f>
        <v>0</v>
      </c>
      <c r="I491" s="12">
        <f>Stock[[#This Row],[Stock Deposito]]*Stock[[#This Row],[Precio de Compra]]</f>
        <v>0</v>
      </c>
      <c r="J491" s="6">
        <f>SUMIFS(ProdDesc[Cantidad],ProdDesc[Codigo],Stock[Codigo])</f>
        <v>0</v>
      </c>
      <c r="K491" s="44">
        <f>Stock[[#This Row],[Compra Cultivate]]-Stock[[#This Row],[Salidas]]-Stock[[#This Row],[Usados]]</f>
        <v>1</v>
      </c>
      <c r="L491" s="24">
        <f>Stock[[#This Row],[Stock Deposito]]*Stock[[#This Row],[Precio de Venta]]</f>
        <v>0</v>
      </c>
      <c r="M491" s="6">
        <f>SUMIFS(Tabla9[Cantidad],Tabla9[Codigo],Stock[Codigo])</f>
        <v>1</v>
      </c>
      <c r="N491" s="24">
        <f>Stock[[#This Row],[Precio de Compra]]*Stock[[#This Row],[Stock Cultivate]]</f>
        <v>4500</v>
      </c>
      <c r="O491" s="24">
        <f>Stock[[#This Row],[Stock Cultivate]]*Stock[[#This Row],[Precio de Venta]]</f>
        <v>9000</v>
      </c>
      <c r="R491" s="16"/>
    </row>
    <row r="492" spans="2:18">
      <c r="B492" s="44">
        <v>435</v>
      </c>
      <c r="C492" t="s">
        <v>398</v>
      </c>
      <c r="D492" s="45">
        <v>2140</v>
      </c>
      <c r="E492" s="24">
        <v>4000</v>
      </c>
      <c r="F492" s="44">
        <f>Stock[Entradas]-Stock[Compra Cultivate]</f>
        <v>0</v>
      </c>
      <c r="G492" s="11">
        <f>SUMIFS(Compras[Cantidad],Compras[Codigo],Stock[Codigo])</f>
        <v>1</v>
      </c>
      <c r="H492" s="11">
        <f>SUMIFS(Ventas[Cantidad],Ventas[Codigo],Stock[[#This Row],[Codigo]])</f>
        <v>1</v>
      </c>
      <c r="I492" s="12">
        <f>Stock[[#This Row],[Stock Deposito]]*Stock[[#This Row],[Precio de Compra]]</f>
        <v>0</v>
      </c>
      <c r="J492" s="6">
        <f>SUMIFS(ProdDesc[Cantidad],ProdDesc[Codigo],Stock[Codigo])</f>
        <v>0</v>
      </c>
      <c r="K492" s="44">
        <f>Stock[[#This Row],[Compra Cultivate]]-Stock[[#This Row],[Salidas]]-Stock[[#This Row],[Usados]]</f>
        <v>0</v>
      </c>
      <c r="L492" s="24">
        <f>Stock[[#This Row],[Stock Deposito]]*Stock[[#This Row],[Precio de Venta]]</f>
        <v>0</v>
      </c>
      <c r="M492" s="6">
        <f>SUMIFS(Tabla9[Cantidad],Tabla9[Codigo],Stock[Codigo])</f>
        <v>1</v>
      </c>
      <c r="N492" s="24">
        <f>Stock[[#This Row],[Precio de Compra]]*Stock[[#This Row],[Stock Cultivate]]</f>
        <v>0</v>
      </c>
      <c r="O492" s="24">
        <f>Stock[[#This Row],[Stock Cultivate]]*Stock[[#This Row],[Precio de Venta]]</f>
        <v>0</v>
      </c>
      <c r="R492" s="16"/>
    </row>
    <row r="493" spans="2:18">
      <c r="B493" s="44">
        <v>434</v>
      </c>
      <c r="C493" t="s">
        <v>397</v>
      </c>
      <c r="D493" s="45">
        <v>1250</v>
      </c>
      <c r="E493" s="24">
        <v>2500</v>
      </c>
      <c r="F493" s="44">
        <f>Stock[Entradas]-Stock[Compra Cultivate]</f>
        <v>0</v>
      </c>
      <c r="G493" s="11">
        <f>SUMIFS(Compras[Cantidad],Compras[Codigo],Stock[Codigo])</f>
        <v>1</v>
      </c>
      <c r="H493" s="11">
        <f>SUMIFS(Ventas[Cantidad],Ventas[Codigo],Stock[[#This Row],[Codigo]])</f>
        <v>1</v>
      </c>
      <c r="I493" s="12">
        <f>Stock[[#This Row],[Stock Deposito]]*Stock[[#This Row],[Precio de Compra]]</f>
        <v>0</v>
      </c>
      <c r="J493" s="6">
        <f>SUMIFS(ProdDesc[Cantidad],ProdDesc[Codigo],Stock[Codigo])</f>
        <v>0</v>
      </c>
      <c r="K493" s="44">
        <f>Stock[[#This Row],[Compra Cultivate]]-Stock[[#This Row],[Salidas]]-Stock[[#This Row],[Usados]]</f>
        <v>0</v>
      </c>
      <c r="L493" s="24">
        <f>Stock[[#This Row],[Stock Deposito]]*Stock[[#This Row],[Precio de Venta]]</f>
        <v>0</v>
      </c>
      <c r="M493" s="6">
        <f>SUMIFS(Tabla9[Cantidad],Tabla9[Codigo],Stock[Codigo])</f>
        <v>1</v>
      </c>
      <c r="N493" s="24">
        <f>Stock[[#This Row],[Precio de Compra]]*Stock[[#This Row],[Stock Cultivate]]</f>
        <v>0</v>
      </c>
      <c r="O493" s="24">
        <f>Stock[[#This Row],[Stock Cultivate]]*Stock[[#This Row],[Precio de Venta]]</f>
        <v>0</v>
      </c>
      <c r="R493" s="16"/>
    </row>
    <row r="494" spans="2:18">
      <c r="B494" s="44">
        <v>433</v>
      </c>
      <c r="C494" t="s">
        <v>506</v>
      </c>
      <c r="D494" s="45">
        <v>270</v>
      </c>
      <c r="E494" s="24">
        <v>1000</v>
      </c>
      <c r="F494" s="44">
        <f>Stock[Entradas]-Stock[Compra Cultivate]</f>
        <v>0</v>
      </c>
      <c r="G494" s="11">
        <f>SUMIFS(Compras[Cantidad],Compras[Codigo],Stock[Codigo])</f>
        <v>3</v>
      </c>
      <c r="H494" s="11">
        <f>SUMIFS(Ventas[Cantidad],Ventas[Codigo],Stock[[#This Row],[Codigo]])</f>
        <v>3</v>
      </c>
      <c r="I494" s="12">
        <f>Stock[[#This Row],[Stock Deposito]]*Stock[[#This Row],[Precio de Compra]]</f>
        <v>0</v>
      </c>
      <c r="J494" s="6">
        <f>SUMIFS(ProdDesc[Cantidad],ProdDesc[Codigo],Stock[Codigo])</f>
        <v>0</v>
      </c>
      <c r="K494" s="44">
        <f>Stock[[#This Row],[Compra Cultivate]]-Stock[[#This Row],[Salidas]]-Stock[[#This Row],[Usados]]</f>
        <v>0</v>
      </c>
      <c r="L494" s="24">
        <f>Stock[[#This Row],[Stock Deposito]]*Stock[[#This Row],[Precio de Venta]]</f>
        <v>0</v>
      </c>
      <c r="M494" s="6">
        <f>SUMIFS(Tabla9[Cantidad],Tabla9[Codigo],Stock[Codigo])</f>
        <v>3</v>
      </c>
      <c r="N494" s="24">
        <f>Stock[[#This Row],[Precio de Compra]]*Stock[[#This Row],[Stock Cultivate]]</f>
        <v>0</v>
      </c>
      <c r="O494" s="24">
        <f>Stock[[#This Row],[Stock Cultivate]]*Stock[[#This Row],[Precio de Venta]]</f>
        <v>0</v>
      </c>
      <c r="R494" s="16"/>
    </row>
    <row r="495" spans="2:18">
      <c r="B495" s="44">
        <v>432</v>
      </c>
      <c r="C495" t="s">
        <v>396</v>
      </c>
      <c r="D495" s="45">
        <v>525</v>
      </c>
      <c r="E495" s="24">
        <v>2000</v>
      </c>
      <c r="F495" s="44">
        <f>Stock[Entradas]-Stock[Compra Cultivate]</f>
        <v>0</v>
      </c>
      <c r="G495" s="11">
        <f>SUMIFS(Compras[Cantidad],Compras[Codigo],Stock[Codigo])</f>
        <v>4</v>
      </c>
      <c r="H495" s="11">
        <f>SUMIFS(Ventas[Cantidad],Ventas[Codigo],Stock[[#This Row],[Codigo]])</f>
        <v>4</v>
      </c>
      <c r="I495" s="12">
        <f>Stock[[#This Row],[Stock Deposito]]*Stock[[#This Row],[Precio de Compra]]</f>
        <v>0</v>
      </c>
      <c r="J495" s="6">
        <f>SUMIFS(ProdDesc[Cantidad],ProdDesc[Codigo],Stock[Codigo])</f>
        <v>0</v>
      </c>
      <c r="K495" s="44">
        <f>Stock[[#This Row],[Compra Cultivate]]-Stock[[#This Row],[Salidas]]-Stock[[#This Row],[Usados]]</f>
        <v>0</v>
      </c>
      <c r="L495" s="24">
        <f>Stock[[#This Row],[Stock Deposito]]*Stock[[#This Row],[Precio de Venta]]</f>
        <v>0</v>
      </c>
      <c r="M495" s="6">
        <f>SUMIFS(Tabla9[Cantidad],Tabla9[Codigo],Stock[Codigo])</f>
        <v>4</v>
      </c>
      <c r="N495" s="24">
        <f>Stock[[#This Row],[Precio de Compra]]*Stock[[#This Row],[Stock Cultivate]]</f>
        <v>0</v>
      </c>
      <c r="O495" s="24">
        <f>Stock[[#This Row],[Stock Cultivate]]*Stock[[#This Row],[Precio de Venta]]</f>
        <v>0</v>
      </c>
      <c r="R495" s="16"/>
    </row>
    <row r="496" spans="2:18">
      <c r="B496" s="44">
        <v>431</v>
      </c>
      <c r="C496" t="s">
        <v>395</v>
      </c>
      <c r="D496" s="45">
        <v>1192</v>
      </c>
      <c r="E496" s="24">
        <v>2400</v>
      </c>
      <c r="F496" s="44">
        <f>Stock[Entradas]-Stock[Compra Cultivate]</f>
        <v>0</v>
      </c>
      <c r="G496" s="11">
        <f>SUMIFS(Compras[Cantidad],Compras[Codigo],Stock[Codigo])</f>
        <v>2</v>
      </c>
      <c r="H496" s="11">
        <f>SUMIFS(Ventas[Cantidad],Ventas[Codigo],Stock[[#This Row],[Codigo]])</f>
        <v>1</v>
      </c>
      <c r="I496" s="12">
        <f>Stock[[#This Row],[Stock Deposito]]*Stock[[#This Row],[Precio de Compra]]</f>
        <v>0</v>
      </c>
      <c r="J496" s="6">
        <f>SUMIFS(ProdDesc[Cantidad],ProdDesc[Codigo],Stock[Codigo])</f>
        <v>0</v>
      </c>
      <c r="K496" s="44">
        <f>Stock[[#This Row],[Compra Cultivate]]-Stock[[#This Row],[Salidas]]-Stock[[#This Row],[Usados]]</f>
        <v>1</v>
      </c>
      <c r="L496" s="24">
        <f>Stock[[#This Row],[Stock Deposito]]*Stock[[#This Row],[Precio de Venta]]</f>
        <v>0</v>
      </c>
      <c r="M496" s="6">
        <f>SUMIFS(Tabla9[Cantidad],Tabla9[Codigo],Stock[Codigo])</f>
        <v>2</v>
      </c>
      <c r="N496" s="24">
        <f>Stock[[#This Row],[Precio de Compra]]*Stock[[#This Row],[Stock Cultivate]]</f>
        <v>1192</v>
      </c>
      <c r="O496" s="24">
        <f>Stock[[#This Row],[Stock Cultivate]]*Stock[[#This Row],[Precio de Venta]]</f>
        <v>2400</v>
      </c>
      <c r="R496" s="16"/>
    </row>
    <row r="497" spans="2:18">
      <c r="B497" s="44">
        <v>430</v>
      </c>
      <c r="C497" t="s">
        <v>394</v>
      </c>
      <c r="D497" s="45">
        <v>1235</v>
      </c>
      <c r="E497" s="24">
        <v>2500</v>
      </c>
      <c r="F497" s="44">
        <f>Stock[Entradas]-Stock[Compra Cultivate]</f>
        <v>0</v>
      </c>
      <c r="G497" s="11">
        <f>SUMIFS(Compras[Cantidad],Compras[Codigo],Stock[Codigo])</f>
        <v>2</v>
      </c>
      <c r="H497" s="11">
        <f>SUMIFS(Ventas[Cantidad],Ventas[Codigo],Stock[[#This Row],[Codigo]])</f>
        <v>2</v>
      </c>
      <c r="I497" s="12">
        <f>Stock[[#This Row],[Stock Deposito]]*Stock[[#This Row],[Precio de Compra]]</f>
        <v>0</v>
      </c>
      <c r="J497" s="6">
        <f>SUMIFS(ProdDesc[Cantidad],ProdDesc[Codigo],Stock[Codigo])</f>
        <v>0</v>
      </c>
      <c r="K497" s="44">
        <f>Stock[[#This Row],[Compra Cultivate]]-Stock[[#This Row],[Salidas]]-Stock[[#This Row],[Usados]]</f>
        <v>0</v>
      </c>
      <c r="L497" s="24">
        <f>Stock[[#This Row],[Stock Deposito]]*Stock[[#This Row],[Precio de Venta]]</f>
        <v>0</v>
      </c>
      <c r="M497" s="6">
        <f>SUMIFS(Tabla9[Cantidad],Tabla9[Codigo],Stock[Codigo])</f>
        <v>2</v>
      </c>
      <c r="N497" s="24">
        <f>Stock[[#This Row],[Precio de Compra]]*Stock[[#This Row],[Stock Cultivate]]</f>
        <v>0</v>
      </c>
      <c r="O497" s="24">
        <f>Stock[[#This Row],[Stock Cultivate]]*Stock[[#This Row],[Precio de Venta]]</f>
        <v>0</v>
      </c>
      <c r="R497" s="16"/>
    </row>
    <row r="498" spans="2:18">
      <c r="B498" s="44">
        <v>429</v>
      </c>
      <c r="C498" t="s">
        <v>634</v>
      </c>
      <c r="D498" s="45">
        <v>2002</v>
      </c>
      <c r="E498" s="24">
        <v>4000</v>
      </c>
      <c r="F498" s="44">
        <f>Stock[Entradas]-Stock[Compra Cultivate]</f>
        <v>0</v>
      </c>
      <c r="G498" s="11">
        <f>SUMIFS(Compras[Cantidad],Compras[Codigo],Stock[Codigo])</f>
        <v>2</v>
      </c>
      <c r="H498" s="11">
        <f>SUMIFS(Ventas[Cantidad],Ventas[Codigo],Stock[[#This Row],[Codigo]])</f>
        <v>1</v>
      </c>
      <c r="I498" s="12">
        <f>Stock[[#This Row],[Stock Deposito]]*Stock[[#This Row],[Precio de Compra]]</f>
        <v>0</v>
      </c>
      <c r="J498" s="6">
        <f>SUMIFS(ProdDesc[Cantidad],ProdDesc[Codigo],Stock[Codigo])</f>
        <v>0</v>
      </c>
      <c r="K498" s="44">
        <f>Stock[[#This Row],[Compra Cultivate]]-Stock[[#This Row],[Salidas]]-Stock[[#This Row],[Usados]]</f>
        <v>1</v>
      </c>
      <c r="L498" s="24">
        <f>Stock[[#This Row],[Stock Deposito]]*Stock[[#This Row],[Precio de Venta]]</f>
        <v>0</v>
      </c>
      <c r="M498" s="6">
        <f>SUMIFS(Tabla9[Cantidad],Tabla9[Codigo],Stock[Codigo])</f>
        <v>2</v>
      </c>
      <c r="N498" s="24">
        <f>Stock[[#This Row],[Precio de Compra]]*Stock[[#This Row],[Stock Cultivate]]</f>
        <v>2002</v>
      </c>
      <c r="O498" s="24">
        <f>Stock[[#This Row],[Stock Cultivate]]*Stock[[#This Row],[Precio de Venta]]</f>
        <v>4000</v>
      </c>
      <c r="R498" s="16"/>
    </row>
    <row r="499" spans="2:18">
      <c r="B499" s="44">
        <v>428</v>
      </c>
      <c r="C499" t="s">
        <v>538</v>
      </c>
      <c r="D499" s="45">
        <v>1699</v>
      </c>
      <c r="E499" s="24">
        <v>3400</v>
      </c>
      <c r="F499" s="44">
        <f>Stock[Entradas]-Stock[Compra Cultivate]</f>
        <v>0</v>
      </c>
      <c r="G499" s="11">
        <f>SUMIFS(Compras[Cantidad],Compras[Codigo],Stock[Codigo])</f>
        <v>4</v>
      </c>
      <c r="H499" s="11">
        <f>SUMIFS(Ventas[Cantidad],Ventas[Codigo],Stock[[#This Row],[Codigo]])</f>
        <v>0</v>
      </c>
      <c r="I499" s="12">
        <f>Stock[[#This Row],[Stock Deposito]]*Stock[[#This Row],[Precio de Compra]]</f>
        <v>0</v>
      </c>
      <c r="J499" s="6">
        <f>SUMIFS(ProdDesc[Cantidad],ProdDesc[Codigo],Stock[Codigo])</f>
        <v>0</v>
      </c>
      <c r="K499" s="44">
        <f>Stock[[#This Row],[Compra Cultivate]]-Stock[[#This Row],[Salidas]]-Stock[[#This Row],[Usados]]</f>
        <v>4</v>
      </c>
      <c r="L499" s="24">
        <f>Stock[[#This Row],[Stock Deposito]]*Stock[[#This Row],[Precio de Venta]]</f>
        <v>0</v>
      </c>
      <c r="M499" s="6">
        <f>SUMIFS(Tabla9[Cantidad],Tabla9[Codigo],Stock[Codigo])</f>
        <v>4</v>
      </c>
      <c r="N499" s="24">
        <f>Stock[[#This Row],[Precio de Compra]]*Stock[[#This Row],[Stock Cultivate]]</f>
        <v>6796</v>
      </c>
      <c r="O499" s="24">
        <f>Stock[[#This Row],[Stock Cultivate]]*Stock[[#This Row],[Precio de Venta]]</f>
        <v>13600</v>
      </c>
      <c r="R499" s="16"/>
    </row>
    <row r="500" spans="2:18">
      <c r="B500" s="44">
        <v>427</v>
      </c>
      <c r="C500" t="s">
        <v>393</v>
      </c>
      <c r="D500" s="45">
        <v>900</v>
      </c>
      <c r="E500" s="24">
        <v>2000</v>
      </c>
      <c r="F500" s="44">
        <f>Stock[Entradas]-Stock[Compra Cultivate]</f>
        <v>0</v>
      </c>
      <c r="G500" s="11">
        <f>SUMIFS(Compras[Cantidad],Compras[Codigo],Stock[Codigo])</f>
        <v>0</v>
      </c>
      <c r="H500" s="11">
        <f>SUMIFS(Ventas[Cantidad],Ventas[Codigo],Stock[[#This Row],[Codigo]])</f>
        <v>0</v>
      </c>
      <c r="I500" s="12">
        <f>Stock[[#This Row],[Stock Deposito]]*Stock[[#This Row],[Precio de Compra]]</f>
        <v>0</v>
      </c>
      <c r="J500" s="6">
        <f>SUMIFS(ProdDesc[Cantidad],ProdDesc[Codigo],Stock[Codigo])</f>
        <v>0</v>
      </c>
      <c r="K500" s="44">
        <f>Stock[[#This Row],[Compra Cultivate]]-Stock[[#This Row],[Salidas]]-Stock[[#This Row],[Usados]]</f>
        <v>0</v>
      </c>
      <c r="L500" s="24">
        <f>Stock[[#This Row],[Stock Deposito]]*Stock[[#This Row],[Precio de Venta]]</f>
        <v>0</v>
      </c>
      <c r="M500" s="6">
        <f>SUMIFS(Tabla9[Cantidad],Tabla9[Codigo],Stock[Codigo])</f>
        <v>0</v>
      </c>
      <c r="N500" s="24">
        <f>Stock[[#This Row],[Precio de Compra]]*Stock[[#This Row],[Stock Cultivate]]</f>
        <v>0</v>
      </c>
      <c r="O500" s="24">
        <f>Stock[[#This Row],[Stock Cultivate]]*Stock[[#This Row],[Precio de Venta]]</f>
        <v>0</v>
      </c>
      <c r="R500" s="16"/>
    </row>
    <row r="501" spans="2:18">
      <c r="B501" s="44">
        <v>426</v>
      </c>
      <c r="C501" t="s">
        <v>1143</v>
      </c>
      <c r="D501" s="45">
        <v>1319</v>
      </c>
      <c r="E501" s="24">
        <v>2600</v>
      </c>
      <c r="F501" s="44">
        <f>Stock[Entradas]-Stock[Compra Cultivate]</f>
        <v>0</v>
      </c>
      <c r="G501" s="11">
        <f>SUMIFS(Compras[Cantidad],Compras[Codigo],Stock[Codigo])</f>
        <v>2</v>
      </c>
      <c r="H501" s="11">
        <f>SUMIFS(Ventas[Cantidad],Ventas[Codigo],Stock[[#This Row],[Codigo]])</f>
        <v>0</v>
      </c>
      <c r="I501" s="12">
        <f>Stock[[#This Row],[Stock Deposito]]*Stock[[#This Row],[Precio de Compra]]</f>
        <v>0</v>
      </c>
      <c r="J501" s="6">
        <f>SUMIFS(ProdDesc[Cantidad],ProdDesc[Codigo],Stock[Codigo])</f>
        <v>0</v>
      </c>
      <c r="K501" s="44">
        <f>Stock[[#This Row],[Compra Cultivate]]-Stock[[#This Row],[Salidas]]-Stock[[#This Row],[Usados]]</f>
        <v>2</v>
      </c>
      <c r="L501" s="24">
        <f>Stock[[#This Row],[Stock Deposito]]*Stock[[#This Row],[Precio de Venta]]</f>
        <v>0</v>
      </c>
      <c r="M501" s="6">
        <f>SUMIFS(Tabla9[Cantidad],Tabla9[Codigo],Stock[Codigo])</f>
        <v>2</v>
      </c>
      <c r="N501" s="24">
        <f>Stock[[#This Row],[Precio de Compra]]*Stock[[#This Row],[Stock Cultivate]]</f>
        <v>2638</v>
      </c>
      <c r="O501" s="24">
        <f>Stock[[#This Row],[Stock Cultivate]]*Stock[[#This Row],[Precio de Venta]]</f>
        <v>5200</v>
      </c>
      <c r="R501" s="16"/>
    </row>
    <row r="502" spans="2:18">
      <c r="B502" s="44">
        <v>425</v>
      </c>
      <c r="C502" t="s">
        <v>1145</v>
      </c>
      <c r="D502" s="45">
        <v>316</v>
      </c>
      <c r="E502" s="24">
        <v>650</v>
      </c>
      <c r="F502" s="44">
        <f>Stock[Entradas]-Stock[Compra Cultivate]</f>
        <v>0</v>
      </c>
      <c r="G502" s="11">
        <f>SUMIFS(Compras[Cantidad],Compras[Codigo],Stock[Codigo])</f>
        <v>6</v>
      </c>
      <c r="H502" s="11">
        <f>SUMIFS(Ventas[Cantidad],Ventas[Codigo],Stock[[#This Row],[Codigo]])</f>
        <v>4</v>
      </c>
      <c r="I502" s="12">
        <f>Stock[[#This Row],[Stock Deposito]]*Stock[[#This Row],[Precio de Compra]]</f>
        <v>0</v>
      </c>
      <c r="J502" s="6">
        <f>SUMIFS(ProdDesc[Cantidad],ProdDesc[Codigo],Stock[Codigo])</f>
        <v>0</v>
      </c>
      <c r="K502" s="44">
        <f>Stock[[#This Row],[Compra Cultivate]]-Stock[[#This Row],[Salidas]]-Stock[[#This Row],[Usados]]</f>
        <v>2</v>
      </c>
      <c r="L502" s="24">
        <f>Stock[[#This Row],[Stock Deposito]]*Stock[[#This Row],[Precio de Venta]]</f>
        <v>0</v>
      </c>
      <c r="M502" s="6">
        <f>SUMIFS(Tabla9[Cantidad],Tabla9[Codigo],Stock[Codigo])</f>
        <v>6</v>
      </c>
      <c r="N502" s="24">
        <f>Stock[[#This Row],[Precio de Compra]]*Stock[[#This Row],[Stock Cultivate]]</f>
        <v>632</v>
      </c>
      <c r="O502" s="24">
        <f>Stock[[#This Row],[Stock Cultivate]]*Stock[[#This Row],[Precio de Venta]]</f>
        <v>1300</v>
      </c>
      <c r="R502" s="16"/>
    </row>
    <row r="503" spans="2:18">
      <c r="B503" s="44">
        <v>424</v>
      </c>
      <c r="C503" t="s">
        <v>392</v>
      </c>
      <c r="D503" s="45">
        <v>1000</v>
      </c>
      <c r="E503" s="24">
        <v>2500</v>
      </c>
      <c r="F503" s="44">
        <f>Stock[Entradas]-Stock[Compra Cultivate]</f>
        <v>0</v>
      </c>
      <c r="G503" s="11">
        <f>SUMIFS(Compras[Cantidad],Compras[Codigo],Stock[Codigo])</f>
        <v>0</v>
      </c>
      <c r="H503" s="11">
        <f>SUMIFS(Ventas[Cantidad],Ventas[Codigo],Stock[[#This Row],[Codigo]])</f>
        <v>0</v>
      </c>
      <c r="I503" s="12">
        <f>Stock[[#This Row],[Stock Deposito]]*Stock[[#This Row],[Precio de Compra]]</f>
        <v>0</v>
      </c>
      <c r="J503" s="6">
        <f>SUMIFS(ProdDesc[Cantidad],ProdDesc[Codigo],Stock[Codigo])</f>
        <v>0</v>
      </c>
      <c r="K503" s="44">
        <f>Stock[[#This Row],[Compra Cultivate]]-Stock[[#This Row],[Salidas]]-Stock[[#This Row],[Usados]]</f>
        <v>0</v>
      </c>
      <c r="L503" s="24">
        <f>Stock[[#This Row],[Stock Deposito]]*Stock[[#This Row],[Precio de Venta]]</f>
        <v>0</v>
      </c>
      <c r="M503" s="6">
        <f>SUMIFS(Tabla9[Cantidad],Tabla9[Codigo],Stock[Codigo])</f>
        <v>0</v>
      </c>
      <c r="N503" s="24">
        <f>Stock[[#This Row],[Precio de Compra]]*Stock[[#This Row],[Stock Cultivate]]</f>
        <v>0</v>
      </c>
      <c r="O503" s="24">
        <f>Stock[[#This Row],[Stock Cultivate]]*Stock[[#This Row],[Precio de Venta]]</f>
        <v>0</v>
      </c>
      <c r="R503" s="16"/>
    </row>
    <row r="504" spans="2:18">
      <c r="B504" s="44">
        <v>423</v>
      </c>
      <c r="C504" t="s">
        <v>391</v>
      </c>
      <c r="D504" s="45">
        <v>870</v>
      </c>
      <c r="E504" s="24">
        <v>1500</v>
      </c>
      <c r="F504" s="44">
        <f>Stock[Entradas]-Stock[Compra Cultivate]</f>
        <v>0</v>
      </c>
      <c r="G504" s="11">
        <f>SUMIFS(Compras[Cantidad],Compras[Codigo],Stock[Codigo])</f>
        <v>1</v>
      </c>
      <c r="H504" s="11">
        <f>SUMIFS(Ventas[Cantidad],Ventas[Codigo],Stock[[#This Row],[Codigo]])</f>
        <v>0</v>
      </c>
      <c r="I504" s="12">
        <f>Stock[[#This Row],[Stock Deposito]]*Stock[[#This Row],[Precio de Compra]]</f>
        <v>0</v>
      </c>
      <c r="J504" s="6">
        <f>SUMIFS(ProdDesc[Cantidad],ProdDesc[Codigo],Stock[Codigo])</f>
        <v>1</v>
      </c>
      <c r="K504" s="44">
        <f>Stock[[#This Row],[Compra Cultivate]]-Stock[[#This Row],[Salidas]]-Stock[[#This Row],[Usados]]</f>
        <v>0</v>
      </c>
      <c r="L504" s="24">
        <f>Stock[[#This Row],[Stock Deposito]]*Stock[[#This Row],[Precio de Venta]]</f>
        <v>0</v>
      </c>
      <c r="M504" s="6">
        <f>SUMIFS(Tabla9[Cantidad],Tabla9[Codigo],Stock[Codigo])</f>
        <v>1</v>
      </c>
      <c r="N504" s="24">
        <f>Stock[[#This Row],[Precio de Compra]]*Stock[[#This Row],[Stock Cultivate]]</f>
        <v>0</v>
      </c>
      <c r="O504" s="24">
        <f>Stock[[#This Row],[Stock Cultivate]]*Stock[[#This Row],[Precio de Venta]]</f>
        <v>0</v>
      </c>
      <c r="R504" s="16"/>
    </row>
    <row r="505" spans="2:18">
      <c r="B505" s="44">
        <v>422</v>
      </c>
      <c r="C505" t="s">
        <v>390</v>
      </c>
      <c r="D505" s="45">
        <v>1030</v>
      </c>
      <c r="E505" s="24">
        <v>2000</v>
      </c>
      <c r="F505" s="44">
        <f>Stock[Entradas]-Stock[Compra Cultivate]</f>
        <v>0</v>
      </c>
      <c r="G505" s="11">
        <f>SUMIFS(Compras[Cantidad],Compras[Codigo],Stock[Codigo])</f>
        <v>0</v>
      </c>
      <c r="H505" s="11">
        <f>SUMIFS(Ventas[Cantidad],Ventas[Codigo],Stock[[#This Row],[Codigo]])</f>
        <v>0</v>
      </c>
      <c r="I505" s="12">
        <f>Stock[[#This Row],[Stock Deposito]]*Stock[[#This Row],[Precio de Compra]]</f>
        <v>0</v>
      </c>
      <c r="J505" s="6">
        <f>SUMIFS(ProdDesc[Cantidad],ProdDesc[Codigo],Stock[Codigo])</f>
        <v>0</v>
      </c>
      <c r="K505" s="44">
        <f>Stock[[#This Row],[Compra Cultivate]]-Stock[[#This Row],[Salidas]]-Stock[[#This Row],[Usados]]</f>
        <v>0</v>
      </c>
      <c r="L505" s="24">
        <f>Stock[[#This Row],[Stock Deposito]]*Stock[[#This Row],[Precio de Venta]]</f>
        <v>0</v>
      </c>
      <c r="M505" s="6">
        <f>SUMIFS(Tabla9[Cantidad],Tabla9[Codigo],Stock[Codigo])</f>
        <v>0</v>
      </c>
      <c r="N505" s="24">
        <f>Stock[[#This Row],[Precio de Compra]]*Stock[[#This Row],[Stock Cultivate]]</f>
        <v>0</v>
      </c>
      <c r="O505" s="24">
        <f>Stock[[#This Row],[Stock Cultivate]]*Stock[[#This Row],[Precio de Venta]]</f>
        <v>0</v>
      </c>
      <c r="R505" s="16"/>
    </row>
    <row r="506" spans="2:18">
      <c r="B506" s="44">
        <v>421</v>
      </c>
      <c r="C506" t="s">
        <v>389</v>
      </c>
      <c r="D506" s="45">
        <v>73</v>
      </c>
      <c r="E506" s="24">
        <v>200</v>
      </c>
      <c r="F506" s="44">
        <f>Stock[Entradas]-Stock[Compra Cultivate]</f>
        <v>0</v>
      </c>
      <c r="G506" s="11">
        <f>SUMIFS(Compras[Cantidad],Compras[Codigo],Stock[Codigo])</f>
        <v>21</v>
      </c>
      <c r="H506" s="11">
        <f>SUMIFS(Ventas[Cantidad],Ventas[Codigo],Stock[[#This Row],[Codigo]])</f>
        <v>6</v>
      </c>
      <c r="I506" s="12">
        <f>Stock[[#This Row],[Stock Deposito]]*Stock[[#This Row],[Precio de Compra]]</f>
        <v>0</v>
      </c>
      <c r="J506" s="6">
        <f>SUMIFS(ProdDesc[Cantidad],ProdDesc[Codigo],Stock[Codigo])</f>
        <v>3</v>
      </c>
      <c r="K506" s="44">
        <f>Stock[[#This Row],[Compra Cultivate]]-Stock[[#This Row],[Salidas]]-Stock[[#This Row],[Usados]]</f>
        <v>12</v>
      </c>
      <c r="L506" s="24">
        <f>Stock[[#This Row],[Stock Deposito]]*Stock[[#This Row],[Precio de Venta]]</f>
        <v>0</v>
      </c>
      <c r="M506" s="6">
        <f>SUMIFS(Tabla9[Cantidad],Tabla9[Codigo],Stock[Codigo])</f>
        <v>21</v>
      </c>
      <c r="N506" s="24">
        <f>Stock[[#This Row],[Precio de Compra]]*Stock[[#This Row],[Stock Cultivate]]</f>
        <v>876</v>
      </c>
      <c r="O506" s="24">
        <f>Stock[[#This Row],[Stock Cultivate]]*Stock[[#This Row],[Precio de Venta]]</f>
        <v>2400</v>
      </c>
      <c r="R506" s="16"/>
    </row>
    <row r="507" spans="2:18">
      <c r="B507" s="44">
        <v>420</v>
      </c>
      <c r="C507" t="s">
        <v>388</v>
      </c>
      <c r="D507" s="45">
        <v>14998</v>
      </c>
      <c r="E507" s="24">
        <v>24000</v>
      </c>
      <c r="F507" s="44">
        <f>Stock[Entradas]-Stock[Compra Cultivate]</f>
        <v>0</v>
      </c>
      <c r="G507" s="11">
        <f>SUMIFS(Compras[Cantidad],Compras[Codigo],Stock[Codigo])</f>
        <v>1</v>
      </c>
      <c r="H507" s="11">
        <f>SUMIFS(Ventas[Cantidad],Ventas[Codigo],Stock[[#This Row],[Codigo]])</f>
        <v>0</v>
      </c>
      <c r="I507" s="12">
        <f>Stock[[#This Row],[Stock Deposito]]*Stock[[#This Row],[Precio de Compra]]</f>
        <v>0</v>
      </c>
      <c r="J507" s="6">
        <f>SUMIFS(ProdDesc[Cantidad],ProdDesc[Codigo],Stock[Codigo])</f>
        <v>0</v>
      </c>
      <c r="K507" s="44">
        <f>Stock[[#This Row],[Compra Cultivate]]-Stock[[#This Row],[Salidas]]-Stock[[#This Row],[Usados]]</f>
        <v>1</v>
      </c>
      <c r="L507" s="24">
        <f>Stock[[#This Row],[Stock Deposito]]*Stock[[#This Row],[Precio de Venta]]</f>
        <v>0</v>
      </c>
      <c r="M507" s="6">
        <f>SUMIFS(Tabla9[Cantidad],Tabla9[Codigo],Stock[Codigo])</f>
        <v>1</v>
      </c>
      <c r="N507" s="24">
        <f>Stock[[#This Row],[Precio de Compra]]*Stock[[#This Row],[Stock Cultivate]]</f>
        <v>14998</v>
      </c>
      <c r="O507" s="24">
        <f>Stock[[#This Row],[Stock Cultivate]]*Stock[[#This Row],[Precio de Venta]]</f>
        <v>24000</v>
      </c>
      <c r="R507" s="16"/>
    </row>
    <row r="508" spans="2:18">
      <c r="B508" s="44">
        <v>419</v>
      </c>
      <c r="C508" t="s">
        <v>387</v>
      </c>
      <c r="D508" s="45">
        <v>14899</v>
      </c>
      <c r="E508" s="24">
        <v>24000</v>
      </c>
      <c r="F508" s="44">
        <f>Stock[Entradas]-Stock[Compra Cultivate]</f>
        <v>0</v>
      </c>
      <c r="G508" s="11">
        <f>SUMIFS(Compras[Cantidad],Compras[Codigo],Stock[Codigo])</f>
        <v>1</v>
      </c>
      <c r="H508" s="11">
        <f>SUMIFS(Ventas[Cantidad],Ventas[Codigo],Stock[[#This Row],[Codigo]])</f>
        <v>0</v>
      </c>
      <c r="I508" s="12">
        <f>Stock[[#This Row],[Stock Deposito]]*Stock[[#This Row],[Precio de Compra]]</f>
        <v>0</v>
      </c>
      <c r="J508" s="6">
        <f>SUMIFS(ProdDesc[Cantidad],ProdDesc[Codigo],Stock[Codigo])</f>
        <v>0</v>
      </c>
      <c r="K508" s="44">
        <f>Stock[[#This Row],[Compra Cultivate]]-Stock[[#This Row],[Salidas]]-Stock[[#This Row],[Usados]]</f>
        <v>1</v>
      </c>
      <c r="L508" s="24">
        <f>Stock[[#This Row],[Stock Deposito]]*Stock[[#This Row],[Precio de Venta]]</f>
        <v>0</v>
      </c>
      <c r="M508" s="6">
        <f>SUMIFS(Tabla9[Cantidad],Tabla9[Codigo],Stock[Codigo])</f>
        <v>1</v>
      </c>
      <c r="N508" s="24">
        <f>Stock[[#This Row],[Precio de Compra]]*Stock[[#This Row],[Stock Cultivate]]</f>
        <v>14899</v>
      </c>
      <c r="O508" s="24">
        <f>Stock[[#This Row],[Stock Cultivate]]*Stock[[#This Row],[Precio de Venta]]</f>
        <v>24000</v>
      </c>
      <c r="R508" s="16"/>
    </row>
    <row r="509" spans="2:18">
      <c r="B509" s="44">
        <v>418</v>
      </c>
      <c r="C509" t="s">
        <v>386</v>
      </c>
      <c r="D509" s="45">
        <v>595</v>
      </c>
      <c r="E509" s="24">
        <v>1500</v>
      </c>
      <c r="F509" s="44">
        <f>Stock[Entradas]-Stock[Compra Cultivate]</f>
        <v>0</v>
      </c>
      <c r="G509" s="11">
        <f>SUMIFS(Compras[Cantidad],Compras[Codigo],Stock[Codigo])</f>
        <v>5</v>
      </c>
      <c r="H509" s="11">
        <f>SUMIFS(Ventas[Cantidad],Ventas[Codigo],Stock[[#This Row],[Codigo]])</f>
        <v>2</v>
      </c>
      <c r="I509" s="12">
        <f>Stock[[#This Row],[Stock Deposito]]*Stock[[#This Row],[Precio de Compra]]</f>
        <v>0</v>
      </c>
      <c r="J509" s="6">
        <f>SUMIFS(ProdDesc[Cantidad],ProdDesc[Codigo],Stock[Codigo])</f>
        <v>0</v>
      </c>
      <c r="K509" s="44">
        <f>Stock[[#This Row],[Compra Cultivate]]-Stock[[#This Row],[Salidas]]-Stock[[#This Row],[Usados]]</f>
        <v>3</v>
      </c>
      <c r="L509" s="24">
        <f>Stock[[#This Row],[Stock Deposito]]*Stock[[#This Row],[Precio de Venta]]</f>
        <v>0</v>
      </c>
      <c r="M509" s="6">
        <f>SUMIFS(Tabla9[Cantidad],Tabla9[Codigo],Stock[Codigo])</f>
        <v>5</v>
      </c>
      <c r="N509" s="24">
        <f>Stock[[#This Row],[Precio de Compra]]*Stock[[#This Row],[Stock Cultivate]]</f>
        <v>1785</v>
      </c>
      <c r="O509" s="24">
        <f>Stock[[#This Row],[Stock Cultivate]]*Stock[[#This Row],[Precio de Venta]]</f>
        <v>4500</v>
      </c>
      <c r="R509" s="16"/>
    </row>
    <row r="510" spans="2:18">
      <c r="B510" s="44">
        <v>417</v>
      </c>
      <c r="C510" t="s">
        <v>385</v>
      </c>
      <c r="D510" s="45">
        <v>1210</v>
      </c>
      <c r="E510" s="24">
        <v>2400</v>
      </c>
      <c r="F510" s="44">
        <f>Stock[Entradas]-Stock[Compra Cultivate]</f>
        <v>0</v>
      </c>
      <c r="G510" s="11">
        <f>SUMIFS(Compras[Cantidad],Compras[Codigo],Stock[Codigo])</f>
        <v>0</v>
      </c>
      <c r="H510" s="11">
        <f>SUMIFS(Ventas[Cantidad],Ventas[Codigo],Stock[[#This Row],[Codigo]])</f>
        <v>0</v>
      </c>
      <c r="I510" s="12">
        <f>Stock[[#This Row],[Stock Deposito]]*Stock[[#This Row],[Precio de Compra]]</f>
        <v>0</v>
      </c>
      <c r="J510" s="6">
        <f>SUMIFS(ProdDesc[Cantidad],ProdDesc[Codigo],Stock[Codigo])</f>
        <v>0</v>
      </c>
      <c r="K510" s="44">
        <f>Stock[[#This Row],[Compra Cultivate]]-Stock[[#This Row],[Salidas]]-Stock[[#This Row],[Usados]]</f>
        <v>0</v>
      </c>
      <c r="L510" s="24">
        <f>Stock[[#This Row],[Stock Deposito]]*Stock[[#This Row],[Precio de Venta]]</f>
        <v>0</v>
      </c>
      <c r="M510" s="6">
        <f>SUMIFS(Tabla9[Cantidad],Tabla9[Codigo],Stock[Codigo])</f>
        <v>0</v>
      </c>
      <c r="N510" s="24">
        <f>Stock[[#This Row],[Precio de Compra]]*Stock[[#This Row],[Stock Cultivate]]</f>
        <v>0</v>
      </c>
      <c r="O510" s="24">
        <f>Stock[[#This Row],[Stock Cultivate]]*Stock[[#This Row],[Precio de Venta]]</f>
        <v>0</v>
      </c>
      <c r="R510" s="16"/>
    </row>
    <row r="511" spans="2:18">
      <c r="B511" s="44">
        <v>416</v>
      </c>
      <c r="C511" t="s">
        <v>384</v>
      </c>
      <c r="D511" s="45">
        <v>480</v>
      </c>
      <c r="E511" s="24">
        <v>750</v>
      </c>
      <c r="F511" s="44">
        <f>Stock[Entradas]-Stock[Compra Cultivate]</f>
        <v>0</v>
      </c>
      <c r="G511" s="11">
        <f>SUMIFS(Compras[Cantidad],Compras[Codigo],Stock[Codigo])</f>
        <v>0</v>
      </c>
      <c r="H511" s="11">
        <f>SUMIFS(Ventas[Cantidad],Ventas[Codigo],Stock[[#This Row],[Codigo]])</f>
        <v>0</v>
      </c>
      <c r="I511" s="12">
        <f>Stock[[#This Row],[Stock Deposito]]*Stock[[#This Row],[Precio de Compra]]</f>
        <v>0</v>
      </c>
      <c r="J511" s="6">
        <f>SUMIFS(ProdDesc[Cantidad],ProdDesc[Codigo],Stock[Codigo])</f>
        <v>0</v>
      </c>
      <c r="K511" s="44">
        <f>Stock[[#This Row],[Compra Cultivate]]-Stock[[#This Row],[Salidas]]-Stock[[#This Row],[Usados]]</f>
        <v>0</v>
      </c>
      <c r="L511" s="24">
        <f>Stock[[#This Row],[Stock Deposito]]*Stock[[#This Row],[Precio de Venta]]</f>
        <v>0</v>
      </c>
      <c r="M511" s="6">
        <f>SUMIFS(Tabla9[Cantidad],Tabla9[Codigo],Stock[Codigo])</f>
        <v>0</v>
      </c>
      <c r="N511" s="24">
        <f>Stock[[#This Row],[Precio de Compra]]*Stock[[#This Row],[Stock Cultivate]]</f>
        <v>0</v>
      </c>
      <c r="O511" s="24">
        <f>Stock[[#This Row],[Stock Cultivate]]*Stock[[#This Row],[Precio de Venta]]</f>
        <v>0</v>
      </c>
      <c r="R511" s="16"/>
    </row>
    <row r="512" spans="2:18">
      <c r="B512" s="44">
        <v>415</v>
      </c>
      <c r="C512" t="s">
        <v>383</v>
      </c>
      <c r="D512" s="45">
        <v>4950</v>
      </c>
      <c r="E512" s="24">
        <v>9000</v>
      </c>
      <c r="F512" s="44">
        <f>Stock[Entradas]-Stock[Compra Cultivate]</f>
        <v>0</v>
      </c>
      <c r="G512" s="11">
        <f>SUMIFS(Compras[Cantidad],Compras[Codigo],Stock[Codigo])</f>
        <v>0</v>
      </c>
      <c r="H512" s="11">
        <f>SUMIFS(Ventas[Cantidad],Ventas[Codigo],Stock[[#This Row],[Codigo]])</f>
        <v>0</v>
      </c>
      <c r="I512" s="12">
        <f>Stock[[#This Row],[Stock Deposito]]*Stock[[#This Row],[Precio de Compra]]</f>
        <v>0</v>
      </c>
      <c r="J512" s="6">
        <f>SUMIFS(ProdDesc[Cantidad],ProdDesc[Codigo],Stock[Codigo])</f>
        <v>0</v>
      </c>
      <c r="K512" s="44">
        <f>Stock[[#This Row],[Compra Cultivate]]-Stock[[#This Row],[Salidas]]-Stock[[#This Row],[Usados]]</f>
        <v>0</v>
      </c>
      <c r="L512" s="24">
        <f>Stock[[#This Row],[Stock Deposito]]*Stock[[#This Row],[Precio de Venta]]</f>
        <v>0</v>
      </c>
      <c r="M512" s="6">
        <f>SUMIFS(Tabla9[Cantidad],Tabla9[Codigo],Stock[Codigo])</f>
        <v>0</v>
      </c>
      <c r="N512" s="24">
        <f>Stock[[#This Row],[Precio de Compra]]*Stock[[#This Row],[Stock Cultivate]]</f>
        <v>0</v>
      </c>
      <c r="O512" s="24">
        <f>Stock[[#This Row],[Stock Cultivate]]*Stock[[#This Row],[Precio de Venta]]</f>
        <v>0</v>
      </c>
      <c r="R512" s="16"/>
    </row>
    <row r="513" spans="2:18">
      <c r="B513" s="44">
        <v>414</v>
      </c>
      <c r="C513" t="s">
        <v>382</v>
      </c>
      <c r="D513" s="45">
        <v>2661</v>
      </c>
      <c r="E513" s="24">
        <v>4500</v>
      </c>
      <c r="F513" s="44">
        <f>Stock[Entradas]-Stock[Compra Cultivate]</f>
        <v>0</v>
      </c>
      <c r="G513" s="11">
        <f>SUMIFS(Compras[Cantidad],Compras[Codigo],Stock[Codigo])</f>
        <v>0</v>
      </c>
      <c r="H513" s="11">
        <f>SUMIFS(Ventas[Cantidad],Ventas[Codigo],Stock[[#This Row],[Codigo]])</f>
        <v>0</v>
      </c>
      <c r="I513" s="12">
        <f>Stock[[#This Row],[Stock Deposito]]*Stock[[#This Row],[Precio de Compra]]</f>
        <v>0</v>
      </c>
      <c r="J513" s="6">
        <f>SUMIFS(ProdDesc[Cantidad],ProdDesc[Codigo],Stock[Codigo])</f>
        <v>0</v>
      </c>
      <c r="K513" s="44">
        <f>Stock[[#This Row],[Compra Cultivate]]-Stock[[#This Row],[Salidas]]-Stock[[#This Row],[Usados]]</f>
        <v>0</v>
      </c>
      <c r="L513" s="24">
        <f>Stock[[#This Row],[Stock Deposito]]*Stock[[#This Row],[Precio de Venta]]</f>
        <v>0</v>
      </c>
      <c r="M513" s="6">
        <f>SUMIFS(Tabla9[Cantidad],Tabla9[Codigo],Stock[Codigo])</f>
        <v>0</v>
      </c>
      <c r="N513" s="24">
        <f>Stock[[#This Row],[Precio de Compra]]*Stock[[#This Row],[Stock Cultivate]]</f>
        <v>0</v>
      </c>
      <c r="O513" s="24">
        <f>Stock[[#This Row],[Stock Cultivate]]*Stock[[#This Row],[Precio de Venta]]</f>
        <v>0</v>
      </c>
      <c r="R513" s="16"/>
    </row>
    <row r="514" spans="2:18">
      <c r="B514" s="44">
        <v>413</v>
      </c>
      <c r="C514" t="s">
        <v>619</v>
      </c>
      <c r="D514" s="45">
        <v>1145</v>
      </c>
      <c r="E514" s="24">
        <v>2300</v>
      </c>
      <c r="F514" s="44">
        <f>Stock[Entradas]-Stock[Compra Cultivate]</f>
        <v>0</v>
      </c>
      <c r="G514" s="11">
        <f>SUMIFS(Compras[Cantidad],Compras[Codigo],Stock[Codigo])</f>
        <v>2</v>
      </c>
      <c r="H514" s="11">
        <f>SUMIFS(Ventas[Cantidad],Ventas[Codigo],Stock[[#This Row],[Codigo]])</f>
        <v>2</v>
      </c>
      <c r="I514" s="12">
        <f>Stock[[#This Row],[Stock Deposito]]*Stock[[#This Row],[Precio de Compra]]</f>
        <v>0</v>
      </c>
      <c r="J514" s="6">
        <f>SUMIFS(ProdDesc[Cantidad],ProdDesc[Codigo],Stock[Codigo])</f>
        <v>0</v>
      </c>
      <c r="K514" s="44">
        <f>Stock[[#This Row],[Compra Cultivate]]-Stock[[#This Row],[Salidas]]-Stock[[#This Row],[Usados]]</f>
        <v>0</v>
      </c>
      <c r="L514" s="24">
        <f>Stock[[#This Row],[Stock Deposito]]*Stock[[#This Row],[Precio de Venta]]</f>
        <v>0</v>
      </c>
      <c r="M514" s="6">
        <f>SUMIFS(Tabla9[Cantidad],Tabla9[Codigo],Stock[Codigo])</f>
        <v>2</v>
      </c>
      <c r="N514" s="24">
        <f>Stock[[#This Row],[Precio de Compra]]*Stock[[#This Row],[Stock Cultivate]]</f>
        <v>0</v>
      </c>
      <c r="O514" s="24">
        <f>Stock[[#This Row],[Stock Cultivate]]*Stock[[#This Row],[Precio de Venta]]</f>
        <v>0</v>
      </c>
      <c r="R514" s="16"/>
    </row>
    <row r="515" spans="2:18">
      <c r="B515" s="44">
        <v>412</v>
      </c>
      <c r="C515" t="s">
        <v>152</v>
      </c>
      <c r="D515" s="45">
        <v>845</v>
      </c>
      <c r="E515" s="24">
        <v>1600</v>
      </c>
      <c r="F515" s="44">
        <f>Stock[Entradas]-Stock[Compra Cultivate]</f>
        <v>0</v>
      </c>
      <c r="G515" s="11">
        <f>SUMIFS(Compras[Cantidad],Compras[Codigo],Stock[Codigo])</f>
        <v>0</v>
      </c>
      <c r="H515" s="11">
        <f>SUMIFS(Ventas[Cantidad],Ventas[Codigo],Stock[[#This Row],[Codigo]])</f>
        <v>0</v>
      </c>
      <c r="I515" s="12">
        <f>Stock[[#This Row],[Stock Deposito]]*Stock[[#This Row],[Precio de Compra]]</f>
        <v>0</v>
      </c>
      <c r="J515" s="6">
        <f>SUMIFS(ProdDesc[Cantidad],ProdDesc[Codigo],Stock[Codigo])</f>
        <v>0</v>
      </c>
      <c r="K515" s="44">
        <f>Stock[[#This Row],[Compra Cultivate]]-Stock[[#This Row],[Salidas]]-Stock[[#This Row],[Usados]]</f>
        <v>0</v>
      </c>
      <c r="L515" s="24">
        <f>Stock[[#This Row],[Stock Deposito]]*Stock[[#This Row],[Precio de Venta]]</f>
        <v>0</v>
      </c>
      <c r="M515" s="6">
        <f>SUMIFS(Tabla9[Cantidad],Tabla9[Codigo],Stock[Codigo])</f>
        <v>0</v>
      </c>
      <c r="N515" s="24">
        <f>Stock[[#This Row],[Precio de Compra]]*Stock[[#This Row],[Stock Cultivate]]</f>
        <v>0</v>
      </c>
      <c r="O515" s="24">
        <f>Stock[[#This Row],[Stock Cultivate]]*Stock[[#This Row],[Precio de Venta]]</f>
        <v>0</v>
      </c>
      <c r="R515" s="16"/>
    </row>
    <row r="516" spans="2:18">
      <c r="B516" s="44">
        <v>411</v>
      </c>
      <c r="C516" t="s">
        <v>381</v>
      </c>
      <c r="D516" s="45">
        <v>500</v>
      </c>
      <c r="E516" s="24">
        <v>1000</v>
      </c>
      <c r="F516" s="44">
        <f>Stock[Entradas]-Stock[Compra Cultivate]</f>
        <v>0</v>
      </c>
      <c r="G516" s="11">
        <f>SUMIFS(Compras[Cantidad],Compras[Codigo],Stock[Codigo])</f>
        <v>3</v>
      </c>
      <c r="H516" s="11">
        <f>SUMIFS(Ventas[Cantidad],Ventas[Codigo],Stock[[#This Row],[Codigo]])</f>
        <v>3</v>
      </c>
      <c r="I516" s="12">
        <f>Stock[[#This Row],[Stock Deposito]]*Stock[[#This Row],[Precio de Compra]]</f>
        <v>0</v>
      </c>
      <c r="J516" s="6">
        <f>SUMIFS(ProdDesc[Cantidad],ProdDesc[Codigo],Stock[Codigo])</f>
        <v>0</v>
      </c>
      <c r="K516" s="44">
        <f>Stock[[#This Row],[Compra Cultivate]]-Stock[[#This Row],[Salidas]]-Stock[[#This Row],[Usados]]</f>
        <v>0</v>
      </c>
      <c r="L516" s="24">
        <f>Stock[[#This Row],[Stock Deposito]]*Stock[[#This Row],[Precio de Venta]]</f>
        <v>0</v>
      </c>
      <c r="M516" s="6">
        <f>SUMIFS(Tabla9[Cantidad],Tabla9[Codigo],Stock[Codigo])</f>
        <v>3</v>
      </c>
      <c r="N516" s="24">
        <f>Stock[[#This Row],[Precio de Compra]]*Stock[[#This Row],[Stock Cultivate]]</f>
        <v>0</v>
      </c>
      <c r="O516" s="24">
        <f>Stock[[#This Row],[Stock Cultivate]]*Stock[[#This Row],[Precio de Venta]]</f>
        <v>0</v>
      </c>
      <c r="R516" s="16"/>
    </row>
    <row r="517" spans="2:18">
      <c r="B517" s="44">
        <v>410</v>
      </c>
      <c r="C517" t="s">
        <v>380</v>
      </c>
      <c r="D517" s="45">
        <v>180</v>
      </c>
      <c r="E517" s="24">
        <v>350</v>
      </c>
      <c r="F517" s="44">
        <f>Stock[Entradas]-Stock[Compra Cultivate]</f>
        <v>0</v>
      </c>
      <c r="G517" s="11">
        <f>SUMIFS(Compras[Cantidad],Compras[Codigo],Stock[Codigo])</f>
        <v>1</v>
      </c>
      <c r="H517" s="11">
        <f>SUMIFS(Ventas[Cantidad],Ventas[Codigo],Stock[[#This Row],[Codigo]])</f>
        <v>1</v>
      </c>
      <c r="I517" s="12">
        <f>Stock[[#This Row],[Stock Deposito]]*Stock[[#This Row],[Precio de Compra]]</f>
        <v>0</v>
      </c>
      <c r="J517" s="6">
        <f>SUMIFS(ProdDesc[Cantidad],ProdDesc[Codigo],Stock[Codigo])</f>
        <v>0</v>
      </c>
      <c r="K517" s="44">
        <f>Stock[[#This Row],[Compra Cultivate]]-Stock[[#This Row],[Salidas]]-Stock[[#This Row],[Usados]]</f>
        <v>0</v>
      </c>
      <c r="L517" s="24">
        <f>Stock[[#This Row],[Stock Deposito]]*Stock[[#This Row],[Precio de Venta]]</f>
        <v>0</v>
      </c>
      <c r="M517" s="6">
        <f>SUMIFS(Tabla9[Cantidad],Tabla9[Codigo],Stock[Codigo])</f>
        <v>1</v>
      </c>
      <c r="N517" s="24">
        <f>Stock[[#This Row],[Precio de Compra]]*Stock[[#This Row],[Stock Cultivate]]</f>
        <v>0</v>
      </c>
      <c r="O517" s="24">
        <f>Stock[[#This Row],[Stock Cultivate]]*Stock[[#This Row],[Precio de Venta]]</f>
        <v>0</v>
      </c>
      <c r="R517" s="16"/>
    </row>
    <row r="518" spans="2:18">
      <c r="B518" s="44">
        <v>409</v>
      </c>
      <c r="C518" t="s">
        <v>379</v>
      </c>
      <c r="D518" s="45">
        <v>125</v>
      </c>
      <c r="E518" s="24">
        <v>250</v>
      </c>
      <c r="F518" s="44">
        <f>Stock[Entradas]-Stock[Compra Cultivate]</f>
        <v>0</v>
      </c>
      <c r="G518" s="11">
        <f>SUMIFS(Compras[Cantidad],Compras[Codigo],Stock[Codigo])</f>
        <v>10</v>
      </c>
      <c r="H518" s="11">
        <f>SUMIFS(Ventas[Cantidad],Ventas[Codigo],Stock[[#This Row],[Codigo]])</f>
        <v>0</v>
      </c>
      <c r="I518" s="12">
        <f>Stock[[#This Row],[Stock Deposito]]*Stock[[#This Row],[Precio de Compra]]</f>
        <v>0</v>
      </c>
      <c r="J518" s="6">
        <f>SUMIFS(ProdDesc[Cantidad],ProdDesc[Codigo],Stock[Codigo])</f>
        <v>0</v>
      </c>
      <c r="K518" s="44">
        <f>Stock[[#This Row],[Compra Cultivate]]-Stock[[#This Row],[Salidas]]-Stock[[#This Row],[Usados]]</f>
        <v>10</v>
      </c>
      <c r="L518" s="24">
        <f>Stock[[#This Row],[Stock Deposito]]*Stock[[#This Row],[Precio de Venta]]</f>
        <v>0</v>
      </c>
      <c r="M518" s="6">
        <f>SUMIFS(Tabla9[Cantidad],Tabla9[Codigo],Stock[Codigo])</f>
        <v>10</v>
      </c>
      <c r="N518" s="24">
        <f>Stock[[#This Row],[Precio de Compra]]*Stock[[#This Row],[Stock Cultivate]]</f>
        <v>1250</v>
      </c>
      <c r="O518" s="24">
        <f>Stock[[#This Row],[Stock Cultivate]]*Stock[[#This Row],[Precio de Venta]]</f>
        <v>2500</v>
      </c>
      <c r="R518" s="16"/>
    </row>
    <row r="519" spans="2:18">
      <c r="B519" s="44">
        <v>408</v>
      </c>
      <c r="C519" t="s">
        <v>378</v>
      </c>
      <c r="D519" s="45">
        <v>380</v>
      </c>
      <c r="E519" s="24">
        <v>800</v>
      </c>
      <c r="F519" s="44">
        <f>Stock[Entradas]-Stock[Compra Cultivate]</f>
        <v>0</v>
      </c>
      <c r="G519" s="11">
        <f>SUMIFS(Compras[Cantidad],Compras[Codigo],Stock[Codigo])</f>
        <v>0</v>
      </c>
      <c r="H519" s="11">
        <f>SUMIFS(Ventas[Cantidad],Ventas[Codigo],Stock[[#This Row],[Codigo]])</f>
        <v>0</v>
      </c>
      <c r="I519" s="12">
        <f>Stock[[#This Row],[Stock Deposito]]*Stock[[#This Row],[Precio de Compra]]</f>
        <v>0</v>
      </c>
      <c r="J519" s="6">
        <f>SUMIFS(ProdDesc[Cantidad],ProdDesc[Codigo],Stock[Codigo])</f>
        <v>0</v>
      </c>
      <c r="K519" s="44">
        <f>Stock[[#This Row],[Compra Cultivate]]-Stock[[#This Row],[Salidas]]-Stock[[#This Row],[Usados]]</f>
        <v>0</v>
      </c>
      <c r="L519" s="24">
        <f>Stock[[#This Row],[Stock Deposito]]*Stock[[#This Row],[Precio de Venta]]</f>
        <v>0</v>
      </c>
      <c r="M519" s="6">
        <f>SUMIFS(Tabla9[Cantidad],Tabla9[Codigo],Stock[Codigo])</f>
        <v>0</v>
      </c>
      <c r="N519" s="24">
        <f>Stock[[#This Row],[Precio de Compra]]*Stock[[#This Row],[Stock Cultivate]]</f>
        <v>0</v>
      </c>
      <c r="O519" s="24">
        <f>Stock[[#This Row],[Stock Cultivate]]*Stock[[#This Row],[Precio de Venta]]</f>
        <v>0</v>
      </c>
      <c r="R519" s="16"/>
    </row>
    <row r="520" spans="2:18">
      <c r="B520" s="44">
        <v>407</v>
      </c>
      <c r="C520" t="s">
        <v>377</v>
      </c>
      <c r="D520" s="45">
        <v>380</v>
      </c>
      <c r="E520" s="24">
        <v>800</v>
      </c>
      <c r="F520" s="44">
        <f>Stock[Entradas]-Stock[Compra Cultivate]</f>
        <v>0</v>
      </c>
      <c r="G520" s="11">
        <f>SUMIFS(Compras[Cantidad],Compras[Codigo],Stock[Codigo])</f>
        <v>1</v>
      </c>
      <c r="H520" s="11">
        <f>SUMIFS(Ventas[Cantidad],Ventas[Codigo],Stock[[#This Row],[Codigo]])</f>
        <v>1</v>
      </c>
      <c r="I520" s="12">
        <f>Stock[[#This Row],[Stock Deposito]]*Stock[[#This Row],[Precio de Compra]]</f>
        <v>0</v>
      </c>
      <c r="J520" s="6">
        <f>SUMIFS(ProdDesc[Cantidad],ProdDesc[Codigo],Stock[Codigo])</f>
        <v>0</v>
      </c>
      <c r="K520" s="44">
        <f>Stock[[#This Row],[Compra Cultivate]]-Stock[[#This Row],[Salidas]]-Stock[[#This Row],[Usados]]</f>
        <v>0</v>
      </c>
      <c r="L520" s="24">
        <f>Stock[[#This Row],[Stock Deposito]]*Stock[[#This Row],[Precio de Venta]]</f>
        <v>0</v>
      </c>
      <c r="M520" s="6">
        <f>SUMIFS(Tabla9[Cantidad],Tabla9[Codigo],Stock[Codigo])</f>
        <v>1</v>
      </c>
      <c r="N520" s="24">
        <f>Stock[[#This Row],[Precio de Compra]]*Stock[[#This Row],[Stock Cultivate]]</f>
        <v>0</v>
      </c>
      <c r="O520" s="24">
        <f>Stock[[#This Row],[Stock Cultivate]]*Stock[[#This Row],[Precio de Venta]]</f>
        <v>0</v>
      </c>
      <c r="R520" s="16"/>
    </row>
    <row r="521" spans="2:18">
      <c r="B521" s="44">
        <v>406</v>
      </c>
      <c r="C521" t="s">
        <v>376</v>
      </c>
      <c r="D521" s="45">
        <v>380</v>
      </c>
      <c r="E521" s="24">
        <v>800</v>
      </c>
      <c r="F521" s="44">
        <f>Stock[Entradas]-Stock[Compra Cultivate]</f>
        <v>0</v>
      </c>
      <c r="G521" s="11">
        <f>SUMIFS(Compras[Cantidad],Compras[Codigo],Stock[Codigo])</f>
        <v>0</v>
      </c>
      <c r="H521" s="11">
        <f>SUMIFS(Ventas[Cantidad],Ventas[Codigo],Stock[[#This Row],[Codigo]])</f>
        <v>0</v>
      </c>
      <c r="I521" s="12">
        <f>Stock[[#This Row],[Stock Deposito]]*Stock[[#This Row],[Precio de Compra]]</f>
        <v>0</v>
      </c>
      <c r="J521" s="6">
        <f>SUMIFS(ProdDesc[Cantidad],ProdDesc[Codigo],Stock[Codigo])</f>
        <v>0</v>
      </c>
      <c r="K521" s="44">
        <f>Stock[[#This Row],[Compra Cultivate]]-Stock[[#This Row],[Salidas]]-Stock[[#This Row],[Usados]]</f>
        <v>0</v>
      </c>
      <c r="L521" s="24">
        <f>Stock[[#This Row],[Stock Deposito]]*Stock[[#This Row],[Precio de Venta]]</f>
        <v>0</v>
      </c>
      <c r="M521" s="6">
        <f>SUMIFS(Tabla9[Cantidad],Tabla9[Codigo],Stock[Codigo])</f>
        <v>0</v>
      </c>
      <c r="N521" s="24">
        <f>Stock[[#This Row],[Precio de Compra]]*Stock[[#This Row],[Stock Cultivate]]</f>
        <v>0</v>
      </c>
      <c r="O521" s="24">
        <f>Stock[[#This Row],[Stock Cultivate]]*Stock[[#This Row],[Precio de Venta]]</f>
        <v>0</v>
      </c>
      <c r="R521" s="16"/>
    </row>
    <row r="522" spans="2:18">
      <c r="B522" s="44">
        <v>405</v>
      </c>
      <c r="C522" t="s">
        <v>1147</v>
      </c>
      <c r="D522" s="45">
        <v>383</v>
      </c>
      <c r="E522" s="24">
        <v>750</v>
      </c>
      <c r="F522" s="44">
        <f>Stock[Entradas]-Stock[Compra Cultivate]</f>
        <v>0</v>
      </c>
      <c r="G522" s="11">
        <f>SUMIFS(Compras[Cantidad],Compras[Codigo],Stock[Codigo])</f>
        <v>7</v>
      </c>
      <c r="H522" s="11">
        <f>SUMIFS(Ventas[Cantidad],Ventas[Codigo],Stock[[#This Row],[Codigo]])</f>
        <v>2</v>
      </c>
      <c r="I522" s="12">
        <f>Stock[[#This Row],[Stock Deposito]]*Stock[[#This Row],[Precio de Compra]]</f>
        <v>0</v>
      </c>
      <c r="J522" s="6">
        <f>SUMIFS(ProdDesc[Cantidad],ProdDesc[Codigo],Stock[Codigo])</f>
        <v>0</v>
      </c>
      <c r="K522" s="44">
        <f>Stock[[#This Row],[Compra Cultivate]]-Stock[[#This Row],[Salidas]]-Stock[[#This Row],[Usados]]</f>
        <v>5</v>
      </c>
      <c r="L522" s="24">
        <f>Stock[[#This Row],[Stock Deposito]]*Stock[[#This Row],[Precio de Venta]]</f>
        <v>0</v>
      </c>
      <c r="M522" s="6">
        <f>SUMIFS(Tabla9[Cantidad],Tabla9[Codigo],Stock[Codigo])</f>
        <v>7</v>
      </c>
      <c r="N522" s="24">
        <f>Stock[[#This Row],[Precio de Compra]]*Stock[[#This Row],[Stock Cultivate]]</f>
        <v>1915</v>
      </c>
      <c r="O522" s="24">
        <f>Stock[[#This Row],[Stock Cultivate]]*Stock[[#This Row],[Precio de Venta]]</f>
        <v>3750</v>
      </c>
      <c r="R522" s="16"/>
    </row>
    <row r="523" spans="2:18">
      <c r="B523" s="44">
        <v>404</v>
      </c>
      <c r="C523" t="s">
        <v>1146</v>
      </c>
      <c r="D523" s="45">
        <v>383</v>
      </c>
      <c r="E523" s="24">
        <v>750</v>
      </c>
      <c r="F523" s="44">
        <f>Stock[Entradas]-Stock[Compra Cultivate]</f>
        <v>0</v>
      </c>
      <c r="G523" s="11">
        <f>SUMIFS(Compras[Cantidad],Compras[Codigo],Stock[Codigo])</f>
        <v>9</v>
      </c>
      <c r="H523" s="11">
        <f>SUMIFS(Ventas[Cantidad],Ventas[Codigo],Stock[[#This Row],[Codigo]])</f>
        <v>1</v>
      </c>
      <c r="I523" s="12">
        <f>Stock[[#This Row],[Stock Deposito]]*Stock[[#This Row],[Precio de Compra]]</f>
        <v>0</v>
      </c>
      <c r="J523" s="6">
        <f>SUMIFS(ProdDesc[Cantidad],ProdDesc[Codigo],Stock[Codigo])</f>
        <v>0</v>
      </c>
      <c r="K523" s="44">
        <f>Stock[[#This Row],[Compra Cultivate]]-Stock[[#This Row],[Salidas]]-Stock[[#This Row],[Usados]]</f>
        <v>8</v>
      </c>
      <c r="L523" s="24">
        <f>Stock[[#This Row],[Stock Deposito]]*Stock[[#This Row],[Precio de Venta]]</f>
        <v>0</v>
      </c>
      <c r="M523" s="6">
        <f>SUMIFS(Tabla9[Cantidad],Tabla9[Codigo],Stock[Codigo])</f>
        <v>9</v>
      </c>
      <c r="N523" s="24">
        <f>Stock[[#This Row],[Precio de Compra]]*Stock[[#This Row],[Stock Cultivate]]</f>
        <v>3064</v>
      </c>
      <c r="O523" s="24">
        <f>Stock[[#This Row],[Stock Cultivate]]*Stock[[#This Row],[Precio de Venta]]</f>
        <v>6000</v>
      </c>
      <c r="R523" s="16"/>
    </row>
    <row r="524" spans="2:18">
      <c r="B524" s="44">
        <v>403</v>
      </c>
      <c r="C524" t="s">
        <v>375</v>
      </c>
      <c r="D524" s="45">
        <v>715</v>
      </c>
      <c r="E524" s="24">
        <v>1500</v>
      </c>
      <c r="F524" s="44">
        <f>Stock[Entradas]-Stock[Compra Cultivate]</f>
        <v>0</v>
      </c>
      <c r="G524" s="11">
        <f>SUMIFS(Compras[Cantidad],Compras[Codigo],Stock[Codigo])</f>
        <v>2</v>
      </c>
      <c r="H524" s="11">
        <f>SUMIFS(Ventas[Cantidad],Ventas[Codigo],Stock[[#This Row],[Codigo]])</f>
        <v>1</v>
      </c>
      <c r="I524" s="12">
        <f>Stock[[#This Row],[Stock Deposito]]*Stock[[#This Row],[Precio de Compra]]</f>
        <v>0</v>
      </c>
      <c r="J524" s="6">
        <f>SUMIFS(ProdDesc[Cantidad],ProdDesc[Codigo],Stock[Codigo])</f>
        <v>0</v>
      </c>
      <c r="K524" s="44">
        <f>Stock[[#This Row],[Compra Cultivate]]-Stock[[#This Row],[Salidas]]-Stock[[#This Row],[Usados]]</f>
        <v>1</v>
      </c>
      <c r="L524" s="24">
        <f>Stock[[#This Row],[Stock Deposito]]*Stock[[#This Row],[Precio de Venta]]</f>
        <v>0</v>
      </c>
      <c r="M524" s="6">
        <f>SUMIFS(Tabla9[Cantidad],Tabla9[Codigo],Stock[Codigo])</f>
        <v>2</v>
      </c>
      <c r="N524" s="24">
        <f>Stock[[#This Row],[Precio de Compra]]*Stock[[#This Row],[Stock Cultivate]]</f>
        <v>715</v>
      </c>
      <c r="O524" s="24">
        <f>Stock[[#This Row],[Stock Cultivate]]*Stock[[#This Row],[Precio de Venta]]</f>
        <v>1500</v>
      </c>
      <c r="R524" s="16"/>
    </row>
    <row r="525" spans="2:18">
      <c r="B525" s="44">
        <v>402</v>
      </c>
      <c r="C525" t="s">
        <v>450</v>
      </c>
      <c r="D525" s="45">
        <v>815</v>
      </c>
      <c r="E525" s="24">
        <v>1500</v>
      </c>
      <c r="F525" s="44">
        <f>Stock[Entradas]-Stock[Compra Cultivate]</f>
        <v>0</v>
      </c>
      <c r="G525" s="11">
        <f>SUMIFS(Compras[Cantidad],Compras[Codigo],Stock[Codigo])</f>
        <v>0</v>
      </c>
      <c r="H525" s="11">
        <f>SUMIFS(Ventas[Cantidad],Ventas[Codigo],Stock[[#This Row],[Codigo]])</f>
        <v>0</v>
      </c>
      <c r="I525" s="12">
        <f>Stock[[#This Row],[Stock Deposito]]*Stock[[#This Row],[Precio de Compra]]</f>
        <v>0</v>
      </c>
      <c r="J525" s="6">
        <f>SUMIFS(ProdDesc[Cantidad],ProdDesc[Codigo],Stock[Codigo])</f>
        <v>0</v>
      </c>
      <c r="K525" s="44">
        <f>Stock[[#This Row],[Compra Cultivate]]-Stock[[#This Row],[Salidas]]-Stock[[#This Row],[Usados]]</f>
        <v>0</v>
      </c>
      <c r="L525" s="24">
        <f>Stock[[#This Row],[Stock Deposito]]*Stock[[#This Row],[Precio de Venta]]</f>
        <v>0</v>
      </c>
      <c r="M525" s="6">
        <f>SUMIFS(Tabla9[Cantidad],Tabla9[Codigo],Stock[Codigo])</f>
        <v>0</v>
      </c>
      <c r="N525" s="24">
        <f>Stock[[#This Row],[Precio de Compra]]*Stock[[#This Row],[Stock Cultivate]]</f>
        <v>0</v>
      </c>
      <c r="O525" s="24">
        <f>Stock[[#This Row],[Stock Cultivate]]*Stock[[#This Row],[Precio de Venta]]</f>
        <v>0</v>
      </c>
      <c r="R525" s="16"/>
    </row>
    <row r="526" spans="2:18">
      <c r="B526" s="44">
        <v>401</v>
      </c>
      <c r="C526" t="s">
        <v>374</v>
      </c>
      <c r="D526" s="45">
        <v>5565</v>
      </c>
      <c r="E526" s="24">
        <v>10000</v>
      </c>
      <c r="F526" s="44">
        <f>Stock[Entradas]-Stock[Compra Cultivate]</f>
        <v>0</v>
      </c>
      <c r="G526" s="11">
        <f>SUMIFS(Compras[Cantidad],Compras[Codigo],Stock[Codigo])</f>
        <v>0</v>
      </c>
      <c r="H526" s="11">
        <f>SUMIFS(Ventas[Cantidad],Ventas[Codigo],Stock[[#This Row],[Codigo]])</f>
        <v>0</v>
      </c>
      <c r="I526" s="12">
        <f>Stock[[#This Row],[Stock Deposito]]*Stock[[#This Row],[Precio de Compra]]</f>
        <v>0</v>
      </c>
      <c r="J526" s="6">
        <f>SUMIFS(ProdDesc[Cantidad],ProdDesc[Codigo],Stock[Codigo])</f>
        <v>0</v>
      </c>
      <c r="K526" s="44">
        <f>Stock[[#This Row],[Compra Cultivate]]-Stock[[#This Row],[Salidas]]-Stock[[#This Row],[Usados]]</f>
        <v>0</v>
      </c>
      <c r="L526" s="24">
        <f>Stock[[#This Row],[Stock Deposito]]*Stock[[#This Row],[Precio de Venta]]</f>
        <v>0</v>
      </c>
      <c r="M526" s="6">
        <f>SUMIFS(Tabla9[Cantidad],Tabla9[Codigo],Stock[Codigo])</f>
        <v>0</v>
      </c>
      <c r="N526" s="24">
        <f>Stock[[#This Row],[Precio de Compra]]*Stock[[#This Row],[Stock Cultivate]]</f>
        <v>0</v>
      </c>
      <c r="O526" s="24">
        <f>Stock[[#This Row],[Stock Cultivate]]*Stock[[#This Row],[Precio de Venta]]</f>
        <v>0</v>
      </c>
      <c r="R526" s="16"/>
    </row>
    <row r="527" spans="2:18">
      <c r="B527" s="44">
        <v>400</v>
      </c>
      <c r="C527" t="s">
        <v>373</v>
      </c>
      <c r="D527" s="45">
        <v>580</v>
      </c>
      <c r="E527" s="24">
        <v>850</v>
      </c>
      <c r="F527" s="44">
        <f>Stock[Entradas]-Stock[Compra Cultivate]</f>
        <v>0</v>
      </c>
      <c r="G527" s="11">
        <f>SUMIFS(Compras[Cantidad],Compras[Codigo],Stock[Codigo])</f>
        <v>4</v>
      </c>
      <c r="H527" s="11">
        <f>SUMIFS(Ventas[Cantidad],Ventas[Codigo],Stock[[#This Row],[Codigo]])</f>
        <v>4</v>
      </c>
      <c r="I527" s="12">
        <f>Stock[[#This Row],[Stock Deposito]]*Stock[[#This Row],[Precio de Compra]]</f>
        <v>0</v>
      </c>
      <c r="J527" s="6">
        <f>SUMIFS(ProdDesc[Cantidad],ProdDesc[Codigo],Stock[Codigo])</f>
        <v>0</v>
      </c>
      <c r="K527" s="44">
        <f>Stock[[#This Row],[Compra Cultivate]]-Stock[[#This Row],[Salidas]]-Stock[[#This Row],[Usados]]</f>
        <v>0</v>
      </c>
      <c r="L527" s="24">
        <f>Stock[[#This Row],[Stock Deposito]]*Stock[[#This Row],[Precio de Venta]]</f>
        <v>0</v>
      </c>
      <c r="M527" s="6">
        <f>SUMIFS(Tabla9[Cantidad],Tabla9[Codigo],Stock[Codigo])</f>
        <v>4</v>
      </c>
      <c r="N527" s="24">
        <f>Stock[[#This Row],[Precio de Compra]]*Stock[[#This Row],[Stock Cultivate]]</f>
        <v>0</v>
      </c>
      <c r="O527" s="24">
        <f>Stock[[#This Row],[Stock Cultivate]]*Stock[[#This Row],[Precio de Venta]]</f>
        <v>0</v>
      </c>
      <c r="R527" s="16"/>
    </row>
    <row r="528" spans="2:18">
      <c r="B528" s="44">
        <v>398</v>
      </c>
      <c r="C528" t="s">
        <v>372</v>
      </c>
      <c r="D528" s="45">
        <v>4025</v>
      </c>
      <c r="E528" s="24">
        <v>7600</v>
      </c>
      <c r="F528" s="44">
        <f>Stock[Entradas]-Stock[Compra Cultivate]</f>
        <v>0</v>
      </c>
      <c r="G528" s="11">
        <f>SUMIFS(Compras[Cantidad],Compras[Codigo],Stock[Codigo])</f>
        <v>3</v>
      </c>
      <c r="H528" s="11">
        <f>SUMIFS(Ventas[Cantidad],Ventas[Codigo],Stock[[#This Row],[Codigo]])</f>
        <v>1</v>
      </c>
      <c r="I528" s="12">
        <f>Stock[[#This Row],[Stock Deposito]]*Stock[[#This Row],[Precio de Compra]]</f>
        <v>0</v>
      </c>
      <c r="J528" s="6">
        <f>SUMIFS(ProdDesc[Cantidad],ProdDesc[Codigo],Stock[Codigo])</f>
        <v>1</v>
      </c>
      <c r="K528" s="44">
        <f>Stock[[#This Row],[Compra Cultivate]]-Stock[[#This Row],[Salidas]]-Stock[[#This Row],[Usados]]</f>
        <v>1</v>
      </c>
      <c r="L528" s="24">
        <f>Stock[[#This Row],[Stock Deposito]]*Stock[[#This Row],[Precio de Venta]]</f>
        <v>0</v>
      </c>
      <c r="M528" s="6">
        <f>SUMIFS(Tabla9[Cantidad],Tabla9[Codigo],Stock[Codigo])</f>
        <v>3</v>
      </c>
      <c r="N528" s="24">
        <f>Stock[[#This Row],[Precio de Compra]]*Stock[[#This Row],[Stock Cultivate]]</f>
        <v>4025</v>
      </c>
      <c r="O528" s="24">
        <f>Stock[[#This Row],[Stock Cultivate]]*Stock[[#This Row],[Precio de Venta]]</f>
        <v>7600</v>
      </c>
      <c r="R528" s="16"/>
    </row>
    <row r="529" spans="2:18">
      <c r="B529" s="44">
        <v>397</v>
      </c>
      <c r="C529" t="s">
        <v>371</v>
      </c>
      <c r="D529" s="45">
        <v>6075</v>
      </c>
      <c r="E529" s="24">
        <v>10000</v>
      </c>
      <c r="F529" s="44">
        <f>Stock[Entradas]-Stock[Compra Cultivate]</f>
        <v>0</v>
      </c>
      <c r="G529" s="11">
        <f>SUMIFS(Compras[Cantidad],Compras[Codigo],Stock[Codigo])</f>
        <v>2</v>
      </c>
      <c r="H529" s="11">
        <f>SUMIFS(Ventas[Cantidad],Ventas[Codigo],Stock[[#This Row],[Codigo]])</f>
        <v>2</v>
      </c>
      <c r="I529" s="12">
        <f>Stock[[#This Row],[Stock Deposito]]*Stock[[#This Row],[Precio de Compra]]</f>
        <v>0</v>
      </c>
      <c r="J529" s="6">
        <f>SUMIFS(ProdDesc[Cantidad],ProdDesc[Codigo],Stock[Codigo])</f>
        <v>0</v>
      </c>
      <c r="K529" s="44">
        <f>Stock[[#This Row],[Compra Cultivate]]-Stock[[#This Row],[Salidas]]-Stock[[#This Row],[Usados]]</f>
        <v>0</v>
      </c>
      <c r="L529" s="24">
        <f>Stock[[#This Row],[Stock Deposito]]*Stock[[#This Row],[Precio de Venta]]</f>
        <v>0</v>
      </c>
      <c r="M529" s="6">
        <f>SUMIFS(Tabla9[Cantidad],Tabla9[Codigo],Stock[Codigo])</f>
        <v>2</v>
      </c>
      <c r="N529" s="24">
        <f>Stock[[#This Row],[Precio de Compra]]*Stock[[#This Row],[Stock Cultivate]]</f>
        <v>0</v>
      </c>
      <c r="O529" s="24">
        <f>Stock[[#This Row],[Stock Cultivate]]*Stock[[#This Row],[Precio de Venta]]</f>
        <v>0</v>
      </c>
      <c r="R529" s="16"/>
    </row>
    <row r="530" spans="2:18">
      <c r="B530" s="44">
        <v>396</v>
      </c>
      <c r="C530" t="s">
        <v>370</v>
      </c>
      <c r="D530" s="45">
        <v>2510</v>
      </c>
      <c r="E530" s="24">
        <v>5000</v>
      </c>
      <c r="F530" s="44">
        <f>Stock[Entradas]-Stock[Compra Cultivate]</f>
        <v>0</v>
      </c>
      <c r="G530" s="11">
        <f>SUMIFS(Compras[Cantidad],Compras[Codigo],Stock[Codigo])</f>
        <v>1</v>
      </c>
      <c r="H530" s="11">
        <f>SUMIFS(Ventas[Cantidad],Ventas[Codigo],Stock[[#This Row],[Codigo]])</f>
        <v>0</v>
      </c>
      <c r="I530" s="12">
        <f>Stock[[#This Row],[Stock Deposito]]*Stock[[#This Row],[Precio de Compra]]</f>
        <v>0</v>
      </c>
      <c r="J530" s="6">
        <f>SUMIFS(ProdDesc[Cantidad],ProdDesc[Codigo],Stock[Codigo])</f>
        <v>0</v>
      </c>
      <c r="K530" s="44">
        <f>Stock[[#This Row],[Compra Cultivate]]-Stock[[#This Row],[Salidas]]-Stock[[#This Row],[Usados]]</f>
        <v>1</v>
      </c>
      <c r="L530" s="24">
        <f>Stock[[#This Row],[Stock Deposito]]*Stock[[#This Row],[Precio de Venta]]</f>
        <v>0</v>
      </c>
      <c r="M530" s="6">
        <f>SUMIFS(Tabla9[Cantidad],Tabla9[Codigo],Stock[Codigo])</f>
        <v>1</v>
      </c>
      <c r="N530" s="24">
        <f>Stock[[#This Row],[Precio de Compra]]*Stock[[#This Row],[Stock Cultivate]]</f>
        <v>2510</v>
      </c>
      <c r="O530" s="24">
        <f>Stock[[#This Row],[Stock Cultivate]]*Stock[[#This Row],[Precio de Venta]]</f>
        <v>5000</v>
      </c>
      <c r="R530" s="16"/>
    </row>
    <row r="531" spans="2:18">
      <c r="B531" s="44">
        <v>395</v>
      </c>
      <c r="C531" t="s">
        <v>369</v>
      </c>
      <c r="D531" s="45">
        <v>600</v>
      </c>
      <c r="E531" s="24">
        <v>900</v>
      </c>
      <c r="F531" s="44">
        <f>Stock[Entradas]-Stock[Compra Cultivate]</f>
        <v>0</v>
      </c>
      <c r="G531" s="11">
        <f>SUMIFS(Compras[Cantidad],Compras[Codigo],Stock[Codigo])</f>
        <v>2</v>
      </c>
      <c r="H531" s="11">
        <f>SUMIFS(Ventas[Cantidad],Ventas[Codigo],Stock[[#This Row],[Codigo]])</f>
        <v>0</v>
      </c>
      <c r="I531" s="12">
        <f>Stock[[#This Row],[Stock Deposito]]*Stock[[#This Row],[Precio de Compra]]</f>
        <v>0</v>
      </c>
      <c r="J531" s="6">
        <f>SUMIFS(ProdDesc[Cantidad],ProdDesc[Codigo],Stock[Codigo])</f>
        <v>0</v>
      </c>
      <c r="K531" s="44">
        <f>Stock[[#This Row],[Compra Cultivate]]-Stock[[#This Row],[Salidas]]-Stock[[#This Row],[Usados]]</f>
        <v>2</v>
      </c>
      <c r="L531" s="24">
        <f>Stock[[#This Row],[Stock Deposito]]*Stock[[#This Row],[Precio de Venta]]</f>
        <v>0</v>
      </c>
      <c r="M531" s="6">
        <f>SUMIFS(Tabla9[Cantidad],Tabla9[Codigo],Stock[Codigo])</f>
        <v>2</v>
      </c>
      <c r="N531" s="24">
        <f>Stock[[#This Row],[Precio de Compra]]*Stock[[#This Row],[Stock Cultivate]]</f>
        <v>1200</v>
      </c>
      <c r="O531" s="24">
        <f>Stock[[#This Row],[Stock Cultivate]]*Stock[[#This Row],[Precio de Venta]]</f>
        <v>1800</v>
      </c>
      <c r="R531" s="16"/>
    </row>
    <row r="532" spans="2:18">
      <c r="B532" s="44">
        <v>394</v>
      </c>
      <c r="C532" t="s">
        <v>368</v>
      </c>
      <c r="D532" s="45">
        <v>600</v>
      </c>
      <c r="E532" s="24">
        <v>800</v>
      </c>
      <c r="F532" s="44">
        <f>Stock[Entradas]-Stock[Compra Cultivate]</f>
        <v>0</v>
      </c>
      <c r="G532" s="11">
        <f>SUMIFS(Compras[Cantidad],Compras[Codigo],Stock[Codigo])</f>
        <v>1</v>
      </c>
      <c r="H532" s="11">
        <f>SUMIFS(Ventas[Cantidad],Ventas[Codigo],Stock[[#This Row],[Codigo]])</f>
        <v>0</v>
      </c>
      <c r="I532" s="12">
        <f>Stock[[#This Row],[Stock Deposito]]*Stock[[#This Row],[Precio de Compra]]</f>
        <v>0</v>
      </c>
      <c r="J532" s="6">
        <f>SUMIFS(ProdDesc[Cantidad],ProdDesc[Codigo],Stock[Codigo])</f>
        <v>0</v>
      </c>
      <c r="K532" s="44">
        <f>Stock[[#This Row],[Compra Cultivate]]-Stock[[#This Row],[Salidas]]-Stock[[#This Row],[Usados]]</f>
        <v>1</v>
      </c>
      <c r="L532" s="24">
        <f>Stock[[#This Row],[Stock Deposito]]*Stock[[#This Row],[Precio de Venta]]</f>
        <v>0</v>
      </c>
      <c r="M532" s="6">
        <f>SUMIFS(Tabla9[Cantidad],Tabla9[Codigo],Stock[Codigo])</f>
        <v>1</v>
      </c>
      <c r="N532" s="24">
        <f>Stock[[#This Row],[Precio de Compra]]*Stock[[#This Row],[Stock Cultivate]]</f>
        <v>600</v>
      </c>
      <c r="O532" s="24">
        <f>Stock[[#This Row],[Stock Cultivate]]*Stock[[#This Row],[Precio de Venta]]</f>
        <v>800</v>
      </c>
      <c r="R532" s="16"/>
    </row>
    <row r="533" spans="2:18">
      <c r="B533" s="44">
        <v>393</v>
      </c>
      <c r="C533" t="s">
        <v>367</v>
      </c>
      <c r="D533" s="45">
        <v>500</v>
      </c>
      <c r="E533" s="24">
        <v>800</v>
      </c>
      <c r="F533" s="44">
        <f>Stock[Entradas]-Stock[Compra Cultivate]</f>
        <v>0</v>
      </c>
      <c r="G533" s="11">
        <f>SUMIFS(Compras[Cantidad],Compras[Codigo],Stock[Codigo])</f>
        <v>3</v>
      </c>
      <c r="H533" s="11">
        <f>SUMIFS(Ventas[Cantidad],Ventas[Codigo],Stock[[#This Row],[Codigo]])</f>
        <v>1</v>
      </c>
      <c r="I533" s="12">
        <f>Stock[[#This Row],[Stock Deposito]]*Stock[[#This Row],[Precio de Compra]]</f>
        <v>0</v>
      </c>
      <c r="J533" s="6">
        <f>SUMIFS(ProdDesc[Cantidad],ProdDesc[Codigo],Stock[Codigo])</f>
        <v>0</v>
      </c>
      <c r="K533" s="44">
        <f>Stock[[#This Row],[Compra Cultivate]]-Stock[[#This Row],[Salidas]]-Stock[[#This Row],[Usados]]</f>
        <v>2</v>
      </c>
      <c r="L533" s="24">
        <f>Stock[[#This Row],[Stock Deposito]]*Stock[[#This Row],[Precio de Venta]]</f>
        <v>0</v>
      </c>
      <c r="M533" s="6">
        <f>SUMIFS(Tabla9[Cantidad],Tabla9[Codigo],Stock[Codigo])</f>
        <v>3</v>
      </c>
      <c r="N533" s="24">
        <f>Stock[[#This Row],[Precio de Compra]]*Stock[[#This Row],[Stock Cultivate]]</f>
        <v>1000</v>
      </c>
      <c r="O533" s="24">
        <f>Stock[[#This Row],[Stock Cultivate]]*Stock[[#This Row],[Precio de Venta]]</f>
        <v>1600</v>
      </c>
      <c r="R533" s="16"/>
    </row>
    <row r="534" spans="2:18">
      <c r="B534" s="44">
        <v>392</v>
      </c>
      <c r="C534" t="s">
        <v>366</v>
      </c>
      <c r="D534" s="45">
        <v>6682</v>
      </c>
      <c r="E534" s="24">
        <v>10000</v>
      </c>
      <c r="F534" s="44">
        <f>Stock[Entradas]-Stock[Compra Cultivate]</f>
        <v>0</v>
      </c>
      <c r="G534" s="11">
        <f>SUMIFS(Compras[Cantidad],Compras[Codigo],Stock[Codigo])</f>
        <v>1</v>
      </c>
      <c r="H534" s="11">
        <f>SUMIFS(Ventas[Cantidad],Ventas[Codigo],Stock[[#This Row],[Codigo]])</f>
        <v>0</v>
      </c>
      <c r="I534" s="12">
        <f>Stock[[#This Row],[Stock Deposito]]*Stock[[#This Row],[Precio de Compra]]</f>
        <v>0</v>
      </c>
      <c r="J534" s="6">
        <f>SUMIFS(ProdDesc[Cantidad],ProdDesc[Codigo],Stock[Codigo])</f>
        <v>0</v>
      </c>
      <c r="K534" s="44">
        <f>Stock[[#This Row],[Compra Cultivate]]-Stock[[#This Row],[Salidas]]-Stock[[#This Row],[Usados]]</f>
        <v>1</v>
      </c>
      <c r="L534" s="24">
        <f>Stock[[#This Row],[Stock Deposito]]*Stock[[#This Row],[Precio de Venta]]</f>
        <v>0</v>
      </c>
      <c r="M534" s="6">
        <f>SUMIFS(Tabla9[Cantidad],Tabla9[Codigo],Stock[Codigo])</f>
        <v>1</v>
      </c>
      <c r="N534" s="24">
        <f>Stock[[#This Row],[Precio de Compra]]*Stock[[#This Row],[Stock Cultivate]]</f>
        <v>6682</v>
      </c>
      <c r="O534" s="24">
        <f>Stock[[#This Row],[Stock Cultivate]]*Stock[[#This Row],[Precio de Venta]]</f>
        <v>10000</v>
      </c>
      <c r="R534" s="16"/>
    </row>
    <row r="535" spans="2:18">
      <c r="B535" s="44">
        <v>391</v>
      </c>
      <c r="C535" t="s">
        <v>365</v>
      </c>
      <c r="D535" s="45">
        <v>17159</v>
      </c>
      <c r="E535" s="24">
        <v>30000</v>
      </c>
      <c r="F535" s="44">
        <f>Stock[Entradas]-Stock[Compra Cultivate]</f>
        <v>0</v>
      </c>
      <c r="G535" s="11">
        <f>SUMIFS(Compras[Cantidad],Compras[Codigo],Stock[Codigo])</f>
        <v>1</v>
      </c>
      <c r="H535" s="11">
        <f>SUMIFS(Ventas[Cantidad],Ventas[Codigo],Stock[[#This Row],[Codigo]])</f>
        <v>0</v>
      </c>
      <c r="I535" s="12">
        <f>Stock[[#This Row],[Stock Deposito]]*Stock[[#This Row],[Precio de Compra]]</f>
        <v>0</v>
      </c>
      <c r="J535" s="6">
        <f>SUMIFS(ProdDesc[Cantidad],ProdDesc[Codigo],Stock[Codigo])</f>
        <v>0</v>
      </c>
      <c r="K535" s="44">
        <f>Stock[[#This Row],[Compra Cultivate]]-Stock[[#This Row],[Salidas]]-Stock[[#This Row],[Usados]]</f>
        <v>1</v>
      </c>
      <c r="L535" s="24">
        <f>Stock[[#This Row],[Stock Deposito]]*Stock[[#This Row],[Precio de Venta]]</f>
        <v>0</v>
      </c>
      <c r="M535" s="6">
        <f>SUMIFS(Tabla9[Cantidad],Tabla9[Codigo],Stock[Codigo])</f>
        <v>1</v>
      </c>
      <c r="N535" s="24">
        <f>Stock[[#This Row],[Precio de Compra]]*Stock[[#This Row],[Stock Cultivate]]</f>
        <v>17159</v>
      </c>
      <c r="O535" s="24">
        <f>Stock[[#This Row],[Stock Cultivate]]*Stock[[#This Row],[Precio de Venta]]</f>
        <v>30000</v>
      </c>
      <c r="R535" s="16"/>
    </row>
    <row r="536" spans="2:18">
      <c r="B536" s="44">
        <v>390</v>
      </c>
      <c r="C536" t="s">
        <v>364</v>
      </c>
      <c r="D536" s="45">
        <v>3125</v>
      </c>
      <c r="E536" s="24">
        <v>6300</v>
      </c>
      <c r="F536" s="44">
        <f>Stock[Entradas]-Stock[Compra Cultivate]</f>
        <v>0</v>
      </c>
      <c r="G536" s="11">
        <f>SUMIFS(Compras[Cantidad],Compras[Codigo],Stock[Codigo])</f>
        <v>1</v>
      </c>
      <c r="H536" s="11">
        <f>SUMIFS(Ventas[Cantidad],Ventas[Codigo],Stock[[#This Row],[Codigo]])</f>
        <v>0</v>
      </c>
      <c r="I536" s="12">
        <f>Stock[[#This Row],[Stock Deposito]]*Stock[[#This Row],[Precio de Compra]]</f>
        <v>0</v>
      </c>
      <c r="J536" s="6">
        <f>SUMIFS(ProdDesc[Cantidad],ProdDesc[Codigo],Stock[Codigo])</f>
        <v>0</v>
      </c>
      <c r="K536" s="44">
        <f>Stock[[#This Row],[Compra Cultivate]]-Stock[[#This Row],[Salidas]]-Stock[[#This Row],[Usados]]</f>
        <v>1</v>
      </c>
      <c r="L536" s="24">
        <f>Stock[[#This Row],[Stock Deposito]]*Stock[[#This Row],[Precio de Venta]]</f>
        <v>0</v>
      </c>
      <c r="M536" s="6">
        <f>SUMIFS(Tabla9[Cantidad],Tabla9[Codigo],Stock[Codigo])</f>
        <v>1</v>
      </c>
      <c r="N536" s="24">
        <f>Stock[[#This Row],[Precio de Compra]]*Stock[[#This Row],[Stock Cultivate]]</f>
        <v>3125</v>
      </c>
      <c r="O536" s="24">
        <f>Stock[[#This Row],[Stock Cultivate]]*Stock[[#This Row],[Precio de Venta]]</f>
        <v>6300</v>
      </c>
      <c r="R536" s="16"/>
    </row>
    <row r="537" spans="2:18">
      <c r="B537" s="44">
        <v>389</v>
      </c>
      <c r="C537" t="s">
        <v>1139</v>
      </c>
      <c r="D537" s="45">
        <v>1898</v>
      </c>
      <c r="E537" s="24">
        <v>3800</v>
      </c>
      <c r="F537" s="44">
        <f>Stock[Entradas]-Stock[Compra Cultivate]</f>
        <v>0</v>
      </c>
      <c r="G537" s="11">
        <f>SUMIFS(Compras[Cantidad],Compras[Codigo],Stock[Codigo])</f>
        <v>4</v>
      </c>
      <c r="H537" s="11">
        <f>SUMIFS(Ventas[Cantidad],Ventas[Codigo],Stock[[#This Row],[Codigo]])</f>
        <v>0</v>
      </c>
      <c r="I537" s="12">
        <f>Stock[[#This Row],[Stock Deposito]]*Stock[[#This Row],[Precio de Compra]]</f>
        <v>0</v>
      </c>
      <c r="J537" s="6">
        <f>SUMIFS(ProdDesc[Cantidad],ProdDesc[Codigo],Stock[Codigo])</f>
        <v>0</v>
      </c>
      <c r="K537" s="44">
        <f>Stock[[#This Row],[Compra Cultivate]]-Stock[[#This Row],[Salidas]]-Stock[[#This Row],[Usados]]</f>
        <v>4</v>
      </c>
      <c r="L537" s="24">
        <f>Stock[[#This Row],[Stock Deposito]]*Stock[[#This Row],[Precio de Venta]]</f>
        <v>0</v>
      </c>
      <c r="M537" s="6">
        <f>SUMIFS(Tabla9[Cantidad],Tabla9[Codigo],Stock[Codigo])</f>
        <v>4</v>
      </c>
      <c r="N537" s="24">
        <f>Stock[[#This Row],[Precio de Compra]]*Stock[[#This Row],[Stock Cultivate]]</f>
        <v>7592</v>
      </c>
      <c r="O537" s="24">
        <f>Stock[[#This Row],[Stock Cultivate]]*Stock[[#This Row],[Precio de Venta]]</f>
        <v>15200</v>
      </c>
      <c r="R537" s="16"/>
    </row>
    <row r="538" spans="2:18">
      <c r="B538" s="44">
        <v>388</v>
      </c>
      <c r="C538" t="s">
        <v>363</v>
      </c>
      <c r="D538" s="45">
        <v>2127</v>
      </c>
      <c r="E538" s="24">
        <v>3500</v>
      </c>
      <c r="F538" s="44">
        <f>Stock[Entradas]-Stock[Compra Cultivate]</f>
        <v>0</v>
      </c>
      <c r="G538" s="11">
        <f>SUMIFS(Compras[Cantidad],Compras[Codigo],Stock[Codigo])</f>
        <v>0</v>
      </c>
      <c r="H538" s="11">
        <f>SUMIFS(Ventas[Cantidad],Ventas[Codigo],Stock[[#This Row],[Codigo]])</f>
        <v>0</v>
      </c>
      <c r="I538" s="12">
        <f>Stock[[#This Row],[Stock Deposito]]*Stock[[#This Row],[Precio de Compra]]</f>
        <v>0</v>
      </c>
      <c r="J538" s="6">
        <f>SUMIFS(ProdDesc[Cantidad],ProdDesc[Codigo],Stock[Codigo])</f>
        <v>0</v>
      </c>
      <c r="K538" s="44">
        <f>Stock[[#This Row],[Compra Cultivate]]-Stock[[#This Row],[Salidas]]-Stock[[#This Row],[Usados]]</f>
        <v>0</v>
      </c>
      <c r="L538" s="24">
        <f>Stock[[#This Row],[Stock Deposito]]*Stock[[#This Row],[Precio de Venta]]</f>
        <v>0</v>
      </c>
      <c r="M538" s="6">
        <f>SUMIFS(Tabla9[Cantidad],Tabla9[Codigo],Stock[Codigo])</f>
        <v>0</v>
      </c>
      <c r="N538" s="24">
        <f>Stock[[#This Row],[Precio de Compra]]*Stock[[#This Row],[Stock Cultivate]]</f>
        <v>0</v>
      </c>
      <c r="O538" s="24">
        <f>Stock[[#This Row],[Stock Cultivate]]*Stock[[#This Row],[Precio de Venta]]</f>
        <v>0</v>
      </c>
      <c r="R538" s="16"/>
    </row>
    <row r="539" spans="2:18">
      <c r="B539" s="44">
        <v>387</v>
      </c>
      <c r="C539" t="s">
        <v>1174</v>
      </c>
      <c r="D539" s="45">
        <v>225</v>
      </c>
      <c r="E539" s="24">
        <v>500</v>
      </c>
      <c r="F539" s="44">
        <f>Stock[Entradas]-Stock[Compra Cultivate]</f>
        <v>0</v>
      </c>
      <c r="G539" s="11">
        <f>SUMIFS(Compras[Cantidad],Compras[Codigo],Stock[Codigo])</f>
        <v>16</v>
      </c>
      <c r="H539" s="11">
        <f>SUMIFS(Ventas[Cantidad],Ventas[Codigo],Stock[[#This Row],[Codigo]])</f>
        <v>1</v>
      </c>
      <c r="I539" s="12">
        <f>Stock[[#This Row],[Stock Deposito]]*Stock[[#This Row],[Precio de Compra]]</f>
        <v>0</v>
      </c>
      <c r="J539" s="6">
        <f>SUMIFS(ProdDesc[Cantidad],ProdDesc[Codigo],Stock[Codigo])</f>
        <v>0</v>
      </c>
      <c r="K539" s="44">
        <f>Stock[[#This Row],[Compra Cultivate]]-Stock[[#This Row],[Salidas]]-Stock[[#This Row],[Usados]]</f>
        <v>15</v>
      </c>
      <c r="L539" s="24">
        <f>Stock[[#This Row],[Stock Deposito]]*Stock[[#This Row],[Precio de Venta]]</f>
        <v>0</v>
      </c>
      <c r="M539" s="6">
        <f>SUMIFS(Tabla9[Cantidad],Tabla9[Codigo],Stock[Codigo])</f>
        <v>16</v>
      </c>
      <c r="N539" s="24">
        <f>Stock[[#This Row],[Precio de Compra]]*Stock[[#This Row],[Stock Cultivate]]</f>
        <v>3375</v>
      </c>
      <c r="O539" s="24">
        <f>Stock[[#This Row],[Stock Cultivate]]*Stock[[#This Row],[Precio de Venta]]</f>
        <v>7500</v>
      </c>
      <c r="R539" s="16"/>
    </row>
    <row r="540" spans="2:18">
      <c r="B540" s="44">
        <v>385</v>
      </c>
      <c r="C540" t="s">
        <v>362</v>
      </c>
      <c r="D540" s="45">
        <v>6700</v>
      </c>
      <c r="E540" s="24">
        <v>12000</v>
      </c>
      <c r="F540" s="44">
        <f>Stock[Entradas]-Stock[Compra Cultivate]</f>
        <v>0</v>
      </c>
      <c r="G540" s="11">
        <f>SUMIFS(Compras[Cantidad],Compras[Codigo],Stock[Codigo])</f>
        <v>1</v>
      </c>
      <c r="H540" s="11">
        <f>SUMIFS(Ventas[Cantidad],Ventas[Codigo],Stock[[#This Row],[Codigo]])</f>
        <v>1</v>
      </c>
      <c r="I540" s="12">
        <f>Stock[[#This Row],[Stock Deposito]]*Stock[[#This Row],[Precio de Compra]]</f>
        <v>0</v>
      </c>
      <c r="J540" s="6">
        <f>SUMIFS(ProdDesc[Cantidad],ProdDesc[Codigo],Stock[Codigo])</f>
        <v>0</v>
      </c>
      <c r="K540" s="44">
        <f>Stock[[#This Row],[Compra Cultivate]]-Stock[[#This Row],[Salidas]]-Stock[[#This Row],[Usados]]</f>
        <v>0</v>
      </c>
      <c r="L540" s="24">
        <f>Stock[[#This Row],[Stock Deposito]]*Stock[[#This Row],[Precio de Venta]]</f>
        <v>0</v>
      </c>
      <c r="M540" s="6">
        <f>SUMIFS(Tabla9[Cantidad],Tabla9[Codigo],Stock[Codigo])</f>
        <v>1</v>
      </c>
      <c r="N540" s="24">
        <f>Stock[[#This Row],[Precio de Compra]]*Stock[[#This Row],[Stock Cultivate]]</f>
        <v>0</v>
      </c>
      <c r="O540" s="24">
        <f>Stock[[#This Row],[Stock Cultivate]]*Stock[[#This Row],[Precio de Venta]]</f>
        <v>0</v>
      </c>
      <c r="R540" s="16"/>
    </row>
    <row r="541" spans="2:18">
      <c r="B541" s="44">
        <v>384</v>
      </c>
      <c r="C541" t="s">
        <v>361</v>
      </c>
      <c r="D541" s="45">
        <v>2460</v>
      </c>
      <c r="E541" s="24">
        <v>4800</v>
      </c>
      <c r="F541" s="44">
        <f>Stock[Entradas]-Stock[Compra Cultivate]</f>
        <v>0</v>
      </c>
      <c r="G541" s="11">
        <f>SUMIFS(Compras[Cantidad],Compras[Codigo],Stock[Codigo])</f>
        <v>0</v>
      </c>
      <c r="H541" s="11">
        <f>SUMIFS(Ventas[Cantidad],Ventas[Codigo],Stock[[#This Row],[Codigo]])</f>
        <v>0</v>
      </c>
      <c r="I541" s="12">
        <f>Stock[[#This Row],[Stock Deposito]]*Stock[[#This Row],[Precio de Compra]]</f>
        <v>0</v>
      </c>
      <c r="J541" s="6">
        <f>SUMIFS(ProdDesc[Cantidad],ProdDesc[Codigo],Stock[Codigo])</f>
        <v>0</v>
      </c>
      <c r="K541" s="44">
        <f>Stock[[#This Row],[Compra Cultivate]]-Stock[[#This Row],[Salidas]]-Stock[[#This Row],[Usados]]</f>
        <v>0</v>
      </c>
      <c r="L541" s="24">
        <f>Stock[[#This Row],[Stock Deposito]]*Stock[[#This Row],[Precio de Venta]]</f>
        <v>0</v>
      </c>
      <c r="M541" s="6">
        <f>SUMIFS(Tabla9[Cantidad],Tabla9[Codigo],Stock[Codigo])</f>
        <v>0</v>
      </c>
      <c r="N541" s="24">
        <f>Stock[[#This Row],[Precio de Compra]]*Stock[[#This Row],[Stock Cultivate]]</f>
        <v>0</v>
      </c>
      <c r="O541" s="24">
        <f>Stock[[#This Row],[Stock Cultivate]]*Stock[[#This Row],[Precio de Venta]]</f>
        <v>0</v>
      </c>
      <c r="R541" s="16"/>
    </row>
    <row r="542" spans="2:18">
      <c r="B542" s="44">
        <v>383</v>
      </c>
      <c r="C542" t="s">
        <v>360</v>
      </c>
      <c r="D542" s="45">
        <v>2320</v>
      </c>
      <c r="E542" s="24">
        <v>4600</v>
      </c>
      <c r="F542" s="44">
        <f>Stock[Entradas]-Stock[Compra Cultivate]</f>
        <v>0</v>
      </c>
      <c r="G542" s="11">
        <f>SUMIFS(Compras[Cantidad],Compras[Codigo],Stock[Codigo])</f>
        <v>0</v>
      </c>
      <c r="H542" s="11">
        <f>SUMIFS(Ventas[Cantidad],Ventas[Codigo],Stock[[#This Row],[Codigo]])</f>
        <v>0</v>
      </c>
      <c r="I542" s="12">
        <f>Stock[[#This Row],[Stock Deposito]]*Stock[[#This Row],[Precio de Compra]]</f>
        <v>0</v>
      </c>
      <c r="J542" s="6">
        <f>SUMIFS(ProdDesc[Cantidad],ProdDesc[Codigo],Stock[Codigo])</f>
        <v>0</v>
      </c>
      <c r="K542" s="44">
        <f>Stock[[#This Row],[Compra Cultivate]]-Stock[[#This Row],[Salidas]]-Stock[[#This Row],[Usados]]</f>
        <v>0</v>
      </c>
      <c r="L542" s="24">
        <f>Stock[[#This Row],[Stock Deposito]]*Stock[[#This Row],[Precio de Venta]]</f>
        <v>0</v>
      </c>
      <c r="M542" s="6">
        <f>SUMIFS(Tabla9[Cantidad],Tabla9[Codigo],Stock[Codigo])</f>
        <v>0</v>
      </c>
      <c r="N542" s="24">
        <f>Stock[[#This Row],[Precio de Compra]]*Stock[[#This Row],[Stock Cultivate]]</f>
        <v>0</v>
      </c>
      <c r="O542" s="24">
        <f>Stock[[#This Row],[Stock Cultivate]]*Stock[[#This Row],[Precio de Venta]]</f>
        <v>0</v>
      </c>
      <c r="R542" s="16"/>
    </row>
    <row r="543" spans="2:18">
      <c r="B543" s="44">
        <v>382</v>
      </c>
      <c r="C543" t="s">
        <v>359</v>
      </c>
      <c r="D543" s="45">
        <v>2820</v>
      </c>
      <c r="E543" s="24">
        <v>5300</v>
      </c>
      <c r="F543" s="44">
        <f>Stock[Entradas]-Stock[Compra Cultivate]</f>
        <v>0</v>
      </c>
      <c r="G543" s="11">
        <f>SUMIFS(Compras[Cantidad],Compras[Codigo],Stock[Codigo])</f>
        <v>0</v>
      </c>
      <c r="H543" s="11">
        <f>SUMIFS(Ventas[Cantidad],Ventas[Codigo],Stock[[#This Row],[Codigo]])</f>
        <v>0</v>
      </c>
      <c r="I543" s="12">
        <f>Stock[[#This Row],[Stock Deposito]]*Stock[[#This Row],[Precio de Compra]]</f>
        <v>0</v>
      </c>
      <c r="J543" s="6">
        <f>SUMIFS(ProdDesc[Cantidad],ProdDesc[Codigo],Stock[Codigo])</f>
        <v>0</v>
      </c>
      <c r="K543" s="44">
        <f>Stock[[#This Row],[Compra Cultivate]]-Stock[[#This Row],[Salidas]]-Stock[[#This Row],[Usados]]</f>
        <v>0</v>
      </c>
      <c r="L543" s="24">
        <f>Stock[[#This Row],[Stock Deposito]]*Stock[[#This Row],[Precio de Venta]]</f>
        <v>0</v>
      </c>
      <c r="M543" s="6">
        <f>SUMIFS(Tabla9[Cantidad],Tabla9[Codigo],Stock[Codigo])</f>
        <v>0</v>
      </c>
      <c r="N543" s="24">
        <f>Stock[[#This Row],[Precio de Compra]]*Stock[[#This Row],[Stock Cultivate]]</f>
        <v>0</v>
      </c>
      <c r="O543" s="24">
        <f>Stock[[#This Row],[Stock Cultivate]]*Stock[[#This Row],[Precio de Venta]]</f>
        <v>0</v>
      </c>
      <c r="R543" s="16"/>
    </row>
    <row r="544" spans="2:18">
      <c r="B544" s="44">
        <v>381</v>
      </c>
      <c r="C544" t="s">
        <v>358</v>
      </c>
      <c r="D544" s="45">
        <v>3200</v>
      </c>
      <c r="E544" s="24">
        <v>4000</v>
      </c>
      <c r="F544" s="44">
        <f>Stock[Entradas]-Stock[Compra Cultivate]</f>
        <v>0</v>
      </c>
      <c r="G544" s="11">
        <f>SUMIFS(Compras[Cantidad],Compras[Codigo],Stock[Codigo])</f>
        <v>0</v>
      </c>
      <c r="H544" s="11">
        <f>SUMIFS(Ventas[Cantidad],Ventas[Codigo],Stock[[#This Row],[Codigo]])</f>
        <v>0</v>
      </c>
      <c r="I544" s="12">
        <f>Stock[[#This Row],[Stock Deposito]]*Stock[[#This Row],[Precio de Compra]]</f>
        <v>0</v>
      </c>
      <c r="J544" s="6">
        <f>SUMIFS(ProdDesc[Cantidad],ProdDesc[Codigo],Stock[Codigo])</f>
        <v>0</v>
      </c>
      <c r="K544" s="44">
        <f>Stock[[#This Row],[Compra Cultivate]]-Stock[[#This Row],[Salidas]]-Stock[[#This Row],[Usados]]</f>
        <v>0</v>
      </c>
      <c r="L544" s="24">
        <f>Stock[[#This Row],[Stock Deposito]]*Stock[[#This Row],[Precio de Venta]]</f>
        <v>0</v>
      </c>
      <c r="M544" s="6">
        <f>SUMIFS(Tabla9[Cantidad],Tabla9[Codigo],Stock[Codigo])</f>
        <v>0</v>
      </c>
      <c r="N544" s="24">
        <f>Stock[[#This Row],[Precio de Compra]]*Stock[[#This Row],[Stock Cultivate]]</f>
        <v>0</v>
      </c>
      <c r="O544" s="24">
        <f>Stock[[#This Row],[Stock Cultivate]]*Stock[[#This Row],[Precio de Venta]]</f>
        <v>0</v>
      </c>
      <c r="R544" s="16"/>
    </row>
    <row r="545" spans="2:18">
      <c r="B545" s="44">
        <v>380</v>
      </c>
      <c r="C545" t="s">
        <v>357</v>
      </c>
      <c r="D545" s="45">
        <v>222</v>
      </c>
      <c r="E545" s="24">
        <v>450</v>
      </c>
      <c r="F545" s="44">
        <f>Stock[Entradas]-Stock[Compra Cultivate]</f>
        <v>0</v>
      </c>
      <c r="G545" s="11">
        <f>SUMIFS(Compras[Cantidad],Compras[Codigo],Stock[Codigo])</f>
        <v>34</v>
      </c>
      <c r="H545" s="11">
        <f>SUMIFS(Ventas[Cantidad],Ventas[Codigo],Stock[[#This Row],[Codigo]])</f>
        <v>33</v>
      </c>
      <c r="I545" s="12">
        <f>Stock[[#This Row],[Stock Deposito]]*Stock[[#This Row],[Precio de Compra]]</f>
        <v>0</v>
      </c>
      <c r="J545" s="6">
        <f>SUMIFS(ProdDesc[Cantidad],ProdDesc[Codigo],Stock[Codigo])</f>
        <v>0</v>
      </c>
      <c r="K545" s="44">
        <f>Stock[[#This Row],[Compra Cultivate]]-Stock[[#This Row],[Salidas]]-Stock[[#This Row],[Usados]]</f>
        <v>1</v>
      </c>
      <c r="L545" s="24">
        <f>Stock[[#This Row],[Stock Deposito]]*Stock[[#This Row],[Precio de Venta]]</f>
        <v>0</v>
      </c>
      <c r="M545" s="6">
        <f>SUMIFS(Tabla9[Cantidad],Tabla9[Codigo],Stock[Codigo])</f>
        <v>34</v>
      </c>
      <c r="N545" s="24">
        <f>Stock[[#This Row],[Precio de Compra]]*Stock[[#This Row],[Stock Cultivate]]</f>
        <v>222</v>
      </c>
      <c r="O545" s="24">
        <f>Stock[[#This Row],[Stock Cultivate]]*Stock[[#This Row],[Precio de Venta]]</f>
        <v>450</v>
      </c>
      <c r="R545" s="16"/>
    </row>
    <row r="546" spans="2:18">
      <c r="B546" s="44">
        <v>379</v>
      </c>
      <c r="C546" t="s">
        <v>356</v>
      </c>
      <c r="D546" s="45">
        <v>37222</v>
      </c>
      <c r="E546" s="24">
        <v>56583</v>
      </c>
      <c r="F546" s="44">
        <f>Stock[Entradas]-Stock[Compra Cultivate]</f>
        <v>0</v>
      </c>
      <c r="G546" s="11">
        <f>SUMIFS(Compras[Cantidad],Compras[Codigo],Stock[Codigo])</f>
        <v>0</v>
      </c>
      <c r="H546" s="11">
        <f>SUMIFS(Ventas[Cantidad],Ventas[Codigo],Stock[[#This Row],[Codigo]])</f>
        <v>0</v>
      </c>
      <c r="I546" s="12">
        <f>Stock[[#This Row],[Stock Deposito]]*Stock[[#This Row],[Precio de Compra]]</f>
        <v>0</v>
      </c>
      <c r="J546" s="6">
        <f>SUMIFS(ProdDesc[Cantidad],ProdDesc[Codigo],Stock[Codigo])</f>
        <v>0</v>
      </c>
      <c r="K546" s="44">
        <f>Stock[[#This Row],[Compra Cultivate]]-Stock[[#This Row],[Salidas]]-Stock[[#This Row],[Usados]]</f>
        <v>0</v>
      </c>
      <c r="L546" s="24">
        <f>Stock[[#This Row],[Stock Deposito]]*Stock[[#This Row],[Precio de Venta]]</f>
        <v>0</v>
      </c>
      <c r="M546" s="6">
        <f>SUMIFS(Tabla9[Cantidad],Tabla9[Codigo],Stock[Codigo])</f>
        <v>0</v>
      </c>
      <c r="N546" s="24">
        <f>Stock[[#This Row],[Precio de Compra]]*Stock[[#This Row],[Stock Cultivate]]</f>
        <v>0</v>
      </c>
      <c r="O546" s="24">
        <f>Stock[[#This Row],[Stock Cultivate]]*Stock[[#This Row],[Precio de Venta]]</f>
        <v>0</v>
      </c>
      <c r="R546" s="16"/>
    </row>
    <row r="547" spans="2:18">
      <c r="B547" s="44">
        <v>378</v>
      </c>
      <c r="C547" t="s">
        <v>355</v>
      </c>
      <c r="D547" s="45">
        <v>515</v>
      </c>
      <c r="E547" s="24">
        <v>1000</v>
      </c>
      <c r="F547" s="44">
        <f>Stock[Entradas]-Stock[Compra Cultivate]</f>
        <v>0</v>
      </c>
      <c r="G547" s="11">
        <f>SUMIFS(Compras[Cantidad],Compras[Codigo],Stock[Codigo])</f>
        <v>0</v>
      </c>
      <c r="H547" s="11">
        <f>SUMIFS(Ventas[Cantidad],Ventas[Codigo],Stock[[#This Row],[Codigo]])</f>
        <v>0</v>
      </c>
      <c r="I547" s="12">
        <f>Stock[[#This Row],[Stock Deposito]]*Stock[[#This Row],[Precio de Compra]]</f>
        <v>0</v>
      </c>
      <c r="J547" s="6">
        <f>SUMIFS(ProdDesc[Cantidad],ProdDesc[Codigo],Stock[Codigo])</f>
        <v>0</v>
      </c>
      <c r="K547" s="44">
        <f>Stock[[#This Row],[Compra Cultivate]]-Stock[[#This Row],[Salidas]]-Stock[[#This Row],[Usados]]</f>
        <v>0</v>
      </c>
      <c r="L547" s="24">
        <f>Stock[[#This Row],[Stock Deposito]]*Stock[[#This Row],[Precio de Venta]]</f>
        <v>0</v>
      </c>
      <c r="M547" s="6">
        <f>SUMIFS(Tabla9[Cantidad],Tabla9[Codigo],Stock[Codigo])</f>
        <v>0</v>
      </c>
      <c r="N547" s="24">
        <f>Stock[[#This Row],[Precio de Compra]]*Stock[[#This Row],[Stock Cultivate]]</f>
        <v>0</v>
      </c>
      <c r="O547" s="24">
        <f>Stock[[#This Row],[Stock Cultivate]]*Stock[[#This Row],[Precio de Venta]]</f>
        <v>0</v>
      </c>
      <c r="R547" s="16"/>
    </row>
    <row r="548" spans="2:18">
      <c r="B548" s="44">
        <v>377</v>
      </c>
      <c r="C548" t="s">
        <v>354</v>
      </c>
      <c r="D548" s="45">
        <v>1020</v>
      </c>
      <c r="E548" s="24">
        <v>2000</v>
      </c>
      <c r="F548" s="44">
        <f>Stock[Entradas]-Stock[Compra Cultivate]</f>
        <v>0</v>
      </c>
      <c r="G548" s="11">
        <f>SUMIFS(Compras[Cantidad],Compras[Codigo],Stock[Codigo])</f>
        <v>2</v>
      </c>
      <c r="H548" s="11">
        <f>SUMIFS(Ventas[Cantidad],Ventas[Codigo],Stock[[#This Row],[Codigo]])</f>
        <v>2</v>
      </c>
      <c r="I548" s="12">
        <f>Stock[[#This Row],[Stock Deposito]]*Stock[[#This Row],[Precio de Compra]]</f>
        <v>0</v>
      </c>
      <c r="J548" s="6">
        <f>SUMIFS(ProdDesc[Cantidad],ProdDesc[Codigo],Stock[Codigo])</f>
        <v>0</v>
      </c>
      <c r="K548" s="44">
        <f>Stock[[#This Row],[Compra Cultivate]]-Stock[[#This Row],[Salidas]]-Stock[[#This Row],[Usados]]</f>
        <v>0</v>
      </c>
      <c r="L548" s="24">
        <f>Stock[[#This Row],[Stock Deposito]]*Stock[[#This Row],[Precio de Venta]]</f>
        <v>0</v>
      </c>
      <c r="M548" s="6">
        <f>SUMIFS(Tabla9[Cantidad],Tabla9[Codigo],Stock[Codigo])</f>
        <v>2</v>
      </c>
      <c r="N548" s="24">
        <f>Stock[[#This Row],[Precio de Compra]]*Stock[[#This Row],[Stock Cultivate]]</f>
        <v>0</v>
      </c>
      <c r="O548" s="24">
        <f>Stock[[#This Row],[Stock Cultivate]]*Stock[[#This Row],[Precio de Venta]]</f>
        <v>0</v>
      </c>
      <c r="R548" s="16"/>
    </row>
    <row r="549" spans="2:18">
      <c r="B549" s="44">
        <v>376</v>
      </c>
      <c r="C549" t="s">
        <v>353</v>
      </c>
      <c r="D549" s="45">
        <v>1946</v>
      </c>
      <c r="E549" s="24">
        <v>4000</v>
      </c>
      <c r="F549" s="44">
        <f>Stock[Entradas]-Stock[Compra Cultivate]</f>
        <v>0</v>
      </c>
      <c r="G549" s="11">
        <f>SUMIFS(Compras[Cantidad],Compras[Codigo],Stock[Codigo])</f>
        <v>1</v>
      </c>
      <c r="H549" s="11">
        <f>SUMIFS(Ventas[Cantidad],Ventas[Codigo],Stock[[#This Row],[Codigo]])</f>
        <v>0</v>
      </c>
      <c r="I549" s="12">
        <f>Stock[[#This Row],[Stock Deposito]]*Stock[[#This Row],[Precio de Compra]]</f>
        <v>0</v>
      </c>
      <c r="J549" s="6">
        <f>SUMIFS(ProdDesc[Cantidad],ProdDesc[Codigo],Stock[Codigo])</f>
        <v>0</v>
      </c>
      <c r="K549" s="44">
        <f>Stock[[#This Row],[Compra Cultivate]]-Stock[[#This Row],[Salidas]]-Stock[[#This Row],[Usados]]</f>
        <v>1</v>
      </c>
      <c r="L549" s="24">
        <f>Stock[[#This Row],[Stock Deposito]]*Stock[[#This Row],[Precio de Venta]]</f>
        <v>0</v>
      </c>
      <c r="M549" s="6">
        <f>SUMIFS(Tabla9[Cantidad],Tabla9[Codigo],Stock[Codigo])</f>
        <v>1</v>
      </c>
      <c r="N549" s="24">
        <f>Stock[[#This Row],[Precio de Compra]]*Stock[[#This Row],[Stock Cultivate]]</f>
        <v>1946</v>
      </c>
      <c r="O549" s="24">
        <f>Stock[[#This Row],[Stock Cultivate]]*Stock[[#This Row],[Precio de Venta]]</f>
        <v>4000</v>
      </c>
      <c r="R549" s="16"/>
    </row>
    <row r="550" spans="2:18">
      <c r="B550" s="44">
        <v>371</v>
      </c>
      <c r="C550" t="s">
        <v>352</v>
      </c>
      <c r="D550" s="45">
        <v>5211</v>
      </c>
      <c r="E550" s="24">
        <v>10000</v>
      </c>
      <c r="F550" s="44">
        <f>Stock[Entradas]-Stock[Compra Cultivate]</f>
        <v>0</v>
      </c>
      <c r="G550" s="11">
        <f>SUMIFS(Compras[Cantidad],Compras[Codigo],Stock[Codigo])</f>
        <v>1</v>
      </c>
      <c r="H550" s="11">
        <f>SUMIFS(Ventas[Cantidad],Ventas[Codigo],Stock[[#This Row],[Codigo]])</f>
        <v>1</v>
      </c>
      <c r="I550" s="12">
        <f>Stock[[#This Row],[Stock Deposito]]*Stock[[#This Row],[Precio de Compra]]</f>
        <v>0</v>
      </c>
      <c r="J550" s="6">
        <f>SUMIFS(ProdDesc[Cantidad],ProdDesc[Codigo],Stock[Codigo])</f>
        <v>0</v>
      </c>
      <c r="K550" s="44">
        <f>Stock[[#This Row],[Compra Cultivate]]-Stock[[#This Row],[Salidas]]-Stock[[#This Row],[Usados]]</f>
        <v>0</v>
      </c>
      <c r="L550" s="24">
        <f>Stock[[#This Row],[Stock Deposito]]*Stock[[#This Row],[Precio de Venta]]</f>
        <v>0</v>
      </c>
      <c r="M550" s="6">
        <f>SUMIFS(Tabla9[Cantidad],Tabla9[Codigo],Stock[Codigo])</f>
        <v>1</v>
      </c>
      <c r="N550" s="24">
        <f>Stock[[#This Row],[Precio de Compra]]*Stock[[#This Row],[Stock Cultivate]]</f>
        <v>0</v>
      </c>
      <c r="O550" s="24">
        <f>Stock[[#This Row],[Stock Cultivate]]*Stock[[#This Row],[Precio de Venta]]</f>
        <v>0</v>
      </c>
      <c r="R550" s="16"/>
    </row>
    <row r="551" spans="2:18">
      <c r="B551" s="44">
        <v>370</v>
      </c>
      <c r="C551" t="s">
        <v>449</v>
      </c>
      <c r="D551" s="45">
        <v>1085</v>
      </c>
      <c r="E551" s="24">
        <v>2000</v>
      </c>
      <c r="F551" s="44">
        <f>Stock[Entradas]-Stock[Compra Cultivate]</f>
        <v>0</v>
      </c>
      <c r="G551" s="11">
        <f>SUMIFS(Compras[Cantidad],Compras[Codigo],Stock[Codigo])</f>
        <v>0</v>
      </c>
      <c r="H551" s="11">
        <f>SUMIFS(Ventas[Cantidad],Ventas[Codigo],Stock[[#This Row],[Codigo]])</f>
        <v>0</v>
      </c>
      <c r="I551" s="12">
        <f>Stock[[#This Row],[Stock Deposito]]*Stock[[#This Row],[Precio de Compra]]</f>
        <v>0</v>
      </c>
      <c r="J551" s="6">
        <f>SUMIFS(ProdDesc[Cantidad],ProdDesc[Codigo],Stock[Codigo])</f>
        <v>0</v>
      </c>
      <c r="K551" s="44">
        <f>Stock[[#This Row],[Compra Cultivate]]-Stock[[#This Row],[Salidas]]-Stock[[#This Row],[Usados]]</f>
        <v>0</v>
      </c>
      <c r="L551" s="24">
        <f>Stock[[#This Row],[Stock Deposito]]*Stock[[#This Row],[Precio de Venta]]</f>
        <v>0</v>
      </c>
      <c r="M551" s="6">
        <f>SUMIFS(Tabla9[Cantidad],Tabla9[Codigo],Stock[Codigo])</f>
        <v>0</v>
      </c>
      <c r="N551" s="24">
        <f>Stock[[#This Row],[Precio de Compra]]*Stock[[#This Row],[Stock Cultivate]]</f>
        <v>0</v>
      </c>
      <c r="O551" s="24">
        <f>Stock[[#This Row],[Stock Cultivate]]*Stock[[#This Row],[Precio de Venta]]</f>
        <v>0</v>
      </c>
      <c r="R551" s="16"/>
    </row>
    <row r="552" spans="2:18">
      <c r="B552" s="44">
        <v>369</v>
      </c>
      <c r="C552" t="s">
        <v>351</v>
      </c>
      <c r="D552" s="45">
        <v>3562</v>
      </c>
      <c r="E552" s="24">
        <v>6500</v>
      </c>
      <c r="F552" s="44">
        <f>Stock[Entradas]-Stock[Compra Cultivate]</f>
        <v>0</v>
      </c>
      <c r="G552" s="11">
        <f>SUMIFS(Compras[Cantidad],Compras[Codigo],Stock[Codigo])</f>
        <v>1</v>
      </c>
      <c r="H552" s="11">
        <f>SUMIFS(Ventas[Cantidad],Ventas[Codigo],Stock[[#This Row],[Codigo]])</f>
        <v>1</v>
      </c>
      <c r="I552" s="12">
        <f>Stock[[#This Row],[Stock Deposito]]*Stock[[#This Row],[Precio de Compra]]</f>
        <v>0</v>
      </c>
      <c r="J552" s="6">
        <f>SUMIFS(ProdDesc[Cantidad],ProdDesc[Codigo],Stock[Codigo])</f>
        <v>0</v>
      </c>
      <c r="K552" s="44">
        <f>Stock[[#This Row],[Compra Cultivate]]-Stock[[#This Row],[Salidas]]-Stock[[#This Row],[Usados]]</f>
        <v>0</v>
      </c>
      <c r="L552" s="24">
        <f>Stock[[#This Row],[Stock Deposito]]*Stock[[#This Row],[Precio de Venta]]</f>
        <v>0</v>
      </c>
      <c r="M552" s="6">
        <f>SUMIFS(Tabla9[Cantidad],Tabla9[Codigo],Stock[Codigo])</f>
        <v>1</v>
      </c>
      <c r="N552" s="24">
        <f>Stock[[#This Row],[Precio de Compra]]*Stock[[#This Row],[Stock Cultivate]]</f>
        <v>0</v>
      </c>
      <c r="O552" s="24">
        <f>Stock[[#This Row],[Stock Cultivate]]*Stock[[#This Row],[Precio de Venta]]</f>
        <v>0</v>
      </c>
      <c r="R552" s="16"/>
    </row>
    <row r="553" spans="2:18">
      <c r="B553" s="44">
        <v>368</v>
      </c>
      <c r="C553" t="s">
        <v>350</v>
      </c>
      <c r="D553" s="45">
        <v>317</v>
      </c>
      <c r="E553" s="24">
        <v>600</v>
      </c>
      <c r="F553" s="44">
        <f>Stock[Entradas]-Stock[Compra Cultivate]</f>
        <v>0</v>
      </c>
      <c r="G553" s="11">
        <f>SUMIFS(Compras[Cantidad],Compras[Codigo],Stock[Codigo])</f>
        <v>0</v>
      </c>
      <c r="H553" s="11">
        <f>SUMIFS(Ventas[Cantidad],Ventas[Codigo],Stock[[#This Row],[Codigo]])</f>
        <v>0</v>
      </c>
      <c r="I553" s="12">
        <f>Stock[[#This Row],[Stock Deposito]]*Stock[[#This Row],[Precio de Compra]]</f>
        <v>0</v>
      </c>
      <c r="J553" s="6">
        <f>SUMIFS(ProdDesc[Cantidad],ProdDesc[Codigo],Stock[Codigo])</f>
        <v>0</v>
      </c>
      <c r="K553" s="44">
        <f>Stock[[#This Row],[Compra Cultivate]]-Stock[[#This Row],[Salidas]]-Stock[[#This Row],[Usados]]</f>
        <v>0</v>
      </c>
      <c r="L553" s="24">
        <f>Stock[[#This Row],[Stock Deposito]]*Stock[[#This Row],[Precio de Venta]]</f>
        <v>0</v>
      </c>
      <c r="M553" s="6">
        <f>SUMIFS(Tabla9[Cantidad],Tabla9[Codigo],Stock[Codigo])</f>
        <v>0</v>
      </c>
      <c r="N553" s="24">
        <f>Stock[[#This Row],[Precio de Compra]]*Stock[[#This Row],[Stock Cultivate]]</f>
        <v>0</v>
      </c>
      <c r="O553" s="24">
        <f>Stock[[#This Row],[Stock Cultivate]]*Stock[[#This Row],[Precio de Venta]]</f>
        <v>0</v>
      </c>
      <c r="R553" s="16"/>
    </row>
    <row r="554" spans="2:18">
      <c r="B554" s="44">
        <v>367</v>
      </c>
      <c r="C554" t="s">
        <v>349</v>
      </c>
      <c r="D554" s="45">
        <v>200</v>
      </c>
      <c r="E554" s="24">
        <v>400</v>
      </c>
      <c r="F554" s="44">
        <f>Stock[Entradas]-Stock[Compra Cultivate]</f>
        <v>0</v>
      </c>
      <c r="G554" s="11">
        <f>SUMIFS(Compras[Cantidad],Compras[Codigo],Stock[Codigo])</f>
        <v>0</v>
      </c>
      <c r="H554" s="11">
        <f>SUMIFS(Ventas[Cantidad],Ventas[Codigo],Stock[[#This Row],[Codigo]])</f>
        <v>0</v>
      </c>
      <c r="I554" s="12">
        <f>Stock[[#This Row],[Stock Deposito]]*Stock[[#This Row],[Precio de Compra]]</f>
        <v>0</v>
      </c>
      <c r="J554" s="6">
        <f>SUMIFS(ProdDesc[Cantidad],ProdDesc[Codigo],Stock[Codigo])</f>
        <v>0</v>
      </c>
      <c r="K554" s="44">
        <f>Stock[[#This Row],[Compra Cultivate]]-Stock[[#This Row],[Salidas]]-Stock[[#This Row],[Usados]]</f>
        <v>0</v>
      </c>
      <c r="L554" s="24">
        <f>Stock[[#This Row],[Stock Deposito]]*Stock[[#This Row],[Precio de Venta]]</f>
        <v>0</v>
      </c>
      <c r="M554" s="6">
        <f>SUMIFS(Tabla9[Cantidad],Tabla9[Codigo],Stock[Codigo])</f>
        <v>0</v>
      </c>
      <c r="N554" s="24">
        <f>Stock[[#This Row],[Precio de Compra]]*Stock[[#This Row],[Stock Cultivate]]</f>
        <v>0</v>
      </c>
      <c r="O554" s="24">
        <f>Stock[[#This Row],[Stock Cultivate]]*Stock[[#This Row],[Precio de Venta]]</f>
        <v>0</v>
      </c>
      <c r="R554" s="16"/>
    </row>
    <row r="555" spans="2:18">
      <c r="B555" s="44">
        <v>366</v>
      </c>
      <c r="C555" t="s">
        <v>950</v>
      </c>
      <c r="D555" s="45">
        <v>525</v>
      </c>
      <c r="E555" s="24">
        <v>900</v>
      </c>
      <c r="F555" s="44">
        <f>Stock[Entradas]-Stock[Compra Cultivate]</f>
        <v>1</v>
      </c>
      <c r="G555" s="11">
        <f>SUMIFS(Compras[Cantidad],Compras[Codigo],Stock[Codigo])</f>
        <v>6</v>
      </c>
      <c r="H555" s="11">
        <f>SUMIFS(Ventas[Cantidad],Ventas[Codigo],Stock[[#This Row],[Codigo]])</f>
        <v>0</v>
      </c>
      <c r="I555" s="12">
        <f>Stock[[#This Row],[Stock Deposito]]*Stock[[#This Row],[Precio de Compra]]</f>
        <v>525</v>
      </c>
      <c r="J555" s="6">
        <f>SUMIFS(ProdDesc[Cantidad],ProdDesc[Codigo],Stock[Codigo])</f>
        <v>1</v>
      </c>
      <c r="K555" s="44">
        <f>Stock[[#This Row],[Compra Cultivate]]-Stock[[#This Row],[Salidas]]-Stock[[#This Row],[Usados]]</f>
        <v>4</v>
      </c>
      <c r="L555" s="24">
        <f>Stock[[#This Row],[Stock Deposito]]*Stock[[#This Row],[Precio de Venta]]</f>
        <v>900</v>
      </c>
      <c r="M555" s="6">
        <f>SUMIFS(Tabla9[Cantidad],Tabla9[Codigo],Stock[Codigo])</f>
        <v>5</v>
      </c>
      <c r="N555" s="24">
        <f>Stock[[#This Row],[Precio de Compra]]*Stock[[#This Row],[Stock Cultivate]]</f>
        <v>2100</v>
      </c>
      <c r="O555" s="24">
        <f>Stock[[#This Row],[Stock Cultivate]]*Stock[[#This Row],[Precio de Venta]]</f>
        <v>3600</v>
      </c>
      <c r="R555" s="16"/>
    </row>
    <row r="556" spans="2:18">
      <c r="B556" s="44">
        <v>365</v>
      </c>
      <c r="C556" t="s">
        <v>348</v>
      </c>
      <c r="D556" s="45">
        <v>521</v>
      </c>
      <c r="E556" s="24">
        <v>1000</v>
      </c>
      <c r="F556" s="44">
        <f>Stock[Entradas]-Stock[Compra Cultivate]</f>
        <v>0</v>
      </c>
      <c r="G556" s="11">
        <f>SUMIFS(Compras[Cantidad],Compras[Codigo],Stock[Codigo])</f>
        <v>3</v>
      </c>
      <c r="H556" s="11">
        <f>SUMIFS(Ventas[Cantidad],Ventas[Codigo],Stock[[#This Row],[Codigo]])</f>
        <v>3</v>
      </c>
      <c r="I556" s="12">
        <f>Stock[[#This Row],[Stock Deposito]]*Stock[[#This Row],[Precio de Compra]]</f>
        <v>0</v>
      </c>
      <c r="J556" s="6">
        <f>SUMIFS(ProdDesc[Cantidad],ProdDesc[Codigo],Stock[Codigo])</f>
        <v>0</v>
      </c>
      <c r="K556" s="44">
        <f>Stock[[#This Row],[Compra Cultivate]]-Stock[[#This Row],[Salidas]]-Stock[[#This Row],[Usados]]</f>
        <v>0</v>
      </c>
      <c r="L556" s="24">
        <f>Stock[[#This Row],[Stock Deposito]]*Stock[[#This Row],[Precio de Venta]]</f>
        <v>0</v>
      </c>
      <c r="M556" s="6">
        <f>SUMIFS(Tabla9[Cantidad],Tabla9[Codigo],Stock[Codigo])</f>
        <v>3</v>
      </c>
      <c r="N556" s="24">
        <f>Stock[[#This Row],[Precio de Compra]]*Stock[[#This Row],[Stock Cultivate]]</f>
        <v>0</v>
      </c>
      <c r="O556" s="24">
        <f>Stock[[#This Row],[Stock Cultivate]]*Stock[[#This Row],[Precio de Venta]]</f>
        <v>0</v>
      </c>
      <c r="R556" s="16"/>
    </row>
    <row r="557" spans="2:18">
      <c r="B557" s="44">
        <v>364</v>
      </c>
      <c r="C557" t="s">
        <v>347</v>
      </c>
      <c r="D557" s="45">
        <v>1350</v>
      </c>
      <c r="E557" s="24">
        <v>2700</v>
      </c>
      <c r="F557" s="44">
        <f>Stock[Entradas]-Stock[Compra Cultivate]</f>
        <v>0</v>
      </c>
      <c r="G557" s="11">
        <f>SUMIFS(Compras[Cantidad],Compras[Codigo],Stock[Codigo])</f>
        <v>3</v>
      </c>
      <c r="H557" s="11">
        <f>SUMIFS(Ventas[Cantidad],Ventas[Codigo],Stock[[#This Row],[Codigo]])</f>
        <v>2</v>
      </c>
      <c r="I557" s="12">
        <f>Stock[[#This Row],[Stock Deposito]]*Stock[[#This Row],[Precio de Compra]]</f>
        <v>0</v>
      </c>
      <c r="J557" s="6">
        <f>SUMIFS(ProdDesc[Cantidad],ProdDesc[Codigo],Stock[Codigo])</f>
        <v>0</v>
      </c>
      <c r="K557" s="44">
        <f>Stock[[#This Row],[Compra Cultivate]]-Stock[[#This Row],[Salidas]]-Stock[[#This Row],[Usados]]</f>
        <v>1</v>
      </c>
      <c r="L557" s="24">
        <f>Stock[[#This Row],[Stock Deposito]]*Stock[[#This Row],[Precio de Venta]]</f>
        <v>0</v>
      </c>
      <c r="M557" s="6">
        <f>SUMIFS(Tabla9[Cantidad],Tabla9[Codigo],Stock[Codigo])</f>
        <v>3</v>
      </c>
      <c r="N557" s="24">
        <f>Stock[[#This Row],[Precio de Compra]]*Stock[[#This Row],[Stock Cultivate]]</f>
        <v>1350</v>
      </c>
      <c r="O557" s="24">
        <f>Stock[[#This Row],[Stock Cultivate]]*Stock[[#This Row],[Precio de Venta]]</f>
        <v>2700</v>
      </c>
      <c r="R557" s="16"/>
    </row>
    <row r="558" spans="2:18">
      <c r="B558" s="44">
        <v>363</v>
      </c>
      <c r="C558" t="s">
        <v>346</v>
      </c>
      <c r="D558" s="45">
        <v>621</v>
      </c>
      <c r="E558" s="24">
        <v>1200</v>
      </c>
      <c r="F558" s="44">
        <f>Stock[Entradas]-Stock[Compra Cultivate]</f>
        <v>0</v>
      </c>
      <c r="G558" s="11">
        <f>SUMIFS(Compras[Cantidad],Compras[Codigo],Stock[Codigo])</f>
        <v>1</v>
      </c>
      <c r="H558" s="11">
        <f>SUMIFS(Ventas[Cantidad],Ventas[Codigo],Stock[[#This Row],[Codigo]])</f>
        <v>0</v>
      </c>
      <c r="I558" s="12">
        <f>Stock[[#This Row],[Stock Deposito]]*Stock[[#This Row],[Precio de Compra]]</f>
        <v>0</v>
      </c>
      <c r="J558" s="6">
        <f>SUMIFS(ProdDesc[Cantidad],ProdDesc[Codigo],Stock[Codigo])</f>
        <v>0</v>
      </c>
      <c r="K558" s="44">
        <f>Stock[[#This Row],[Compra Cultivate]]-Stock[[#This Row],[Salidas]]-Stock[[#This Row],[Usados]]</f>
        <v>1</v>
      </c>
      <c r="L558" s="24">
        <f>Stock[[#This Row],[Stock Deposito]]*Stock[[#This Row],[Precio de Venta]]</f>
        <v>0</v>
      </c>
      <c r="M558" s="6">
        <f>SUMIFS(Tabla9[Cantidad],Tabla9[Codigo],Stock[Codigo])</f>
        <v>1</v>
      </c>
      <c r="N558" s="24">
        <f>Stock[[#This Row],[Precio de Compra]]*Stock[[#This Row],[Stock Cultivate]]</f>
        <v>621</v>
      </c>
      <c r="O558" s="24">
        <f>Stock[[#This Row],[Stock Cultivate]]*Stock[[#This Row],[Precio de Venta]]</f>
        <v>1200</v>
      </c>
      <c r="R558" s="16"/>
    </row>
    <row r="559" spans="2:18">
      <c r="B559" s="44">
        <v>362</v>
      </c>
      <c r="C559" t="s">
        <v>345</v>
      </c>
      <c r="D559" s="45">
        <v>5365</v>
      </c>
      <c r="E559" s="24">
        <v>10000</v>
      </c>
      <c r="F559" s="44">
        <f>Stock[Entradas]-Stock[Compra Cultivate]</f>
        <v>0</v>
      </c>
      <c r="G559" s="11">
        <f>SUMIFS(Compras[Cantidad],Compras[Codigo],Stock[Codigo])</f>
        <v>1</v>
      </c>
      <c r="H559" s="11">
        <f>SUMIFS(Ventas[Cantidad],Ventas[Codigo],Stock[[#This Row],[Codigo]])</f>
        <v>1</v>
      </c>
      <c r="I559" s="12">
        <f>Stock[[#This Row],[Stock Deposito]]*Stock[[#This Row],[Precio de Compra]]</f>
        <v>0</v>
      </c>
      <c r="J559" s="6">
        <f>SUMIFS(ProdDesc[Cantidad],ProdDesc[Codigo],Stock[Codigo])</f>
        <v>0</v>
      </c>
      <c r="K559" s="44">
        <f>Stock[[#This Row],[Compra Cultivate]]-Stock[[#This Row],[Salidas]]-Stock[[#This Row],[Usados]]</f>
        <v>0</v>
      </c>
      <c r="L559" s="24">
        <f>Stock[[#This Row],[Stock Deposito]]*Stock[[#This Row],[Precio de Venta]]</f>
        <v>0</v>
      </c>
      <c r="M559" s="6">
        <f>SUMIFS(Tabla9[Cantidad],Tabla9[Codigo],Stock[Codigo])</f>
        <v>1</v>
      </c>
      <c r="N559" s="24">
        <f>Stock[[#This Row],[Precio de Compra]]*Stock[[#This Row],[Stock Cultivate]]</f>
        <v>0</v>
      </c>
      <c r="O559" s="24">
        <f>Stock[[#This Row],[Stock Cultivate]]*Stock[[#This Row],[Precio de Venta]]</f>
        <v>0</v>
      </c>
      <c r="R559" s="16"/>
    </row>
    <row r="560" spans="2:18">
      <c r="B560" s="44">
        <v>361</v>
      </c>
      <c r="C560" t="s">
        <v>611</v>
      </c>
      <c r="D560" s="45">
        <v>175</v>
      </c>
      <c r="E560" s="24">
        <v>350</v>
      </c>
      <c r="F560" s="44">
        <f>Stock[Entradas]-Stock[Compra Cultivate]</f>
        <v>0</v>
      </c>
      <c r="G560" s="11">
        <f>SUMIFS(Compras[Cantidad],Compras[Codigo],Stock[Codigo])</f>
        <v>6</v>
      </c>
      <c r="H560" s="11">
        <f>SUMIFS(Ventas[Cantidad],Ventas[Codigo],Stock[[#This Row],[Codigo]])</f>
        <v>4</v>
      </c>
      <c r="I560" s="12">
        <f>Stock[[#This Row],[Stock Deposito]]*Stock[[#This Row],[Precio de Compra]]</f>
        <v>0</v>
      </c>
      <c r="J560" s="6">
        <f>SUMIFS(ProdDesc[Cantidad],ProdDesc[Codigo],Stock[Codigo])</f>
        <v>1</v>
      </c>
      <c r="K560" s="44">
        <f>Stock[[#This Row],[Compra Cultivate]]-Stock[[#This Row],[Salidas]]-Stock[[#This Row],[Usados]]</f>
        <v>1</v>
      </c>
      <c r="L560" s="24">
        <f>Stock[[#This Row],[Stock Deposito]]*Stock[[#This Row],[Precio de Venta]]</f>
        <v>0</v>
      </c>
      <c r="M560" s="6">
        <f>SUMIFS(Tabla9[Cantidad],Tabla9[Codigo],Stock[Codigo])</f>
        <v>6</v>
      </c>
      <c r="N560" s="24">
        <f>Stock[[#This Row],[Precio de Compra]]*Stock[[#This Row],[Stock Cultivate]]</f>
        <v>175</v>
      </c>
      <c r="O560" s="24">
        <f>Stock[[#This Row],[Stock Cultivate]]*Stock[[#This Row],[Precio de Venta]]</f>
        <v>350</v>
      </c>
      <c r="R560" s="16"/>
    </row>
    <row r="561" spans="2:18">
      <c r="B561" s="44">
        <v>360</v>
      </c>
      <c r="C561" t="s">
        <v>1175</v>
      </c>
      <c r="D561" s="45">
        <v>225</v>
      </c>
      <c r="E561" s="24">
        <v>500</v>
      </c>
      <c r="F561" s="44">
        <f>Stock[Entradas]-Stock[Compra Cultivate]</f>
        <v>0</v>
      </c>
      <c r="G561" s="11">
        <f>SUMIFS(Compras[Cantidad],Compras[Codigo],Stock[Codigo])</f>
        <v>2</v>
      </c>
      <c r="H561" s="11">
        <f>SUMIFS(Ventas[Cantidad],Ventas[Codigo],Stock[[#This Row],[Codigo]])</f>
        <v>0</v>
      </c>
      <c r="I561" s="12">
        <f>Stock[[#This Row],[Stock Deposito]]*Stock[[#This Row],[Precio de Compra]]</f>
        <v>0</v>
      </c>
      <c r="J561" s="6">
        <f>SUMIFS(ProdDesc[Cantidad],ProdDesc[Codigo],Stock[Codigo])</f>
        <v>0</v>
      </c>
      <c r="K561" s="44">
        <f>Stock[[#This Row],[Compra Cultivate]]-Stock[[#This Row],[Salidas]]-Stock[[#This Row],[Usados]]</f>
        <v>2</v>
      </c>
      <c r="L561" s="24">
        <f>Stock[[#This Row],[Stock Deposito]]*Stock[[#This Row],[Precio de Venta]]</f>
        <v>0</v>
      </c>
      <c r="M561" s="6">
        <f>SUMIFS(Tabla9[Cantidad],Tabla9[Codigo],Stock[Codigo])</f>
        <v>2</v>
      </c>
      <c r="N561" s="24">
        <f>Stock[[#This Row],[Precio de Compra]]*Stock[[#This Row],[Stock Cultivate]]</f>
        <v>450</v>
      </c>
      <c r="O561" s="24">
        <f>Stock[[#This Row],[Stock Cultivate]]*Stock[[#This Row],[Precio de Venta]]</f>
        <v>1000</v>
      </c>
      <c r="R561" s="16"/>
    </row>
    <row r="562" spans="2:18">
      <c r="B562" s="44">
        <v>359</v>
      </c>
      <c r="C562" t="s">
        <v>1148</v>
      </c>
      <c r="D562" s="45">
        <v>422</v>
      </c>
      <c r="E562" s="24">
        <v>850</v>
      </c>
      <c r="F562" s="44">
        <f>Stock[Entradas]-Stock[Compra Cultivate]</f>
        <v>50</v>
      </c>
      <c r="G562" s="11">
        <f>SUMIFS(Compras[Cantidad],Compras[Codigo],Stock[Codigo])</f>
        <v>68</v>
      </c>
      <c r="H562" s="11">
        <f>SUMIFS(Ventas[Cantidad],Ventas[Codigo],Stock[[#This Row],[Codigo]])</f>
        <v>7</v>
      </c>
      <c r="I562" s="12">
        <f>Stock[[#This Row],[Stock Deposito]]*Stock[[#This Row],[Precio de Compra]]</f>
        <v>21100</v>
      </c>
      <c r="J562" s="6">
        <f>SUMIFS(ProdDesc[Cantidad],ProdDesc[Codigo],Stock[Codigo])</f>
        <v>0</v>
      </c>
      <c r="K562" s="44">
        <f>Stock[[#This Row],[Compra Cultivate]]-Stock[[#This Row],[Salidas]]-Stock[[#This Row],[Usados]]</f>
        <v>11</v>
      </c>
      <c r="L562" s="24">
        <f>Stock[[#This Row],[Stock Deposito]]*Stock[[#This Row],[Precio de Venta]]</f>
        <v>42500</v>
      </c>
      <c r="M562" s="6">
        <f>SUMIFS(Tabla9[Cantidad],Tabla9[Codigo],Stock[Codigo])</f>
        <v>18</v>
      </c>
      <c r="N562" s="24">
        <f>Stock[[#This Row],[Precio de Compra]]*Stock[[#This Row],[Stock Cultivate]]</f>
        <v>4642</v>
      </c>
      <c r="O562" s="24">
        <f>Stock[[#This Row],[Stock Cultivate]]*Stock[[#This Row],[Precio de Venta]]</f>
        <v>9350</v>
      </c>
      <c r="R562" s="16"/>
    </row>
    <row r="563" spans="2:18">
      <c r="B563" s="44">
        <v>358</v>
      </c>
      <c r="C563" t="s">
        <v>742</v>
      </c>
      <c r="D563" s="45">
        <v>425</v>
      </c>
      <c r="E563" s="24">
        <v>1000</v>
      </c>
      <c r="F563" s="44">
        <f>Stock[Entradas]-Stock[Compra Cultivate]</f>
        <v>0</v>
      </c>
      <c r="G563" s="11">
        <f>SUMIFS(Compras[Cantidad],Compras[Codigo],Stock[Codigo])</f>
        <v>7</v>
      </c>
      <c r="H563" s="11">
        <f>SUMIFS(Ventas[Cantidad],Ventas[Codigo],Stock[[#This Row],[Codigo]])</f>
        <v>5</v>
      </c>
      <c r="I563" s="12">
        <f>Stock[[#This Row],[Stock Deposito]]*Stock[[#This Row],[Precio de Compra]]</f>
        <v>0</v>
      </c>
      <c r="J563" s="6">
        <f>SUMIFS(ProdDesc[Cantidad],ProdDesc[Codigo],Stock[Codigo])</f>
        <v>0</v>
      </c>
      <c r="K563" s="44">
        <f>Stock[[#This Row],[Compra Cultivate]]-Stock[[#This Row],[Salidas]]-Stock[[#This Row],[Usados]]</f>
        <v>2</v>
      </c>
      <c r="L563" s="24">
        <f>Stock[[#This Row],[Stock Deposito]]*Stock[[#This Row],[Precio de Venta]]</f>
        <v>0</v>
      </c>
      <c r="M563" s="6">
        <f>SUMIFS(Tabla9[Cantidad],Tabla9[Codigo],Stock[Codigo])</f>
        <v>7</v>
      </c>
      <c r="N563" s="24">
        <f>Stock[[#This Row],[Precio de Compra]]*Stock[[#This Row],[Stock Cultivate]]</f>
        <v>850</v>
      </c>
      <c r="O563" s="24">
        <f>Stock[[#This Row],[Stock Cultivate]]*Stock[[#This Row],[Precio de Venta]]</f>
        <v>2000</v>
      </c>
      <c r="R563" s="16"/>
    </row>
    <row r="564" spans="2:18">
      <c r="B564" s="44">
        <v>357</v>
      </c>
      <c r="C564" t="s">
        <v>448</v>
      </c>
      <c r="D564" s="45">
        <v>630</v>
      </c>
      <c r="E564" s="24">
        <v>1000</v>
      </c>
      <c r="F564" s="44">
        <f>Stock[Entradas]-Stock[Compra Cultivate]</f>
        <v>0</v>
      </c>
      <c r="G564" s="11">
        <f>SUMIFS(Compras[Cantidad],Compras[Codigo],Stock[Codigo])</f>
        <v>0</v>
      </c>
      <c r="H564" s="11">
        <f>SUMIFS(Ventas[Cantidad],Ventas[Codigo],Stock[[#This Row],[Codigo]])</f>
        <v>0</v>
      </c>
      <c r="I564" s="12">
        <f>Stock[[#This Row],[Stock Deposito]]*Stock[[#This Row],[Precio de Compra]]</f>
        <v>0</v>
      </c>
      <c r="J564" s="6">
        <f>SUMIFS(ProdDesc[Cantidad],ProdDesc[Codigo],Stock[Codigo])</f>
        <v>0</v>
      </c>
      <c r="K564" s="44">
        <f>Stock[[#This Row],[Compra Cultivate]]-Stock[[#This Row],[Salidas]]-Stock[[#This Row],[Usados]]</f>
        <v>0</v>
      </c>
      <c r="L564" s="24">
        <f>Stock[[#This Row],[Stock Deposito]]*Stock[[#This Row],[Precio de Venta]]</f>
        <v>0</v>
      </c>
      <c r="M564" s="6">
        <f>SUMIFS(Tabla9[Cantidad],Tabla9[Codigo],Stock[Codigo])</f>
        <v>0</v>
      </c>
      <c r="N564" s="24">
        <f>Stock[[#This Row],[Precio de Compra]]*Stock[[#This Row],[Stock Cultivate]]</f>
        <v>0</v>
      </c>
      <c r="O564" s="24">
        <f>Stock[[#This Row],[Stock Cultivate]]*Stock[[#This Row],[Precio de Venta]]</f>
        <v>0</v>
      </c>
      <c r="R564" s="16"/>
    </row>
    <row r="565" spans="2:18">
      <c r="B565" s="44">
        <v>356</v>
      </c>
      <c r="C565" t="s">
        <v>344</v>
      </c>
      <c r="D565" s="45">
        <v>50</v>
      </c>
      <c r="E565" s="24">
        <v>100</v>
      </c>
      <c r="F565" s="44">
        <f>Stock[Entradas]-Stock[Compra Cultivate]</f>
        <v>0</v>
      </c>
      <c r="G565" s="11">
        <f>SUMIFS(Compras[Cantidad],Compras[Codigo],Stock[Codigo])</f>
        <v>25</v>
      </c>
      <c r="H565" s="11">
        <f>SUMIFS(Ventas[Cantidad],Ventas[Codigo],Stock[[#This Row],[Codigo]])</f>
        <v>11</v>
      </c>
      <c r="I565" s="12">
        <f>Stock[[#This Row],[Stock Deposito]]*Stock[[#This Row],[Precio de Compra]]</f>
        <v>0</v>
      </c>
      <c r="J565" s="6">
        <f>SUMIFS(ProdDesc[Cantidad],ProdDesc[Codigo],Stock[Codigo])</f>
        <v>0</v>
      </c>
      <c r="K565" s="44">
        <f>Stock[[#This Row],[Compra Cultivate]]-Stock[[#This Row],[Salidas]]-Stock[[#This Row],[Usados]]</f>
        <v>14</v>
      </c>
      <c r="L565" s="24">
        <f>Stock[[#This Row],[Stock Deposito]]*Stock[[#This Row],[Precio de Venta]]</f>
        <v>0</v>
      </c>
      <c r="M565" s="6">
        <f>SUMIFS(Tabla9[Cantidad],Tabla9[Codigo],Stock[Codigo])</f>
        <v>25</v>
      </c>
      <c r="N565" s="24">
        <f>Stock[[#This Row],[Precio de Compra]]*Stock[[#This Row],[Stock Cultivate]]</f>
        <v>700</v>
      </c>
      <c r="O565" s="24">
        <f>Stock[[#This Row],[Stock Cultivate]]*Stock[[#This Row],[Precio de Venta]]</f>
        <v>1400</v>
      </c>
      <c r="R565" s="16"/>
    </row>
    <row r="566" spans="2:18">
      <c r="B566" s="44">
        <v>355</v>
      </c>
      <c r="C566" t="s">
        <v>343</v>
      </c>
      <c r="D566" s="45">
        <v>115</v>
      </c>
      <c r="E566" s="24">
        <v>250</v>
      </c>
      <c r="F566" s="44">
        <f>Stock[Entradas]-Stock[Compra Cultivate]</f>
        <v>0</v>
      </c>
      <c r="G566" s="11">
        <f>SUMIFS(Compras[Cantidad],Compras[Codigo],Stock[Codigo])</f>
        <v>22</v>
      </c>
      <c r="H566" s="11">
        <f>SUMIFS(Ventas[Cantidad],Ventas[Codigo],Stock[[#This Row],[Codigo]])</f>
        <v>3</v>
      </c>
      <c r="I566" s="12">
        <f>Stock[[#This Row],[Stock Deposito]]*Stock[[#This Row],[Precio de Compra]]</f>
        <v>0</v>
      </c>
      <c r="J566" s="6">
        <f>SUMIFS(ProdDesc[Cantidad],ProdDesc[Codigo],Stock[Codigo])</f>
        <v>1</v>
      </c>
      <c r="K566" s="44">
        <f>Stock[[#This Row],[Compra Cultivate]]-Stock[[#This Row],[Salidas]]-Stock[[#This Row],[Usados]]</f>
        <v>18</v>
      </c>
      <c r="L566" s="24">
        <f>Stock[[#This Row],[Stock Deposito]]*Stock[[#This Row],[Precio de Venta]]</f>
        <v>0</v>
      </c>
      <c r="M566" s="6">
        <f>SUMIFS(Tabla9[Cantidad],Tabla9[Codigo],Stock[Codigo])</f>
        <v>22</v>
      </c>
      <c r="N566" s="24">
        <f>Stock[[#This Row],[Precio de Compra]]*Stock[[#This Row],[Stock Cultivate]]</f>
        <v>2070</v>
      </c>
      <c r="O566" s="24">
        <f>Stock[[#This Row],[Stock Cultivate]]*Stock[[#This Row],[Precio de Venta]]</f>
        <v>4500</v>
      </c>
      <c r="R566" s="16"/>
    </row>
    <row r="567" spans="2:18">
      <c r="B567" s="44">
        <v>354</v>
      </c>
      <c r="C567" t="s">
        <v>342</v>
      </c>
      <c r="D567" s="45">
        <v>165</v>
      </c>
      <c r="E567" s="24">
        <v>300</v>
      </c>
      <c r="F567" s="44">
        <f>Stock[Entradas]-Stock[Compra Cultivate]</f>
        <v>0</v>
      </c>
      <c r="G567" s="11">
        <f>SUMIFS(Compras[Cantidad],Compras[Codigo],Stock[Codigo])</f>
        <v>18</v>
      </c>
      <c r="H567" s="11">
        <f>SUMIFS(Ventas[Cantidad],Ventas[Codigo],Stock[[#This Row],[Codigo]])</f>
        <v>16</v>
      </c>
      <c r="I567" s="12">
        <f>Stock[[#This Row],[Stock Deposito]]*Stock[[#This Row],[Precio de Compra]]</f>
        <v>0</v>
      </c>
      <c r="J567" s="6">
        <f>SUMIFS(ProdDesc[Cantidad],ProdDesc[Codigo],Stock[Codigo])</f>
        <v>2</v>
      </c>
      <c r="K567" s="44">
        <f>Stock[[#This Row],[Compra Cultivate]]-Stock[[#This Row],[Salidas]]-Stock[[#This Row],[Usados]]</f>
        <v>0</v>
      </c>
      <c r="L567" s="24">
        <f>Stock[[#This Row],[Stock Deposito]]*Stock[[#This Row],[Precio de Venta]]</f>
        <v>0</v>
      </c>
      <c r="M567" s="6">
        <f>SUMIFS(Tabla9[Cantidad],Tabla9[Codigo],Stock[Codigo])</f>
        <v>18</v>
      </c>
      <c r="N567" s="24">
        <f>Stock[[#This Row],[Precio de Compra]]*Stock[[#This Row],[Stock Cultivate]]</f>
        <v>0</v>
      </c>
      <c r="O567" s="24">
        <f>Stock[[#This Row],[Stock Cultivate]]*Stock[[#This Row],[Precio de Venta]]</f>
        <v>0</v>
      </c>
      <c r="R567" s="16"/>
    </row>
    <row r="568" spans="2:18">
      <c r="B568" s="44">
        <v>353</v>
      </c>
      <c r="C568" t="s">
        <v>337</v>
      </c>
      <c r="D568" s="45">
        <v>30960</v>
      </c>
      <c r="E568" s="24">
        <v>37000</v>
      </c>
      <c r="F568" s="44">
        <f>Stock[Entradas]-Stock[Compra Cultivate]</f>
        <v>0</v>
      </c>
      <c r="G568" s="11">
        <f>SUMIFS(Compras[Cantidad],Compras[Codigo],Stock[Codigo])</f>
        <v>1</v>
      </c>
      <c r="H568" s="11">
        <f>SUMIFS(Ventas[Cantidad],Ventas[Codigo],Stock[[#This Row],[Codigo]])</f>
        <v>1</v>
      </c>
      <c r="I568" s="12">
        <f>Stock[[#This Row],[Stock Deposito]]*Stock[[#This Row],[Precio de Compra]]</f>
        <v>0</v>
      </c>
      <c r="J568" s="6">
        <f>SUMIFS(ProdDesc[Cantidad],ProdDesc[Codigo],Stock[Codigo])</f>
        <v>0</v>
      </c>
      <c r="K568" s="44">
        <f>Stock[[#This Row],[Compra Cultivate]]-Stock[[#This Row],[Salidas]]-Stock[[#This Row],[Usados]]</f>
        <v>0</v>
      </c>
      <c r="L568" s="24">
        <f>Stock[[#This Row],[Stock Deposito]]*Stock[[#This Row],[Precio de Venta]]</f>
        <v>0</v>
      </c>
      <c r="M568" s="6">
        <f>SUMIFS(Tabla9[Cantidad],Tabla9[Codigo],Stock[Codigo])</f>
        <v>1</v>
      </c>
      <c r="N568" s="24">
        <f>Stock[[#This Row],[Precio de Compra]]*Stock[[#This Row],[Stock Cultivate]]</f>
        <v>0</v>
      </c>
      <c r="O568" s="24">
        <f>Stock[[#This Row],[Stock Cultivate]]*Stock[[#This Row],[Precio de Venta]]</f>
        <v>0</v>
      </c>
      <c r="R568" s="16"/>
    </row>
    <row r="569" spans="2:18">
      <c r="B569" s="44">
        <v>352</v>
      </c>
      <c r="C569" t="s">
        <v>336</v>
      </c>
      <c r="D569" s="45">
        <v>6167</v>
      </c>
      <c r="E569" s="24">
        <v>10000</v>
      </c>
      <c r="F569" s="44">
        <f>Stock[Entradas]-Stock[Compra Cultivate]</f>
        <v>0</v>
      </c>
      <c r="G569" s="11">
        <f>SUMIFS(Compras[Cantidad],Compras[Codigo],Stock[Codigo])</f>
        <v>0</v>
      </c>
      <c r="H569" s="11">
        <f>SUMIFS(Ventas[Cantidad],Ventas[Codigo],Stock[[#This Row],[Codigo]])</f>
        <v>0</v>
      </c>
      <c r="I569" s="12">
        <f>Stock[[#This Row],[Stock Deposito]]*Stock[[#This Row],[Precio de Compra]]</f>
        <v>0</v>
      </c>
      <c r="J569" s="6">
        <f>SUMIFS(ProdDesc[Cantidad],ProdDesc[Codigo],Stock[Codigo])</f>
        <v>0</v>
      </c>
      <c r="K569" s="44">
        <f>Stock[[#This Row],[Compra Cultivate]]-Stock[[#This Row],[Salidas]]-Stock[[#This Row],[Usados]]</f>
        <v>0</v>
      </c>
      <c r="L569" s="24">
        <f>Stock[[#This Row],[Stock Deposito]]*Stock[[#This Row],[Precio de Venta]]</f>
        <v>0</v>
      </c>
      <c r="M569" s="6">
        <f>SUMIFS(Tabla9[Cantidad],Tabla9[Codigo],Stock[Codigo])</f>
        <v>0</v>
      </c>
      <c r="N569" s="24">
        <f>Stock[[#This Row],[Precio de Compra]]*Stock[[#This Row],[Stock Cultivate]]</f>
        <v>0</v>
      </c>
      <c r="O569" s="24">
        <f>Stock[[#This Row],[Stock Cultivate]]*Stock[[#This Row],[Precio de Venta]]</f>
        <v>0</v>
      </c>
      <c r="R569" s="16"/>
    </row>
    <row r="570" spans="2:18">
      <c r="B570" s="44">
        <v>351</v>
      </c>
      <c r="C570" t="s">
        <v>335</v>
      </c>
      <c r="D570" s="45">
        <v>350</v>
      </c>
      <c r="E570" s="24">
        <v>1000</v>
      </c>
      <c r="F570" s="44">
        <f>Stock[Entradas]-Stock[Compra Cultivate]</f>
        <v>0</v>
      </c>
      <c r="G570" s="11">
        <f>SUMIFS(Compras[Cantidad],Compras[Codigo],Stock[Codigo])</f>
        <v>2</v>
      </c>
      <c r="H570" s="11">
        <f>SUMIFS(Ventas[Cantidad],Ventas[Codigo],Stock[[#This Row],[Codigo]])</f>
        <v>0</v>
      </c>
      <c r="I570" s="12">
        <f>Stock[[#This Row],[Stock Deposito]]*Stock[[#This Row],[Precio de Compra]]</f>
        <v>0</v>
      </c>
      <c r="J570" s="6">
        <f>SUMIFS(ProdDesc[Cantidad],ProdDesc[Codigo],Stock[Codigo])</f>
        <v>0</v>
      </c>
      <c r="K570" s="44">
        <f>Stock[[#This Row],[Compra Cultivate]]-Stock[[#This Row],[Salidas]]-Stock[[#This Row],[Usados]]</f>
        <v>2</v>
      </c>
      <c r="L570" s="24">
        <f>Stock[[#This Row],[Stock Deposito]]*Stock[[#This Row],[Precio de Venta]]</f>
        <v>0</v>
      </c>
      <c r="M570" s="6">
        <f>SUMIFS(Tabla9[Cantidad],Tabla9[Codigo],Stock[Codigo])</f>
        <v>2</v>
      </c>
      <c r="N570" s="24">
        <f>Stock[[#This Row],[Precio de Compra]]*Stock[[#This Row],[Stock Cultivate]]</f>
        <v>700</v>
      </c>
      <c r="O570" s="24">
        <f>Stock[[#This Row],[Stock Cultivate]]*Stock[[#This Row],[Precio de Venta]]</f>
        <v>2000</v>
      </c>
      <c r="R570" s="16"/>
    </row>
    <row r="571" spans="2:18">
      <c r="B571" s="44">
        <v>350</v>
      </c>
      <c r="C571" t="s">
        <v>334</v>
      </c>
      <c r="D571" s="45">
        <v>1000</v>
      </c>
      <c r="E571" s="24">
        <v>2000</v>
      </c>
      <c r="F571" s="44">
        <f>Stock[Entradas]-Stock[Compra Cultivate]</f>
        <v>0</v>
      </c>
      <c r="G571" s="11">
        <f>SUMIFS(Compras[Cantidad],Compras[Codigo],Stock[Codigo])</f>
        <v>0</v>
      </c>
      <c r="H571" s="11">
        <f>SUMIFS(Ventas[Cantidad],Ventas[Codigo],Stock[[#This Row],[Codigo]])</f>
        <v>0</v>
      </c>
      <c r="I571" s="12">
        <f>Stock[[#This Row],[Stock Deposito]]*Stock[[#This Row],[Precio de Compra]]</f>
        <v>0</v>
      </c>
      <c r="J571" s="6">
        <f>SUMIFS(ProdDesc[Cantidad],ProdDesc[Codigo],Stock[Codigo])</f>
        <v>0</v>
      </c>
      <c r="K571" s="44">
        <f>Stock[[#This Row],[Compra Cultivate]]-Stock[[#This Row],[Salidas]]-Stock[[#This Row],[Usados]]</f>
        <v>0</v>
      </c>
      <c r="L571" s="24">
        <f>Stock[[#This Row],[Stock Deposito]]*Stock[[#This Row],[Precio de Venta]]</f>
        <v>0</v>
      </c>
      <c r="M571" s="6">
        <f>SUMIFS(Tabla9[Cantidad],Tabla9[Codigo],Stock[Codigo])</f>
        <v>0</v>
      </c>
      <c r="N571" s="24">
        <f>Stock[[#This Row],[Precio de Compra]]*Stock[[#This Row],[Stock Cultivate]]</f>
        <v>0</v>
      </c>
      <c r="O571" s="24">
        <f>Stock[[#This Row],[Stock Cultivate]]*Stock[[#This Row],[Precio de Venta]]</f>
        <v>0</v>
      </c>
      <c r="R571" s="16"/>
    </row>
    <row r="572" spans="2:18">
      <c r="B572" s="44">
        <v>348</v>
      </c>
      <c r="C572" t="s">
        <v>330</v>
      </c>
      <c r="D572" s="45">
        <v>580</v>
      </c>
      <c r="E572" s="24">
        <v>850</v>
      </c>
      <c r="F572" s="44">
        <f>Stock[Entradas]-Stock[Compra Cultivate]</f>
        <v>0</v>
      </c>
      <c r="G572" s="11">
        <f>SUMIFS(Compras[Cantidad],Compras[Codigo],Stock[Codigo])</f>
        <v>12</v>
      </c>
      <c r="H572" s="11">
        <f>SUMIFS(Ventas[Cantidad],Ventas[Codigo],Stock[[#This Row],[Codigo]])</f>
        <v>12</v>
      </c>
      <c r="I572" s="12">
        <f>Stock[[#This Row],[Stock Deposito]]*Stock[[#This Row],[Precio de Compra]]</f>
        <v>0</v>
      </c>
      <c r="J572" s="6">
        <f>SUMIFS(ProdDesc[Cantidad],ProdDesc[Codigo],Stock[Codigo])</f>
        <v>0</v>
      </c>
      <c r="K572" s="44">
        <f>Stock[[#This Row],[Compra Cultivate]]-Stock[[#This Row],[Salidas]]-Stock[[#This Row],[Usados]]</f>
        <v>0</v>
      </c>
      <c r="L572" s="24">
        <f>Stock[[#This Row],[Stock Deposito]]*Stock[[#This Row],[Precio de Venta]]</f>
        <v>0</v>
      </c>
      <c r="M572" s="6">
        <f>SUMIFS(Tabla9[Cantidad],Tabla9[Codigo],Stock[Codigo])</f>
        <v>12</v>
      </c>
      <c r="N572" s="24">
        <f>Stock[[#This Row],[Precio de Compra]]*Stock[[#This Row],[Stock Cultivate]]</f>
        <v>0</v>
      </c>
      <c r="O572" s="24">
        <f>Stock[[#This Row],[Stock Cultivate]]*Stock[[#This Row],[Precio de Venta]]</f>
        <v>0</v>
      </c>
      <c r="R572" s="16"/>
    </row>
    <row r="573" spans="2:18">
      <c r="B573" s="44">
        <v>347</v>
      </c>
      <c r="C573" t="s">
        <v>329</v>
      </c>
      <c r="D573" s="45">
        <v>2485</v>
      </c>
      <c r="E573" s="24">
        <v>4000</v>
      </c>
      <c r="F573" s="44">
        <f>Stock[Entradas]-Stock[Compra Cultivate]</f>
        <v>0</v>
      </c>
      <c r="G573" s="11">
        <f>SUMIFS(Compras[Cantidad],Compras[Codigo],Stock[Codigo])</f>
        <v>3</v>
      </c>
      <c r="H573" s="11">
        <f>SUMIFS(Ventas[Cantidad],Ventas[Codigo],Stock[[#This Row],[Codigo]])</f>
        <v>1</v>
      </c>
      <c r="I573" s="12">
        <f>Stock[[#This Row],[Stock Deposito]]*Stock[[#This Row],[Precio de Compra]]</f>
        <v>0</v>
      </c>
      <c r="J573" s="6">
        <f>SUMIFS(ProdDesc[Cantidad],ProdDesc[Codigo],Stock[Codigo])</f>
        <v>0</v>
      </c>
      <c r="K573" s="44">
        <f>Stock[[#This Row],[Compra Cultivate]]-Stock[[#This Row],[Salidas]]-Stock[[#This Row],[Usados]]</f>
        <v>2</v>
      </c>
      <c r="L573" s="24">
        <f>Stock[[#This Row],[Stock Deposito]]*Stock[[#This Row],[Precio de Venta]]</f>
        <v>0</v>
      </c>
      <c r="M573" s="6">
        <f>SUMIFS(Tabla9[Cantidad],Tabla9[Codigo],Stock[Codigo])</f>
        <v>3</v>
      </c>
      <c r="N573" s="24">
        <f>Stock[[#This Row],[Precio de Compra]]*Stock[[#This Row],[Stock Cultivate]]</f>
        <v>4970</v>
      </c>
      <c r="O573" s="24">
        <f>Stock[[#This Row],[Stock Cultivate]]*Stock[[#This Row],[Precio de Venta]]</f>
        <v>8000</v>
      </c>
      <c r="R573" s="16"/>
    </row>
    <row r="574" spans="2:18">
      <c r="B574" s="44">
        <v>346</v>
      </c>
      <c r="C574" t="s">
        <v>328</v>
      </c>
      <c r="D574" s="45">
        <v>3376</v>
      </c>
      <c r="E574" s="24">
        <v>6000</v>
      </c>
      <c r="F574" s="44">
        <f>Stock[Entradas]-Stock[Compra Cultivate]</f>
        <v>0</v>
      </c>
      <c r="G574" s="11">
        <f>SUMIFS(Compras[Cantidad],Compras[Codigo],Stock[Codigo])</f>
        <v>14</v>
      </c>
      <c r="H574" s="11">
        <f>SUMIFS(Ventas[Cantidad],Ventas[Codigo],Stock[[#This Row],[Codigo]])</f>
        <v>11</v>
      </c>
      <c r="I574" s="12">
        <f>Stock[[#This Row],[Stock Deposito]]*Stock[[#This Row],[Precio de Compra]]</f>
        <v>0</v>
      </c>
      <c r="J574" s="6">
        <f>SUMIFS(ProdDesc[Cantidad],ProdDesc[Codigo],Stock[Codigo])</f>
        <v>0</v>
      </c>
      <c r="K574" s="44">
        <f>Stock[[#This Row],[Compra Cultivate]]-Stock[[#This Row],[Salidas]]-Stock[[#This Row],[Usados]]</f>
        <v>3</v>
      </c>
      <c r="L574" s="24">
        <f>Stock[[#This Row],[Stock Deposito]]*Stock[[#This Row],[Precio de Venta]]</f>
        <v>0</v>
      </c>
      <c r="M574" s="6">
        <f>SUMIFS(Tabla9[Cantidad],Tabla9[Codigo],Stock[Codigo])</f>
        <v>14</v>
      </c>
      <c r="N574" s="24">
        <f>Stock[[#This Row],[Precio de Compra]]*Stock[[#This Row],[Stock Cultivate]]</f>
        <v>10128</v>
      </c>
      <c r="O574" s="24">
        <f>Stock[[#This Row],[Stock Cultivate]]*Stock[[#This Row],[Precio de Venta]]</f>
        <v>18000</v>
      </c>
      <c r="R574" s="16"/>
    </row>
    <row r="575" spans="2:18">
      <c r="B575" s="44">
        <v>345</v>
      </c>
      <c r="C575" t="s">
        <v>326</v>
      </c>
      <c r="D575" s="45">
        <v>750</v>
      </c>
      <c r="E575" s="24">
        <v>1500</v>
      </c>
      <c r="F575" s="44">
        <f>Stock[Entradas]-Stock[Compra Cultivate]</f>
        <v>0</v>
      </c>
      <c r="G575" s="11">
        <f>SUMIFS(Compras[Cantidad],Compras[Codigo],Stock[Codigo])</f>
        <v>1</v>
      </c>
      <c r="H575" s="11">
        <f>SUMIFS(Ventas[Cantidad],Ventas[Codigo],Stock[[#This Row],[Codigo]])</f>
        <v>0</v>
      </c>
      <c r="I575" s="12">
        <f>Stock[[#This Row],[Stock Deposito]]*Stock[[#This Row],[Precio de Compra]]</f>
        <v>0</v>
      </c>
      <c r="J575" s="6">
        <f>SUMIFS(ProdDesc[Cantidad],ProdDesc[Codigo],Stock[Codigo])</f>
        <v>0</v>
      </c>
      <c r="K575" s="44">
        <f>Stock[[#This Row],[Compra Cultivate]]-Stock[[#This Row],[Salidas]]-Stock[[#This Row],[Usados]]</f>
        <v>1</v>
      </c>
      <c r="L575" s="24">
        <f>Stock[[#This Row],[Stock Deposito]]*Stock[[#This Row],[Precio de Venta]]</f>
        <v>0</v>
      </c>
      <c r="M575" s="6">
        <f>SUMIFS(Tabla9[Cantidad],Tabla9[Codigo],Stock[Codigo])</f>
        <v>1</v>
      </c>
      <c r="N575" s="24">
        <f>Stock[[#This Row],[Precio de Compra]]*Stock[[#This Row],[Stock Cultivate]]</f>
        <v>750</v>
      </c>
      <c r="O575" s="24">
        <f>Stock[[#This Row],[Stock Cultivate]]*Stock[[#This Row],[Precio de Venta]]</f>
        <v>1500</v>
      </c>
      <c r="R575" s="16"/>
    </row>
    <row r="576" spans="2:18">
      <c r="B576" s="44">
        <v>344</v>
      </c>
      <c r="C576" t="s">
        <v>327</v>
      </c>
      <c r="D576" s="45">
        <v>750</v>
      </c>
      <c r="E576" s="24">
        <v>1500</v>
      </c>
      <c r="F576" s="44">
        <f>Stock[Entradas]-Stock[Compra Cultivate]</f>
        <v>0</v>
      </c>
      <c r="G576" s="11">
        <f>SUMIFS(Compras[Cantidad],Compras[Codigo],Stock[Codigo])</f>
        <v>0</v>
      </c>
      <c r="H576" s="11">
        <f>SUMIFS(Ventas[Cantidad],Ventas[Codigo],Stock[[#This Row],[Codigo]])</f>
        <v>0</v>
      </c>
      <c r="I576" s="12">
        <f>Stock[[#This Row],[Stock Deposito]]*Stock[[#This Row],[Precio de Compra]]</f>
        <v>0</v>
      </c>
      <c r="J576" s="6">
        <f>SUMIFS(ProdDesc[Cantidad],ProdDesc[Codigo],Stock[Codigo])</f>
        <v>0</v>
      </c>
      <c r="K576" s="44">
        <f>Stock[[#This Row],[Compra Cultivate]]-Stock[[#This Row],[Salidas]]-Stock[[#This Row],[Usados]]</f>
        <v>0</v>
      </c>
      <c r="L576" s="24">
        <f>Stock[[#This Row],[Stock Deposito]]*Stock[[#This Row],[Precio de Venta]]</f>
        <v>0</v>
      </c>
      <c r="M576" s="6">
        <f>SUMIFS(Tabla9[Cantidad],Tabla9[Codigo],Stock[Codigo])</f>
        <v>0</v>
      </c>
      <c r="N576" s="24">
        <f>Stock[[#This Row],[Precio de Compra]]*Stock[[#This Row],[Stock Cultivate]]</f>
        <v>0</v>
      </c>
      <c r="O576" s="24">
        <f>Stock[[#This Row],[Stock Cultivate]]*Stock[[#This Row],[Precio de Venta]]</f>
        <v>0</v>
      </c>
      <c r="R576" s="16"/>
    </row>
    <row r="577" spans="2:18">
      <c r="B577" s="44">
        <v>343</v>
      </c>
      <c r="C577" t="s">
        <v>325</v>
      </c>
      <c r="D577" s="45">
        <v>2484</v>
      </c>
      <c r="E577" s="24">
        <v>4000</v>
      </c>
      <c r="F577" s="44">
        <f>Stock[Entradas]-Stock[Compra Cultivate]</f>
        <v>0</v>
      </c>
      <c r="G577" s="11">
        <f>SUMIFS(Compras[Cantidad],Compras[Codigo],Stock[Codigo])</f>
        <v>0</v>
      </c>
      <c r="H577" s="11">
        <f>SUMIFS(Ventas[Cantidad],Ventas[Codigo],Stock[[#This Row],[Codigo]])</f>
        <v>0</v>
      </c>
      <c r="I577" s="12">
        <f>Stock[[#This Row],[Stock Deposito]]*Stock[[#This Row],[Precio de Compra]]</f>
        <v>0</v>
      </c>
      <c r="J577" s="6">
        <f>SUMIFS(ProdDesc[Cantidad],ProdDesc[Codigo],Stock[Codigo])</f>
        <v>0</v>
      </c>
      <c r="K577" s="44">
        <f>Stock[[#This Row],[Compra Cultivate]]-Stock[[#This Row],[Salidas]]-Stock[[#This Row],[Usados]]</f>
        <v>0</v>
      </c>
      <c r="L577" s="24">
        <f>Stock[[#This Row],[Stock Deposito]]*Stock[[#This Row],[Precio de Venta]]</f>
        <v>0</v>
      </c>
      <c r="M577" s="6">
        <f>SUMIFS(Tabla9[Cantidad],Tabla9[Codigo],Stock[Codigo])</f>
        <v>0</v>
      </c>
      <c r="N577" s="24">
        <f>Stock[[#This Row],[Precio de Compra]]*Stock[[#This Row],[Stock Cultivate]]</f>
        <v>0</v>
      </c>
      <c r="O577" s="24">
        <f>Stock[[#This Row],[Stock Cultivate]]*Stock[[#This Row],[Precio de Venta]]</f>
        <v>0</v>
      </c>
      <c r="R577" s="16"/>
    </row>
    <row r="578" spans="2:18">
      <c r="B578" s="44">
        <v>342</v>
      </c>
      <c r="C578" t="s">
        <v>447</v>
      </c>
      <c r="D578" s="45">
        <v>566</v>
      </c>
      <c r="E578" s="24">
        <v>1000</v>
      </c>
      <c r="F578" s="44">
        <f>Stock[Entradas]-Stock[Compra Cultivate]</f>
        <v>0</v>
      </c>
      <c r="G578" s="11">
        <f>SUMIFS(Compras[Cantidad],Compras[Codigo],Stock[Codigo])</f>
        <v>0</v>
      </c>
      <c r="H578" s="11">
        <f>SUMIFS(Ventas[Cantidad],Ventas[Codigo],Stock[[#This Row],[Codigo]])</f>
        <v>0</v>
      </c>
      <c r="I578" s="12">
        <f>Stock[[#This Row],[Stock Deposito]]*Stock[[#This Row],[Precio de Compra]]</f>
        <v>0</v>
      </c>
      <c r="J578" s="6">
        <f>SUMIFS(ProdDesc[Cantidad],ProdDesc[Codigo],Stock[Codigo])</f>
        <v>0</v>
      </c>
      <c r="K578" s="44">
        <f>Stock[[#This Row],[Compra Cultivate]]-Stock[[#This Row],[Salidas]]-Stock[[#This Row],[Usados]]</f>
        <v>0</v>
      </c>
      <c r="L578" s="24">
        <f>Stock[[#This Row],[Stock Deposito]]*Stock[[#This Row],[Precio de Venta]]</f>
        <v>0</v>
      </c>
      <c r="M578" s="6">
        <f>SUMIFS(Tabla9[Cantidad],Tabla9[Codigo],Stock[Codigo])</f>
        <v>0</v>
      </c>
      <c r="N578" s="24">
        <f>Stock[[#This Row],[Precio de Compra]]*Stock[[#This Row],[Stock Cultivate]]</f>
        <v>0</v>
      </c>
      <c r="O578" s="24">
        <f>Stock[[#This Row],[Stock Cultivate]]*Stock[[#This Row],[Precio de Venta]]</f>
        <v>0</v>
      </c>
      <c r="R578" s="16"/>
    </row>
    <row r="579" spans="2:18">
      <c r="B579" s="44">
        <v>341</v>
      </c>
      <c r="C579" t="s">
        <v>324</v>
      </c>
      <c r="D579" s="45">
        <v>350</v>
      </c>
      <c r="E579" s="24">
        <v>700</v>
      </c>
      <c r="F579" s="44">
        <f>Stock[Entradas]-Stock[Compra Cultivate]</f>
        <v>0</v>
      </c>
      <c r="G579" s="11">
        <f>SUMIFS(Compras[Cantidad],Compras[Codigo],Stock[Codigo])</f>
        <v>1</v>
      </c>
      <c r="H579" s="11">
        <f>SUMIFS(Ventas[Cantidad],Ventas[Codigo],Stock[[#This Row],[Codigo]])</f>
        <v>1</v>
      </c>
      <c r="I579" s="12">
        <f>Stock[[#This Row],[Stock Deposito]]*Stock[[#This Row],[Precio de Compra]]</f>
        <v>0</v>
      </c>
      <c r="J579" s="6">
        <f>SUMIFS(ProdDesc[Cantidad],ProdDesc[Codigo],Stock[Codigo])</f>
        <v>0</v>
      </c>
      <c r="K579" s="44">
        <f>Stock[[#This Row],[Compra Cultivate]]-Stock[[#This Row],[Salidas]]-Stock[[#This Row],[Usados]]</f>
        <v>0</v>
      </c>
      <c r="L579" s="24">
        <f>Stock[[#This Row],[Stock Deposito]]*Stock[[#This Row],[Precio de Venta]]</f>
        <v>0</v>
      </c>
      <c r="M579" s="6">
        <f>SUMIFS(Tabla9[Cantidad],Tabla9[Codigo],Stock[Codigo])</f>
        <v>1</v>
      </c>
      <c r="N579" s="24">
        <f>Stock[[#This Row],[Precio de Compra]]*Stock[[#This Row],[Stock Cultivate]]</f>
        <v>0</v>
      </c>
      <c r="O579" s="24">
        <f>Stock[[#This Row],[Stock Cultivate]]*Stock[[#This Row],[Precio de Venta]]</f>
        <v>0</v>
      </c>
      <c r="R579" s="16"/>
    </row>
    <row r="580" spans="2:18">
      <c r="B580" s="44">
        <v>340</v>
      </c>
      <c r="C580" t="s">
        <v>323</v>
      </c>
      <c r="D580" s="45">
        <v>1330</v>
      </c>
      <c r="E580" s="24">
        <v>2500</v>
      </c>
      <c r="F580" s="44">
        <f>Stock[Entradas]-Stock[Compra Cultivate]</f>
        <v>0</v>
      </c>
      <c r="G580" s="11">
        <f>SUMIFS(Compras[Cantidad],Compras[Codigo],Stock[Codigo])</f>
        <v>4</v>
      </c>
      <c r="H580" s="11">
        <f>SUMIFS(Ventas[Cantidad],Ventas[Codigo],Stock[[#This Row],[Codigo]])</f>
        <v>4</v>
      </c>
      <c r="I580" s="12">
        <f>Stock[[#This Row],[Stock Deposito]]*Stock[[#This Row],[Precio de Compra]]</f>
        <v>0</v>
      </c>
      <c r="J580" s="6">
        <f>SUMIFS(ProdDesc[Cantidad],ProdDesc[Codigo],Stock[Codigo])</f>
        <v>0</v>
      </c>
      <c r="K580" s="44">
        <f>Stock[[#This Row],[Compra Cultivate]]-Stock[[#This Row],[Salidas]]-Stock[[#This Row],[Usados]]</f>
        <v>0</v>
      </c>
      <c r="L580" s="24">
        <f>Stock[[#This Row],[Stock Deposito]]*Stock[[#This Row],[Precio de Venta]]</f>
        <v>0</v>
      </c>
      <c r="M580" s="6">
        <f>SUMIFS(Tabla9[Cantidad],Tabla9[Codigo],Stock[Codigo])</f>
        <v>4</v>
      </c>
      <c r="N580" s="24">
        <f>Stock[[#This Row],[Precio de Compra]]*Stock[[#This Row],[Stock Cultivate]]</f>
        <v>0</v>
      </c>
      <c r="O580" s="24">
        <f>Stock[[#This Row],[Stock Cultivate]]*Stock[[#This Row],[Precio de Venta]]</f>
        <v>0</v>
      </c>
      <c r="R580" s="16"/>
    </row>
    <row r="581" spans="2:18">
      <c r="B581" s="44">
        <v>339</v>
      </c>
      <c r="C581" t="s">
        <v>322</v>
      </c>
      <c r="D581" s="45">
        <v>72</v>
      </c>
      <c r="E581" s="24">
        <v>150</v>
      </c>
      <c r="F581" s="44">
        <f>Stock[Entradas]-Stock[Compra Cultivate]</f>
        <v>0</v>
      </c>
      <c r="G581" s="11">
        <f>SUMIFS(Compras[Cantidad],Compras[Codigo],Stock[Codigo])</f>
        <v>0</v>
      </c>
      <c r="H581" s="11">
        <f>SUMIFS(Ventas[Cantidad],Ventas[Codigo],Stock[[#This Row],[Codigo]])</f>
        <v>0</v>
      </c>
      <c r="I581" s="12">
        <f>Stock[[#This Row],[Stock Deposito]]*Stock[[#This Row],[Precio de Compra]]</f>
        <v>0</v>
      </c>
      <c r="J581" s="6">
        <f>SUMIFS(ProdDesc[Cantidad],ProdDesc[Codigo],Stock[Codigo])</f>
        <v>0</v>
      </c>
      <c r="K581" s="44">
        <f>Stock[[#This Row],[Compra Cultivate]]-Stock[[#This Row],[Salidas]]-Stock[[#This Row],[Usados]]</f>
        <v>0</v>
      </c>
      <c r="L581" s="24">
        <f>Stock[[#This Row],[Stock Deposito]]*Stock[[#This Row],[Precio de Venta]]</f>
        <v>0</v>
      </c>
      <c r="M581" s="6">
        <f>SUMIFS(Tabla9[Cantidad],Tabla9[Codigo],Stock[Codigo])</f>
        <v>0</v>
      </c>
      <c r="N581" s="24">
        <f>Stock[[#This Row],[Precio de Compra]]*Stock[[#This Row],[Stock Cultivate]]</f>
        <v>0</v>
      </c>
      <c r="O581" s="24">
        <f>Stock[[#This Row],[Stock Cultivate]]*Stock[[#This Row],[Precio de Venta]]</f>
        <v>0</v>
      </c>
      <c r="R581" s="16"/>
    </row>
    <row r="582" spans="2:18">
      <c r="B582" s="44">
        <v>338</v>
      </c>
      <c r="C582" t="s">
        <v>321</v>
      </c>
      <c r="D582" s="45">
        <v>92000</v>
      </c>
      <c r="E582" s="24">
        <v>120000</v>
      </c>
      <c r="F582" s="44">
        <f>Stock[Entradas]-Stock[Compra Cultivate]</f>
        <v>0</v>
      </c>
      <c r="G582" s="11">
        <f>SUMIFS(Compras[Cantidad],Compras[Codigo],Stock[Codigo])</f>
        <v>0</v>
      </c>
      <c r="H582" s="11">
        <f>SUMIFS(Ventas[Cantidad],Ventas[Codigo],Stock[[#This Row],[Codigo]])</f>
        <v>0</v>
      </c>
      <c r="I582" s="12">
        <f>Stock[[#This Row],[Stock Deposito]]*Stock[[#This Row],[Precio de Compra]]</f>
        <v>0</v>
      </c>
      <c r="J582" s="6">
        <f>SUMIFS(ProdDesc[Cantidad],ProdDesc[Codigo],Stock[Codigo])</f>
        <v>0</v>
      </c>
      <c r="K582" s="44">
        <f>Stock[[#This Row],[Compra Cultivate]]-Stock[[#This Row],[Salidas]]-Stock[[#This Row],[Usados]]</f>
        <v>0</v>
      </c>
      <c r="L582" s="24">
        <f>Stock[[#This Row],[Stock Deposito]]*Stock[[#This Row],[Precio de Venta]]</f>
        <v>0</v>
      </c>
      <c r="M582" s="6">
        <f>SUMIFS(Tabla9[Cantidad],Tabla9[Codigo],Stock[Codigo])</f>
        <v>0</v>
      </c>
      <c r="N582" s="24">
        <f>Stock[[#This Row],[Precio de Compra]]*Stock[[#This Row],[Stock Cultivate]]</f>
        <v>0</v>
      </c>
      <c r="O582" s="24">
        <f>Stock[[#This Row],[Stock Cultivate]]*Stock[[#This Row],[Precio de Venta]]</f>
        <v>0</v>
      </c>
      <c r="R582" s="16"/>
    </row>
    <row r="583" spans="2:18">
      <c r="B583" s="44">
        <v>337</v>
      </c>
      <c r="C583" t="s">
        <v>446</v>
      </c>
      <c r="D583" s="45">
        <v>6835</v>
      </c>
      <c r="E583" s="24">
        <v>10250</v>
      </c>
      <c r="F583" s="44">
        <f>Stock[Entradas]-Stock[Compra Cultivate]</f>
        <v>0</v>
      </c>
      <c r="G583" s="11">
        <f>SUMIFS(Compras[Cantidad],Compras[Codigo],Stock[Codigo])</f>
        <v>0</v>
      </c>
      <c r="H583" s="11">
        <f>SUMIFS(Ventas[Cantidad],Ventas[Codigo],Stock[[#This Row],[Codigo]])</f>
        <v>0</v>
      </c>
      <c r="I583" s="12">
        <f>Stock[[#This Row],[Stock Deposito]]*Stock[[#This Row],[Precio de Compra]]</f>
        <v>0</v>
      </c>
      <c r="J583" s="6">
        <f>SUMIFS(ProdDesc[Cantidad],ProdDesc[Codigo],Stock[Codigo])</f>
        <v>0</v>
      </c>
      <c r="K583" s="44">
        <f>Stock[[#This Row],[Compra Cultivate]]-Stock[[#This Row],[Salidas]]-Stock[[#This Row],[Usados]]</f>
        <v>0</v>
      </c>
      <c r="L583" s="24">
        <f>Stock[[#This Row],[Stock Deposito]]*Stock[[#This Row],[Precio de Venta]]</f>
        <v>0</v>
      </c>
      <c r="M583" s="6">
        <f>SUMIFS(Tabla9[Cantidad],Tabla9[Codigo],Stock[Codigo])</f>
        <v>0</v>
      </c>
      <c r="N583" s="24">
        <f>Stock[[#This Row],[Precio de Compra]]*Stock[[#This Row],[Stock Cultivate]]</f>
        <v>0</v>
      </c>
      <c r="O583" s="24">
        <f>Stock[[#This Row],[Stock Cultivate]]*Stock[[#This Row],[Precio de Venta]]</f>
        <v>0</v>
      </c>
      <c r="R583" s="16"/>
    </row>
    <row r="584" spans="2:18">
      <c r="B584" s="44">
        <v>335</v>
      </c>
      <c r="C584" t="s">
        <v>445</v>
      </c>
      <c r="D584" s="45">
        <v>1512</v>
      </c>
      <c r="E584" s="24">
        <v>3000</v>
      </c>
      <c r="F584" s="44">
        <f>Stock[Entradas]-Stock[Compra Cultivate]</f>
        <v>0</v>
      </c>
      <c r="G584" s="11">
        <f>SUMIFS(Compras[Cantidad],Compras[Codigo],Stock[Codigo])</f>
        <v>0</v>
      </c>
      <c r="H584" s="11">
        <f>SUMIFS(Ventas[Cantidad],Ventas[Codigo],Stock[[#This Row],[Codigo]])</f>
        <v>0</v>
      </c>
      <c r="I584" s="12">
        <f>Stock[[#This Row],[Stock Deposito]]*Stock[[#This Row],[Precio de Compra]]</f>
        <v>0</v>
      </c>
      <c r="J584" s="6">
        <f>SUMIFS(ProdDesc[Cantidad],ProdDesc[Codigo],Stock[Codigo])</f>
        <v>0</v>
      </c>
      <c r="K584" s="44">
        <f>Stock[[#This Row],[Compra Cultivate]]-Stock[[#This Row],[Salidas]]-Stock[[#This Row],[Usados]]</f>
        <v>0</v>
      </c>
      <c r="L584" s="24">
        <f>Stock[[#This Row],[Stock Deposito]]*Stock[[#This Row],[Precio de Venta]]</f>
        <v>0</v>
      </c>
      <c r="M584" s="6">
        <f>SUMIFS(Tabla9[Cantidad],Tabla9[Codigo],Stock[Codigo])</f>
        <v>0</v>
      </c>
      <c r="N584" s="24">
        <f>Stock[[#This Row],[Precio de Compra]]*Stock[[#This Row],[Stock Cultivate]]</f>
        <v>0</v>
      </c>
      <c r="O584" s="24">
        <f>Stock[[#This Row],[Stock Cultivate]]*Stock[[#This Row],[Precio de Venta]]</f>
        <v>0</v>
      </c>
      <c r="R584" s="16"/>
    </row>
    <row r="585" spans="2:18">
      <c r="B585" s="44">
        <v>334</v>
      </c>
      <c r="C585" t="s">
        <v>320</v>
      </c>
      <c r="D585" s="45">
        <v>1193</v>
      </c>
      <c r="E585" s="24">
        <v>2000</v>
      </c>
      <c r="F585" s="44">
        <f>Stock[Entradas]-Stock[Compra Cultivate]</f>
        <v>0</v>
      </c>
      <c r="G585" s="11">
        <f>SUMIFS(Compras[Cantidad],Compras[Codigo],Stock[Codigo])</f>
        <v>0</v>
      </c>
      <c r="H585" s="11">
        <f>SUMIFS(Ventas[Cantidad],Ventas[Codigo],Stock[[#This Row],[Codigo]])</f>
        <v>0</v>
      </c>
      <c r="I585" s="12">
        <f>Stock[[#This Row],[Stock Deposito]]*Stock[[#This Row],[Precio de Compra]]</f>
        <v>0</v>
      </c>
      <c r="J585" s="6">
        <f>SUMIFS(ProdDesc[Cantidad],ProdDesc[Codigo],Stock[Codigo])</f>
        <v>0</v>
      </c>
      <c r="K585" s="44">
        <f>Stock[[#This Row],[Compra Cultivate]]-Stock[[#This Row],[Salidas]]-Stock[[#This Row],[Usados]]</f>
        <v>0</v>
      </c>
      <c r="L585" s="24">
        <f>Stock[[#This Row],[Stock Deposito]]*Stock[[#This Row],[Precio de Venta]]</f>
        <v>0</v>
      </c>
      <c r="M585" s="6">
        <f>SUMIFS(Tabla9[Cantidad],Tabla9[Codigo],Stock[Codigo])</f>
        <v>0</v>
      </c>
      <c r="N585" s="24">
        <f>Stock[[#This Row],[Precio de Compra]]*Stock[[#This Row],[Stock Cultivate]]</f>
        <v>0</v>
      </c>
      <c r="O585" s="24">
        <f>Stock[[#This Row],[Stock Cultivate]]*Stock[[#This Row],[Precio de Venta]]</f>
        <v>0</v>
      </c>
      <c r="R585" s="16"/>
    </row>
    <row r="586" spans="2:18">
      <c r="B586" s="44">
        <v>333</v>
      </c>
      <c r="C586" t="s">
        <v>319</v>
      </c>
      <c r="D586" s="45">
        <v>35279</v>
      </c>
      <c r="E586" s="24">
        <v>50000</v>
      </c>
      <c r="F586" s="44">
        <f>Stock[Entradas]-Stock[Compra Cultivate]</f>
        <v>0</v>
      </c>
      <c r="G586" s="11">
        <f>SUMIFS(Compras[Cantidad],Compras[Codigo],Stock[Codigo])</f>
        <v>0</v>
      </c>
      <c r="H586" s="11">
        <f>SUMIFS(Ventas[Cantidad],Ventas[Codigo],Stock[[#This Row],[Codigo]])</f>
        <v>0</v>
      </c>
      <c r="I586" s="12">
        <f>Stock[[#This Row],[Stock Deposito]]*Stock[[#This Row],[Precio de Compra]]</f>
        <v>0</v>
      </c>
      <c r="J586" s="6">
        <f>SUMIFS(ProdDesc[Cantidad],ProdDesc[Codigo],Stock[Codigo])</f>
        <v>0</v>
      </c>
      <c r="K586" s="44">
        <f>Stock[[#This Row],[Compra Cultivate]]-Stock[[#This Row],[Salidas]]-Stock[[#This Row],[Usados]]</f>
        <v>0</v>
      </c>
      <c r="L586" s="24">
        <f>Stock[[#This Row],[Stock Deposito]]*Stock[[#This Row],[Precio de Venta]]</f>
        <v>0</v>
      </c>
      <c r="M586" s="6">
        <f>SUMIFS(Tabla9[Cantidad],Tabla9[Codigo],Stock[Codigo])</f>
        <v>0</v>
      </c>
      <c r="N586" s="24">
        <f>Stock[[#This Row],[Precio de Compra]]*Stock[[#This Row],[Stock Cultivate]]</f>
        <v>0</v>
      </c>
      <c r="O586" s="24">
        <f>Stock[[#This Row],[Stock Cultivate]]*Stock[[#This Row],[Precio de Venta]]</f>
        <v>0</v>
      </c>
      <c r="R586" s="16"/>
    </row>
    <row r="587" spans="2:18">
      <c r="B587" s="44">
        <v>332</v>
      </c>
      <c r="C587" t="s">
        <v>1167</v>
      </c>
      <c r="D587" s="45">
        <v>4933</v>
      </c>
      <c r="E587" s="24">
        <v>8000</v>
      </c>
      <c r="F587" s="44">
        <f>Stock[Entradas]-Stock[Compra Cultivate]</f>
        <v>0</v>
      </c>
      <c r="G587" s="11">
        <f>SUMIFS(Compras[Cantidad],Compras[Codigo],Stock[Codigo])</f>
        <v>2</v>
      </c>
      <c r="H587" s="11">
        <f>SUMIFS(Ventas[Cantidad],Ventas[Codigo],Stock[[#This Row],[Codigo]])</f>
        <v>1</v>
      </c>
      <c r="I587" s="12">
        <f>Stock[[#This Row],[Stock Deposito]]*Stock[[#This Row],[Precio de Compra]]</f>
        <v>0</v>
      </c>
      <c r="J587" s="6">
        <f>SUMIFS(ProdDesc[Cantidad],ProdDesc[Codigo],Stock[Codigo])</f>
        <v>0</v>
      </c>
      <c r="K587" s="44">
        <f>Stock[[#This Row],[Compra Cultivate]]-Stock[[#This Row],[Salidas]]-Stock[[#This Row],[Usados]]</f>
        <v>1</v>
      </c>
      <c r="L587" s="24">
        <f>Stock[[#This Row],[Stock Deposito]]*Stock[[#This Row],[Precio de Venta]]</f>
        <v>0</v>
      </c>
      <c r="M587" s="6">
        <f>SUMIFS(Tabla9[Cantidad],Tabla9[Codigo],Stock[Codigo])</f>
        <v>2</v>
      </c>
      <c r="N587" s="24">
        <f>Stock[[#This Row],[Precio de Compra]]*Stock[[#This Row],[Stock Cultivate]]</f>
        <v>4933</v>
      </c>
      <c r="O587" s="24">
        <f>Stock[[#This Row],[Stock Cultivate]]*Stock[[#This Row],[Precio de Venta]]</f>
        <v>8000</v>
      </c>
      <c r="R587" s="16"/>
    </row>
    <row r="588" spans="2:18">
      <c r="B588" s="44">
        <v>331</v>
      </c>
      <c r="C588" t="s">
        <v>318</v>
      </c>
      <c r="D588" s="45">
        <v>15170</v>
      </c>
      <c r="E588" s="24">
        <v>23000</v>
      </c>
      <c r="F588" s="44">
        <f>Stock[Entradas]-Stock[Compra Cultivate]</f>
        <v>0</v>
      </c>
      <c r="G588" s="11">
        <f>SUMIFS(Compras[Cantidad],Compras[Codigo],Stock[Codigo])</f>
        <v>0</v>
      </c>
      <c r="H588" s="11">
        <f>SUMIFS(Ventas[Cantidad],Ventas[Codigo],Stock[[#This Row],[Codigo]])</f>
        <v>0</v>
      </c>
      <c r="I588" s="12">
        <f>Stock[[#This Row],[Stock Deposito]]*Stock[[#This Row],[Precio de Compra]]</f>
        <v>0</v>
      </c>
      <c r="J588" s="6">
        <f>SUMIFS(ProdDesc[Cantidad],ProdDesc[Codigo],Stock[Codigo])</f>
        <v>0</v>
      </c>
      <c r="K588" s="44">
        <f>Stock[[#This Row],[Compra Cultivate]]-Stock[[#This Row],[Salidas]]-Stock[[#This Row],[Usados]]</f>
        <v>0</v>
      </c>
      <c r="L588" s="24">
        <f>Stock[[#This Row],[Stock Deposito]]*Stock[[#This Row],[Precio de Venta]]</f>
        <v>0</v>
      </c>
      <c r="M588" s="6">
        <f>SUMIFS(Tabla9[Cantidad],Tabla9[Codigo],Stock[Codigo])</f>
        <v>0</v>
      </c>
      <c r="N588" s="24">
        <f>Stock[[#This Row],[Precio de Compra]]*Stock[[#This Row],[Stock Cultivate]]</f>
        <v>0</v>
      </c>
      <c r="O588" s="24">
        <f>Stock[[#This Row],[Stock Cultivate]]*Stock[[#This Row],[Precio de Venta]]</f>
        <v>0</v>
      </c>
      <c r="R588" s="16"/>
    </row>
    <row r="589" spans="2:18">
      <c r="B589" s="44">
        <v>330</v>
      </c>
      <c r="C589" t="s">
        <v>316</v>
      </c>
      <c r="D589" s="45">
        <v>1260</v>
      </c>
      <c r="E589" s="24">
        <v>3500</v>
      </c>
      <c r="F589" s="44">
        <f>Stock[Entradas]-Stock[Compra Cultivate]</f>
        <v>0</v>
      </c>
      <c r="G589" s="11">
        <f>SUMIFS(Compras[Cantidad],Compras[Codigo],Stock[Codigo])</f>
        <v>1</v>
      </c>
      <c r="H589" s="11">
        <f>SUMIFS(Ventas[Cantidad],Ventas[Codigo],Stock[[#This Row],[Codigo]])</f>
        <v>1</v>
      </c>
      <c r="I589" s="12">
        <f>Stock[[#This Row],[Stock Deposito]]*Stock[[#This Row],[Precio de Compra]]</f>
        <v>0</v>
      </c>
      <c r="J589" s="6">
        <f>SUMIFS(ProdDesc[Cantidad],ProdDesc[Codigo],Stock[Codigo])</f>
        <v>0</v>
      </c>
      <c r="K589" s="44">
        <f>Stock[[#This Row],[Compra Cultivate]]-Stock[[#This Row],[Salidas]]-Stock[[#This Row],[Usados]]</f>
        <v>0</v>
      </c>
      <c r="L589" s="24">
        <f>Stock[[#This Row],[Stock Deposito]]*Stock[[#This Row],[Precio de Venta]]</f>
        <v>0</v>
      </c>
      <c r="M589" s="6">
        <f>SUMIFS(Tabla9[Cantidad],Tabla9[Codigo],Stock[Codigo])</f>
        <v>1</v>
      </c>
      <c r="N589" s="24">
        <f>Stock[[#This Row],[Precio de Compra]]*Stock[[#This Row],[Stock Cultivate]]</f>
        <v>0</v>
      </c>
      <c r="O589" s="24">
        <f>Stock[[#This Row],[Stock Cultivate]]*Stock[[#This Row],[Precio de Venta]]</f>
        <v>0</v>
      </c>
      <c r="R589" s="16"/>
    </row>
    <row r="590" spans="2:18">
      <c r="B590" s="44">
        <v>329</v>
      </c>
      <c r="C590" t="s">
        <v>315</v>
      </c>
      <c r="D590" s="45">
        <v>2512</v>
      </c>
      <c r="E590" s="24">
        <v>5000</v>
      </c>
      <c r="F590" s="44">
        <f>Stock[Entradas]-Stock[Compra Cultivate]</f>
        <v>0</v>
      </c>
      <c r="G590" s="11">
        <f>SUMIFS(Compras[Cantidad],Compras[Codigo],Stock[Codigo])</f>
        <v>1</v>
      </c>
      <c r="H590" s="11">
        <f>SUMIFS(Ventas[Cantidad],Ventas[Codigo],Stock[[#This Row],[Codigo]])</f>
        <v>0</v>
      </c>
      <c r="I590" s="12">
        <f>Stock[[#This Row],[Stock Deposito]]*Stock[[#This Row],[Precio de Compra]]</f>
        <v>0</v>
      </c>
      <c r="J590" s="6">
        <f>SUMIFS(ProdDesc[Cantidad],ProdDesc[Codigo],Stock[Codigo])</f>
        <v>0</v>
      </c>
      <c r="K590" s="44">
        <f>Stock[[#This Row],[Compra Cultivate]]-Stock[[#This Row],[Salidas]]-Stock[[#This Row],[Usados]]</f>
        <v>1</v>
      </c>
      <c r="L590" s="24">
        <f>Stock[[#This Row],[Stock Deposito]]*Stock[[#This Row],[Precio de Venta]]</f>
        <v>0</v>
      </c>
      <c r="M590" s="6">
        <f>SUMIFS(Tabla9[Cantidad],Tabla9[Codigo],Stock[Codigo])</f>
        <v>1</v>
      </c>
      <c r="N590" s="24">
        <f>Stock[[#This Row],[Precio de Compra]]*Stock[[#This Row],[Stock Cultivate]]</f>
        <v>2512</v>
      </c>
      <c r="O590" s="24">
        <f>Stock[[#This Row],[Stock Cultivate]]*Stock[[#This Row],[Precio de Venta]]</f>
        <v>5000</v>
      </c>
      <c r="R590" s="16"/>
    </row>
    <row r="591" spans="2:18">
      <c r="B591" s="44">
        <v>328</v>
      </c>
      <c r="C591" t="s">
        <v>314</v>
      </c>
      <c r="D591" s="45">
        <v>1590</v>
      </c>
      <c r="E591" s="24">
        <v>3000</v>
      </c>
      <c r="F591" s="44">
        <f>Stock[Entradas]-Stock[Compra Cultivate]</f>
        <v>0</v>
      </c>
      <c r="G591" s="11">
        <f>SUMIFS(Compras[Cantidad],Compras[Codigo],Stock[Codigo])</f>
        <v>1</v>
      </c>
      <c r="H591" s="11">
        <f>SUMIFS(Ventas[Cantidad],Ventas[Codigo],Stock[[#This Row],[Codigo]])</f>
        <v>1</v>
      </c>
      <c r="I591" s="12">
        <f>Stock[[#This Row],[Stock Deposito]]*Stock[[#This Row],[Precio de Compra]]</f>
        <v>0</v>
      </c>
      <c r="J591" s="6">
        <f>SUMIFS(ProdDesc[Cantidad],ProdDesc[Codigo],Stock[Codigo])</f>
        <v>0</v>
      </c>
      <c r="K591" s="44">
        <f>Stock[[#This Row],[Compra Cultivate]]-Stock[[#This Row],[Salidas]]-Stock[[#This Row],[Usados]]</f>
        <v>0</v>
      </c>
      <c r="L591" s="24">
        <f>Stock[[#This Row],[Stock Deposito]]*Stock[[#This Row],[Precio de Venta]]</f>
        <v>0</v>
      </c>
      <c r="M591" s="6">
        <f>SUMIFS(Tabla9[Cantidad],Tabla9[Codigo],Stock[Codigo])</f>
        <v>1</v>
      </c>
      <c r="N591" s="24">
        <f>Stock[[#This Row],[Precio de Compra]]*Stock[[#This Row],[Stock Cultivate]]</f>
        <v>0</v>
      </c>
      <c r="O591" s="24">
        <f>Stock[[#This Row],[Stock Cultivate]]*Stock[[#This Row],[Precio de Venta]]</f>
        <v>0</v>
      </c>
      <c r="R591" s="16"/>
    </row>
    <row r="592" spans="2:18">
      <c r="B592" s="44">
        <v>327</v>
      </c>
      <c r="C592" t="s">
        <v>317</v>
      </c>
      <c r="D592" s="45">
        <v>2200</v>
      </c>
      <c r="E592" s="24">
        <v>4400</v>
      </c>
      <c r="F592" s="44">
        <f>Stock[Entradas]-Stock[Compra Cultivate]</f>
        <v>0</v>
      </c>
      <c r="G592" s="11">
        <f>SUMIFS(Compras[Cantidad],Compras[Codigo],Stock[Codigo])</f>
        <v>1</v>
      </c>
      <c r="H592" s="11">
        <f>SUMIFS(Ventas[Cantidad],Ventas[Codigo],Stock[[#This Row],[Codigo]])</f>
        <v>1</v>
      </c>
      <c r="I592" s="12">
        <f>Stock[[#This Row],[Stock Deposito]]*Stock[[#This Row],[Precio de Compra]]</f>
        <v>0</v>
      </c>
      <c r="J592" s="6">
        <f>SUMIFS(ProdDesc[Cantidad],ProdDesc[Codigo],Stock[Codigo])</f>
        <v>0</v>
      </c>
      <c r="K592" s="44">
        <f>Stock[[#This Row],[Compra Cultivate]]-Stock[[#This Row],[Salidas]]-Stock[[#This Row],[Usados]]</f>
        <v>0</v>
      </c>
      <c r="L592" s="24">
        <f>Stock[[#This Row],[Stock Deposito]]*Stock[[#This Row],[Precio de Venta]]</f>
        <v>0</v>
      </c>
      <c r="M592" s="6">
        <f>SUMIFS(Tabla9[Cantidad],Tabla9[Codigo],Stock[Codigo])</f>
        <v>1</v>
      </c>
      <c r="N592" s="24">
        <f>Stock[[#This Row],[Precio de Compra]]*Stock[[#This Row],[Stock Cultivate]]</f>
        <v>0</v>
      </c>
      <c r="O592" s="24">
        <f>Stock[[#This Row],[Stock Cultivate]]*Stock[[#This Row],[Precio de Venta]]</f>
        <v>0</v>
      </c>
      <c r="R592" s="16"/>
    </row>
    <row r="593" spans="2:18">
      <c r="B593" s="44">
        <v>326</v>
      </c>
      <c r="C593" t="s">
        <v>313</v>
      </c>
      <c r="D593" s="45">
        <v>180</v>
      </c>
      <c r="E593" s="24">
        <v>300</v>
      </c>
      <c r="F593" s="44">
        <f>Stock[Entradas]-Stock[Compra Cultivate]</f>
        <v>0</v>
      </c>
      <c r="G593" s="11">
        <f>SUMIFS(Compras[Cantidad],Compras[Codigo],Stock[Codigo])</f>
        <v>0</v>
      </c>
      <c r="H593" s="11">
        <f>SUMIFS(Ventas[Cantidad],Ventas[Codigo],Stock[[#This Row],[Codigo]])</f>
        <v>0</v>
      </c>
      <c r="I593" s="12">
        <f>Stock[[#This Row],[Stock Deposito]]*Stock[[#This Row],[Precio de Compra]]</f>
        <v>0</v>
      </c>
      <c r="J593" s="6">
        <f>SUMIFS(ProdDesc[Cantidad],ProdDesc[Codigo],Stock[Codigo])</f>
        <v>0</v>
      </c>
      <c r="K593" s="44">
        <f>Stock[[#This Row],[Compra Cultivate]]-Stock[[#This Row],[Salidas]]-Stock[[#This Row],[Usados]]</f>
        <v>0</v>
      </c>
      <c r="L593" s="24">
        <f>Stock[[#This Row],[Stock Deposito]]*Stock[[#This Row],[Precio de Venta]]</f>
        <v>0</v>
      </c>
      <c r="M593" s="6">
        <f>SUMIFS(Tabla9[Cantidad],Tabla9[Codigo],Stock[Codigo])</f>
        <v>0</v>
      </c>
      <c r="N593" s="24">
        <f>Stock[[#This Row],[Precio de Compra]]*Stock[[#This Row],[Stock Cultivate]]</f>
        <v>0</v>
      </c>
      <c r="O593" s="24">
        <f>Stock[[#This Row],[Stock Cultivate]]*Stock[[#This Row],[Precio de Venta]]</f>
        <v>0</v>
      </c>
      <c r="R593" s="16"/>
    </row>
    <row r="594" spans="2:18">
      <c r="B594" s="44">
        <v>325</v>
      </c>
      <c r="C594" t="s">
        <v>312</v>
      </c>
      <c r="D594" s="45">
        <v>1523</v>
      </c>
      <c r="E594" s="24">
        <v>2500</v>
      </c>
      <c r="F594" s="44">
        <f>Stock[Entradas]-Stock[Compra Cultivate]</f>
        <v>0</v>
      </c>
      <c r="G594" s="11">
        <f>SUMIFS(Compras[Cantidad],Compras[Codigo],Stock[Codigo])</f>
        <v>0</v>
      </c>
      <c r="H594" s="11">
        <f>SUMIFS(Ventas[Cantidad],Ventas[Codigo],Stock[[#This Row],[Codigo]])</f>
        <v>0</v>
      </c>
      <c r="I594" s="12">
        <f>Stock[[#This Row],[Stock Deposito]]*Stock[[#This Row],[Precio de Compra]]</f>
        <v>0</v>
      </c>
      <c r="J594" s="6">
        <f>SUMIFS(ProdDesc[Cantidad],ProdDesc[Codigo],Stock[Codigo])</f>
        <v>0</v>
      </c>
      <c r="K594" s="44">
        <f>Stock[[#This Row],[Compra Cultivate]]-Stock[[#This Row],[Salidas]]-Stock[[#This Row],[Usados]]</f>
        <v>0</v>
      </c>
      <c r="L594" s="24">
        <f>Stock[[#This Row],[Stock Deposito]]*Stock[[#This Row],[Precio de Venta]]</f>
        <v>0</v>
      </c>
      <c r="M594" s="6">
        <f>SUMIFS(Tabla9[Cantidad],Tabla9[Codigo],Stock[Codigo])</f>
        <v>0</v>
      </c>
      <c r="N594" s="24">
        <f>Stock[[#This Row],[Precio de Compra]]*Stock[[#This Row],[Stock Cultivate]]</f>
        <v>0</v>
      </c>
      <c r="O594" s="24">
        <f>Stock[[#This Row],[Stock Cultivate]]*Stock[[#This Row],[Precio de Venta]]</f>
        <v>0</v>
      </c>
      <c r="R594" s="16"/>
    </row>
    <row r="595" spans="2:18">
      <c r="B595" s="44">
        <v>323</v>
      </c>
      <c r="C595" t="s">
        <v>309</v>
      </c>
      <c r="D595" s="45">
        <v>250</v>
      </c>
      <c r="E595" s="24">
        <v>500</v>
      </c>
      <c r="F595" s="44">
        <f>Stock[Entradas]-Stock[Compra Cultivate]</f>
        <v>0</v>
      </c>
      <c r="G595" s="11">
        <f>SUMIFS(Compras[Cantidad],Compras[Codigo],Stock[Codigo])</f>
        <v>1</v>
      </c>
      <c r="H595" s="11">
        <f>SUMIFS(Ventas[Cantidad],Ventas[Codigo],Stock[[#This Row],[Codigo]])</f>
        <v>1</v>
      </c>
      <c r="I595" s="12">
        <f>Stock[[#This Row],[Stock Deposito]]*Stock[[#This Row],[Precio de Compra]]</f>
        <v>0</v>
      </c>
      <c r="J595" s="6">
        <f>SUMIFS(ProdDesc[Cantidad],ProdDesc[Codigo],Stock[Codigo])</f>
        <v>0</v>
      </c>
      <c r="K595" s="44">
        <f>Stock[[#This Row],[Compra Cultivate]]-Stock[[#This Row],[Salidas]]-Stock[[#This Row],[Usados]]</f>
        <v>0</v>
      </c>
      <c r="L595" s="24">
        <f>Stock[[#This Row],[Stock Deposito]]*Stock[[#This Row],[Precio de Venta]]</f>
        <v>0</v>
      </c>
      <c r="M595" s="6">
        <f>SUMIFS(Tabla9[Cantidad],Tabla9[Codigo],Stock[Codigo])</f>
        <v>1</v>
      </c>
      <c r="N595" s="24">
        <f>Stock[[#This Row],[Precio de Compra]]*Stock[[#This Row],[Stock Cultivate]]</f>
        <v>0</v>
      </c>
      <c r="O595" s="24">
        <f>Stock[[#This Row],[Stock Cultivate]]*Stock[[#This Row],[Precio de Venta]]</f>
        <v>0</v>
      </c>
      <c r="R595" s="16"/>
    </row>
    <row r="596" spans="2:18">
      <c r="B596" s="44">
        <v>322</v>
      </c>
      <c r="C596" t="s">
        <v>308</v>
      </c>
      <c r="D596" s="45">
        <v>500</v>
      </c>
      <c r="E596" s="24">
        <v>1000</v>
      </c>
      <c r="F596" s="44">
        <f>Stock[Entradas]-Stock[Compra Cultivate]</f>
        <v>0</v>
      </c>
      <c r="G596" s="11">
        <f>SUMIFS(Compras[Cantidad],Compras[Codigo],Stock[Codigo])</f>
        <v>4</v>
      </c>
      <c r="H596" s="11">
        <f>SUMIFS(Ventas[Cantidad],Ventas[Codigo],Stock[[#This Row],[Codigo]])</f>
        <v>0</v>
      </c>
      <c r="I596" s="12">
        <f>Stock[[#This Row],[Stock Deposito]]*Stock[[#This Row],[Precio de Compra]]</f>
        <v>0</v>
      </c>
      <c r="J596" s="6">
        <f>SUMIFS(ProdDesc[Cantidad],ProdDesc[Codigo],Stock[Codigo])</f>
        <v>1</v>
      </c>
      <c r="K596" s="44">
        <f>Stock[[#This Row],[Compra Cultivate]]-Stock[[#This Row],[Salidas]]-Stock[[#This Row],[Usados]]</f>
        <v>3</v>
      </c>
      <c r="L596" s="24">
        <f>Stock[[#This Row],[Stock Deposito]]*Stock[[#This Row],[Precio de Venta]]</f>
        <v>0</v>
      </c>
      <c r="M596" s="6">
        <f>SUMIFS(Tabla9[Cantidad],Tabla9[Codigo],Stock[Codigo])</f>
        <v>4</v>
      </c>
      <c r="N596" s="24">
        <f>Stock[[#This Row],[Precio de Compra]]*Stock[[#This Row],[Stock Cultivate]]</f>
        <v>1500</v>
      </c>
      <c r="O596" s="24">
        <f>Stock[[#This Row],[Stock Cultivate]]*Stock[[#This Row],[Precio de Venta]]</f>
        <v>3000</v>
      </c>
      <c r="R596" s="16"/>
    </row>
    <row r="597" spans="2:18">
      <c r="B597" s="44">
        <v>321</v>
      </c>
      <c r="C597" t="s">
        <v>444</v>
      </c>
      <c r="D597" s="45">
        <v>2556</v>
      </c>
      <c r="E597" s="24">
        <v>5000</v>
      </c>
      <c r="F597" s="44">
        <f>Stock[Entradas]-Stock[Compra Cultivate]</f>
        <v>0</v>
      </c>
      <c r="G597" s="11">
        <f>SUMIFS(Compras[Cantidad],Compras[Codigo],Stock[Codigo])</f>
        <v>7</v>
      </c>
      <c r="H597" s="11">
        <f>SUMIFS(Ventas[Cantidad],Ventas[Codigo],Stock[[#This Row],[Codigo]])</f>
        <v>3</v>
      </c>
      <c r="I597" s="12">
        <f>Stock[[#This Row],[Stock Deposito]]*Stock[[#This Row],[Precio de Compra]]</f>
        <v>0</v>
      </c>
      <c r="J597" s="6">
        <f>SUMIFS(ProdDesc[Cantidad],ProdDesc[Codigo],Stock[Codigo])</f>
        <v>0</v>
      </c>
      <c r="K597" s="44">
        <f>Stock[[#This Row],[Compra Cultivate]]-Stock[[#This Row],[Salidas]]-Stock[[#This Row],[Usados]]</f>
        <v>4</v>
      </c>
      <c r="L597" s="24">
        <f>Stock[[#This Row],[Stock Deposito]]*Stock[[#This Row],[Precio de Venta]]</f>
        <v>0</v>
      </c>
      <c r="M597" s="6">
        <f>SUMIFS(Tabla9[Cantidad],Tabla9[Codigo],Stock[Codigo])</f>
        <v>7</v>
      </c>
      <c r="N597" s="24">
        <f>Stock[[#This Row],[Precio de Compra]]*Stock[[#This Row],[Stock Cultivate]]</f>
        <v>10224</v>
      </c>
      <c r="O597" s="24">
        <f>Stock[[#This Row],[Stock Cultivate]]*Stock[[#This Row],[Precio de Venta]]</f>
        <v>20000</v>
      </c>
      <c r="R597" s="16"/>
    </row>
    <row r="598" spans="2:18">
      <c r="B598" s="44">
        <v>320</v>
      </c>
      <c r="C598" t="s">
        <v>333</v>
      </c>
      <c r="D598" s="45">
        <v>2484</v>
      </c>
      <c r="E598" s="24">
        <v>5000</v>
      </c>
      <c r="F598" s="44">
        <f>Stock[Entradas]-Stock[Compra Cultivate]</f>
        <v>0</v>
      </c>
      <c r="G598" s="11">
        <f>SUMIFS(Compras[Cantidad],Compras[Codigo],Stock[Codigo])</f>
        <v>2</v>
      </c>
      <c r="H598" s="11">
        <f>SUMIFS(Ventas[Cantidad],Ventas[Codigo],Stock[[#This Row],[Codigo]])</f>
        <v>1</v>
      </c>
      <c r="I598" s="12">
        <f>Stock[[#This Row],[Stock Deposito]]*Stock[[#This Row],[Precio de Compra]]</f>
        <v>0</v>
      </c>
      <c r="J598" s="6">
        <f>SUMIFS(ProdDesc[Cantidad],ProdDesc[Codigo],Stock[Codigo])</f>
        <v>0</v>
      </c>
      <c r="K598" s="44">
        <f>Stock[[#This Row],[Compra Cultivate]]-Stock[[#This Row],[Salidas]]-Stock[[#This Row],[Usados]]</f>
        <v>1</v>
      </c>
      <c r="L598" s="24">
        <f>Stock[[#This Row],[Stock Deposito]]*Stock[[#This Row],[Precio de Venta]]</f>
        <v>0</v>
      </c>
      <c r="M598" s="6">
        <f>SUMIFS(Tabla9[Cantidad],Tabla9[Codigo],Stock[Codigo])</f>
        <v>2</v>
      </c>
      <c r="N598" s="24">
        <f>Stock[[#This Row],[Precio de Compra]]*Stock[[#This Row],[Stock Cultivate]]</f>
        <v>2484</v>
      </c>
      <c r="O598" s="24">
        <f>Stock[[#This Row],[Stock Cultivate]]*Stock[[#This Row],[Precio de Venta]]</f>
        <v>5000</v>
      </c>
      <c r="R598" s="16"/>
    </row>
    <row r="599" spans="2:18">
      <c r="B599" s="44">
        <v>319</v>
      </c>
      <c r="C599" t="s">
        <v>443</v>
      </c>
      <c r="D599" s="45">
        <v>2587</v>
      </c>
      <c r="E599" s="24">
        <v>5200</v>
      </c>
      <c r="F599" s="44">
        <f>Stock[Entradas]-Stock[Compra Cultivate]</f>
        <v>0</v>
      </c>
      <c r="G599" s="11">
        <f>SUMIFS(Compras[Cantidad],Compras[Codigo],Stock[Codigo])</f>
        <v>2</v>
      </c>
      <c r="H599" s="11">
        <f>SUMIFS(Ventas[Cantidad],Ventas[Codigo],Stock[[#This Row],[Codigo]])</f>
        <v>0</v>
      </c>
      <c r="I599" s="12">
        <f>Stock[[#This Row],[Stock Deposito]]*Stock[[#This Row],[Precio de Compra]]</f>
        <v>0</v>
      </c>
      <c r="J599" s="6">
        <f>SUMIFS(ProdDesc[Cantidad],ProdDesc[Codigo],Stock[Codigo])</f>
        <v>0</v>
      </c>
      <c r="K599" s="44">
        <f>Stock[[#This Row],[Compra Cultivate]]-Stock[[#This Row],[Salidas]]-Stock[[#This Row],[Usados]]</f>
        <v>2</v>
      </c>
      <c r="L599" s="24">
        <f>Stock[[#This Row],[Stock Deposito]]*Stock[[#This Row],[Precio de Venta]]</f>
        <v>0</v>
      </c>
      <c r="M599" s="6">
        <f>SUMIFS(Tabla9[Cantidad],Tabla9[Codigo],Stock[Codigo])</f>
        <v>2</v>
      </c>
      <c r="N599" s="24">
        <f>Stock[[#This Row],[Precio de Compra]]*Stock[[#This Row],[Stock Cultivate]]</f>
        <v>5174</v>
      </c>
      <c r="O599" s="24">
        <f>Stock[[#This Row],[Stock Cultivate]]*Stock[[#This Row],[Precio de Venta]]</f>
        <v>10400</v>
      </c>
      <c r="R599" s="16"/>
    </row>
    <row r="600" spans="2:18">
      <c r="B600" s="44">
        <v>318</v>
      </c>
      <c r="C600" t="s">
        <v>1158</v>
      </c>
      <c r="D600" s="45">
        <v>2347</v>
      </c>
      <c r="E600" s="24">
        <v>4200</v>
      </c>
      <c r="F600" s="44">
        <f>Stock[Entradas]-Stock[Compra Cultivate]</f>
        <v>0</v>
      </c>
      <c r="G600" s="11">
        <f>SUMIFS(Compras[Cantidad],Compras[Codigo],Stock[Codigo])</f>
        <v>3</v>
      </c>
      <c r="H600" s="11">
        <f>SUMIFS(Ventas[Cantidad],Ventas[Codigo],Stock[[#This Row],[Codigo]])</f>
        <v>1</v>
      </c>
      <c r="I600" s="12">
        <f>Stock[[#This Row],[Stock Deposito]]*Stock[[#This Row],[Precio de Compra]]</f>
        <v>0</v>
      </c>
      <c r="J600" s="6">
        <f>SUMIFS(ProdDesc[Cantidad],ProdDesc[Codigo],Stock[Codigo])</f>
        <v>0</v>
      </c>
      <c r="K600" s="44">
        <f>Stock[[#This Row],[Compra Cultivate]]-Stock[[#This Row],[Salidas]]-Stock[[#This Row],[Usados]]</f>
        <v>2</v>
      </c>
      <c r="L600" s="24">
        <f>Stock[[#This Row],[Stock Deposito]]*Stock[[#This Row],[Precio de Venta]]</f>
        <v>0</v>
      </c>
      <c r="M600" s="6">
        <f>SUMIFS(Tabla9[Cantidad],Tabla9[Codigo],Stock[Codigo])</f>
        <v>3</v>
      </c>
      <c r="N600" s="24">
        <f>Stock[[#This Row],[Precio de Compra]]*Stock[[#This Row],[Stock Cultivate]]</f>
        <v>4694</v>
      </c>
      <c r="O600" s="24">
        <f>Stock[[#This Row],[Stock Cultivate]]*Stock[[#This Row],[Precio de Venta]]</f>
        <v>8400</v>
      </c>
      <c r="R600" s="16"/>
    </row>
    <row r="601" spans="2:18">
      <c r="B601" s="44">
        <v>317</v>
      </c>
      <c r="C601" t="s">
        <v>618</v>
      </c>
      <c r="D601" s="45">
        <v>1926</v>
      </c>
      <c r="E601" s="24">
        <v>3800</v>
      </c>
      <c r="F601" s="44">
        <f>Stock[Entradas]-Stock[Compra Cultivate]</f>
        <v>0</v>
      </c>
      <c r="G601" s="11">
        <f>SUMIFS(Compras[Cantidad],Compras[Codigo],Stock[Codigo])</f>
        <v>0</v>
      </c>
      <c r="H601" s="11">
        <f>SUMIFS(Ventas[Cantidad],Ventas[Codigo],Stock[[#This Row],[Codigo]])</f>
        <v>0</v>
      </c>
      <c r="I601" s="12">
        <f>Stock[[#This Row],[Stock Deposito]]*Stock[[#This Row],[Precio de Compra]]</f>
        <v>0</v>
      </c>
      <c r="J601" s="6">
        <f>SUMIFS(ProdDesc[Cantidad],ProdDesc[Codigo],Stock[Codigo])</f>
        <v>0</v>
      </c>
      <c r="K601" s="44">
        <f>Stock[[#This Row],[Compra Cultivate]]-Stock[[#This Row],[Salidas]]-Stock[[#This Row],[Usados]]</f>
        <v>0</v>
      </c>
      <c r="L601" s="24">
        <f>Stock[[#This Row],[Stock Deposito]]*Stock[[#This Row],[Precio de Venta]]</f>
        <v>0</v>
      </c>
      <c r="M601" s="6">
        <f>SUMIFS(Tabla9[Cantidad],Tabla9[Codigo],Stock[Codigo])</f>
        <v>0</v>
      </c>
      <c r="N601" s="24">
        <f>Stock[[#This Row],[Precio de Compra]]*Stock[[#This Row],[Stock Cultivate]]</f>
        <v>0</v>
      </c>
      <c r="O601" s="24">
        <f>Stock[[#This Row],[Stock Cultivate]]*Stock[[#This Row],[Precio de Venta]]</f>
        <v>0</v>
      </c>
      <c r="R601" s="16"/>
    </row>
    <row r="602" spans="2:18">
      <c r="B602" s="44">
        <v>316</v>
      </c>
      <c r="C602" t="s">
        <v>306</v>
      </c>
      <c r="D602" s="45">
        <v>900</v>
      </c>
      <c r="E602" s="24">
        <v>1800</v>
      </c>
      <c r="F602" s="44">
        <f>Stock[Entradas]-Stock[Compra Cultivate]</f>
        <v>0</v>
      </c>
      <c r="G602" s="11">
        <f>SUMIFS(Compras[Cantidad],Compras[Codigo],Stock[Codigo])</f>
        <v>1</v>
      </c>
      <c r="H602" s="11">
        <f>SUMIFS(Ventas[Cantidad],Ventas[Codigo],Stock[[#This Row],[Codigo]])</f>
        <v>0</v>
      </c>
      <c r="I602" s="12">
        <f>Stock[[#This Row],[Stock Deposito]]*Stock[[#This Row],[Precio de Compra]]</f>
        <v>0</v>
      </c>
      <c r="J602" s="6">
        <f>SUMIFS(ProdDesc[Cantidad],ProdDesc[Codigo],Stock[Codigo])</f>
        <v>0</v>
      </c>
      <c r="K602" s="44">
        <f>Stock[[#This Row],[Compra Cultivate]]-Stock[[#This Row],[Salidas]]-Stock[[#This Row],[Usados]]</f>
        <v>1</v>
      </c>
      <c r="L602" s="24">
        <f>Stock[[#This Row],[Stock Deposito]]*Stock[[#This Row],[Precio de Venta]]</f>
        <v>0</v>
      </c>
      <c r="M602" s="6">
        <f>SUMIFS(Tabla9[Cantidad],Tabla9[Codigo],Stock[Codigo])</f>
        <v>1</v>
      </c>
      <c r="N602" s="24">
        <f>Stock[[#This Row],[Precio de Compra]]*Stock[[#This Row],[Stock Cultivate]]</f>
        <v>900</v>
      </c>
      <c r="O602" s="24">
        <f>Stock[[#This Row],[Stock Cultivate]]*Stock[[#This Row],[Precio de Venta]]</f>
        <v>1800</v>
      </c>
      <c r="R602" s="16"/>
    </row>
    <row r="603" spans="2:18">
      <c r="B603" s="44">
        <v>315</v>
      </c>
      <c r="C603" t="s">
        <v>442</v>
      </c>
      <c r="D603" s="45">
        <v>1100</v>
      </c>
      <c r="E603" s="24">
        <v>2200</v>
      </c>
      <c r="F603" s="44">
        <f>Stock[Entradas]-Stock[Compra Cultivate]</f>
        <v>0</v>
      </c>
      <c r="G603" s="11">
        <f>SUMIFS(Compras[Cantidad],Compras[Codigo],Stock[Codigo])</f>
        <v>0</v>
      </c>
      <c r="H603" s="11">
        <f>SUMIFS(Ventas[Cantidad],Ventas[Codigo],Stock[[#This Row],[Codigo]])</f>
        <v>0</v>
      </c>
      <c r="I603" s="12">
        <f>Stock[[#This Row],[Stock Deposito]]*Stock[[#This Row],[Precio de Compra]]</f>
        <v>0</v>
      </c>
      <c r="J603" s="6">
        <f>SUMIFS(ProdDesc[Cantidad],ProdDesc[Codigo],Stock[Codigo])</f>
        <v>0</v>
      </c>
      <c r="K603" s="44">
        <f>Stock[[#This Row],[Compra Cultivate]]-Stock[[#This Row],[Salidas]]-Stock[[#This Row],[Usados]]</f>
        <v>0</v>
      </c>
      <c r="L603" s="24">
        <f>Stock[[#This Row],[Stock Deposito]]*Stock[[#This Row],[Precio de Venta]]</f>
        <v>0</v>
      </c>
      <c r="M603" s="6">
        <f>SUMIFS(Tabla9[Cantidad],Tabla9[Codigo],Stock[Codigo])</f>
        <v>0</v>
      </c>
      <c r="N603" s="24">
        <f>Stock[[#This Row],[Precio de Compra]]*Stock[[#This Row],[Stock Cultivate]]</f>
        <v>0</v>
      </c>
      <c r="O603" s="24">
        <f>Stock[[#This Row],[Stock Cultivate]]*Stock[[#This Row],[Precio de Venta]]</f>
        <v>0</v>
      </c>
      <c r="R603" s="16"/>
    </row>
    <row r="604" spans="2:18">
      <c r="B604" s="44">
        <v>313</v>
      </c>
      <c r="C604" t="s">
        <v>332</v>
      </c>
      <c r="D604" s="45">
        <v>500</v>
      </c>
      <c r="E604" s="24">
        <v>1000</v>
      </c>
      <c r="F604" s="44">
        <f>Stock[Entradas]-Stock[Compra Cultivate]</f>
        <v>0</v>
      </c>
      <c r="G604" s="11">
        <f>SUMIFS(Compras[Cantidad],Compras[Codigo],Stock[Codigo])</f>
        <v>0</v>
      </c>
      <c r="H604" s="11">
        <f>SUMIFS(Ventas[Cantidad],Ventas[Codigo],Stock[[#This Row],[Codigo]])</f>
        <v>0</v>
      </c>
      <c r="I604" s="12">
        <f>Stock[[#This Row],[Stock Deposito]]*Stock[[#This Row],[Precio de Compra]]</f>
        <v>0</v>
      </c>
      <c r="J604" s="6">
        <f>SUMIFS(ProdDesc[Cantidad],ProdDesc[Codigo],Stock[Codigo])</f>
        <v>0</v>
      </c>
      <c r="K604" s="44">
        <f>Stock[[#This Row],[Compra Cultivate]]-Stock[[#This Row],[Salidas]]-Stock[[#This Row],[Usados]]</f>
        <v>0</v>
      </c>
      <c r="L604" s="24">
        <f>Stock[[#This Row],[Stock Deposito]]*Stock[[#This Row],[Precio de Venta]]</f>
        <v>0</v>
      </c>
      <c r="M604" s="6">
        <f>SUMIFS(Tabla9[Cantidad],Tabla9[Codigo],Stock[Codigo])</f>
        <v>0</v>
      </c>
      <c r="N604" s="24">
        <f>Stock[[#This Row],[Precio de Compra]]*Stock[[#This Row],[Stock Cultivate]]</f>
        <v>0</v>
      </c>
      <c r="O604" s="24">
        <f>Stock[[#This Row],[Stock Cultivate]]*Stock[[#This Row],[Precio de Venta]]</f>
        <v>0</v>
      </c>
      <c r="R604" s="16"/>
    </row>
    <row r="605" spans="2:18">
      <c r="B605" s="44">
        <v>311</v>
      </c>
      <c r="C605" t="s">
        <v>305</v>
      </c>
      <c r="D605" s="45">
        <v>214</v>
      </c>
      <c r="E605" s="24">
        <v>500</v>
      </c>
      <c r="F605" s="44">
        <f>Stock[Entradas]-Stock[Compra Cultivate]</f>
        <v>0</v>
      </c>
      <c r="G605" s="11">
        <f>SUMIFS(Compras[Cantidad],Compras[Codigo],Stock[Codigo])</f>
        <v>16</v>
      </c>
      <c r="H605" s="11">
        <f>SUMIFS(Ventas[Cantidad],Ventas[Codigo],Stock[[#This Row],[Codigo]])</f>
        <v>5</v>
      </c>
      <c r="I605" s="12">
        <f>Stock[[#This Row],[Stock Deposito]]*Stock[[#This Row],[Precio de Compra]]</f>
        <v>0</v>
      </c>
      <c r="J605" s="6">
        <f>SUMIFS(ProdDesc[Cantidad],ProdDesc[Codigo],Stock[Codigo])</f>
        <v>0</v>
      </c>
      <c r="K605" s="44">
        <f>Stock[[#This Row],[Compra Cultivate]]-Stock[[#This Row],[Salidas]]-Stock[[#This Row],[Usados]]</f>
        <v>11</v>
      </c>
      <c r="L605" s="24">
        <f>Stock[[#This Row],[Stock Deposito]]*Stock[[#This Row],[Precio de Venta]]</f>
        <v>0</v>
      </c>
      <c r="M605" s="6">
        <f>SUMIFS(Tabla9[Cantidad],Tabla9[Codigo],Stock[Codigo])</f>
        <v>16</v>
      </c>
      <c r="N605" s="24">
        <f>Stock[[#This Row],[Precio de Compra]]*Stock[[#This Row],[Stock Cultivate]]</f>
        <v>2354</v>
      </c>
      <c r="O605" s="24">
        <f>Stock[[#This Row],[Stock Cultivate]]*Stock[[#This Row],[Precio de Venta]]</f>
        <v>5500</v>
      </c>
      <c r="R605" s="16"/>
    </row>
    <row r="606" spans="2:18">
      <c r="B606" s="44">
        <v>310</v>
      </c>
      <c r="C606" t="s">
        <v>304</v>
      </c>
      <c r="D606" s="45">
        <v>211</v>
      </c>
      <c r="E606" s="24">
        <v>400</v>
      </c>
      <c r="F606" s="44">
        <f>Stock[Entradas]-Stock[Compra Cultivate]</f>
        <v>0</v>
      </c>
      <c r="G606" s="11">
        <f>SUMIFS(Compras[Cantidad],Compras[Codigo],Stock[Codigo])</f>
        <v>15</v>
      </c>
      <c r="H606" s="11">
        <f>SUMIFS(Ventas[Cantidad],Ventas[Codigo],Stock[[#This Row],[Codigo]])</f>
        <v>15</v>
      </c>
      <c r="I606" s="12">
        <f>Stock[[#This Row],[Stock Deposito]]*Stock[[#This Row],[Precio de Compra]]</f>
        <v>0</v>
      </c>
      <c r="J606" s="6">
        <f>SUMIFS(ProdDesc[Cantidad],ProdDesc[Codigo],Stock[Codigo])</f>
        <v>0</v>
      </c>
      <c r="K606" s="44">
        <f>Stock[[#This Row],[Compra Cultivate]]-Stock[[#This Row],[Salidas]]-Stock[[#This Row],[Usados]]</f>
        <v>0</v>
      </c>
      <c r="L606" s="24">
        <f>Stock[[#This Row],[Stock Deposito]]*Stock[[#This Row],[Precio de Venta]]</f>
        <v>0</v>
      </c>
      <c r="M606" s="6">
        <f>SUMIFS(Tabla9[Cantidad],Tabla9[Codigo],Stock[Codigo])</f>
        <v>15</v>
      </c>
      <c r="N606" s="24">
        <f>Stock[[#This Row],[Precio de Compra]]*Stock[[#This Row],[Stock Cultivate]]</f>
        <v>0</v>
      </c>
      <c r="O606" s="24">
        <f>Stock[[#This Row],[Stock Cultivate]]*Stock[[#This Row],[Precio de Venta]]</f>
        <v>0</v>
      </c>
      <c r="R606" s="16"/>
    </row>
    <row r="607" spans="2:18">
      <c r="B607" s="44">
        <v>309</v>
      </c>
      <c r="C607" t="s">
        <v>303</v>
      </c>
      <c r="D607" s="45">
        <v>123</v>
      </c>
      <c r="E607" s="24">
        <v>250</v>
      </c>
      <c r="F607" s="44">
        <f>Stock[Entradas]-Stock[Compra Cultivate]</f>
        <v>0</v>
      </c>
      <c r="G607" s="11">
        <f>SUMIFS(Compras[Cantidad],Compras[Codigo],Stock[Codigo])</f>
        <v>6</v>
      </c>
      <c r="H607" s="11">
        <f>SUMIFS(Ventas[Cantidad],Ventas[Codigo],Stock[[#This Row],[Codigo]])</f>
        <v>6</v>
      </c>
      <c r="I607" s="12">
        <f>Stock[[#This Row],[Stock Deposito]]*Stock[[#This Row],[Precio de Compra]]</f>
        <v>0</v>
      </c>
      <c r="J607" s="6">
        <f>SUMIFS(ProdDesc[Cantidad],ProdDesc[Codigo],Stock[Codigo])</f>
        <v>0</v>
      </c>
      <c r="K607" s="44">
        <f>Stock[[#This Row],[Compra Cultivate]]-Stock[[#This Row],[Salidas]]-Stock[[#This Row],[Usados]]</f>
        <v>0</v>
      </c>
      <c r="L607" s="24">
        <f>Stock[[#This Row],[Stock Deposito]]*Stock[[#This Row],[Precio de Venta]]</f>
        <v>0</v>
      </c>
      <c r="M607" s="6">
        <f>SUMIFS(Tabla9[Cantidad],Tabla9[Codigo],Stock[Codigo])</f>
        <v>6</v>
      </c>
      <c r="N607" s="24">
        <f>Stock[[#This Row],[Precio de Compra]]*Stock[[#This Row],[Stock Cultivate]]</f>
        <v>0</v>
      </c>
      <c r="O607" s="24">
        <f>Stock[[#This Row],[Stock Cultivate]]*Stock[[#This Row],[Precio de Venta]]</f>
        <v>0</v>
      </c>
      <c r="R607" s="16"/>
    </row>
    <row r="608" spans="2:18">
      <c r="B608" s="44">
        <v>308</v>
      </c>
      <c r="C608" t="s">
        <v>302</v>
      </c>
      <c r="D608" s="45">
        <v>73</v>
      </c>
      <c r="E608" s="24">
        <v>150</v>
      </c>
      <c r="F608" s="44">
        <f>Stock[Entradas]-Stock[Compra Cultivate]</f>
        <v>50</v>
      </c>
      <c r="G608" s="11">
        <f>SUMIFS(Compras[Cantidad],Compras[Codigo],Stock[Codigo])</f>
        <v>125</v>
      </c>
      <c r="H608" s="11">
        <f>SUMIFS(Ventas[Cantidad],Ventas[Codigo],Stock[[#This Row],[Codigo]])</f>
        <v>38</v>
      </c>
      <c r="I608" s="12">
        <f>Stock[[#This Row],[Stock Deposito]]*Stock[[#This Row],[Precio de Compra]]</f>
        <v>3650</v>
      </c>
      <c r="J608" s="6">
        <f>SUMIFS(ProdDesc[Cantidad],ProdDesc[Codigo],Stock[Codigo])</f>
        <v>0</v>
      </c>
      <c r="K608" s="44">
        <f>Stock[[#This Row],[Compra Cultivate]]-Stock[[#This Row],[Salidas]]-Stock[[#This Row],[Usados]]</f>
        <v>37</v>
      </c>
      <c r="L608" s="24">
        <f>Stock[[#This Row],[Stock Deposito]]*Stock[[#This Row],[Precio de Venta]]</f>
        <v>7500</v>
      </c>
      <c r="M608" s="6">
        <f>SUMIFS(Tabla9[Cantidad],Tabla9[Codigo],Stock[Codigo])</f>
        <v>75</v>
      </c>
      <c r="N608" s="24">
        <f>Stock[[#This Row],[Precio de Compra]]*Stock[[#This Row],[Stock Cultivate]]</f>
        <v>2701</v>
      </c>
      <c r="O608" s="24">
        <f>Stock[[#This Row],[Stock Cultivate]]*Stock[[#This Row],[Precio de Venta]]</f>
        <v>5550</v>
      </c>
      <c r="R608" s="16"/>
    </row>
    <row r="609" spans="2:18">
      <c r="B609" s="44">
        <v>307</v>
      </c>
      <c r="C609" t="s">
        <v>301</v>
      </c>
      <c r="D609" s="45">
        <v>12</v>
      </c>
      <c r="E609" s="24">
        <v>50</v>
      </c>
      <c r="F609" s="44">
        <f>Stock[Entradas]-Stock[Compra Cultivate]</f>
        <v>58</v>
      </c>
      <c r="G609" s="11">
        <f>SUMIFS(Compras[Cantidad],Compras[Codigo],Stock[Codigo])</f>
        <v>65</v>
      </c>
      <c r="H609" s="11">
        <f>SUMIFS(Ventas[Cantidad],Ventas[Codigo],Stock[[#This Row],[Codigo]])</f>
        <v>2</v>
      </c>
      <c r="I609" s="12">
        <f>Stock[[#This Row],[Stock Deposito]]*Stock[[#This Row],[Precio de Compra]]</f>
        <v>696</v>
      </c>
      <c r="J609" s="6">
        <f>SUMIFS(ProdDesc[Cantidad],ProdDesc[Codigo],Stock[Codigo])</f>
        <v>5</v>
      </c>
      <c r="K609" s="44">
        <f>Stock[[#This Row],[Compra Cultivate]]-Stock[[#This Row],[Salidas]]-Stock[[#This Row],[Usados]]</f>
        <v>0</v>
      </c>
      <c r="L609" s="24">
        <f>Stock[[#This Row],[Stock Deposito]]*Stock[[#This Row],[Precio de Venta]]</f>
        <v>2900</v>
      </c>
      <c r="M609" s="6">
        <f>SUMIFS(Tabla9[Cantidad],Tabla9[Codigo],Stock[Codigo])</f>
        <v>7</v>
      </c>
      <c r="N609" s="24">
        <f>Stock[[#This Row],[Precio de Compra]]*Stock[[#This Row],[Stock Cultivate]]</f>
        <v>0</v>
      </c>
      <c r="O609" s="24">
        <f>Stock[[#This Row],[Stock Cultivate]]*Stock[[#This Row],[Precio de Venta]]</f>
        <v>0</v>
      </c>
      <c r="R609" s="16"/>
    </row>
    <row r="610" spans="2:18">
      <c r="B610" s="44">
        <v>306</v>
      </c>
      <c r="C610" t="s">
        <v>307</v>
      </c>
      <c r="D610" s="45">
        <v>1926</v>
      </c>
      <c r="E610" s="24">
        <v>4000</v>
      </c>
      <c r="F610" s="44">
        <f>Stock[Entradas]-Stock[Compra Cultivate]</f>
        <v>0</v>
      </c>
      <c r="G610" s="11">
        <f>SUMIFS(Compras[Cantidad],Compras[Codigo],Stock[Codigo])</f>
        <v>4</v>
      </c>
      <c r="H610" s="11">
        <f>SUMIFS(Ventas[Cantidad],Ventas[Codigo],Stock[[#This Row],[Codigo]])</f>
        <v>4</v>
      </c>
      <c r="I610" s="12">
        <f>Stock[[#This Row],[Stock Deposito]]*Stock[[#This Row],[Precio de Compra]]</f>
        <v>0</v>
      </c>
      <c r="J610" s="6">
        <f>SUMIFS(ProdDesc[Cantidad],ProdDesc[Codigo],Stock[Codigo])</f>
        <v>0</v>
      </c>
      <c r="K610" s="44">
        <f>Stock[[#This Row],[Compra Cultivate]]-Stock[[#This Row],[Salidas]]-Stock[[#This Row],[Usados]]</f>
        <v>0</v>
      </c>
      <c r="L610" s="24">
        <f>Stock[[#This Row],[Stock Deposito]]*Stock[[#This Row],[Precio de Venta]]</f>
        <v>0</v>
      </c>
      <c r="M610" s="6">
        <f>SUMIFS(Tabla9[Cantidad],Tabla9[Codigo],Stock[Codigo])</f>
        <v>4</v>
      </c>
      <c r="N610" s="24">
        <f>Stock[[#This Row],[Precio de Compra]]*Stock[[#This Row],[Stock Cultivate]]</f>
        <v>0</v>
      </c>
      <c r="O610" s="24">
        <f>Stock[[#This Row],[Stock Cultivate]]*Stock[[#This Row],[Precio de Venta]]</f>
        <v>0</v>
      </c>
      <c r="R610" s="16"/>
    </row>
    <row r="611" spans="2:18">
      <c r="B611" s="44">
        <v>305</v>
      </c>
      <c r="C611" t="s">
        <v>300</v>
      </c>
      <c r="D611" s="45">
        <v>1815</v>
      </c>
      <c r="E611" s="24">
        <v>3500</v>
      </c>
      <c r="F611" s="44">
        <f>Stock[Entradas]-Stock[Compra Cultivate]</f>
        <v>0</v>
      </c>
      <c r="G611" s="11">
        <f>SUMIFS(Compras[Cantidad],Compras[Codigo],Stock[Codigo])</f>
        <v>0</v>
      </c>
      <c r="H611" s="11">
        <f>SUMIFS(Ventas[Cantidad],Ventas[Codigo],Stock[[#This Row],[Codigo]])</f>
        <v>1</v>
      </c>
      <c r="I611" s="12">
        <f>Stock[[#This Row],[Stock Deposito]]*Stock[[#This Row],[Precio de Compra]]</f>
        <v>0</v>
      </c>
      <c r="J611" s="6">
        <f>SUMIFS(ProdDesc[Cantidad],ProdDesc[Codigo],Stock[Codigo])</f>
        <v>0</v>
      </c>
      <c r="K611" s="44">
        <f>Stock[[#This Row],[Compra Cultivate]]-Stock[[#This Row],[Salidas]]-Stock[[#This Row],[Usados]]</f>
        <v>-1</v>
      </c>
      <c r="L611" s="24">
        <f>Stock[[#This Row],[Stock Deposito]]*Stock[[#This Row],[Precio de Venta]]</f>
        <v>0</v>
      </c>
      <c r="M611" s="6">
        <f>SUMIFS(Tabla9[Cantidad],Tabla9[Codigo],Stock[Codigo])</f>
        <v>0</v>
      </c>
      <c r="N611" s="24">
        <f>Stock[[#This Row],[Precio de Compra]]*Stock[[#This Row],[Stock Cultivate]]</f>
        <v>-1815</v>
      </c>
      <c r="O611" s="24">
        <f>Stock[[#This Row],[Stock Cultivate]]*Stock[[#This Row],[Precio de Venta]]</f>
        <v>-3500</v>
      </c>
      <c r="R611" s="16"/>
    </row>
    <row r="612" spans="2:18">
      <c r="B612" s="44">
        <v>304</v>
      </c>
      <c r="C612" t="s">
        <v>299</v>
      </c>
      <c r="D612" s="45">
        <v>1095</v>
      </c>
      <c r="E612" s="24">
        <v>2000</v>
      </c>
      <c r="F612" s="44">
        <f>Stock[Entradas]-Stock[Compra Cultivate]</f>
        <v>0</v>
      </c>
      <c r="G612" s="11">
        <f>SUMIFS(Compras[Cantidad],Compras[Codigo],Stock[Codigo])</f>
        <v>0</v>
      </c>
      <c r="H612" s="11">
        <f>SUMIFS(Ventas[Cantidad],Ventas[Codigo],Stock[[#This Row],[Codigo]])</f>
        <v>0</v>
      </c>
      <c r="I612" s="12">
        <f>Stock[[#This Row],[Stock Deposito]]*Stock[[#This Row],[Precio de Compra]]</f>
        <v>0</v>
      </c>
      <c r="J612" s="6">
        <f>SUMIFS(ProdDesc[Cantidad],ProdDesc[Codigo],Stock[Codigo])</f>
        <v>0</v>
      </c>
      <c r="K612" s="44">
        <f>Stock[[#This Row],[Compra Cultivate]]-Stock[[#This Row],[Salidas]]-Stock[[#This Row],[Usados]]</f>
        <v>0</v>
      </c>
      <c r="L612" s="24">
        <f>Stock[[#This Row],[Stock Deposito]]*Stock[[#This Row],[Precio de Venta]]</f>
        <v>0</v>
      </c>
      <c r="M612" s="6">
        <f>SUMIFS(Tabla9[Cantidad],Tabla9[Codigo],Stock[Codigo])</f>
        <v>0</v>
      </c>
      <c r="N612" s="24">
        <f>Stock[[#This Row],[Precio de Compra]]*Stock[[#This Row],[Stock Cultivate]]</f>
        <v>0</v>
      </c>
      <c r="O612" s="24">
        <f>Stock[[#This Row],[Stock Cultivate]]*Stock[[#This Row],[Precio de Venta]]</f>
        <v>0</v>
      </c>
      <c r="R612" s="16"/>
    </row>
    <row r="613" spans="2:18">
      <c r="B613" s="44">
        <v>303</v>
      </c>
      <c r="C613" t="s">
        <v>298</v>
      </c>
      <c r="D613" s="45">
        <v>540</v>
      </c>
      <c r="E613" s="24">
        <v>1000</v>
      </c>
      <c r="F613" s="44">
        <f>Stock[Entradas]-Stock[Compra Cultivate]</f>
        <v>0</v>
      </c>
      <c r="G613" s="11">
        <f>SUMIFS(Compras[Cantidad],Compras[Codigo],Stock[Codigo])</f>
        <v>2</v>
      </c>
      <c r="H613" s="11">
        <f>SUMIFS(Ventas[Cantidad],Ventas[Codigo],Stock[[#This Row],[Codigo]])</f>
        <v>0</v>
      </c>
      <c r="I613" s="12">
        <f>Stock[[#This Row],[Stock Deposito]]*Stock[[#This Row],[Precio de Compra]]</f>
        <v>0</v>
      </c>
      <c r="J613" s="6">
        <f>SUMIFS(ProdDesc[Cantidad],ProdDesc[Codigo],Stock[Codigo])</f>
        <v>1</v>
      </c>
      <c r="K613" s="44">
        <f>Stock[[#This Row],[Compra Cultivate]]-Stock[[#This Row],[Salidas]]-Stock[[#This Row],[Usados]]</f>
        <v>1</v>
      </c>
      <c r="L613" s="24">
        <f>Stock[[#This Row],[Stock Deposito]]*Stock[[#This Row],[Precio de Venta]]</f>
        <v>0</v>
      </c>
      <c r="M613" s="6">
        <f>SUMIFS(Tabla9[Cantidad],Tabla9[Codigo],Stock[Codigo])</f>
        <v>2</v>
      </c>
      <c r="N613" s="24">
        <f>Stock[[#This Row],[Precio de Compra]]*Stock[[#This Row],[Stock Cultivate]]</f>
        <v>540</v>
      </c>
      <c r="O613" s="24">
        <f>Stock[[#This Row],[Stock Cultivate]]*Stock[[#This Row],[Precio de Venta]]</f>
        <v>1000</v>
      </c>
      <c r="R613" s="16"/>
    </row>
    <row r="614" spans="2:18">
      <c r="B614" s="44">
        <v>302</v>
      </c>
      <c r="C614" t="s">
        <v>297</v>
      </c>
      <c r="D614" s="45">
        <v>132</v>
      </c>
      <c r="E614" s="24">
        <v>250</v>
      </c>
      <c r="F614" s="44">
        <f>Stock[Entradas]-Stock[Compra Cultivate]</f>
        <v>0</v>
      </c>
      <c r="G614" s="11">
        <f>SUMIFS(Compras[Cantidad],Compras[Codigo],Stock[Codigo])</f>
        <v>19</v>
      </c>
      <c r="H614" s="11">
        <f>SUMIFS(Ventas[Cantidad],Ventas[Codigo],Stock[[#This Row],[Codigo]])</f>
        <v>0</v>
      </c>
      <c r="I614" s="12">
        <f>Stock[[#This Row],[Stock Deposito]]*Stock[[#This Row],[Precio de Compra]]</f>
        <v>0</v>
      </c>
      <c r="J614" s="6">
        <f>SUMIFS(ProdDesc[Cantidad],ProdDesc[Codigo],Stock[Codigo])</f>
        <v>0</v>
      </c>
      <c r="K614" s="44">
        <f>Stock[[#This Row],[Compra Cultivate]]-Stock[[#This Row],[Salidas]]-Stock[[#This Row],[Usados]]</f>
        <v>19</v>
      </c>
      <c r="L614" s="24">
        <f>Stock[[#This Row],[Stock Deposito]]*Stock[[#This Row],[Precio de Venta]]</f>
        <v>0</v>
      </c>
      <c r="M614" s="6">
        <f>SUMIFS(Tabla9[Cantidad],Tabla9[Codigo],Stock[Codigo])</f>
        <v>19</v>
      </c>
      <c r="N614" s="24">
        <f>Stock[[#This Row],[Precio de Compra]]*Stock[[#This Row],[Stock Cultivate]]</f>
        <v>2508</v>
      </c>
      <c r="O614" s="24">
        <f>Stock[[#This Row],[Stock Cultivate]]*Stock[[#This Row],[Precio de Venta]]</f>
        <v>4750</v>
      </c>
      <c r="R614" s="16"/>
    </row>
    <row r="615" spans="2:18">
      <c r="B615" s="44">
        <v>301</v>
      </c>
      <c r="C615" t="s">
        <v>296</v>
      </c>
      <c r="D615" s="45">
        <v>175</v>
      </c>
      <c r="E615" s="24">
        <v>300</v>
      </c>
      <c r="F615" s="44">
        <f>Stock[Entradas]-Stock[Compra Cultivate]</f>
        <v>0</v>
      </c>
      <c r="G615" s="11">
        <f>SUMIFS(Compras[Cantidad],Compras[Codigo],Stock[Codigo])</f>
        <v>15</v>
      </c>
      <c r="H615" s="11">
        <f>SUMIFS(Ventas[Cantidad],Ventas[Codigo],Stock[[#This Row],[Codigo]])</f>
        <v>7</v>
      </c>
      <c r="I615" s="12">
        <f>Stock[[#This Row],[Stock Deposito]]*Stock[[#This Row],[Precio de Compra]]</f>
        <v>0</v>
      </c>
      <c r="J615" s="6">
        <f>SUMIFS(ProdDesc[Cantidad],ProdDesc[Codigo],Stock[Codigo])</f>
        <v>0</v>
      </c>
      <c r="K615" s="44">
        <f>Stock[[#This Row],[Compra Cultivate]]-Stock[[#This Row],[Salidas]]-Stock[[#This Row],[Usados]]</f>
        <v>8</v>
      </c>
      <c r="L615" s="24">
        <f>Stock[[#This Row],[Stock Deposito]]*Stock[[#This Row],[Precio de Venta]]</f>
        <v>0</v>
      </c>
      <c r="M615" s="6">
        <f>SUMIFS(Tabla9[Cantidad],Tabla9[Codigo],Stock[Codigo])</f>
        <v>15</v>
      </c>
      <c r="N615" s="24">
        <f>Stock[[#This Row],[Precio de Compra]]*Stock[[#This Row],[Stock Cultivate]]</f>
        <v>1400</v>
      </c>
      <c r="O615" s="24">
        <f>Stock[[#This Row],[Stock Cultivate]]*Stock[[#This Row],[Precio de Venta]]</f>
        <v>2400</v>
      </c>
      <c r="R615" s="16"/>
    </row>
    <row r="616" spans="2:18">
      <c r="B616" s="44">
        <v>300</v>
      </c>
      <c r="C616" t="s">
        <v>295</v>
      </c>
      <c r="D616" s="45">
        <v>300</v>
      </c>
      <c r="E616" s="24">
        <v>600</v>
      </c>
      <c r="F616" s="44">
        <f>Stock[Entradas]-Stock[Compra Cultivate]</f>
        <v>0</v>
      </c>
      <c r="G616" s="11">
        <f>SUMIFS(Compras[Cantidad],Compras[Codigo],Stock[Codigo])</f>
        <v>0</v>
      </c>
      <c r="H616" s="11">
        <f>SUMIFS(Ventas[Cantidad],Ventas[Codigo],Stock[[#This Row],[Codigo]])</f>
        <v>0</v>
      </c>
      <c r="I616" s="12">
        <f>Stock[[#This Row],[Stock Deposito]]*Stock[[#This Row],[Precio de Compra]]</f>
        <v>0</v>
      </c>
      <c r="J616" s="6">
        <f>SUMIFS(ProdDesc[Cantidad],ProdDesc[Codigo],Stock[Codigo])</f>
        <v>0</v>
      </c>
      <c r="K616" s="44">
        <f>Stock[[#This Row],[Compra Cultivate]]-Stock[[#This Row],[Salidas]]-Stock[[#This Row],[Usados]]</f>
        <v>0</v>
      </c>
      <c r="L616" s="24">
        <f>Stock[[#This Row],[Stock Deposito]]*Stock[[#This Row],[Precio de Venta]]</f>
        <v>0</v>
      </c>
      <c r="M616" s="6">
        <f>SUMIFS(Tabla9[Cantidad],Tabla9[Codigo],Stock[Codigo])</f>
        <v>0</v>
      </c>
      <c r="N616" s="24">
        <f>Stock[[#This Row],[Precio de Compra]]*Stock[[#This Row],[Stock Cultivate]]</f>
        <v>0</v>
      </c>
      <c r="O616" s="24">
        <f>Stock[[#This Row],[Stock Cultivate]]*Stock[[#This Row],[Precio de Venta]]</f>
        <v>0</v>
      </c>
      <c r="R616" s="16"/>
    </row>
    <row r="617" spans="2:18">
      <c r="B617" s="44">
        <v>299</v>
      </c>
      <c r="C617" t="s">
        <v>294</v>
      </c>
      <c r="D617" s="45">
        <v>1200</v>
      </c>
      <c r="E617" s="24">
        <v>2500</v>
      </c>
      <c r="F617" s="44">
        <f>Stock[Entradas]-Stock[Compra Cultivate]</f>
        <v>0</v>
      </c>
      <c r="G617" s="11">
        <f>SUMIFS(Compras[Cantidad],Compras[Codigo],Stock[Codigo])</f>
        <v>2</v>
      </c>
      <c r="H617" s="11">
        <f>SUMIFS(Ventas[Cantidad],Ventas[Codigo],Stock[[#This Row],[Codigo]])</f>
        <v>2</v>
      </c>
      <c r="I617" s="12">
        <f>Stock[[#This Row],[Stock Deposito]]*Stock[[#This Row],[Precio de Compra]]</f>
        <v>0</v>
      </c>
      <c r="J617" s="6">
        <f>SUMIFS(ProdDesc[Cantidad],ProdDesc[Codigo],Stock[Codigo])</f>
        <v>0</v>
      </c>
      <c r="K617" s="44">
        <f>Stock[[#This Row],[Compra Cultivate]]-Stock[[#This Row],[Salidas]]-Stock[[#This Row],[Usados]]</f>
        <v>0</v>
      </c>
      <c r="L617" s="24">
        <f>Stock[[#This Row],[Stock Deposito]]*Stock[[#This Row],[Precio de Venta]]</f>
        <v>0</v>
      </c>
      <c r="M617" s="6">
        <f>SUMIFS(Tabla9[Cantidad],Tabla9[Codigo],Stock[Codigo])</f>
        <v>2</v>
      </c>
      <c r="N617" s="24">
        <f>Stock[[#This Row],[Precio de Compra]]*Stock[[#This Row],[Stock Cultivate]]</f>
        <v>0</v>
      </c>
      <c r="O617" s="24">
        <f>Stock[[#This Row],[Stock Cultivate]]*Stock[[#This Row],[Precio de Venta]]</f>
        <v>0</v>
      </c>
      <c r="R617" s="16"/>
    </row>
    <row r="618" spans="2:18">
      <c r="B618" s="44">
        <v>298</v>
      </c>
      <c r="C618" t="s">
        <v>293</v>
      </c>
      <c r="D618" s="45">
        <v>1200</v>
      </c>
      <c r="E618" s="24">
        <v>2500</v>
      </c>
      <c r="F618" s="44">
        <f>Stock[Entradas]-Stock[Compra Cultivate]</f>
        <v>0</v>
      </c>
      <c r="G618" s="11">
        <f>SUMIFS(Compras[Cantidad],Compras[Codigo],Stock[Codigo])</f>
        <v>0</v>
      </c>
      <c r="H618" s="11">
        <f>SUMIFS(Ventas[Cantidad],Ventas[Codigo],Stock[[#This Row],[Codigo]])</f>
        <v>0</v>
      </c>
      <c r="I618" s="12">
        <f>Stock[[#This Row],[Stock Deposito]]*Stock[[#This Row],[Precio de Compra]]</f>
        <v>0</v>
      </c>
      <c r="J618" s="6">
        <f>SUMIFS(ProdDesc[Cantidad],ProdDesc[Codigo],Stock[Codigo])</f>
        <v>0</v>
      </c>
      <c r="K618" s="44">
        <f>Stock[[#This Row],[Compra Cultivate]]-Stock[[#This Row],[Salidas]]-Stock[[#This Row],[Usados]]</f>
        <v>0</v>
      </c>
      <c r="L618" s="24">
        <f>Stock[[#This Row],[Stock Deposito]]*Stock[[#This Row],[Precio de Venta]]</f>
        <v>0</v>
      </c>
      <c r="M618" s="6">
        <f>SUMIFS(Tabla9[Cantidad],Tabla9[Codigo],Stock[Codigo])</f>
        <v>0</v>
      </c>
      <c r="N618" s="24">
        <f>Stock[[#This Row],[Precio de Compra]]*Stock[[#This Row],[Stock Cultivate]]</f>
        <v>0</v>
      </c>
      <c r="O618" s="24">
        <f>Stock[[#This Row],[Stock Cultivate]]*Stock[[#This Row],[Precio de Venta]]</f>
        <v>0</v>
      </c>
      <c r="R618" s="16"/>
    </row>
    <row r="619" spans="2:18">
      <c r="B619" s="44">
        <v>297</v>
      </c>
      <c r="C619" t="s">
        <v>292</v>
      </c>
      <c r="D619" s="45">
        <v>1200</v>
      </c>
      <c r="E619" s="24">
        <v>2500</v>
      </c>
      <c r="F619" s="44">
        <f>Stock[Entradas]-Stock[Compra Cultivate]</f>
        <v>0</v>
      </c>
      <c r="G619" s="11">
        <f>SUMIFS(Compras[Cantidad],Compras[Codigo],Stock[Codigo])</f>
        <v>1</v>
      </c>
      <c r="H619" s="11">
        <f>SUMIFS(Ventas[Cantidad],Ventas[Codigo],Stock[[#This Row],[Codigo]])</f>
        <v>0</v>
      </c>
      <c r="I619" s="12">
        <f>Stock[[#This Row],[Stock Deposito]]*Stock[[#This Row],[Precio de Compra]]</f>
        <v>0</v>
      </c>
      <c r="J619" s="6">
        <f>SUMIFS(ProdDesc[Cantidad],ProdDesc[Codigo],Stock[Codigo])</f>
        <v>1</v>
      </c>
      <c r="K619" s="44">
        <f>Stock[[#This Row],[Compra Cultivate]]-Stock[[#This Row],[Salidas]]-Stock[[#This Row],[Usados]]</f>
        <v>0</v>
      </c>
      <c r="L619" s="24">
        <f>Stock[[#This Row],[Stock Deposito]]*Stock[[#This Row],[Precio de Venta]]</f>
        <v>0</v>
      </c>
      <c r="M619" s="6">
        <f>SUMIFS(Tabla9[Cantidad],Tabla9[Codigo],Stock[Codigo])</f>
        <v>1</v>
      </c>
      <c r="N619" s="24">
        <f>Stock[[#This Row],[Precio de Compra]]*Stock[[#This Row],[Stock Cultivate]]</f>
        <v>0</v>
      </c>
      <c r="O619" s="24">
        <f>Stock[[#This Row],[Stock Cultivate]]*Stock[[#This Row],[Precio de Venta]]</f>
        <v>0</v>
      </c>
      <c r="R619" s="16"/>
    </row>
    <row r="620" spans="2:18">
      <c r="B620" s="44">
        <v>296</v>
      </c>
      <c r="C620" t="s">
        <v>291</v>
      </c>
      <c r="D620" s="45">
        <v>1095</v>
      </c>
      <c r="E620" s="24">
        <v>2500</v>
      </c>
      <c r="F620" s="44">
        <f>Stock[Entradas]-Stock[Compra Cultivate]</f>
        <v>0</v>
      </c>
      <c r="G620" s="11">
        <f>SUMIFS(Compras[Cantidad],Compras[Codigo],Stock[Codigo])</f>
        <v>4</v>
      </c>
      <c r="H620" s="11">
        <f>SUMIFS(Ventas[Cantidad],Ventas[Codigo],Stock[[#This Row],[Codigo]])</f>
        <v>0</v>
      </c>
      <c r="I620" s="12">
        <f>Stock[[#This Row],[Stock Deposito]]*Stock[[#This Row],[Precio de Compra]]</f>
        <v>0</v>
      </c>
      <c r="J620" s="6">
        <f>SUMIFS(ProdDesc[Cantidad],ProdDesc[Codigo],Stock[Codigo])</f>
        <v>0</v>
      </c>
      <c r="K620" s="44">
        <f>Stock[[#This Row],[Compra Cultivate]]-Stock[[#This Row],[Salidas]]-Stock[[#This Row],[Usados]]</f>
        <v>4</v>
      </c>
      <c r="L620" s="24">
        <f>Stock[[#This Row],[Stock Deposito]]*Stock[[#This Row],[Precio de Venta]]</f>
        <v>0</v>
      </c>
      <c r="M620" s="6">
        <f>SUMIFS(Tabla9[Cantidad],Tabla9[Codigo],Stock[Codigo])</f>
        <v>4</v>
      </c>
      <c r="N620" s="24">
        <f>Stock[[#This Row],[Precio de Compra]]*Stock[[#This Row],[Stock Cultivate]]</f>
        <v>4380</v>
      </c>
      <c r="O620" s="24">
        <f>Stock[[#This Row],[Stock Cultivate]]*Stock[[#This Row],[Precio de Venta]]</f>
        <v>10000</v>
      </c>
      <c r="R620" s="16"/>
    </row>
    <row r="621" spans="2:18">
      <c r="B621" s="44">
        <v>295</v>
      </c>
      <c r="C621" t="s">
        <v>290</v>
      </c>
      <c r="D621" s="45">
        <v>144</v>
      </c>
      <c r="E621" s="24">
        <v>300</v>
      </c>
      <c r="F621" s="44">
        <f>Stock[Entradas]-Stock[Compra Cultivate]</f>
        <v>0</v>
      </c>
      <c r="G621" s="11">
        <f>SUMIFS(Compras[Cantidad],Compras[Codigo],Stock[Codigo])</f>
        <v>0</v>
      </c>
      <c r="H621" s="11">
        <f>SUMIFS(Ventas[Cantidad],Ventas[Codigo],Stock[[#This Row],[Codigo]])</f>
        <v>0</v>
      </c>
      <c r="I621" s="12">
        <f>Stock[[#This Row],[Stock Deposito]]*Stock[[#This Row],[Precio de Compra]]</f>
        <v>0</v>
      </c>
      <c r="J621" s="6">
        <f>SUMIFS(ProdDesc[Cantidad],ProdDesc[Codigo],Stock[Codigo])</f>
        <v>0</v>
      </c>
      <c r="K621" s="44">
        <f>Stock[[#This Row],[Compra Cultivate]]-Stock[[#This Row],[Salidas]]-Stock[[#This Row],[Usados]]</f>
        <v>0</v>
      </c>
      <c r="L621" s="24">
        <f>Stock[[#This Row],[Stock Deposito]]*Stock[[#This Row],[Precio de Venta]]</f>
        <v>0</v>
      </c>
      <c r="M621" s="6">
        <f>SUMIFS(Tabla9[Cantidad],Tabla9[Codigo],Stock[Codigo])</f>
        <v>0</v>
      </c>
      <c r="N621" s="24">
        <f>Stock[[#This Row],[Precio de Compra]]*Stock[[#This Row],[Stock Cultivate]]</f>
        <v>0</v>
      </c>
      <c r="O621" s="24">
        <f>Stock[[#This Row],[Stock Cultivate]]*Stock[[#This Row],[Precio de Venta]]</f>
        <v>0</v>
      </c>
      <c r="R621" s="16"/>
    </row>
    <row r="622" spans="2:18">
      <c r="B622" s="44">
        <v>294</v>
      </c>
      <c r="C622" t="s">
        <v>289</v>
      </c>
      <c r="D622" s="45">
        <v>180</v>
      </c>
      <c r="E622" s="24">
        <v>350</v>
      </c>
      <c r="F622" s="44">
        <f>Stock[Entradas]-Stock[Compra Cultivate]</f>
        <v>0</v>
      </c>
      <c r="G622" s="11">
        <f>SUMIFS(Compras[Cantidad],Compras[Codigo],Stock[Codigo])</f>
        <v>0</v>
      </c>
      <c r="H622" s="11">
        <f>SUMIFS(Ventas[Cantidad],Ventas[Codigo],Stock[[#This Row],[Codigo]])</f>
        <v>0</v>
      </c>
      <c r="I622" s="12">
        <f>Stock[[#This Row],[Stock Deposito]]*Stock[[#This Row],[Precio de Compra]]</f>
        <v>0</v>
      </c>
      <c r="J622" s="6">
        <f>SUMIFS(ProdDesc[Cantidad],ProdDesc[Codigo],Stock[Codigo])</f>
        <v>0</v>
      </c>
      <c r="K622" s="44">
        <f>Stock[[#This Row],[Compra Cultivate]]-Stock[[#This Row],[Salidas]]-Stock[[#This Row],[Usados]]</f>
        <v>0</v>
      </c>
      <c r="L622" s="24">
        <f>Stock[[#This Row],[Stock Deposito]]*Stock[[#This Row],[Precio de Venta]]</f>
        <v>0</v>
      </c>
      <c r="M622" s="6">
        <f>SUMIFS(Tabla9[Cantidad],Tabla9[Codigo],Stock[Codigo])</f>
        <v>0</v>
      </c>
      <c r="N622" s="24">
        <f>Stock[[#This Row],[Precio de Compra]]*Stock[[#This Row],[Stock Cultivate]]</f>
        <v>0</v>
      </c>
      <c r="O622" s="24">
        <f>Stock[[#This Row],[Stock Cultivate]]*Stock[[#This Row],[Precio de Venta]]</f>
        <v>0</v>
      </c>
      <c r="R622" s="16"/>
    </row>
    <row r="623" spans="2:18">
      <c r="B623" s="44">
        <v>293</v>
      </c>
      <c r="C623" t="s">
        <v>288</v>
      </c>
      <c r="D623" s="45">
        <v>144</v>
      </c>
      <c r="E623" s="24">
        <v>300</v>
      </c>
      <c r="F623" s="44">
        <f>Stock[Entradas]-Stock[Compra Cultivate]</f>
        <v>0</v>
      </c>
      <c r="G623" s="11">
        <f>SUMIFS(Compras[Cantidad],Compras[Codigo],Stock[Codigo])</f>
        <v>4</v>
      </c>
      <c r="H623" s="11">
        <f>SUMIFS(Ventas[Cantidad],Ventas[Codigo],Stock[[#This Row],[Codigo]])</f>
        <v>0</v>
      </c>
      <c r="I623" s="12">
        <f>Stock[[#This Row],[Stock Deposito]]*Stock[[#This Row],[Precio de Compra]]</f>
        <v>0</v>
      </c>
      <c r="J623" s="6">
        <f>SUMIFS(ProdDesc[Cantidad],ProdDesc[Codigo],Stock[Codigo])</f>
        <v>4</v>
      </c>
      <c r="K623" s="44">
        <f>Stock[[#This Row],[Compra Cultivate]]-Stock[[#This Row],[Salidas]]-Stock[[#This Row],[Usados]]</f>
        <v>0</v>
      </c>
      <c r="L623" s="24">
        <f>Stock[[#This Row],[Stock Deposito]]*Stock[[#This Row],[Precio de Venta]]</f>
        <v>0</v>
      </c>
      <c r="M623" s="6">
        <f>SUMIFS(Tabla9[Cantidad],Tabla9[Codigo],Stock[Codigo])</f>
        <v>4</v>
      </c>
      <c r="N623" s="24">
        <f>Stock[[#This Row],[Precio de Compra]]*Stock[[#This Row],[Stock Cultivate]]</f>
        <v>0</v>
      </c>
      <c r="O623" s="24">
        <f>Stock[[#This Row],[Stock Cultivate]]*Stock[[#This Row],[Precio de Venta]]</f>
        <v>0</v>
      </c>
      <c r="R623" s="16"/>
    </row>
    <row r="624" spans="2:18">
      <c r="B624" s="44">
        <v>292</v>
      </c>
      <c r="C624" t="s">
        <v>287</v>
      </c>
      <c r="D624" s="45">
        <v>720</v>
      </c>
      <c r="E624" s="24">
        <v>1400</v>
      </c>
      <c r="F624" s="44">
        <f>Stock[Entradas]-Stock[Compra Cultivate]</f>
        <v>0</v>
      </c>
      <c r="G624" s="11">
        <f>SUMIFS(Compras[Cantidad],Compras[Codigo],Stock[Codigo])</f>
        <v>0</v>
      </c>
      <c r="H624" s="11">
        <f>SUMIFS(Ventas[Cantidad],Ventas[Codigo],Stock[[#This Row],[Codigo]])</f>
        <v>0</v>
      </c>
      <c r="I624" s="12">
        <f>Stock[[#This Row],[Stock Deposito]]*Stock[[#This Row],[Precio de Compra]]</f>
        <v>0</v>
      </c>
      <c r="J624" s="6">
        <f>SUMIFS(ProdDesc[Cantidad],ProdDesc[Codigo],Stock[Codigo])</f>
        <v>0</v>
      </c>
      <c r="K624" s="44">
        <f>Stock[[#This Row],[Compra Cultivate]]-Stock[[#This Row],[Salidas]]-Stock[[#This Row],[Usados]]</f>
        <v>0</v>
      </c>
      <c r="L624" s="24">
        <f>Stock[[#This Row],[Stock Deposito]]*Stock[[#This Row],[Precio de Venta]]</f>
        <v>0</v>
      </c>
      <c r="M624" s="6">
        <f>SUMIFS(Tabla9[Cantidad],Tabla9[Codigo],Stock[Codigo])</f>
        <v>0</v>
      </c>
      <c r="N624" s="24">
        <f>Stock[[#This Row],[Precio de Compra]]*Stock[[#This Row],[Stock Cultivate]]</f>
        <v>0</v>
      </c>
      <c r="O624" s="24">
        <f>Stock[[#This Row],[Stock Cultivate]]*Stock[[#This Row],[Precio de Venta]]</f>
        <v>0</v>
      </c>
      <c r="R624" s="16"/>
    </row>
    <row r="625" spans="2:18">
      <c r="B625" s="44">
        <v>291</v>
      </c>
      <c r="C625" t="s">
        <v>273</v>
      </c>
      <c r="D625" s="45">
        <v>1143</v>
      </c>
      <c r="E625" s="24">
        <v>2000</v>
      </c>
      <c r="F625" s="44">
        <f>Stock[Entradas]-Stock[Compra Cultivate]</f>
        <v>18</v>
      </c>
      <c r="G625" s="11">
        <f>SUMIFS(Compras[Cantidad],Compras[Codigo],Stock[Codigo])</f>
        <v>23</v>
      </c>
      <c r="H625" s="11">
        <f>SUMIFS(Ventas[Cantidad],Ventas[Codigo],Stock[[#This Row],[Codigo]])</f>
        <v>0</v>
      </c>
      <c r="I625" s="12">
        <f>Stock[[#This Row],[Stock Deposito]]*Stock[[#This Row],[Precio de Compra]]</f>
        <v>20574</v>
      </c>
      <c r="J625" s="6">
        <f>SUMIFS(ProdDesc[Cantidad],ProdDesc[Codigo],Stock[Codigo])</f>
        <v>1</v>
      </c>
      <c r="K625" s="44">
        <f>Stock[[#This Row],[Compra Cultivate]]-Stock[[#This Row],[Salidas]]-Stock[[#This Row],[Usados]]</f>
        <v>4</v>
      </c>
      <c r="L625" s="24">
        <f>Stock[[#This Row],[Stock Deposito]]*Stock[[#This Row],[Precio de Venta]]</f>
        <v>36000</v>
      </c>
      <c r="M625" s="6">
        <f>SUMIFS(Tabla9[Cantidad],Tabla9[Codigo],Stock[Codigo])</f>
        <v>5</v>
      </c>
      <c r="N625" s="24">
        <f>Stock[[#This Row],[Precio de Compra]]*Stock[[#This Row],[Stock Cultivate]]</f>
        <v>4572</v>
      </c>
      <c r="O625" s="24">
        <f>Stock[[#This Row],[Stock Cultivate]]*Stock[[#This Row],[Precio de Venta]]</f>
        <v>8000</v>
      </c>
      <c r="R625" s="16"/>
    </row>
    <row r="626" spans="2:18">
      <c r="B626" s="44">
        <v>288</v>
      </c>
      <c r="C626" t="s">
        <v>268</v>
      </c>
      <c r="D626" s="45">
        <v>490</v>
      </c>
      <c r="E626" s="24">
        <v>1000</v>
      </c>
      <c r="F626" s="44">
        <f>Stock[Entradas]-Stock[Compra Cultivate]</f>
        <v>0</v>
      </c>
      <c r="G626" s="11">
        <f>SUMIFS(Compras[Cantidad],Compras[Codigo],Stock[Codigo])</f>
        <v>0</v>
      </c>
      <c r="H626" s="11">
        <f>SUMIFS(Ventas[Cantidad],Ventas[Codigo],Stock[[#This Row],[Codigo]])</f>
        <v>0</v>
      </c>
      <c r="I626" s="12">
        <f>Stock[[#This Row],[Stock Deposito]]*Stock[[#This Row],[Precio de Compra]]</f>
        <v>0</v>
      </c>
      <c r="J626" s="6">
        <f>SUMIFS(ProdDesc[Cantidad],ProdDesc[Codigo],Stock[Codigo])</f>
        <v>0</v>
      </c>
      <c r="K626" s="44">
        <f>Stock[[#This Row],[Compra Cultivate]]-Stock[[#This Row],[Salidas]]-Stock[[#This Row],[Usados]]</f>
        <v>0</v>
      </c>
      <c r="L626" s="24">
        <f>Stock[[#This Row],[Stock Deposito]]*Stock[[#This Row],[Precio de Venta]]</f>
        <v>0</v>
      </c>
      <c r="M626" s="6">
        <f>SUMIFS(Tabla9[Cantidad],Tabla9[Codigo],Stock[Codigo])</f>
        <v>0</v>
      </c>
      <c r="N626" s="24">
        <f>Stock[[#This Row],[Precio de Compra]]*Stock[[#This Row],[Stock Cultivate]]</f>
        <v>0</v>
      </c>
      <c r="O626" s="24">
        <f>Stock[[#This Row],[Stock Cultivate]]*Stock[[#This Row],[Precio de Venta]]</f>
        <v>0</v>
      </c>
      <c r="R626" s="16"/>
    </row>
    <row r="627" spans="2:18">
      <c r="B627" s="44">
        <v>287</v>
      </c>
      <c r="C627" t="s">
        <v>269</v>
      </c>
      <c r="D627" s="45">
        <v>120</v>
      </c>
      <c r="E627" s="24">
        <v>250</v>
      </c>
      <c r="F627" s="44">
        <f>Stock[Entradas]-Stock[Compra Cultivate]</f>
        <v>0</v>
      </c>
      <c r="G627" s="11">
        <f>SUMIFS(Compras[Cantidad],Compras[Codigo],Stock[Codigo])</f>
        <v>4</v>
      </c>
      <c r="H627" s="11">
        <f>SUMIFS(Ventas[Cantidad],Ventas[Codigo],Stock[[#This Row],[Codigo]])</f>
        <v>4</v>
      </c>
      <c r="I627" s="12">
        <f>Stock[[#This Row],[Stock Deposito]]*Stock[[#This Row],[Precio de Compra]]</f>
        <v>0</v>
      </c>
      <c r="J627" s="6">
        <f>SUMIFS(ProdDesc[Cantidad],ProdDesc[Codigo],Stock[Codigo])</f>
        <v>0</v>
      </c>
      <c r="K627" s="44">
        <f>Stock[[#This Row],[Compra Cultivate]]-Stock[[#This Row],[Salidas]]-Stock[[#This Row],[Usados]]</f>
        <v>0</v>
      </c>
      <c r="L627" s="24">
        <f>Stock[[#This Row],[Stock Deposito]]*Stock[[#This Row],[Precio de Venta]]</f>
        <v>0</v>
      </c>
      <c r="M627" s="6">
        <f>SUMIFS(Tabla9[Cantidad],Tabla9[Codigo],Stock[Codigo])</f>
        <v>4</v>
      </c>
      <c r="N627" s="24">
        <f>Stock[[#This Row],[Precio de Compra]]*Stock[[#This Row],[Stock Cultivate]]</f>
        <v>0</v>
      </c>
      <c r="O627" s="24">
        <f>Stock[[#This Row],[Stock Cultivate]]*Stock[[#This Row],[Precio de Venta]]</f>
        <v>0</v>
      </c>
      <c r="R627" s="16"/>
    </row>
    <row r="628" spans="2:18">
      <c r="B628" s="44">
        <v>286</v>
      </c>
      <c r="C628" t="s">
        <v>267</v>
      </c>
      <c r="D628" s="45">
        <v>1420</v>
      </c>
      <c r="E628" s="24">
        <v>2900</v>
      </c>
      <c r="F628" s="44">
        <f>Stock[Entradas]-Stock[Compra Cultivate]</f>
        <v>0</v>
      </c>
      <c r="G628" s="11">
        <f>SUMIFS(Compras[Cantidad],Compras[Codigo],Stock[Codigo])</f>
        <v>2</v>
      </c>
      <c r="H628" s="11">
        <f>SUMIFS(Ventas[Cantidad],Ventas[Codigo],Stock[[#This Row],[Codigo]])</f>
        <v>1</v>
      </c>
      <c r="I628" s="12">
        <f>Stock[[#This Row],[Stock Deposito]]*Stock[[#This Row],[Precio de Compra]]</f>
        <v>0</v>
      </c>
      <c r="J628" s="6">
        <f>SUMIFS(ProdDesc[Cantidad],ProdDesc[Codigo],Stock[Codigo])</f>
        <v>0</v>
      </c>
      <c r="K628" s="44">
        <f>Stock[[#This Row],[Compra Cultivate]]-Stock[[#This Row],[Salidas]]-Stock[[#This Row],[Usados]]</f>
        <v>1</v>
      </c>
      <c r="L628" s="24">
        <f>Stock[[#This Row],[Stock Deposito]]*Stock[[#This Row],[Precio de Venta]]</f>
        <v>0</v>
      </c>
      <c r="M628" s="6">
        <f>SUMIFS(Tabla9[Cantidad],Tabla9[Codigo],Stock[Codigo])</f>
        <v>2</v>
      </c>
      <c r="N628" s="24">
        <f>Stock[[#This Row],[Precio de Compra]]*Stock[[#This Row],[Stock Cultivate]]</f>
        <v>1420</v>
      </c>
      <c r="O628" s="24">
        <f>Stock[[#This Row],[Stock Cultivate]]*Stock[[#This Row],[Precio de Venta]]</f>
        <v>2900</v>
      </c>
      <c r="R628" s="16"/>
    </row>
    <row r="629" spans="2:18">
      <c r="B629" s="44">
        <v>285</v>
      </c>
      <c r="C629" t="s">
        <v>1176</v>
      </c>
      <c r="D629" s="45">
        <v>415</v>
      </c>
      <c r="E629" s="24">
        <v>850</v>
      </c>
      <c r="F629" s="44">
        <f>Stock[Entradas]-Stock[Compra Cultivate]</f>
        <v>0</v>
      </c>
      <c r="G629" s="11">
        <f>SUMIFS(Compras[Cantidad],Compras[Codigo],Stock[Codigo])</f>
        <v>3</v>
      </c>
      <c r="H629" s="11">
        <f>SUMIFS(Ventas[Cantidad],Ventas[Codigo],Stock[[#This Row],[Codigo]])</f>
        <v>1</v>
      </c>
      <c r="I629" s="12">
        <f>Stock[[#This Row],[Stock Deposito]]*Stock[[#This Row],[Precio de Compra]]</f>
        <v>0</v>
      </c>
      <c r="J629" s="6">
        <f>SUMIFS(ProdDesc[Cantidad],ProdDesc[Codigo],Stock[Codigo])</f>
        <v>0</v>
      </c>
      <c r="K629" s="44">
        <f>Stock[[#This Row],[Compra Cultivate]]-Stock[[#This Row],[Salidas]]-Stock[[#This Row],[Usados]]</f>
        <v>2</v>
      </c>
      <c r="L629" s="24">
        <f>Stock[[#This Row],[Stock Deposito]]*Stock[[#This Row],[Precio de Venta]]</f>
        <v>0</v>
      </c>
      <c r="M629" s="6">
        <f>SUMIFS(Tabla9[Cantidad],Tabla9[Codigo],Stock[Codigo])</f>
        <v>3</v>
      </c>
      <c r="N629" s="24">
        <f>Stock[[#This Row],[Precio de Compra]]*Stock[[#This Row],[Stock Cultivate]]</f>
        <v>830</v>
      </c>
      <c r="O629" s="24">
        <f>Stock[[#This Row],[Stock Cultivate]]*Stock[[#This Row],[Precio de Venta]]</f>
        <v>1700</v>
      </c>
      <c r="R629" s="16"/>
    </row>
    <row r="630" spans="2:18">
      <c r="B630" s="44">
        <v>282</v>
      </c>
      <c r="C630" t="s">
        <v>266</v>
      </c>
      <c r="D630" s="45">
        <v>940</v>
      </c>
      <c r="E630" s="24">
        <v>1900</v>
      </c>
      <c r="F630" s="44">
        <f>Stock[Entradas]-Stock[Compra Cultivate]</f>
        <v>4</v>
      </c>
      <c r="G630" s="11">
        <f>SUMIFS(Compras[Cantidad],Compras[Codigo],Stock[Codigo])</f>
        <v>5</v>
      </c>
      <c r="H630" s="11">
        <f>SUMIFS(Ventas[Cantidad],Ventas[Codigo],Stock[[#This Row],[Codigo]])</f>
        <v>0</v>
      </c>
      <c r="I630" s="12">
        <f>Stock[[#This Row],[Stock Deposito]]*Stock[[#This Row],[Precio de Compra]]</f>
        <v>3760</v>
      </c>
      <c r="J630" s="6">
        <f>SUMIFS(ProdDesc[Cantidad],ProdDesc[Codigo],Stock[Codigo])</f>
        <v>0</v>
      </c>
      <c r="K630" s="44">
        <f>Stock[[#This Row],[Compra Cultivate]]-Stock[[#This Row],[Salidas]]-Stock[[#This Row],[Usados]]</f>
        <v>1</v>
      </c>
      <c r="L630" s="24">
        <f>Stock[[#This Row],[Stock Deposito]]*Stock[[#This Row],[Precio de Venta]]</f>
        <v>7600</v>
      </c>
      <c r="M630" s="6">
        <f>SUMIFS(Tabla9[Cantidad],Tabla9[Codigo],Stock[Codigo])</f>
        <v>1</v>
      </c>
      <c r="N630" s="24">
        <f>Stock[[#This Row],[Precio de Compra]]*Stock[[#This Row],[Stock Cultivate]]</f>
        <v>940</v>
      </c>
      <c r="O630" s="24">
        <f>Stock[[#This Row],[Stock Cultivate]]*Stock[[#This Row],[Precio de Venta]]</f>
        <v>1900</v>
      </c>
      <c r="R630" s="16"/>
    </row>
    <row r="631" spans="2:18">
      <c r="B631" s="44">
        <v>281</v>
      </c>
      <c r="C631" t="s">
        <v>272</v>
      </c>
      <c r="D631" s="45">
        <v>21</v>
      </c>
      <c r="E631" s="24">
        <v>50</v>
      </c>
      <c r="F631" s="44">
        <f>Stock[Entradas]-Stock[Compra Cultivate]</f>
        <v>0</v>
      </c>
      <c r="G631" s="11">
        <f>SUMIFS(Compras[Cantidad],Compras[Codigo],Stock[Codigo])</f>
        <v>101</v>
      </c>
      <c r="H631" s="11">
        <f>SUMIFS(Ventas[Cantidad],Ventas[Codigo],Stock[[#This Row],[Codigo]])</f>
        <v>4</v>
      </c>
      <c r="I631" s="12">
        <f>Stock[[#This Row],[Stock Deposito]]*Stock[[#This Row],[Precio de Compra]]</f>
        <v>0</v>
      </c>
      <c r="J631" s="6">
        <f>SUMIFS(ProdDesc[Cantidad],ProdDesc[Codigo],Stock[Codigo])</f>
        <v>9</v>
      </c>
      <c r="K631" s="44">
        <f>Stock[[#This Row],[Compra Cultivate]]-Stock[[#This Row],[Salidas]]-Stock[[#This Row],[Usados]]</f>
        <v>88</v>
      </c>
      <c r="L631" s="24">
        <f>Stock[[#This Row],[Stock Deposito]]*Stock[[#This Row],[Precio de Venta]]</f>
        <v>0</v>
      </c>
      <c r="M631" s="6">
        <f>SUMIFS(Tabla9[Cantidad],Tabla9[Codigo],Stock[Codigo])</f>
        <v>101</v>
      </c>
      <c r="N631" s="24">
        <f>Stock[[#This Row],[Precio de Compra]]*Stock[[#This Row],[Stock Cultivate]]</f>
        <v>1848</v>
      </c>
      <c r="O631" s="24">
        <f>Stock[[#This Row],[Stock Cultivate]]*Stock[[#This Row],[Precio de Venta]]</f>
        <v>4400</v>
      </c>
      <c r="R631" s="16"/>
    </row>
    <row r="632" spans="2:18">
      <c r="B632" s="44">
        <v>280</v>
      </c>
      <c r="C632" t="s">
        <v>265</v>
      </c>
      <c r="D632" s="45">
        <v>1000</v>
      </c>
      <c r="E632" s="24">
        <v>2000</v>
      </c>
      <c r="F632" s="44">
        <f>Stock[Entradas]-Stock[Compra Cultivate]</f>
        <v>0</v>
      </c>
      <c r="G632" s="11">
        <f>SUMIFS(Compras[Cantidad],Compras[Codigo],Stock[Codigo])</f>
        <v>0</v>
      </c>
      <c r="H632" s="11">
        <f>SUMIFS(Ventas[Cantidad],Ventas[Codigo],Stock[[#This Row],[Codigo]])</f>
        <v>0</v>
      </c>
      <c r="I632" s="12">
        <f>Stock[[#This Row],[Stock Deposito]]*Stock[[#This Row],[Precio de Compra]]</f>
        <v>0</v>
      </c>
      <c r="J632" s="6">
        <f>SUMIFS(ProdDesc[Cantidad],ProdDesc[Codigo],Stock[Codigo])</f>
        <v>0</v>
      </c>
      <c r="K632" s="44">
        <f>Stock[[#This Row],[Compra Cultivate]]-Stock[[#This Row],[Salidas]]-Stock[[#This Row],[Usados]]</f>
        <v>0</v>
      </c>
      <c r="L632" s="24">
        <f>Stock[[#This Row],[Stock Deposito]]*Stock[[#This Row],[Precio de Venta]]</f>
        <v>0</v>
      </c>
      <c r="M632" s="6">
        <f>SUMIFS(Tabla9[Cantidad],Tabla9[Codigo],Stock[Codigo])</f>
        <v>0</v>
      </c>
      <c r="N632" s="24">
        <f>Stock[[#This Row],[Precio de Compra]]*Stock[[#This Row],[Stock Cultivate]]</f>
        <v>0</v>
      </c>
      <c r="O632" s="24">
        <f>Stock[[#This Row],[Stock Cultivate]]*Stock[[#This Row],[Precio de Venta]]</f>
        <v>0</v>
      </c>
      <c r="R632" s="16"/>
    </row>
    <row r="633" spans="2:18">
      <c r="B633" s="44">
        <v>279</v>
      </c>
      <c r="C633" t="s">
        <v>264</v>
      </c>
      <c r="D633" s="45">
        <v>665</v>
      </c>
      <c r="E633" s="24">
        <v>1000</v>
      </c>
      <c r="F633" s="44">
        <f>Stock[Entradas]-Stock[Compra Cultivate]</f>
        <v>0</v>
      </c>
      <c r="G633" s="11">
        <f>SUMIFS(Compras[Cantidad],Compras[Codigo],Stock[Codigo])</f>
        <v>0</v>
      </c>
      <c r="H633" s="11">
        <f>SUMIFS(Ventas[Cantidad],Ventas[Codigo],Stock[[#This Row],[Codigo]])</f>
        <v>0</v>
      </c>
      <c r="I633" s="12">
        <f>Stock[[#This Row],[Stock Deposito]]*Stock[[#This Row],[Precio de Compra]]</f>
        <v>0</v>
      </c>
      <c r="J633" s="6">
        <f>SUMIFS(ProdDesc[Cantidad],ProdDesc[Codigo],Stock[Codigo])</f>
        <v>0</v>
      </c>
      <c r="K633" s="44">
        <f>Stock[[#This Row],[Compra Cultivate]]-Stock[[#This Row],[Salidas]]-Stock[[#This Row],[Usados]]</f>
        <v>0</v>
      </c>
      <c r="L633" s="24">
        <f>Stock[[#This Row],[Stock Deposito]]*Stock[[#This Row],[Precio de Venta]]</f>
        <v>0</v>
      </c>
      <c r="M633" s="6">
        <f>SUMIFS(Tabla9[Cantidad],Tabla9[Codigo],Stock[Codigo])</f>
        <v>0</v>
      </c>
      <c r="N633" s="24">
        <f>Stock[[#This Row],[Precio de Compra]]*Stock[[#This Row],[Stock Cultivate]]</f>
        <v>0</v>
      </c>
      <c r="O633" s="24">
        <f>Stock[[#This Row],[Stock Cultivate]]*Stock[[#This Row],[Precio de Venta]]</f>
        <v>0</v>
      </c>
      <c r="R633" s="16"/>
    </row>
    <row r="634" spans="2:18">
      <c r="B634" s="44">
        <v>278</v>
      </c>
      <c r="C634" t="s">
        <v>263</v>
      </c>
      <c r="D634" s="45">
        <v>1200</v>
      </c>
      <c r="E634" s="24">
        <v>2400</v>
      </c>
      <c r="F634" s="44">
        <f>Stock[Entradas]-Stock[Compra Cultivate]</f>
        <v>0</v>
      </c>
      <c r="G634" s="11">
        <f>SUMIFS(Compras[Cantidad],Compras[Codigo],Stock[Codigo])</f>
        <v>0</v>
      </c>
      <c r="H634" s="11">
        <f>SUMIFS(Ventas[Cantidad],Ventas[Codigo],Stock[[#This Row],[Codigo]])</f>
        <v>0</v>
      </c>
      <c r="I634" s="12">
        <f>Stock[[#This Row],[Stock Deposito]]*Stock[[#This Row],[Precio de Compra]]</f>
        <v>0</v>
      </c>
      <c r="J634" s="6">
        <f>SUMIFS(ProdDesc[Cantidad],ProdDesc[Codigo],Stock[Codigo])</f>
        <v>0</v>
      </c>
      <c r="K634" s="44">
        <f>Stock[[#This Row],[Compra Cultivate]]-Stock[[#This Row],[Salidas]]-Stock[[#This Row],[Usados]]</f>
        <v>0</v>
      </c>
      <c r="L634" s="24">
        <f>Stock[[#This Row],[Stock Deposito]]*Stock[[#This Row],[Precio de Venta]]</f>
        <v>0</v>
      </c>
      <c r="M634" s="6">
        <f>SUMIFS(Tabla9[Cantidad],Tabla9[Codigo],Stock[Codigo])</f>
        <v>0</v>
      </c>
      <c r="N634" s="24">
        <f>Stock[[#This Row],[Precio de Compra]]*Stock[[#This Row],[Stock Cultivate]]</f>
        <v>0</v>
      </c>
      <c r="O634" s="24">
        <f>Stock[[#This Row],[Stock Cultivate]]*Stock[[#This Row],[Precio de Venta]]</f>
        <v>0</v>
      </c>
      <c r="R634" s="16"/>
    </row>
    <row r="635" spans="2:18">
      <c r="B635" s="44">
        <v>277</v>
      </c>
      <c r="C635" t="s">
        <v>262</v>
      </c>
      <c r="D635" s="45">
        <v>1200</v>
      </c>
      <c r="E635" s="24">
        <v>2400</v>
      </c>
      <c r="F635" s="44">
        <f>Stock[Entradas]-Stock[Compra Cultivate]</f>
        <v>0</v>
      </c>
      <c r="G635" s="11">
        <f>SUMIFS(Compras[Cantidad],Compras[Codigo],Stock[Codigo])</f>
        <v>0</v>
      </c>
      <c r="H635" s="11">
        <f>SUMIFS(Ventas[Cantidad],Ventas[Codigo],Stock[[#This Row],[Codigo]])</f>
        <v>0</v>
      </c>
      <c r="I635" s="12">
        <f>Stock[[#This Row],[Stock Deposito]]*Stock[[#This Row],[Precio de Compra]]</f>
        <v>0</v>
      </c>
      <c r="J635" s="6">
        <f>SUMIFS(ProdDesc[Cantidad],ProdDesc[Codigo],Stock[Codigo])</f>
        <v>0</v>
      </c>
      <c r="K635" s="44">
        <f>Stock[[#This Row],[Compra Cultivate]]-Stock[[#This Row],[Salidas]]-Stock[[#This Row],[Usados]]</f>
        <v>0</v>
      </c>
      <c r="L635" s="24">
        <f>Stock[[#This Row],[Stock Deposito]]*Stock[[#This Row],[Precio de Venta]]</f>
        <v>0</v>
      </c>
      <c r="M635" s="6">
        <f>SUMIFS(Tabla9[Cantidad],Tabla9[Codigo],Stock[Codigo])</f>
        <v>0</v>
      </c>
      <c r="N635" s="24">
        <f>Stock[[#This Row],[Precio de Compra]]*Stock[[#This Row],[Stock Cultivate]]</f>
        <v>0</v>
      </c>
      <c r="O635" s="24">
        <f>Stock[[#This Row],[Stock Cultivate]]*Stock[[#This Row],[Precio de Venta]]</f>
        <v>0</v>
      </c>
      <c r="R635" s="16"/>
    </row>
    <row r="636" spans="2:18">
      <c r="B636" s="44">
        <v>276</v>
      </c>
      <c r="C636" t="s">
        <v>261</v>
      </c>
      <c r="D636" s="45">
        <v>2082</v>
      </c>
      <c r="E636" s="24">
        <v>4000</v>
      </c>
      <c r="F636" s="44">
        <f>Stock[Entradas]-Stock[Compra Cultivate]</f>
        <v>0</v>
      </c>
      <c r="G636" s="11">
        <f>SUMIFS(Compras[Cantidad],Compras[Codigo],Stock[Codigo])</f>
        <v>1</v>
      </c>
      <c r="H636" s="11">
        <f>SUMIFS(Ventas[Cantidad],Ventas[Codigo],Stock[[#This Row],[Codigo]])</f>
        <v>1</v>
      </c>
      <c r="I636" s="12">
        <f>Stock[[#This Row],[Stock Deposito]]*Stock[[#This Row],[Precio de Compra]]</f>
        <v>0</v>
      </c>
      <c r="J636" s="6">
        <f>SUMIFS(ProdDesc[Cantidad],ProdDesc[Codigo],Stock[Codigo])</f>
        <v>0</v>
      </c>
      <c r="K636" s="44">
        <f>Stock[[#This Row],[Compra Cultivate]]-Stock[[#This Row],[Salidas]]-Stock[[#This Row],[Usados]]</f>
        <v>0</v>
      </c>
      <c r="L636" s="24">
        <f>Stock[[#This Row],[Stock Deposito]]*Stock[[#This Row],[Precio de Venta]]</f>
        <v>0</v>
      </c>
      <c r="M636" s="6">
        <f>SUMIFS(Tabla9[Cantidad],Tabla9[Codigo],Stock[Codigo])</f>
        <v>1</v>
      </c>
      <c r="N636" s="24">
        <f>Stock[[#This Row],[Precio de Compra]]*Stock[[#This Row],[Stock Cultivate]]</f>
        <v>0</v>
      </c>
      <c r="O636" s="24">
        <f>Stock[[#This Row],[Stock Cultivate]]*Stock[[#This Row],[Precio de Venta]]</f>
        <v>0</v>
      </c>
      <c r="R636" s="16"/>
    </row>
    <row r="637" spans="2:18">
      <c r="B637" s="44">
        <v>270</v>
      </c>
      <c r="C637" t="s">
        <v>441</v>
      </c>
      <c r="D637" s="45">
        <v>1804</v>
      </c>
      <c r="E637" s="24">
        <v>3600</v>
      </c>
      <c r="F637" s="44">
        <f>Stock[Entradas]-Stock[Compra Cultivate]</f>
        <v>0</v>
      </c>
      <c r="G637" s="11">
        <f>SUMIFS(Compras[Cantidad],Compras[Codigo],Stock[Codigo])</f>
        <v>2</v>
      </c>
      <c r="H637" s="11">
        <f>SUMIFS(Ventas[Cantidad],Ventas[Codigo],Stock[[#This Row],[Codigo]])</f>
        <v>0</v>
      </c>
      <c r="I637" s="12">
        <f>Stock[[#This Row],[Stock Deposito]]*Stock[[#This Row],[Precio de Compra]]</f>
        <v>0</v>
      </c>
      <c r="J637" s="6">
        <f>SUMIFS(ProdDesc[Cantidad],ProdDesc[Codigo],Stock[Codigo])</f>
        <v>0</v>
      </c>
      <c r="K637" s="44">
        <f>Stock[[#This Row],[Compra Cultivate]]-Stock[[#This Row],[Salidas]]-Stock[[#This Row],[Usados]]</f>
        <v>2</v>
      </c>
      <c r="L637" s="24">
        <f>Stock[[#This Row],[Stock Deposito]]*Stock[[#This Row],[Precio de Venta]]</f>
        <v>0</v>
      </c>
      <c r="M637" s="6">
        <f>SUMIFS(Tabla9[Cantidad],Tabla9[Codigo],Stock[Codigo])</f>
        <v>2</v>
      </c>
      <c r="N637" s="24">
        <f>Stock[[#This Row],[Precio de Compra]]*Stock[[#This Row],[Stock Cultivate]]</f>
        <v>3608</v>
      </c>
      <c r="O637" s="24">
        <f>Stock[[#This Row],[Stock Cultivate]]*Stock[[#This Row],[Precio de Venta]]</f>
        <v>7200</v>
      </c>
      <c r="R637" s="16"/>
    </row>
    <row r="638" spans="2:18">
      <c r="B638" s="44">
        <v>269</v>
      </c>
      <c r="C638" t="s">
        <v>94</v>
      </c>
      <c r="D638" s="45">
        <v>354</v>
      </c>
      <c r="E638" s="24">
        <v>700</v>
      </c>
      <c r="F638" s="44">
        <f>Stock[Entradas]-Stock[Compra Cultivate]</f>
        <v>0</v>
      </c>
      <c r="G638" s="11">
        <f>SUMIFS(Compras[Cantidad],Compras[Codigo],Stock[Codigo])</f>
        <v>0</v>
      </c>
      <c r="H638" s="11">
        <f>SUMIFS(Ventas[Cantidad],Ventas[Codigo],Stock[[#This Row],[Codigo]])</f>
        <v>0</v>
      </c>
      <c r="I638" s="12">
        <f>Stock[[#This Row],[Stock Deposito]]*Stock[[#This Row],[Precio de Compra]]</f>
        <v>0</v>
      </c>
      <c r="J638" s="6">
        <f>SUMIFS(ProdDesc[Cantidad],ProdDesc[Codigo],Stock[Codigo])</f>
        <v>0</v>
      </c>
      <c r="K638" s="44">
        <f>Stock[[#This Row],[Compra Cultivate]]-Stock[[#This Row],[Salidas]]-Stock[[#This Row],[Usados]]</f>
        <v>0</v>
      </c>
      <c r="L638" s="24">
        <f>Stock[[#This Row],[Stock Deposito]]*Stock[[#This Row],[Precio de Venta]]</f>
        <v>0</v>
      </c>
      <c r="M638" s="6">
        <f>SUMIFS(Tabla9[Cantidad],Tabla9[Codigo],Stock[Codigo])</f>
        <v>0</v>
      </c>
      <c r="N638" s="24">
        <f>Stock[[#This Row],[Precio de Compra]]*Stock[[#This Row],[Stock Cultivate]]</f>
        <v>0</v>
      </c>
      <c r="O638" s="24">
        <f>Stock[[#This Row],[Stock Cultivate]]*Stock[[#This Row],[Precio de Venta]]</f>
        <v>0</v>
      </c>
      <c r="R638" s="16"/>
    </row>
    <row r="639" spans="2:18">
      <c r="B639" s="44">
        <v>268</v>
      </c>
      <c r="C639" t="s">
        <v>93</v>
      </c>
      <c r="D639" s="45">
        <v>565</v>
      </c>
      <c r="E639" s="24">
        <v>1100</v>
      </c>
      <c r="F639" s="44">
        <f>Stock[Entradas]-Stock[Compra Cultivate]</f>
        <v>0</v>
      </c>
      <c r="G639" s="11">
        <f>SUMIFS(Compras[Cantidad],Compras[Codigo],Stock[Codigo])</f>
        <v>0</v>
      </c>
      <c r="H639" s="11">
        <f>SUMIFS(Ventas[Cantidad],Ventas[Codigo],Stock[[#This Row],[Codigo]])</f>
        <v>0</v>
      </c>
      <c r="I639" s="12">
        <f>Stock[[#This Row],[Stock Deposito]]*Stock[[#This Row],[Precio de Compra]]</f>
        <v>0</v>
      </c>
      <c r="J639" s="6">
        <f>SUMIFS(ProdDesc[Cantidad],ProdDesc[Codigo],Stock[Codigo])</f>
        <v>0</v>
      </c>
      <c r="K639" s="44">
        <f>Stock[[#This Row],[Compra Cultivate]]-Stock[[#This Row],[Salidas]]-Stock[[#This Row],[Usados]]</f>
        <v>0</v>
      </c>
      <c r="L639" s="24">
        <f>Stock[[#This Row],[Stock Deposito]]*Stock[[#This Row],[Precio de Venta]]</f>
        <v>0</v>
      </c>
      <c r="M639" s="6">
        <f>SUMIFS(Tabla9[Cantidad],Tabla9[Codigo],Stock[Codigo])</f>
        <v>0</v>
      </c>
      <c r="N639" s="24">
        <f>Stock[[#This Row],[Precio de Compra]]*Stock[[#This Row],[Stock Cultivate]]</f>
        <v>0</v>
      </c>
      <c r="O639" s="24">
        <f>Stock[[#This Row],[Stock Cultivate]]*Stock[[#This Row],[Precio de Venta]]</f>
        <v>0</v>
      </c>
      <c r="R639" s="16"/>
    </row>
    <row r="640" spans="2:18">
      <c r="B640" s="44">
        <v>267</v>
      </c>
      <c r="C640" t="s">
        <v>271</v>
      </c>
      <c r="D640" s="45">
        <v>453</v>
      </c>
      <c r="E640" s="24">
        <v>900</v>
      </c>
      <c r="F640" s="44">
        <f>Stock[Entradas]-Stock[Compra Cultivate]</f>
        <v>0</v>
      </c>
      <c r="G640" s="11">
        <f>SUMIFS(Compras[Cantidad],Compras[Codigo],Stock[Codigo])</f>
        <v>0</v>
      </c>
      <c r="H640" s="11">
        <f>SUMIFS(Ventas[Cantidad],Ventas[Codigo],Stock[[#This Row],[Codigo]])</f>
        <v>0</v>
      </c>
      <c r="I640" s="12">
        <f>Stock[[#This Row],[Stock Deposito]]*Stock[[#This Row],[Precio de Compra]]</f>
        <v>0</v>
      </c>
      <c r="J640" s="6">
        <f>SUMIFS(ProdDesc[Cantidad],ProdDesc[Codigo],Stock[Codigo])</f>
        <v>0</v>
      </c>
      <c r="K640" s="44">
        <f>Stock[[#This Row],[Compra Cultivate]]-Stock[[#This Row],[Salidas]]-Stock[[#This Row],[Usados]]</f>
        <v>0</v>
      </c>
      <c r="L640" s="24">
        <f>Stock[[#This Row],[Stock Deposito]]*Stock[[#This Row],[Precio de Venta]]</f>
        <v>0</v>
      </c>
      <c r="M640" s="6">
        <f>SUMIFS(Tabla9[Cantidad],Tabla9[Codigo],Stock[Codigo])</f>
        <v>0</v>
      </c>
      <c r="N640" s="24">
        <f>Stock[[#This Row],[Precio de Compra]]*Stock[[#This Row],[Stock Cultivate]]</f>
        <v>0</v>
      </c>
      <c r="O640" s="24">
        <f>Stock[[#This Row],[Stock Cultivate]]*Stock[[#This Row],[Precio de Venta]]</f>
        <v>0</v>
      </c>
      <c r="R640" s="16"/>
    </row>
    <row r="641" spans="2:18">
      <c r="B641" s="44">
        <v>266</v>
      </c>
      <c r="C641" t="s">
        <v>85</v>
      </c>
      <c r="D641" s="45">
        <v>1500</v>
      </c>
      <c r="E641" s="24">
        <v>2500</v>
      </c>
      <c r="F641" s="44">
        <f>Stock[Entradas]-Stock[Compra Cultivate]</f>
        <v>0</v>
      </c>
      <c r="G641" s="11">
        <f>SUMIFS(Compras[Cantidad],Compras[Codigo],Stock[Codigo])</f>
        <v>4</v>
      </c>
      <c r="H641" s="11">
        <f>SUMIFS(Ventas[Cantidad],Ventas[Codigo],Stock[[#This Row],[Codigo]])</f>
        <v>4</v>
      </c>
      <c r="I641" s="12">
        <f>Stock[[#This Row],[Stock Deposito]]*Stock[[#This Row],[Precio de Compra]]</f>
        <v>0</v>
      </c>
      <c r="J641" s="6">
        <f>SUMIFS(ProdDesc[Cantidad],ProdDesc[Codigo],Stock[Codigo])</f>
        <v>0</v>
      </c>
      <c r="K641" s="44">
        <f>Stock[[#This Row],[Compra Cultivate]]-Stock[[#This Row],[Salidas]]-Stock[[#This Row],[Usados]]</f>
        <v>0</v>
      </c>
      <c r="L641" s="24">
        <f>Stock[[#This Row],[Stock Deposito]]*Stock[[#This Row],[Precio de Venta]]</f>
        <v>0</v>
      </c>
      <c r="M641" s="6">
        <f>SUMIFS(Tabla9[Cantidad],Tabla9[Codigo],Stock[Codigo])</f>
        <v>4</v>
      </c>
      <c r="N641" s="24">
        <f>Stock[[#This Row],[Precio de Compra]]*Stock[[#This Row],[Stock Cultivate]]</f>
        <v>0</v>
      </c>
      <c r="O641" s="24">
        <f>Stock[[#This Row],[Stock Cultivate]]*Stock[[#This Row],[Precio de Venta]]</f>
        <v>0</v>
      </c>
      <c r="R641" s="16"/>
    </row>
    <row r="642" spans="2:18">
      <c r="B642" s="44">
        <v>265</v>
      </c>
      <c r="C642" t="s">
        <v>226</v>
      </c>
      <c r="D642" s="45">
        <v>2398</v>
      </c>
      <c r="E642" s="24">
        <v>4000</v>
      </c>
      <c r="F642" s="44">
        <f>Stock[Entradas]-Stock[Compra Cultivate]</f>
        <v>0</v>
      </c>
      <c r="G642" s="11">
        <f>SUMIFS(Compras[Cantidad],Compras[Codigo],Stock[Codigo])</f>
        <v>7</v>
      </c>
      <c r="H642" s="11">
        <f>SUMIFS(Ventas[Cantidad],Ventas[Codigo],Stock[[#This Row],[Codigo]])</f>
        <v>1</v>
      </c>
      <c r="I642" s="12">
        <f>Stock[[#This Row],[Stock Deposito]]*Stock[[#This Row],[Precio de Compra]]</f>
        <v>0</v>
      </c>
      <c r="J642" s="6">
        <f>SUMIFS(ProdDesc[Cantidad],ProdDesc[Codigo],Stock[Codigo])</f>
        <v>0</v>
      </c>
      <c r="K642" s="44">
        <f>Stock[[#This Row],[Compra Cultivate]]-Stock[[#This Row],[Salidas]]-Stock[[#This Row],[Usados]]</f>
        <v>6</v>
      </c>
      <c r="L642" s="24">
        <f>Stock[[#This Row],[Stock Deposito]]*Stock[[#This Row],[Precio de Venta]]</f>
        <v>0</v>
      </c>
      <c r="M642" s="6">
        <f>SUMIFS(Tabla9[Cantidad],Tabla9[Codigo],Stock[Codigo])</f>
        <v>7</v>
      </c>
      <c r="N642" s="24">
        <f>Stock[[#This Row],[Precio de Compra]]*Stock[[#This Row],[Stock Cultivate]]</f>
        <v>14388</v>
      </c>
      <c r="O642" s="24">
        <f>Stock[[#This Row],[Stock Cultivate]]*Stock[[#This Row],[Precio de Venta]]</f>
        <v>24000</v>
      </c>
      <c r="R642" s="16"/>
    </row>
    <row r="643" spans="2:18">
      <c r="B643" s="44">
        <v>264</v>
      </c>
      <c r="C643" t="s">
        <v>225</v>
      </c>
      <c r="D643" s="45">
        <v>3824</v>
      </c>
      <c r="E643" s="24">
        <v>5750</v>
      </c>
      <c r="F643" s="44">
        <f>Stock[Entradas]-Stock[Compra Cultivate]</f>
        <v>0</v>
      </c>
      <c r="G643" s="11">
        <f>SUMIFS(Compras[Cantidad],Compras[Codigo],Stock[Codigo])</f>
        <v>0</v>
      </c>
      <c r="H643" s="11">
        <f>SUMIFS(Ventas[Cantidad],Ventas[Codigo],Stock[[#This Row],[Codigo]])</f>
        <v>0</v>
      </c>
      <c r="I643" s="12">
        <f>Stock[[#This Row],[Stock Deposito]]*Stock[[#This Row],[Precio de Compra]]</f>
        <v>0</v>
      </c>
      <c r="J643" s="6">
        <f>SUMIFS(ProdDesc[Cantidad],ProdDesc[Codigo],Stock[Codigo])</f>
        <v>0</v>
      </c>
      <c r="K643" s="44">
        <f>Stock[[#This Row],[Compra Cultivate]]-Stock[[#This Row],[Salidas]]-Stock[[#This Row],[Usados]]</f>
        <v>0</v>
      </c>
      <c r="L643" s="24">
        <f>Stock[[#This Row],[Stock Deposito]]*Stock[[#This Row],[Precio de Venta]]</f>
        <v>0</v>
      </c>
      <c r="M643" s="6">
        <f>SUMIFS(Tabla9[Cantidad],Tabla9[Codigo],Stock[Codigo])</f>
        <v>0</v>
      </c>
      <c r="N643" s="24">
        <f>Stock[[#This Row],[Precio de Compra]]*Stock[[#This Row],[Stock Cultivate]]</f>
        <v>0</v>
      </c>
      <c r="O643" s="24">
        <f>Stock[[#This Row],[Stock Cultivate]]*Stock[[#This Row],[Precio de Venta]]</f>
        <v>0</v>
      </c>
      <c r="R643" s="16"/>
    </row>
    <row r="644" spans="2:18">
      <c r="B644" s="44">
        <v>263</v>
      </c>
      <c r="C644" t="s">
        <v>224</v>
      </c>
      <c r="D644" s="45">
        <v>836</v>
      </c>
      <c r="E644" s="24">
        <v>1250</v>
      </c>
      <c r="F644" s="44">
        <f>Stock[Entradas]-Stock[Compra Cultivate]</f>
        <v>0</v>
      </c>
      <c r="G644" s="11">
        <f>SUMIFS(Compras[Cantidad],Compras[Codigo],Stock[Codigo])</f>
        <v>0</v>
      </c>
      <c r="H644" s="11">
        <f>SUMIFS(Ventas[Cantidad],Ventas[Codigo],Stock[[#This Row],[Codigo]])</f>
        <v>0</v>
      </c>
      <c r="I644" s="12">
        <f>Stock[[#This Row],[Stock Deposito]]*Stock[[#This Row],[Precio de Compra]]</f>
        <v>0</v>
      </c>
      <c r="J644" s="6">
        <f>SUMIFS(ProdDesc[Cantidad],ProdDesc[Codigo],Stock[Codigo])</f>
        <v>0</v>
      </c>
      <c r="K644" s="44">
        <f>Stock[[#This Row],[Compra Cultivate]]-Stock[[#This Row],[Salidas]]-Stock[[#This Row],[Usados]]</f>
        <v>0</v>
      </c>
      <c r="L644" s="24">
        <f>Stock[[#This Row],[Stock Deposito]]*Stock[[#This Row],[Precio de Venta]]</f>
        <v>0</v>
      </c>
      <c r="M644" s="6">
        <f>SUMIFS(Tabla9[Cantidad],Tabla9[Codigo],Stock[Codigo])</f>
        <v>0</v>
      </c>
      <c r="N644" s="24">
        <f>Stock[[#This Row],[Precio de Compra]]*Stock[[#This Row],[Stock Cultivate]]</f>
        <v>0</v>
      </c>
      <c r="O644" s="24">
        <f>Stock[[#This Row],[Stock Cultivate]]*Stock[[#This Row],[Precio de Venta]]</f>
        <v>0</v>
      </c>
      <c r="R644" s="16"/>
    </row>
    <row r="645" spans="2:18">
      <c r="B645" s="44">
        <v>262</v>
      </c>
      <c r="C645" t="s">
        <v>223</v>
      </c>
      <c r="D645" s="45">
        <v>3400</v>
      </c>
      <c r="E645" s="24">
        <v>6000</v>
      </c>
      <c r="F645" s="44">
        <f>Stock[Entradas]-Stock[Compra Cultivate]</f>
        <v>1</v>
      </c>
      <c r="G645" s="11">
        <f>SUMIFS(Compras[Cantidad],Compras[Codigo],Stock[Codigo])</f>
        <v>4</v>
      </c>
      <c r="H645" s="11">
        <f>SUMIFS(Ventas[Cantidad],Ventas[Codigo],Stock[[#This Row],[Codigo]])</f>
        <v>0</v>
      </c>
      <c r="I645" s="12">
        <f>Stock[[#This Row],[Stock Deposito]]*Stock[[#This Row],[Precio de Compra]]</f>
        <v>3400</v>
      </c>
      <c r="J645" s="6">
        <f>SUMIFS(ProdDesc[Cantidad],ProdDesc[Codigo],Stock[Codigo])</f>
        <v>1</v>
      </c>
      <c r="K645" s="44">
        <f>Stock[[#This Row],[Compra Cultivate]]-Stock[[#This Row],[Salidas]]-Stock[[#This Row],[Usados]]</f>
        <v>2</v>
      </c>
      <c r="L645" s="24">
        <f>Stock[[#This Row],[Stock Deposito]]*Stock[[#This Row],[Precio de Venta]]</f>
        <v>6000</v>
      </c>
      <c r="M645" s="6">
        <f>SUMIFS(Tabla9[Cantidad],Tabla9[Codigo],Stock[Codigo])</f>
        <v>3</v>
      </c>
      <c r="N645" s="24">
        <f>Stock[[#This Row],[Precio de Compra]]*Stock[[#This Row],[Stock Cultivate]]</f>
        <v>6800</v>
      </c>
      <c r="O645" s="24">
        <f>Stock[[#This Row],[Stock Cultivate]]*Stock[[#This Row],[Precio de Venta]]</f>
        <v>12000</v>
      </c>
      <c r="R645" s="16"/>
    </row>
    <row r="646" spans="2:18">
      <c r="B646" s="44">
        <v>261</v>
      </c>
      <c r="C646" t="s">
        <v>63</v>
      </c>
      <c r="D646" s="45">
        <v>29</v>
      </c>
      <c r="E646" s="24">
        <v>100</v>
      </c>
      <c r="F646" s="44">
        <f>Stock[Entradas]-Stock[Compra Cultivate]</f>
        <v>0</v>
      </c>
      <c r="G646" s="11">
        <f>SUMIFS(Compras[Cantidad],Compras[Codigo],Stock[Codigo])</f>
        <v>42</v>
      </c>
      <c r="H646" s="11">
        <f>SUMIFS(Ventas[Cantidad],Ventas[Codigo],Stock[[#This Row],[Codigo]])</f>
        <v>12</v>
      </c>
      <c r="I646" s="12">
        <f>Stock[[#This Row],[Stock Deposito]]*Stock[[#This Row],[Precio de Compra]]</f>
        <v>0</v>
      </c>
      <c r="J646" s="6">
        <f>SUMIFS(ProdDesc[Cantidad],ProdDesc[Codigo],Stock[Codigo])</f>
        <v>4</v>
      </c>
      <c r="K646" s="44">
        <f>Stock[[#This Row],[Compra Cultivate]]-Stock[[#This Row],[Salidas]]-Stock[[#This Row],[Usados]]</f>
        <v>26</v>
      </c>
      <c r="L646" s="24">
        <f>Stock[[#This Row],[Stock Deposito]]*Stock[[#This Row],[Precio de Venta]]</f>
        <v>0</v>
      </c>
      <c r="M646" s="6">
        <f>SUMIFS(Tabla9[Cantidad],Tabla9[Codigo],Stock[Codigo])</f>
        <v>42</v>
      </c>
      <c r="N646" s="24">
        <f>Stock[[#This Row],[Precio de Compra]]*Stock[[#This Row],[Stock Cultivate]]</f>
        <v>754</v>
      </c>
      <c r="O646" s="24">
        <f>Stock[[#This Row],[Stock Cultivate]]*Stock[[#This Row],[Precio de Venta]]</f>
        <v>2600</v>
      </c>
      <c r="R646" s="16"/>
    </row>
    <row r="647" spans="2:18">
      <c r="B647" s="44">
        <v>260</v>
      </c>
      <c r="C647" t="s">
        <v>286</v>
      </c>
      <c r="D647" s="45">
        <v>930</v>
      </c>
      <c r="E647" s="24">
        <v>1800</v>
      </c>
      <c r="F647" s="44">
        <f>Stock[Entradas]-Stock[Compra Cultivate]</f>
        <v>0</v>
      </c>
      <c r="G647" s="11">
        <f>SUMIFS(Compras[Cantidad],Compras[Codigo],Stock[Codigo])</f>
        <v>0</v>
      </c>
      <c r="H647" s="11">
        <f>SUMIFS(Ventas[Cantidad],Ventas[Codigo],Stock[[#This Row],[Codigo]])</f>
        <v>0</v>
      </c>
      <c r="I647" s="12">
        <f>Stock[[#This Row],[Stock Deposito]]*Stock[[#This Row],[Precio de Compra]]</f>
        <v>0</v>
      </c>
      <c r="J647" s="6">
        <f>SUMIFS(ProdDesc[Cantidad],ProdDesc[Codigo],Stock[Codigo])</f>
        <v>0</v>
      </c>
      <c r="K647" s="44">
        <f>Stock[[#This Row],[Compra Cultivate]]-Stock[[#This Row],[Salidas]]-Stock[[#This Row],[Usados]]</f>
        <v>0</v>
      </c>
      <c r="L647" s="24">
        <f>Stock[[#This Row],[Stock Deposito]]*Stock[[#This Row],[Precio de Venta]]</f>
        <v>0</v>
      </c>
      <c r="M647" s="6">
        <f>SUMIFS(Tabla9[Cantidad],Tabla9[Codigo],Stock[Codigo])</f>
        <v>0</v>
      </c>
      <c r="N647" s="24">
        <f>Stock[[#This Row],[Precio de Compra]]*Stock[[#This Row],[Stock Cultivate]]</f>
        <v>0</v>
      </c>
      <c r="O647" s="24">
        <f>Stock[[#This Row],[Stock Cultivate]]*Stock[[#This Row],[Precio de Venta]]</f>
        <v>0</v>
      </c>
      <c r="R647" s="16"/>
    </row>
    <row r="648" spans="2:18">
      <c r="B648" s="44">
        <v>259</v>
      </c>
      <c r="C648" t="s">
        <v>285</v>
      </c>
      <c r="D648" s="45">
        <v>500</v>
      </c>
      <c r="E648" s="24">
        <v>1000</v>
      </c>
      <c r="F648" s="44">
        <f>Stock[Entradas]-Stock[Compra Cultivate]</f>
        <v>0</v>
      </c>
      <c r="G648" s="11">
        <f>SUMIFS(Compras[Cantidad],Compras[Codigo],Stock[Codigo])</f>
        <v>0</v>
      </c>
      <c r="H648" s="11">
        <f>SUMIFS(Ventas[Cantidad],Ventas[Codigo],Stock[[#This Row],[Codigo]])</f>
        <v>0</v>
      </c>
      <c r="I648" s="12">
        <f>Stock[[#This Row],[Stock Deposito]]*Stock[[#This Row],[Precio de Compra]]</f>
        <v>0</v>
      </c>
      <c r="J648" s="6">
        <f>SUMIFS(ProdDesc[Cantidad],ProdDesc[Codigo],Stock[Codigo])</f>
        <v>0</v>
      </c>
      <c r="K648" s="44">
        <f>Stock[[#This Row],[Compra Cultivate]]-Stock[[#This Row],[Salidas]]-Stock[[#This Row],[Usados]]</f>
        <v>0</v>
      </c>
      <c r="L648" s="24">
        <f>Stock[[#This Row],[Stock Deposito]]*Stock[[#This Row],[Precio de Venta]]</f>
        <v>0</v>
      </c>
      <c r="M648" s="6">
        <f>SUMIFS(Tabla9[Cantidad],Tabla9[Codigo],Stock[Codigo])</f>
        <v>0</v>
      </c>
      <c r="N648" s="24">
        <f>Stock[[#This Row],[Precio de Compra]]*Stock[[#This Row],[Stock Cultivate]]</f>
        <v>0</v>
      </c>
      <c r="O648" s="24">
        <f>Stock[[#This Row],[Stock Cultivate]]*Stock[[#This Row],[Precio de Venta]]</f>
        <v>0</v>
      </c>
      <c r="R648" s="16"/>
    </row>
    <row r="649" spans="2:18">
      <c r="B649" s="44">
        <v>258</v>
      </c>
      <c r="C649" t="s">
        <v>284</v>
      </c>
      <c r="D649" s="45">
        <v>700</v>
      </c>
      <c r="E649" s="24">
        <v>1400</v>
      </c>
      <c r="F649" s="44">
        <f>Stock[Entradas]-Stock[Compra Cultivate]</f>
        <v>0</v>
      </c>
      <c r="G649" s="11">
        <f>SUMIFS(Compras[Cantidad],Compras[Codigo],Stock[Codigo])</f>
        <v>0</v>
      </c>
      <c r="H649" s="11">
        <f>SUMIFS(Ventas[Cantidad],Ventas[Codigo],Stock[[#This Row],[Codigo]])</f>
        <v>0</v>
      </c>
      <c r="I649" s="12">
        <f>Stock[[#This Row],[Stock Deposito]]*Stock[[#This Row],[Precio de Compra]]</f>
        <v>0</v>
      </c>
      <c r="J649" s="6">
        <f>SUMIFS(ProdDesc[Cantidad],ProdDesc[Codigo],Stock[Codigo])</f>
        <v>0</v>
      </c>
      <c r="K649" s="44">
        <f>Stock[[#This Row],[Compra Cultivate]]-Stock[[#This Row],[Salidas]]-Stock[[#This Row],[Usados]]</f>
        <v>0</v>
      </c>
      <c r="L649" s="24">
        <f>Stock[[#This Row],[Stock Deposito]]*Stock[[#This Row],[Precio de Venta]]</f>
        <v>0</v>
      </c>
      <c r="M649" s="6">
        <f>SUMIFS(Tabla9[Cantidad],Tabla9[Codigo],Stock[Codigo])</f>
        <v>0</v>
      </c>
      <c r="N649" s="24">
        <f>Stock[[#This Row],[Precio de Compra]]*Stock[[#This Row],[Stock Cultivate]]</f>
        <v>0</v>
      </c>
      <c r="O649" s="24">
        <f>Stock[[#This Row],[Stock Cultivate]]*Stock[[#This Row],[Precio de Venta]]</f>
        <v>0</v>
      </c>
      <c r="R649" s="16"/>
    </row>
    <row r="650" spans="2:18">
      <c r="B650" s="44">
        <v>257</v>
      </c>
      <c r="C650" t="s">
        <v>283</v>
      </c>
      <c r="D650" s="45">
        <v>900</v>
      </c>
      <c r="E650" s="24">
        <v>1800</v>
      </c>
      <c r="F650" s="44">
        <f>Stock[Entradas]-Stock[Compra Cultivate]</f>
        <v>0</v>
      </c>
      <c r="G650" s="11">
        <f>SUMIFS(Compras[Cantidad],Compras[Codigo],Stock[Codigo])</f>
        <v>3</v>
      </c>
      <c r="H650" s="11">
        <f>SUMIFS(Ventas[Cantidad],Ventas[Codigo],Stock[[#This Row],[Codigo]])</f>
        <v>3</v>
      </c>
      <c r="I650" s="12">
        <f>Stock[[#This Row],[Stock Deposito]]*Stock[[#This Row],[Precio de Compra]]</f>
        <v>0</v>
      </c>
      <c r="J650" s="6">
        <f>SUMIFS(ProdDesc[Cantidad],ProdDesc[Codigo],Stock[Codigo])</f>
        <v>0</v>
      </c>
      <c r="K650" s="44">
        <f>Stock[[#This Row],[Compra Cultivate]]-Stock[[#This Row],[Salidas]]-Stock[[#This Row],[Usados]]</f>
        <v>0</v>
      </c>
      <c r="L650" s="24">
        <f>Stock[[#This Row],[Stock Deposito]]*Stock[[#This Row],[Precio de Venta]]</f>
        <v>0</v>
      </c>
      <c r="M650" s="6">
        <f>SUMIFS(Tabla9[Cantidad],Tabla9[Codigo],Stock[Codigo])</f>
        <v>3</v>
      </c>
      <c r="N650" s="24">
        <f>Stock[[#This Row],[Precio de Compra]]*Stock[[#This Row],[Stock Cultivate]]</f>
        <v>0</v>
      </c>
      <c r="O650" s="24">
        <f>Stock[[#This Row],[Stock Cultivate]]*Stock[[#This Row],[Precio de Venta]]</f>
        <v>0</v>
      </c>
      <c r="R650" s="16"/>
    </row>
    <row r="651" spans="2:18">
      <c r="B651" s="44">
        <v>256</v>
      </c>
      <c r="C651" t="s">
        <v>282</v>
      </c>
      <c r="D651" s="45">
        <v>250</v>
      </c>
      <c r="E651" s="24">
        <v>500</v>
      </c>
      <c r="F651" s="44">
        <f>Stock[Entradas]-Stock[Compra Cultivate]</f>
        <v>0</v>
      </c>
      <c r="G651" s="11">
        <f>SUMIFS(Compras[Cantidad],Compras[Codigo],Stock[Codigo])</f>
        <v>0</v>
      </c>
      <c r="H651" s="11">
        <f>SUMIFS(Ventas[Cantidad],Ventas[Codigo],Stock[[#This Row],[Codigo]])</f>
        <v>0</v>
      </c>
      <c r="I651" s="12">
        <f>Stock[[#This Row],[Stock Deposito]]*Stock[[#This Row],[Precio de Compra]]</f>
        <v>0</v>
      </c>
      <c r="J651" s="6">
        <f>SUMIFS(ProdDesc[Cantidad],ProdDesc[Codigo],Stock[Codigo])</f>
        <v>0</v>
      </c>
      <c r="K651" s="44">
        <f>Stock[[#This Row],[Compra Cultivate]]-Stock[[#This Row],[Salidas]]-Stock[[#This Row],[Usados]]</f>
        <v>0</v>
      </c>
      <c r="L651" s="24">
        <f>Stock[[#This Row],[Stock Deposito]]*Stock[[#This Row],[Precio de Venta]]</f>
        <v>0</v>
      </c>
      <c r="M651" s="6">
        <f>SUMIFS(Tabla9[Cantidad],Tabla9[Codigo],Stock[Codigo])</f>
        <v>0</v>
      </c>
      <c r="N651" s="24">
        <f>Stock[[#This Row],[Precio de Compra]]*Stock[[#This Row],[Stock Cultivate]]</f>
        <v>0</v>
      </c>
      <c r="O651" s="24">
        <f>Stock[[#This Row],[Stock Cultivate]]*Stock[[#This Row],[Precio de Venta]]</f>
        <v>0</v>
      </c>
      <c r="R651" s="16"/>
    </row>
    <row r="652" spans="2:18">
      <c r="B652" s="44">
        <v>255</v>
      </c>
      <c r="C652" t="s">
        <v>281</v>
      </c>
      <c r="D652" s="45">
        <v>280</v>
      </c>
      <c r="E652" s="24">
        <v>600</v>
      </c>
      <c r="F652" s="44">
        <f>Stock[Entradas]-Stock[Compra Cultivate]</f>
        <v>0</v>
      </c>
      <c r="G652" s="11">
        <f>SUMIFS(Compras[Cantidad],Compras[Codigo],Stock[Codigo])</f>
        <v>0</v>
      </c>
      <c r="H652" s="11">
        <f>SUMIFS(Ventas[Cantidad],Ventas[Codigo],Stock[[#This Row],[Codigo]])</f>
        <v>0</v>
      </c>
      <c r="I652" s="12">
        <f>Stock[[#This Row],[Stock Deposito]]*Stock[[#This Row],[Precio de Compra]]</f>
        <v>0</v>
      </c>
      <c r="J652" s="6">
        <f>SUMIFS(ProdDesc[Cantidad],ProdDesc[Codigo],Stock[Codigo])</f>
        <v>0</v>
      </c>
      <c r="K652" s="44">
        <f>Stock[[#This Row],[Compra Cultivate]]-Stock[[#This Row],[Salidas]]-Stock[[#This Row],[Usados]]</f>
        <v>0</v>
      </c>
      <c r="L652" s="24">
        <f>Stock[[#This Row],[Stock Deposito]]*Stock[[#This Row],[Precio de Venta]]</f>
        <v>0</v>
      </c>
      <c r="M652" s="6">
        <f>SUMIFS(Tabla9[Cantidad],Tabla9[Codigo],Stock[Codigo])</f>
        <v>0</v>
      </c>
      <c r="N652" s="24">
        <f>Stock[[#This Row],[Precio de Compra]]*Stock[[#This Row],[Stock Cultivate]]</f>
        <v>0</v>
      </c>
      <c r="O652" s="24">
        <f>Stock[[#This Row],[Stock Cultivate]]*Stock[[#This Row],[Precio de Venta]]</f>
        <v>0</v>
      </c>
      <c r="R652" s="16"/>
    </row>
    <row r="653" spans="2:18">
      <c r="B653" s="44">
        <v>254</v>
      </c>
      <c r="C653" t="s">
        <v>280</v>
      </c>
      <c r="D653" s="45">
        <v>312</v>
      </c>
      <c r="E653" s="24">
        <v>700</v>
      </c>
      <c r="F653" s="44">
        <f>Stock[Entradas]-Stock[Compra Cultivate]</f>
        <v>0</v>
      </c>
      <c r="G653" s="11">
        <f>SUMIFS(Compras[Cantidad],Compras[Codigo],Stock[Codigo])</f>
        <v>0</v>
      </c>
      <c r="H653" s="11">
        <f>SUMIFS(Ventas[Cantidad],Ventas[Codigo],Stock[[#This Row],[Codigo]])</f>
        <v>0</v>
      </c>
      <c r="I653" s="12">
        <f>Stock[[#This Row],[Stock Deposito]]*Stock[[#This Row],[Precio de Compra]]</f>
        <v>0</v>
      </c>
      <c r="J653" s="6">
        <f>SUMIFS(ProdDesc[Cantidad],ProdDesc[Codigo],Stock[Codigo])</f>
        <v>0</v>
      </c>
      <c r="K653" s="44">
        <f>Stock[[#This Row],[Compra Cultivate]]-Stock[[#This Row],[Salidas]]-Stock[[#This Row],[Usados]]</f>
        <v>0</v>
      </c>
      <c r="L653" s="24">
        <f>Stock[[#This Row],[Stock Deposito]]*Stock[[#This Row],[Precio de Venta]]</f>
        <v>0</v>
      </c>
      <c r="M653" s="6">
        <f>SUMIFS(Tabla9[Cantidad],Tabla9[Codigo],Stock[Codigo])</f>
        <v>0</v>
      </c>
      <c r="N653" s="24">
        <f>Stock[[#This Row],[Precio de Compra]]*Stock[[#This Row],[Stock Cultivate]]</f>
        <v>0</v>
      </c>
      <c r="O653" s="24">
        <f>Stock[[#This Row],[Stock Cultivate]]*Stock[[#This Row],[Precio de Venta]]</f>
        <v>0</v>
      </c>
      <c r="R653" s="16"/>
    </row>
    <row r="654" spans="2:18">
      <c r="B654" s="44">
        <v>253</v>
      </c>
      <c r="C654" t="s">
        <v>279</v>
      </c>
      <c r="D654" s="45">
        <v>375</v>
      </c>
      <c r="E654" s="24">
        <v>800</v>
      </c>
      <c r="F654" s="44">
        <f>Stock[Entradas]-Stock[Compra Cultivate]</f>
        <v>0</v>
      </c>
      <c r="G654" s="11">
        <f>SUMIFS(Compras[Cantidad],Compras[Codigo],Stock[Codigo])</f>
        <v>0</v>
      </c>
      <c r="H654" s="11">
        <f>SUMIFS(Ventas[Cantidad],Ventas[Codigo],Stock[[#This Row],[Codigo]])</f>
        <v>0</v>
      </c>
      <c r="I654" s="12">
        <f>Stock[[#This Row],[Stock Deposito]]*Stock[[#This Row],[Precio de Compra]]</f>
        <v>0</v>
      </c>
      <c r="J654" s="6">
        <f>SUMIFS(ProdDesc[Cantidad],ProdDesc[Codigo],Stock[Codigo])</f>
        <v>0</v>
      </c>
      <c r="K654" s="44">
        <f>Stock[[#This Row],[Compra Cultivate]]-Stock[[#This Row],[Salidas]]-Stock[[#This Row],[Usados]]</f>
        <v>0</v>
      </c>
      <c r="L654" s="24">
        <f>Stock[[#This Row],[Stock Deposito]]*Stock[[#This Row],[Precio de Venta]]</f>
        <v>0</v>
      </c>
      <c r="M654" s="6">
        <f>SUMIFS(Tabla9[Cantidad],Tabla9[Codigo],Stock[Codigo])</f>
        <v>0</v>
      </c>
      <c r="N654" s="24">
        <f>Stock[[#This Row],[Precio de Compra]]*Stock[[#This Row],[Stock Cultivate]]</f>
        <v>0</v>
      </c>
      <c r="O654" s="24">
        <f>Stock[[#This Row],[Stock Cultivate]]*Stock[[#This Row],[Precio de Venta]]</f>
        <v>0</v>
      </c>
      <c r="R654" s="16"/>
    </row>
    <row r="655" spans="2:18">
      <c r="B655" s="44">
        <v>252</v>
      </c>
      <c r="C655" t="s">
        <v>278</v>
      </c>
      <c r="D655" s="45">
        <v>530</v>
      </c>
      <c r="E655" s="24">
        <v>1000</v>
      </c>
      <c r="F655" s="44">
        <f>Stock[Entradas]-Stock[Compra Cultivate]</f>
        <v>0</v>
      </c>
      <c r="G655" s="11">
        <f>SUMIFS(Compras[Cantidad],Compras[Codigo],Stock[Codigo])</f>
        <v>0</v>
      </c>
      <c r="H655" s="11">
        <f>SUMIFS(Ventas[Cantidad],Ventas[Codigo],Stock[[#This Row],[Codigo]])</f>
        <v>0</v>
      </c>
      <c r="I655" s="12">
        <f>Stock[[#This Row],[Stock Deposito]]*Stock[[#This Row],[Precio de Compra]]</f>
        <v>0</v>
      </c>
      <c r="J655" s="6">
        <f>SUMIFS(ProdDesc[Cantidad],ProdDesc[Codigo],Stock[Codigo])</f>
        <v>0</v>
      </c>
      <c r="K655" s="44">
        <f>Stock[[#This Row],[Compra Cultivate]]-Stock[[#This Row],[Salidas]]-Stock[[#This Row],[Usados]]</f>
        <v>0</v>
      </c>
      <c r="L655" s="24">
        <f>Stock[[#This Row],[Stock Deposito]]*Stock[[#This Row],[Precio de Venta]]</f>
        <v>0</v>
      </c>
      <c r="M655" s="6">
        <f>SUMIFS(Tabla9[Cantidad],Tabla9[Codigo],Stock[Codigo])</f>
        <v>0</v>
      </c>
      <c r="N655" s="24">
        <f>Stock[[#This Row],[Precio de Compra]]*Stock[[#This Row],[Stock Cultivate]]</f>
        <v>0</v>
      </c>
      <c r="O655" s="24">
        <f>Stock[[#This Row],[Stock Cultivate]]*Stock[[#This Row],[Precio de Venta]]</f>
        <v>0</v>
      </c>
      <c r="R655" s="16"/>
    </row>
    <row r="656" spans="2:18">
      <c r="B656" s="44">
        <v>251</v>
      </c>
      <c r="C656" t="s">
        <v>277</v>
      </c>
      <c r="D656" s="45">
        <v>1970</v>
      </c>
      <c r="E656" s="24">
        <v>4000</v>
      </c>
      <c r="F656" s="44">
        <f>Stock[Entradas]-Stock[Compra Cultivate]</f>
        <v>17</v>
      </c>
      <c r="G656" s="11">
        <f>SUMIFS(Compras[Cantidad],Compras[Codigo],Stock[Codigo])</f>
        <v>20</v>
      </c>
      <c r="H656" s="11">
        <f>SUMIFS(Ventas[Cantidad],Ventas[Codigo],Stock[[#This Row],[Codigo]])</f>
        <v>0</v>
      </c>
      <c r="I656" s="12">
        <f>Stock[[#This Row],[Stock Deposito]]*Stock[[#This Row],[Precio de Compra]]</f>
        <v>33490</v>
      </c>
      <c r="J656" s="6">
        <f>SUMIFS(ProdDesc[Cantidad],ProdDesc[Codigo],Stock[Codigo])</f>
        <v>0</v>
      </c>
      <c r="K656" s="44">
        <f>Stock[[#This Row],[Compra Cultivate]]-Stock[[#This Row],[Salidas]]-Stock[[#This Row],[Usados]]</f>
        <v>3</v>
      </c>
      <c r="L656" s="24">
        <f>Stock[[#This Row],[Stock Deposito]]*Stock[[#This Row],[Precio de Venta]]</f>
        <v>68000</v>
      </c>
      <c r="M656" s="6">
        <f>SUMIFS(Tabla9[Cantidad],Tabla9[Codigo],Stock[Codigo])</f>
        <v>3</v>
      </c>
      <c r="N656" s="24">
        <f>Stock[[#This Row],[Precio de Compra]]*Stock[[#This Row],[Stock Cultivate]]</f>
        <v>5910</v>
      </c>
      <c r="O656" s="24">
        <f>Stock[[#This Row],[Stock Cultivate]]*Stock[[#This Row],[Precio de Venta]]</f>
        <v>12000</v>
      </c>
      <c r="R656" s="16"/>
    </row>
    <row r="657" spans="2:18">
      <c r="B657" s="44">
        <v>250</v>
      </c>
      <c r="C657" t="s">
        <v>276</v>
      </c>
      <c r="D657" s="45">
        <v>750</v>
      </c>
      <c r="E657" s="24">
        <v>1500</v>
      </c>
      <c r="F657" s="44">
        <f>Stock[Entradas]-Stock[Compra Cultivate]</f>
        <v>7</v>
      </c>
      <c r="G657" s="11">
        <f>SUMIFS(Compras[Cantidad],Compras[Codigo],Stock[Codigo])</f>
        <v>8</v>
      </c>
      <c r="H657" s="11">
        <f>SUMIFS(Ventas[Cantidad],Ventas[Codigo],Stock[[#This Row],[Codigo]])</f>
        <v>0</v>
      </c>
      <c r="I657" s="12">
        <f>Stock[[#This Row],[Stock Deposito]]*Stock[[#This Row],[Precio de Compra]]</f>
        <v>5250</v>
      </c>
      <c r="J657" s="6">
        <f>SUMIFS(ProdDesc[Cantidad],ProdDesc[Codigo],Stock[Codigo])</f>
        <v>0</v>
      </c>
      <c r="K657" s="44">
        <f>Stock[[#This Row],[Compra Cultivate]]-Stock[[#This Row],[Salidas]]-Stock[[#This Row],[Usados]]</f>
        <v>1</v>
      </c>
      <c r="L657" s="24">
        <f>Stock[[#This Row],[Stock Deposito]]*Stock[[#This Row],[Precio de Venta]]</f>
        <v>10500</v>
      </c>
      <c r="M657" s="6">
        <f>SUMIFS(Tabla9[Cantidad],Tabla9[Codigo],Stock[Codigo])</f>
        <v>1</v>
      </c>
      <c r="N657" s="24">
        <f>Stock[[#This Row],[Precio de Compra]]*Stock[[#This Row],[Stock Cultivate]]</f>
        <v>750</v>
      </c>
      <c r="O657" s="24">
        <f>Stock[[#This Row],[Stock Cultivate]]*Stock[[#This Row],[Precio de Venta]]</f>
        <v>1500</v>
      </c>
      <c r="R657" s="16"/>
    </row>
    <row r="658" spans="2:18">
      <c r="B658" s="44">
        <v>249</v>
      </c>
      <c r="C658" t="s">
        <v>275</v>
      </c>
      <c r="D658" s="45">
        <v>445</v>
      </c>
      <c r="E658" s="24">
        <v>1000</v>
      </c>
      <c r="F658" s="44">
        <f>Stock[Entradas]-Stock[Compra Cultivate]</f>
        <v>12</v>
      </c>
      <c r="G658" s="11">
        <f>SUMIFS(Compras[Cantidad],Compras[Codigo],Stock[Codigo])</f>
        <v>13</v>
      </c>
      <c r="H658" s="11">
        <f>SUMIFS(Ventas[Cantidad],Ventas[Codigo],Stock[[#This Row],[Codigo]])</f>
        <v>0</v>
      </c>
      <c r="I658" s="12">
        <f>Stock[[#This Row],[Stock Deposito]]*Stock[[#This Row],[Precio de Compra]]</f>
        <v>5340</v>
      </c>
      <c r="J658" s="6">
        <f>SUMIFS(ProdDesc[Cantidad],ProdDesc[Codigo],Stock[Codigo])</f>
        <v>0</v>
      </c>
      <c r="K658" s="44">
        <f>Stock[[#This Row],[Compra Cultivate]]-Stock[[#This Row],[Salidas]]-Stock[[#This Row],[Usados]]</f>
        <v>1</v>
      </c>
      <c r="L658" s="24">
        <f>Stock[[#This Row],[Stock Deposito]]*Stock[[#This Row],[Precio de Venta]]</f>
        <v>12000</v>
      </c>
      <c r="M658" s="6">
        <f>SUMIFS(Tabla9[Cantidad],Tabla9[Codigo],Stock[Codigo])</f>
        <v>1</v>
      </c>
      <c r="N658" s="24">
        <f>Stock[[#This Row],[Precio de Compra]]*Stock[[#This Row],[Stock Cultivate]]</f>
        <v>445</v>
      </c>
      <c r="O658" s="24">
        <f>Stock[[#This Row],[Stock Cultivate]]*Stock[[#This Row],[Precio de Venta]]</f>
        <v>1000</v>
      </c>
      <c r="R658" s="16"/>
    </row>
    <row r="659" spans="2:18">
      <c r="B659" s="44">
        <v>248</v>
      </c>
      <c r="C659" t="s">
        <v>1152</v>
      </c>
      <c r="D659" s="45">
        <v>178</v>
      </c>
      <c r="E659" s="24">
        <v>350</v>
      </c>
      <c r="F659" s="44">
        <f>Stock[Entradas]-Stock[Compra Cultivate]</f>
        <v>71</v>
      </c>
      <c r="G659" s="11">
        <f>SUMIFS(Compras[Cantidad],Compras[Codigo],Stock[Codigo])</f>
        <v>93</v>
      </c>
      <c r="H659" s="11">
        <f>SUMIFS(Ventas[Cantidad],Ventas[Codigo],Stock[[#This Row],[Codigo]])</f>
        <v>16</v>
      </c>
      <c r="I659" s="12">
        <f>Stock[[#This Row],[Stock Deposito]]*Stock[[#This Row],[Precio de Compra]]</f>
        <v>12638</v>
      </c>
      <c r="J659" s="6">
        <f>SUMIFS(ProdDesc[Cantidad],ProdDesc[Codigo],Stock[Codigo])</f>
        <v>0</v>
      </c>
      <c r="K659" s="44">
        <f>Stock[[#This Row],[Compra Cultivate]]-Stock[[#This Row],[Salidas]]-Stock[[#This Row],[Usados]]</f>
        <v>6</v>
      </c>
      <c r="L659" s="24">
        <f>Stock[[#This Row],[Stock Deposito]]*Stock[[#This Row],[Precio de Venta]]</f>
        <v>24850</v>
      </c>
      <c r="M659" s="6">
        <f>SUMIFS(Tabla9[Cantidad],Tabla9[Codigo],Stock[Codigo])</f>
        <v>22</v>
      </c>
      <c r="N659" s="24">
        <f>Stock[[#This Row],[Precio de Compra]]*Stock[[#This Row],[Stock Cultivate]]</f>
        <v>1068</v>
      </c>
      <c r="O659" s="24">
        <f>Stock[[#This Row],[Stock Cultivate]]*Stock[[#This Row],[Precio de Venta]]</f>
        <v>2100</v>
      </c>
      <c r="R659" s="16"/>
    </row>
    <row r="660" spans="2:18">
      <c r="B660" s="44">
        <v>247</v>
      </c>
      <c r="C660" t="s">
        <v>274</v>
      </c>
      <c r="D660" s="45">
        <v>100</v>
      </c>
      <c r="E660" s="24">
        <v>200</v>
      </c>
      <c r="F660" s="44">
        <f>Stock[Entradas]-Stock[Compra Cultivate]</f>
        <v>0</v>
      </c>
      <c r="G660" s="11">
        <f>SUMIFS(Compras[Cantidad],Compras[Codigo],Stock[Codigo])</f>
        <v>27</v>
      </c>
      <c r="H660" s="11">
        <f>SUMIFS(Ventas[Cantidad],Ventas[Codigo],Stock[[#This Row],[Codigo]])</f>
        <v>15</v>
      </c>
      <c r="I660" s="12">
        <f>Stock[[#This Row],[Stock Deposito]]*Stock[[#This Row],[Precio de Compra]]</f>
        <v>0</v>
      </c>
      <c r="J660" s="6">
        <f>SUMIFS(ProdDesc[Cantidad],ProdDesc[Codigo],Stock[Codigo])</f>
        <v>0</v>
      </c>
      <c r="K660" s="44">
        <f>Stock[[#This Row],[Compra Cultivate]]-Stock[[#This Row],[Salidas]]-Stock[[#This Row],[Usados]]</f>
        <v>12</v>
      </c>
      <c r="L660" s="24">
        <f>Stock[[#This Row],[Stock Deposito]]*Stock[[#This Row],[Precio de Venta]]</f>
        <v>0</v>
      </c>
      <c r="M660" s="6">
        <f>SUMIFS(Tabla9[Cantidad],Tabla9[Codigo],Stock[Codigo])</f>
        <v>27</v>
      </c>
      <c r="N660" s="24">
        <f>Stock[[#This Row],[Precio de Compra]]*Stock[[#This Row],[Stock Cultivate]]</f>
        <v>1200</v>
      </c>
      <c r="O660" s="24">
        <f>Stock[[#This Row],[Stock Cultivate]]*Stock[[#This Row],[Precio de Venta]]</f>
        <v>2400</v>
      </c>
      <c r="R660" s="16"/>
    </row>
    <row r="661" spans="2:18">
      <c r="B661" s="44">
        <v>246</v>
      </c>
      <c r="C661" t="s">
        <v>222</v>
      </c>
      <c r="D661" s="45">
        <v>38</v>
      </c>
      <c r="E661" s="24">
        <v>100</v>
      </c>
      <c r="F661" s="44">
        <f>Stock[Entradas]-Stock[Compra Cultivate]</f>
        <v>0</v>
      </c>
      <c r="G661" s="11">
        <f>SUMIFS(Compras[Cantidad],Compras[Codigo],Stock[Codigo])</f>
        <v>73</v>
      </c>
      <c r="H661" s="11">
        <f>SUMIFS(Ventas[Cantidad],Ventas[Codigo],Stock[[#This Row],[Codigo]])</f>
        <v>4</v>
      </c>
      <c r="I661" s="12">
        <f>Stock[[#This Row],[Stock Deposito]]*Stock[[#This Row],[Precio de Compra]]</f>
        <v>0</v>
      </c>
      <c r="J661" s="6">
        <f>SUMIFS(ProdDesc[Cantidad],ProdDesc[Codigo],Stock[Codigo])</f>
        <v>0</v>
      </c>
      <c r="K661" s="44">
        <f>Stock[[#This Row],[Compra Cultivate]]-Stock[[#This Row],[Salidas]]-Stock[[#This Row],[Usados]]</f>
        <v>69</v>
      </c>
      <c r="L661" s="24">
        <f>Stock[[#This Row],[Stock Deposito]]*Stock[[#This Row],[Precio de Venta]]</f>
        <v>0</v>
      </c>
      <c r="M661" s="6">
        <f>SUMIFS(Tabla9[Cantidad],Tabla9[Codigo],Stock[Codigo])</f>
        <v>73</v>
      </c>
      <c r="N661" s="24">
        <f>Stock[[#This Row],[Precio de Compra]]*Stock[[#This Row],[Stock Cultivate]]</f>
        <v>2622</v>
      </c>
      <c r="O661" s="24">
        <f>Stock[[#This Row],[Stock Cultivate]]*Stock[[#This Row],[Precio de Venta]]</f>
        <v>6900</v>
      </c>
      <c r="R661" s="16"/>
    </row>
    <row r="662" spans="2:18">
      <c r="B662" s="44">
        <v>245</v>
      </c>
      <c r="C662" t="s">
        <v>221</v>
      </c>
      <c r="D662" s="45">
        <v>198</v>
      </c>
      <c r="E662" s="24">
        <v>400</v>
      </c>
      <c r="F662" s="44">
        <f>Stock[Entradas]-Stock[Compra Cultivate]</f>
        <v>0</v>
      </c>
      <c r="G662" s="11">
        <f>SUMIFS(Compras[Cantidad],Compras[Codigo],Stock[Codigo])</f>
        <v>8</v>
      </c>
      <c r="H662" s="11">
        <f>SUMIFS(Ventas[Cantidad],Ventas[Codigo],Stock[[#This Row],[Codigo]])</f>
        <v>4</v>
      </c>
      <c r="I662" s="12">
        <f>Stock[[#This Row],[Stock Deposito]]*Stock[[#This Row],[Precio de Compra]]</f>
        <v>0</v>
      </c>
      <c r="J662" s="6">
        <f>SUMIFS(ProdDesc[Cantidad],ProdDesc[Codigo],Stock[Codigo])</f>
        <v>0</v>
      </c>
      <c r="K662" s="44">
        <f>Stock[[#This Row],[Compra Cultivate]]-Stock[[#This Row],[Salidas]]-Stock[[#This Row],[Usados]]</f>
        <v>4</v>
      </c>
      <c r="L662" s="24">
        <f>Stock[[#This Row],[Stock Deposito]]*Stock[[#This Row],[Precio de Venta]]</f>
        <v>0</v>
      </c>
      <c r="M662" s="6">
        <f>SUMIFS(Tabla9[Cantidad],Tabla9[Codigo],Stock[Codigo])</f>
        <v>8</v>
      </c>
      <c r="N662" s="24">
        <f>Stock[[#This Row],[Precio de Compra]]*Stock[[#This Row],[Stock Cultivate]]</f>
        <v>792</v>
      </c>
      <c r="O662" s="24">
        <f>Stock[[#This Row],[Stock Cultivate]]*Stock[[#This Row],[Precio de Venta]]</f>
        <v>1600</v>
      </c>
      <c r="R662" s="16"/>
    </row>
    <row r="663" spans="2:18">
      <c r="B663" s="44">
        <v>244</v>
      </c>
      <c r="C663" t="s">
        <v>220</v>
      </c>
      <c r="D663" s="45">
        <v>198</v>
      </c>
      <c r="E663" s="24">
        <v>400</v>
      </c>
      <c r="F663" s="44">
        <f>Stock[Entradas]-Stock[Compra Cultivate]</f>
        <v>0</v>
      </c>
      <c r="G663" s="11">
        <f>SUMIFS(Compras[Cantidad],Compras[Codigo],Stock[Codigo])</f>
        <v>4</v>
      </c>
      <c r="H663" s="11">
        <f>SUMIFS(Ventas[Cantidad],Ventas[Codigo],Stock[[#This Row],[Codigo]])</f>
        <v>0</v>
      </c>
      <c r="I663" s="12">
        <f>Stock[[#This Row],[Stock Deposito]]*Stock[[#This Row],[Precio de Compra]]</f>
        <v>0</v>
      </c>
      <c r="J663" s="6">
        <f>SUMIFS(ProdDesc[Cantidad],ProdDesc[Codigo],Stock[Codigo])</f>
        <v>2</v>
      </c>
      <c r="K663" s="44">
        <f>Stock[[#This Row],[Compra Cultivate]]-Stock[[#This Row],[Salidas]]-Stock[[#This Row],[Usados]]</f>
        <v>2</v>
      </c>
      <c r="L663" s="24">
        <f>Stock[[#This Row],[Stock Deposito]]*Stock[[#This Row],[Precio de Venta]]</f>
        <v>0</v>
      </c>
      <c r="M663" s="6">
        <f>SUMIFS(Tabla9[Cantidad],Tabla9[Codigo],Stock[Codigo])</f>
        <v>4</v>
      </c>
      <c r="N663" s="24">
        <f>Stock[[#This Row],[Precio de Compra]]*Stock[[#This Row],[Stock Cultivate]]</f>
        <v>396</v>
      </c>
      <c r="O663" s="24">
        <f>Stock[[#This Row],[Stock Cultivate]]*Stock[[#This Row],[Precio de Venta]]</f>
        <v>800</v>
      </c>
      <c r="R663" s="16"/>
    </row>
    <row r="664" spans="2:18">
      <c r="B664" s="44">
        <v>243</v>
      </c>
      <c r="C664" t="s">
        <v>219</v>
      </c>
      <c r="D664" s="45">
        <v>198</v>
      </c>
      <c r="E664" s="24">
        <v>400</v>
      </c>
      <c r="F664" s="44">
        <f>Stock[Entradas]-Stock[Compra Cultivate]</f>
        <v>0</v>
      </c>
      <c r="G664" s="11">
        <f>SUMIFS(Compras[Cantidad],Compras[Codigo],Stock[Codigo])</f>
        <v>8</v>
      </c>
      <c r="H664" s="11">
        <f>SUMIFS(Ventas[Cantidad],Ventas[Codigo],Stock[[#This Row],[Codigo]])</f>
        <v>3</v>
      </c>
      <c r="I664" s="12">
        <f>Stock[[#This Row],[Stock Deposito]]*Stock[[#This Row],[Precio de Compra]]</f>
        <v>0</v>
      </c>
      <c r="J664" s="6">
        <f>SUMIFS(ProdDesc[Cantidad],ProdDesc[Codigo],Stock[Codigo])</f>
        <v>0</v>
      </c>
      <c r="K664" s="44">
        <f>Stock[[#This Row],[Compra Cultivate]]-Stock[[#This Row],[Salidas]]-Stock[[#This Row],[Usados]]</f>
        <v>5</v>
      </c>
      <c r="L664" s="24">
        <f>Stock[[#This Row],[Stock Deposito]]*Stock[[#This Row],[Precio de Venta]]</f>
        <v>0</v>
      </c>
      <c r="M664" s="6">
        <f>SUMIFS(Tabla9[Cantidad],Tabla9[Codigo],Stock[Codigo])</f>
        <v>8</v>
      </c>
      <c r="N664" s="24">
        <f>Stock[[#This Row],[Precio de Compra]]*Stock[[#This Row],[Stock Cultivate]]</f>
        <v>990</v>
      </c>
      <c r="O664" s="24">
        <f>Stock[[#This Row],[Stock Cultivate]]*Stock[[#This Row],[Precio de Venta]]</f>
        <v>2000</v>
      </c>
      <c r="R664" s="16"/>
    </row>
    <row r="665" spans="2:18">
      <c r="B665" s="44">
        <v>242</v>
      </c>
      <c r="C665" t="s">
        <v>218</v>
      </c>
      <c r="D665" s="45">
        <v>198</v>
      </c>
      <c r="E665" s="24">
        <v>400</v>
      </c>
      <c r="F665" s="44">
        <f>Stock[Entradas]-Stock[Compra Cultivate]</f>
        <v>0</v>
      </c>
      <c r="G665" s="11">
        <f>SUMIFS(Compras[Cantidad],Compras[Codigo],Stock[Codigo])</f>
        <v>2</v>
      </c>
      <c r="H665" s="11">
        <f>SUMIFS(Ventas[Cantidad],Ventas[Codigo],Stock[[#This Row],[Codigo]])</f>
        <v>0</v>
      </c>
      <c r="I665" s="12">
        <f>Stock[[#This Row],[Stock Deposito]]*Stock[[#This Row],[Precio de Compra]]</f>
        <v>0</v>
      </c>
      <c r="J665" s="6">
        <f>SUMIFS(ProdDesc[Cantidad],ProdDesc[Codigo],Stock[Codigo])</f>
        <v>0</v>
      </c>
      <c r="K665" s="44">
        <f>Stock[[#This Row],[Compra Cultivate]]-Stock[[#This Row],[Salidas]]-Stock[[#This Row],[Usados]]</f>
        <v>2</v>
      </c>
      <c r="L665" s="24">
        <f>Stock[[#This Row],[Stock Deposito]]*Stock[[#This Row],[Precio de Venta]]</f>
        <v>0</v>
      </c>
      <c r="M665" s="6">
        <f>SUMIFS(Tabla9[Cantidad],Tabla9[Codigo],Stock[Codigo])</f>
        <v>2</v>
      </c>
      <c r="N665" s="24">
        <f>Stock[[#This Row],[Precio de Compra]]*Stock[[#This Row],[Stock Cultivate]]</f>
        <v>396</v>
      </c>
      <c r="O665" s="24">
        <f>Stock[[#This Row],[Stock Cultivate]]*Stock[[#This Row],[Precio de Venta]]</f>
        <v>800</v>
      </c>
      <c r="R665" s="16"/>
    </row>
    <row r="666" spans="2:18">
      <c r="B666" s="44">
        <v>241</v>
      </c>
      <c r="C666" t="s">
        <v>217</v>
      </c>
      <c r="D666" s="45">
        <v>198</v>
      </c>
      <c r="E666" s="24">
        <v>400</v>
      </c>
      <c r="F666" s="44">
        <f>Stock[Entradas]-Stock[Compra Cultivate]</f>
        <v>0</v>
      </c>
      <c r="G666" s="11">
        <f>SUMIFS(Compras[Cantidad],Compras[Codigo],Stock[Codigo])</f>
        <v>4</v>
      </c>
      <c r="H666" s="11">
        <f>SUMIFS(Ventas[Cantidad],Ventas[Codigo],Stock[[#This Row],[Codigo]])</f>
        <v>0</v>
      </c>
      <c r="I666" s="12">
        <f>Stock[[#This Row],[Stock Deposito]]*Stock[[#This Row],[Precio de Compra]]</f>
        <v>0</v>
      </c>
      <c r="J666" s="6">
        <f>SUMIFS(ProdDesc[Cantidad],ProdDesc[Codigo],Stock[Codigo])</f>
        <v>0</v>
      </c>
      <c r="K666" s="44">
        <f>Stock[[#This Row],[Compra Cultivate]]-Stock[[#This Row],[Salidas]]-Stock[[#This Row],[Usados]]</f>
        <v>4</v>
      </c>
      <c r="L666" s="24">
        <f>Stock[[#This Row],[Stock Deposito]]*Stock[[#This Row],[Precio de Venta]]</f>
        <v>0</v>
      </c>
      <c r="M666" s="6">
        <f>SUMIFS(Tabla9[Cantidad],Tabla9[Codigo],Stock[Codigo])</f>
        <v>4</v>
      </c>
      <c r="N666" s="24">
        <f>Stock[[#This Row],[Precio de Compra]]*Stock[[#This Row],[Stock Cultivate]]</f>
        <v>792</v>
      </c>
      <c r="O666" s="24">
        <f>Stock[[#This Row],[Stock Cultivate]]*Stock[[#This Row],[Precio de Venta]]</f>
        <v>1600</v>
      </c>
      <c r="R666" s="16"/>
    </row>
    <row r="667" spans="2:18">
      <c r="B667" s="44">
        <v>240</v>
      </c>
      <c r="C667" t="s">
        <v>61</v>
      </c>
      <c r="D667" s="45">
        <v>375</v>
      </c>
      <c r="E667" s="24">
        <v>750</v>
      </c>
      <c r="F667" s="44">
        <f>Stock[Entradas]-Stock[Compra Cultivate]</f>
        <v>0</v>
      </c>
      <c r="G667" s="11">
        <f>SUMIFS(Compras[Cantidad],Compras[Codigo],Stock[Codigo])</f>
        <v>2</v>
      </c>
      <c r="H667" s="11">
        <f>SUMIFS(Ventas[Cantidad],Ventas[Codigo],Stock[[#This Row],[Codigo]])</f>
        <v>0</v>
      </c>
      <c r="I667" s="12">
        <f>Stock[[#This Row],[Stock Deposito]]*Stock[[#This Row],[Precio de Compra]]</f>
        <v>0</v>
      </c>
      <c r="J667" s="6">
        <f>SUMIFS(ProdDesc[Cantidad],ProdDesc[Codigo],Stock[Codigo])</f>
        <v>0</v>
      </c>
      <c r="K667" s="44">
        <f>Stock[[#This Row],[Compra Cultivate]]-Stock[[#This Row],[Salidas]]-Stock[[#This Row],[Usados]]</f>
        <v>2</v>
      </c>
      <c r="L667" s="24">
        <f>Stock[[#This Row],[Stock Deposito]]*Stock[[#This Row],[Precio de Venta]]</f>
        <v>0</v>
      </c>
      <c r="M667" s="6">
        <f>SUMIFS(Tabla9[Cantidad],Tabla9[Codigo],Stock[Codigo])</f>
        <v>2</v>
      </c>
      <c r="N667" s="24">
        <f>Stock[[#This Row],[Precio de Compra]]*Stock[[#This Row],[Stock Cultivate]]</f>
        <v>750</v>
      </c>
      <c r="O667" s="24">
        <f>Stock[[#This Row],[Stock Cultivate]]*Stock[[#This Row],[Precio de Venta]]</f>
        <v>1500</v>
      </c>
      <c r="R667" s="16"/>
    </row>
    <row r="668" spans="2:18">
      <c r="B668" s="44">
        <v>239</v>
      </c>
      <c r="C668" t="s">
        <v>60</v>
      </c>
      <c r="D668" s="45">
        <v>20</v>
      </c>
      <c r="E668" s="24">
        <v>100</v>
      </c>
      <c r="F668" s="44">
        <f>Stock[Entradas]-Stock[Compra Cultivate]</f>
        <v>0</v>
      </c>
      <c r="G668" s="11">
        <f>SUMIFS(Compras[Cantidad],Compras[Codigo],Stock[Codigo])</f>
        <v>89</v>
      </c>
      <c r="H668" s="11">
        <f>SUMIFS(Ventas[Cantidad],Ventas[Codigo],Stock[[#This Row],[Codigo]])</f>
        <v>13</v>
      </c>
      <c r="I668" s="12">
        <f>Stock[[#This Row],[Stock Deposito]]*Stock[[#This Row],[Precio de Compra]]</f>
        <v>0</v>
      </c>
      <c r="J668" s="6">
        <f>SUMIFS(ProdDesc[Cantidad],ProdDesc[Codigo],Stock[Codigo])</f>
        <v>41</v>
      </c>
      <c r="K668" s="44">
        <f>Stock[[#This Row],[Compra Cultivate]]-Stock[[#This Row],[Salidas]]-Stock[[#This Row],[Usados]]</f>
        <v>35</v>
      </c>
      <c r="L668" s="24">
        <f>Stock[[#This Row],[Stock Deposito]]*Stock[[#This Row],[Precio de Venta]]</f>
        <v>0</v>
      </c>
      <c r="M668" s="6">
        <f>SUMIFS(Tabla9[Cantidad],Tabla9[Codigo],Stock[Codigo])</f>
        <v>89</v>
      </c>
      <c r="N668" s="24">
        <f>Stock[[#This Row],[Precio de Compra]]*Stock[[#This Row],[Stock Cultivate]]</f>
        <v>700</v>
      </c>
      <c r="O668" s="24">
        <f>Stock[[#This Row],[Stock Cultivate]]*Stock[[#This Row],[Precio de Venta]]</f>
        <v>3500</v>
      </c>
      <c r="R668" s="16"/>
    </row>
    <row r="669" spans="2:18">
      <c r="B669" s="44">
        <v>230</v>
      </c>
      <c r="C669" t="s">
        <v>216</v>
      </c>
      <c r="D669" s="45">
        <v>547</v>
      </c>
      <c r="E669" s="24">
        <v>1000</v>
      </c>
      <c r="F669" s="44">
        <f>Stock[Entradas]-Stock[Compra Cultivate]</f>
        <v>0</v>
      </c>
      <c r="G669" s="11">
        <f>SUMIFS(Compras[Cantidad],Compras[Codigo],Stock[Codigo])</f>
        <v>0</v>
      </c>
      <c r="H669" s="11">
        <f>SUMIFS(Ventas[Cantidad],Ventas[Codigo],Stock[[#This Row],[Codigo]])</f>
        <v>0</v>
      </c>
      <c r="I669" s="12">
        <f>Stock[[#This Row],[Stock Deposito]]*Stock[[#This Row],[Precio de Compra]]</f>
        <v>0</v>
      </c>
      <c r="J669" s="6">
        <f>SUMIFS(ProdDesc[Cantidad],ProdDesc[Codigo],Stock[Codigo])</f>
        <v>0</v>
      </c>
      <c r="K669" s="44">
        <f>Stock[[#This Row],[Compra Cultivate]]-Stock[[#This Row],[Salidas]]-Stock[[#This Row],[Usados]]</f>
        <v>0</v>
      </c>
      <c r="L669" s="24">
        <f>Stock[[#This Row],[Stock Deposito]]*Stock[[#This Row],[Precio de Venta]]</f>
        <v>0</v>
      </c>
      <c r="M669" s="6">
        <f>SUMIFS(Tabla9[Cantidad],Tabla9[Codigo],Stock[Codigo])</f>
        <v>0</v>
      </c>
      <c r="N669" s="24">
        <f>Stock[[#This Row],[Precio de Compra]]*Stock[[#This Row],[Stock Cultivate]]</f>
        <v>0</v>
      </c>
      <c r="O669" s="24">
        <f>Stock[[#This Row],[Stock Cultivate]]*Stock[[#This Row],[Precio de Venta]]</f>
        <v>0</v>
      </c>
      <c r="R669" s="16"/>
    </row>
    <row r="670" spans="2:18">
      <c r="B670" s="44">
        <v>228</v>
      </c>
      <c r="C670" t="s">
        <v>215</v>
      </c>
      <c r="D670" s="45">
        <v>750</v>
      </c>
      <c r="E670" s="24">
        <v>1500</v>
      </c>
      <c r="F670" s="44">
        <f>Stock[Entradas]-Stock[Compra Cultivate]</f>
        <v>0</v>
      </c>
      <c r="G670" s="11">
        <f>SUMIFS(Compras[Cantidad],Compras[Codigo],Stock[Codigo])</f>
        <v>0</v>
      </c>
      <c r="H670" s="11">
        <f>SUMIFS(Ventas[Cantidad],Ventas[Codigo],Stock[[#This Row],[Codigo]])</f>
        <v>0</v>
      </c>
      <c r="I670" s="12">
        <f>Stock[[#This Row],[Stock Deposito]]*Stock[[#This Row],[Precio de Compra]]</f>
        <v>0</v>
      </c>
      <c r="J670" s="6">
        <f>SUMIFS(ProdDesc[Cantidad],ProdDesc[Codigo],Stock[Codigo])</f>
        <v>0</v>
      </c>
      <c r="K670" s="44">
        <f>Stock[[#This Row],[Compra Cultivate]]-Stock[[#This Row],[Salidas]]-Stock[[#This Row],[Usados]]</f>
        <v>0</v>
      </c>
      <c r="L670" s="24">
        <f>Stock[[#This Row],[Stock Deposito]]*Stock[[#This Row],[Precio de Venta]]</f>
        <v>0</v>
      </c>
      <c r="M670" s="6">
        <f>SUMIFS(Tabla9[Cantidad],Tabla9[Codigo],Stock[Codigo])</f>
        <v>0</v>
      </c>
      <c r="N670" s="24">
        <f>Stock[[#This Row],[Precio de Compra]]*Stock[[#This Row],[Stock Cultivate]]</f>
        <v>0</v>
      </c>
      <c r="O670" s="24">
        <f>Stock[[#This Row],[Stock Cultivate]]*Stock[[#This Row],[Precio de Venta]]</f>
        <v>0</v>
      </c>
      <c r="R670" s="16"/>
    </row>
    <row r="671" spans="2:18">
      <c r="B671" s="44">
        <v>226</v>
      </c>
      <c r="C671" t="s">
        <v>214</v>
      </c>
      <c r="D671" s="45">
        <v>1790</v>
      </c>
      <c r="E671" s="24">
        <v>3000</v>
      </c>
      <c r="F671" s="44">
        <f>Stock[Entradas]-Stock[Compra Cultivate]</f>
        <v>0</v>
      </c>
      <c r="G671" s="11">
        <f>SUMIFS(Compras[Cantidad],Compras[Codigo],Stock[Codigo])</f>
        <v>0</v>
      </c>
      <c r="H671" s="11">
        <f>SUMIFS(Ventas[Cantidad],Ventas[Codigo],Stock[[#This Row],[Codigo]])</f>
        <v>0</v>
      </c>
      <c r="I671" s="12">
        <f>Stock[[#This Row],[Stock Deposito]]*Stock[[#This Row],[Precio de Compra]]</f>
        <v>0</v>
      </c>
      <c r="J671" s="6">
        <f>SUMIFS(ProdDesc[Cantidad],ProdDesc[Codigo],Stock[Codigo])</f>
        <v>0</v>
      </c>
      <c r="K671" s="44">
        <f>Stock[[#This Row],[Compra Cultivate]]-Stock[[#This Row],[Salidas]]-Stock[[#This Row],[Usados]]</f>
        <v>0</v>
      </c>
      <c r="L671" s="24">
        <f>Stock[[#This Row],[Stock Deposito]]*Stock[[#This Row],[Precio de Venta]]</f>
        <v>0</v>
      </c>
      <c r="M671" s="6">
        <f>SUMIFS(Tabla9[Cantidad],Tabla9[Codigo],Stock[Codigo])</f>
        <v>0</v>
      </c>
      <c r="N671" s="24">
        <f>Stock[[#This Row],[Precio de Compra]]*Stock[[#This Row],[Stock Cultivate]]</f>
        <v>0</v>
      </c>
      <c r="O671" s="24">
        <f>Stock[[#This Row],[Stock Cultivate]]*Stock[[#This Row],[Precio de Venta]]</f>
        <v>0</v>
      </c>
      <c r="R671" s="16"/>
    </row>
    <row r="672" spans="2:18">
      <c r="B672" s="44">
        <v>225</v>
      </c>
      <c r="C672" t="s">
        <v>213</v>
      </c>
      <c r="D672" s="45">
        <v>2300</v>
      </c>
      <c r="E672" s="24">
        <v>4500</v>
      </c>
      <c r="F672" s="44">
        <f>Stock[Entradas]-Stock[Compra Cultivate]</f>
        <v>0</v>
      </c>
      <c r="G672" s="11">
        <f>SUMIFS(Compras[Cantidad],Compras[Codigo],Stock[Codigo])</f>
        <v>0</v>
      </c>
      <c r="H672" s="11">
        <f>SUMIFS(Ventas[Cantidad],Ventas[Codigo],Stock[[#This Row],[Codigo]])</f>
        <v>0</v>
      </c>
      <c r="I672" s="12">
        <f>Stock[[#This Row],[Stock Deposito]]*Stock[[#This Row],[Precio de Compra]]</f>
        <v>0</v>
      </c>
      <c r="J672" s="6">
        <f>SUMIFS(ProdDesc[Cantidad],ProdDesc[Codigo],Stock[Codigo])</f>
        <v>0</v>
      </c>
      <c r="K672" s="44">
        <f>Stock[[#This Row],[Compra Cultivate]]-Stock[[#This Row],[Salidas]]-Stock[[#This Row],[Usados]]</f>
        <v>0</v>
      </c>
      <c r="L672" s="24">
        <f>Stock[[#This Row],[Stock Deposito]]*Stock[[#This Row],[Precio de Venta]]</f>
        <v>0</v>
      </c>
      <c r="M672" s="6">
        <f>SUMIFS(Tabla9[Cantidad],Tabla9[Codigo],Stock[Codigo])</f>
        <v>0</v>
      </c>
      <c r="N672" s="24">
        <f>Stock[[#This Row],[Precio de Compra]]*Stock[[#This Row],[Stock Cultivate]]</f>
        <v>0</v>
      </c>
      <c r="O672" s="24">
        <f>Stock[[#This Row],[Stock Cultivate]]*Stock[[#This Row],[Precio de Venta]]</f>
        <v>0</v>
      </c>
      <c r="R672" s="16"/>
    </row>
    <row r="673" spans="2:18">
      <c r="B673" s="44">
        <v>224</v>
      </c>
      <c r="C673" t="s">
        <v>212</v>
      </c>
      <c r="D673" s="45">
        <v>5000</v>
      </c>
      <c r="E673" s="24">
        <v>10000</v>
      </c>
      <c r="F673" s="44">
        <f>Stock[Entradas]-Stock[Compra Cultivate]</f>
        <v>0</v>
      </c>
      <c r="G673" s="11">
        <f>SUMIFS(Compras[Cantidad],Compras[Codigo],Stock[Codigo])</f>
        <v>1</v>
      </c>
      <c r="H673" s="11">
        <f>SUMIFS(Ventas[Cantidad],Ventas[Codigo],Stock[[#This Row],[Codigo]])</f>
        <v>0</v>
      </c>
      <c r="I673" s="12">
        <f>Stock[[#This Row],[Stock Deposito]]*Stock[[#This Row],[Precio de Compra]]</f>
        <v>0</v>
      </c>
      <c r="J673" s="6">
        <f>SUMIFS(ProdDesc[Cantidad],ProdDesc[Codigo],Stock[Codigo])</f>
        <v>0</v>
      </c>
      <c r="K673" s="44">
        <f>Stock[[#This Row],[Compra Cultivate]]-Stock[[#This Row],[Salidas]]-Stock[[#This Row],[Usados]]</f>
        <v>1</v>
      </c>
      <c r="L673" s="24">
        <f>Stock[[#This Row],[Stock Deposito]]*Stock[[#This Row],[Precio de Venta]]</f>
        <v>0</v>
      </c>
      <c r="M673" s="6">
        <f>SUMIFS(Tabla9[Cantidad],Tabla9[Codigo],Stock[Codigo])</f>
        <v>1</v>
      </c>
      <c r="N673" s="24">
        <f>Stock[[#This Row],[Precio de Compra]]*Stock[[#This Row],[Stock Cultivate]]</f>
        <v>5000</v>
      </c>
      <c r="O673" s="24">
        <f>Stock[[#This Row],[Stock Cultivate]]*Stock[[#This Row],[Precio de Venta]]</f>
        <v>10000</v>
      </c>
      <c r="R673" s="16"/>
    </row>
    <row r="674" spans="2:18">
      <c r="B674" s="44">
        <v>223</v>
      </c>
      <c r="C674" t="s">
        <v>211</v>
      </c>
      <c r="D674" s="45">
        <v>1660</v>
      </c>
      <c r="E674" s="24">
        <v>3000</v>
      </c>
      <c r="F674" s="44">
        <f>Stock[Entradas]-Stock[Compra Cultivate]</f>
        <v>0</v>
      </c>
      <c r="G674" s="11">
        <f>SUMIFS(Compras[Cantidad],Compras[Codigo],Stock[Codigo])</f>
        <v>0</v>
      </c>
      <c r="H674" s="11">
        <f>SUMIFS(Ventas[Cantidad],Ventas[Codigo],Stock[[#This Row],[Codigo]])</f>
        <v>0</v>
      </c>
      <c r="I674" s="12">
        <f>Stock[[#This Row],[Stock Deposito]]*Stock[[#This Row],[Precio de Compra]]</f>
        <v>0</v>
      </c>
      <c r="J674" s="6">
        <f>SUMIFS(ProdDesc[Cantidad],ProdDesc[Codigo],Stock[Codigo])</f>
        <v>0</v>
      </c>
      <c r="K674" s="44">
        <f>Stock[[#This Row],[Compra Cultivate]]-Stock[[#This Row],[Salidas]]-Stock[[#This Row],[Usados]]</f>
        <v>0</v>
      </c>
      <c r="L674" s="24">
        <f>Stock[[#This Row],[Stock Deposito]]*Stock[[#This Row],[Precio de Venta]]</f>
        <v>0</v>
      </c>
      <c r="M674" s="6">
        <f>SUMIFS(Tabla9[Cantidad],Tabla9[Codigo],Stock[Codigo])</f>
        <v>0</v>
      </c>
      <c r="N674" s="24">
        <f>Stock[[#This Row],[Precio de Compra]]*Stock[[#This Row],[Stock Cultivate]]</f>
        <v>0</v>
      </c>
      <c r="O674" s="24">
        <f>Stock[[#This Row],[Stock Cultivate]]*Stock[[#This Row],[Precio de Venta]]</f>
        <v>0</v>
      </c>
      <c r="R674" s="16"/>
    </row>
    <row r="675" spans="2:18">
      <c r="B675" s="44">
        <v>222</v>
      </c>
      <c r="C675" t="s">
        <v>210</v>
      </c>
      <c r="D675" s="45">
        <v>1250</v>
      </c>
      <c r="E675" s="24">
        <v>2500</v>
      </c>
      <c r="F675" s="44">
        <f>Stock[Entradas]-Stock[Compra Cultivate]</f>
        <v>0</v>
      </c>
      <c r="G675" s="11">
        <f>SUMIFS(Compras[Cantidad],Compras[Codigo],Stock[Codigo])</f>
        <v>1</v>
      </c>
      <c r="H675" s="11">
        <f>SUMIFS(Ventas[Cantidad],Ventas[Codigo],Stock[[#This Row],[Codigo]])</f>
        <v>1</v>
      </c>
      <c r="I675" s="12">
        <f>Stock[[#This Row],[Stock Deposito]]*Stock[[#This Row],[Precio de Compra]]</f>
        <v>0</v>
      </c>
      <c r="J675" s="6">
        <f>SUMIFS(ProdDesc[Cantidad],ProdDesc[Codigo],Stock[Codigo])</f>
        <v>0</v>
      </c>
      <c r="K675" s="44">
        <f>Stock[[#This Row],[Compra Cultivate]]-Stock[[#This Row],[Salidas]]-Stock[[#This Row],[Usados]]</f>
        <v>0</v>
      </c>
      <c r="L675" s="24">
        <f>Stock[[#This Row],[Stock Deposito]]*Stock[[#This Row],[Precio de Venta]]</f>
        <v>0</v>
      </c>
      <c r="M675" s="6">
        <f>SUMIFS(Tabla9[Cantidad],Tabla9[Codigo],Stock[Codigo])</f>
        <v>1</v>
      </c>
      <c r="N675" s="24">
        <f>Stock[[#This Row],[Precio de Compra]]*Stock[[#This Row],[Stock Cultivate]]</f>
        <v>0</v>
      </c>
      <c r="O675" s="24">
        <f>Stock[[#This Row],[Stock Cultivate]]*Stock[[#This Row],[Precio de Venta]]</f>
        <v>0</v>
      </c>
      <c r="R675" s="16"/>
    </row>
    <row r="676" spans="2:18">
      <c r="B676" s="44">
        <v>221</v>
      </c>
      <c r="C676" t="s">
        <v>209</v>
      </c>
      <c r="D676" s="45">
        <v>950</v>
      </c>
      <c r="E676" s="24">
        <v>1900</v>
      </c>
      <c r="F676" s="44">
        <f>Stock[Entradas]-Stock[Compra Cultivate]</f>
        <v>0</v>
      </c>
      <c r="G676" s="11">
        <f>SUMIFS(Compras[Cantidad],Compras[Codigo],Stock[Codigo])</f>
        <v>0</v>
      </c>
      <c r="H676" s="11">
        <f>SUMIFS(Ventas[Cantidad],Ventas[Codigo],Stock[[#This Row],[Codigo]])</f>
        <v>0</v>
      </c>
      <c r="I676" s="12">
        <f>Stock[[#This Row],[Stock Deposito]]*Stock[[#This Row],[Precio de Compra]]</f>
        <v>0</v>
      </c>
      <c r="J676" s="6">
        <f>SUMIFS(ProdDesc[Cantidad],ProdDesc[Codigo],Stock[Codigo])</f>
        <v>0</v>
      </c>
      <c r="K676" s="44">
        <f>Stock[[#This Row],[Compra Cultivate]]-Stock[[#This Row],[Salidas]]-Stock[[#This Row],[Usados]]</f>
        <v>0</v>
      </c>
      <c r="L676" s="24">
        <f>Stock[[#This Row],[Stock Deposito]]*Stock[[#This Row],[Precio de Venta]]</f>
        <v>0</v>
      </c>
      <c r="M676" s="6">
        <f>SUMIFS(Tabla9[Cantidad],Tabla9[Codigo],Stock[Codigo])</f>
        <v>0</v>
      </c>
      <c r="N676" s="24">
        <f>Stock[[#This Row],[Precio de Compra]]*Stock[[#This Row],[Stock Cultivate]]</f>
        <v>0</v>
      </c>
      <c r="O676" s="24">
        <f>Stock[[#This Row],[Stock Cultivate]]*Stock[[#This Row],[Precio de Venta]]</f>
        <v>0</v>
      </c>
      <c r="R676" s="16"/>
    </row>
    <row r="677" spans="2:18">
      <c r="B677" s="44">
        <v>220</v>
      </c>
      <c r="C677" t="s">
        <v>208</v>
      </c>
      <c r="D677" s="45">
        <v>1055</v>
      </c>
      <c r="E677" s="24">
        <v>1650</v>
      </c>
      <c r="F677" s="44">
        <f>Stock[Entradas]-Stock[Compra Cultivate]</f>
        <v>0</v>
      </c>
      <c r="G677" s="11">
        <f>SUMIFS(Compras[Cantidad],Compras[Codigo],Stock[Codigo])</f>
        <v>0</v>
      </c>
      <c r="H677" s="11">
        <f>SUMIFS(Ventas[Cantidad],Ventas[Codigo],Stock[[#This Row],[Codigo]])</f>
        <v>0</v>
      </c>
      <c r="I677" s="12">
        <f>Stock[[#This Row],[Stock Deposito]]*Stock[[#This Row],[Precio de Compra]]</f>
        <v>0</v>
      </c>
      <c r="J677" s="6">
        <f>SUMIFS(ProdDesc[Cantidad],ProdDesc[Codigo],Stock[Codigo])</f>
        <v>0</v>
      </c>
      <c r="K677" s="44">
        <f>Stock[[#This Row],[Compra Cultivate]]-Stock[[#This Row],[Salidas]]-Stock[[#This Row],[Usados]]</f>
        <v>0</v>
      </c>
      <c r="L677" s="24">
        <f>Stock[[#This Row],[Stock Deposito]]*Stock[[#This Row],[Precio de Venta]]</f>
        <v>0</v>
      </c>
      <c r="M677" s="6">
        <f>SUMIFS(Tabla9[Cantidad],Tabla9[Codigo],Stock[Codigo])</f>
        <v>0</v>
      </c>
      <c r="N677" s="24">
        <f>Stock[[#This Row],[Precio de Compra]]*Stock[[#This Row],[Stock Cultivate]]</f>
        <v>0</v>
      </c>
      <c r="O677" s="24">
        <f>Stock[[#This Row],[Stock Cultivate]]*Stock[[#This Row],[Precio de Venta]]</f>
        <v>0</v>
      </c>
      <c r="R677" s="16"/>
    </row>
    <row r="678" spans="2:18">
      <c r="B678" s="44">
        <v>219</v>
      </c>
      <c r="C678" t="s">
        <v>207</v>
      </c>
      <c r="D678" s="45">
        <v>650</v>
      </c>
      <c r="E678" s="24">
        <v>1300</v>
      </c>
      <c r="F678" s="44">
        <f>Stock[Entradas]-Stock[Compra Cultivate]</f>
        <v>0</v>
      </c>
      <c r="G678" s="11">
        <f>SUMIFS(Compras[Cantidad],Compras[Codigo],Stock[Codigo])</f>
        <v>0</v>
      </c>
      <c r="H678" s="11">
        <f>SUMIFS(Ventas[Cantidad],Ventas[Codigo],Stock[[#This Row],[Codigo]])</f>
        <v>0</v>
      </c>
      <c r="I678" s="12">
        <f>Stock[[#This Row],[Stock Deposito]]*Stock[[#This Row],[Precio de Compra]]</f>
        <v>0</v>
      </c>
      <c r="J678" s="6">
        <f>SUMIFS(ProdDesc[Cantidad],ProdDesc[Codigo],Stock[Codigo])</f>
        <v>0</v>
      </c>
      <c r="K678" s="44">
        <f>Stock[[#This Row],[Compra Cultivate]]-Stock[[#This Row],[Salidas]]-Stock[[#This Row],[Usados]]</f>
        <v>0</v>
      </c>
      <c r="L678" s="24">
        <f>Stock[[#This Row],[Stock Deposito]]*Stock[[#This Row],[Precio de Venta]]</f>
        <v>0</v>
      </c>
      <c r="M678" s="6">
        <f>SUMIFS(Tabla9[Cantidad],Tabla9[Codigo],Stock[Codigo])</f>
        <v>0</v>
      </c>
      <c r="N678" s="24">
        <f>Stock[[#This Row],[Precio de Compra]]*Stock[[#This Row],[Stock Cultivate]]</f>
        <v>0</v>
      </c>
      <c r="O678" s="24">
        <f>Stock[[#This Row],[Stock Cultivate]]*Stock[[#This Row],[Precio de Venta]]</f>
        <v>0</v>
      </c>
      <c r="R678" s="16"/>
    </row>
    <row r="679" spans="2:18">
      <c r="B679" s="44">
        <v>218</v>
      </c>
      <c r="C679" t="s">
        <v>206</v>
      </c>
      <c r="D679" s="45">
        <v>750</v>
      </c>
      <c r="E679" s="24">
        <v>1500</v>
      </c>
      <c r="F679" s="44">
        <f>Stock[Entradas]-Stock[Compra Cultivate]</f>
        <v>0</v>
      </c>
      <c r="G679" s="11">
        <f>SUMIFS(Compras[Cantidad],Compras[Codigo],Stock[Codigo])</f>
        <v>0</v>
      </c>
      <c r="H679" s="11">
        <f>SUMIFS(Ventas[Cantidad],Ventas[Codigo],Stock[[#This Row],[Codigo]])</f>
        <v>0</v>
      </c>
      <c r="I679" s="12">
        <f>Stock[[#This Row],[Stock Deposito]]*Stock[[#This Row],[Precio de Compra]]</f>
        <v>0</v>
      </c>
      <c r="J679" s="6">
        <f>SUMIFS(ProdDesc[Cantidad],ProdDesc[Codigo],Stock[Codigo])</f>
        <v>0</v>
      </c>
      <c r="K679" s="44">
        <f>Stock[[#This Row],[Compra Cultivate]]-Stock[[#This Row],[Salidas]]-Stock[[#This Row],[Usados]]</f>
        <v>0</v>
      </c>
      <c r="L679" s="24">
        <f>Stock[[#This Row],[Stock Deposito]]*Stock[[#This Row],[Precio de Venta]]</f>
        <v>0</v>
      </c>
      <c r="M679" s="6">
        <f>SUMIFS(Tabla9[Cantidad],Tabla9[Codigo],Stock[Codigo])</f>
        <v>0</v>
      </c>
      <c r="N679" s="24">
        <f>Stock[[#This Row],[Precio de Compra]]*Stock[[#This Row],[Stock Cultivate]]</f>
        <v>0</v>
      </c>
      <c r="O679" s="24">
        <f>Stock[[#This Row],[Stock Cultivate]]*Stock[[#This Row],[Precio de Venta]]</f>
        <v>0</v>
      </c>
      <c r="R679" s="16"/>
    </row>
    <row r="680" spans="2:18">
      <c r="B680" s="44">
        <v>217</v>
      </c>
      <c r="C680" t="s">
        <v>205</v>
      </c>
      <c r="D680" s="45">
        <v>4708</v>
      </c>
      <c r="E680" s="24">
        <v>9500</v>
      </c>
      <c r="F680" s="44">
        <f>Stock[Entradas]-Stock[Compra Cultivate]</f>
        <v>0</v>
      </c>
      <c r="G680" s="11">
        <f>SUMIFS(Compras[Cantidad],Compras[Codigo],Stock[Codigo])</f>
        <v>1</v>
      </c>
      <c r="H680" s="11">
        <f>SUMIFS(Ventas[Cantidad],Ventas[Codigo],Stock[[#This Row],[Codigo]])</f>
        <v>0</v>
      </c>
      <c r="I680" s="12">
        <f>Stock[[#This Row],[Stock Deposito]]*Stock[[#This Row],[Precio de Compra]]</f>
        <v>0</v>
      </c>
      <c r="J680" s="6">
        <f>SUMIFS(ProdDesc[Cantidad],ProdDesc[Codigo],Stock[Codigo])</f>
        <v>0</v>
      </c>
      <c r="K680" s="44">
        <f>Stock[[#This Row],[Compra Cultivate]]-Stock[[#This Row],[Salidas]]-Stock[[#This Row],[Usados]]</f>
        <v>1</v>
      </c>
      <c r="L680" s="24">
        <f>Stock[[#This Row],[Stock Deposito]]*Stock[[#This Row],[Precio de Venta]]</f>
        <v>0</v>
      </c>
      <c r="M680" s="6">
        <f>SUMIFS(Tabla9[Cantidad],Tabla9[Codigo],Stock[Codigo])</f>
        <v>1</v>
      </c>
      <c r="N680" s="24">
        <f>Stock[[#This Row],[Precio de Compra]]*Stock[[#This Row],[Stock Cultivate]]</f>
        <v>4708</v>
      </c>
      <c r="O680" s="24">
        <f>Stock[[#This Row],[Stock Cultivate]]*Stock[[#This Row],[Precio de Venta]]</f>
        <v>9500</v>
      </c>
      <c r="R680" s="16"/>
    </row>
    <row r="681" spans="2:18">
      <c r="B681" s="44">
        <v>216</v>
      </c>
      <c r="C681" t="s">
        <v>204</v>
      </c>
      <c r="D681" s="45">
        <v>3445</v>
      </c>
      <c r="E681" s="24">
        <v>7000</v>
      </c>
      <c r="F681" s="44">
        <f>Stock[Entradas]-Stock[Compra Cultivate]</f>
        <v>0</v>
      </c>
      <c r="G681" s="11">
        <f>SUMIFS(Compras[Cantidad],Compras[Codigo],Stock[Codigo])</f>
        <v>1</v>
      </c>
      <c r="H681" s="11">
        <f>SUMIFS(Ventas[Cantidad],Ventas[Codigo],Stock[[#This Row],[Codigo]])</f>
        <v>0</v>
      </c>
      <c r="I681" s="12">
        <f>Stock[[#This Row],[Stock Deposito]]*Stock[[#This Row],[Precio de Compra]]</f>
        <v>0</v>
      </c>
      <c r="J681" s="6">
        <f>SUMIFS(ProdDesc[Cantidad],ProdDesc[Codigo],Stock[Codigo])</f>
        <v>0</v>
      </c>
      <c r="K681" s="44">
        <f>Stock[[#This Row],[Compra Cultivate]]-Stock[[#This Row],[Salidas]]-Stock[[#This Row],[Usados]]</f>
        <v>1</v>
      </c>
      <c r="L681" s="24">
        <f>Stock[[#This Row],[Stock Deposito]]*Stock[[#This Row],[Precio de Venta]]</f>
        <v>0</v>
      </c>
      <c r="M681" s="6">
        <f>SUMIFS(Tabla9[Cantidad],Tabla9[Codigo],Stock[Codigo])</f>
        <v>1</v>
      </c>
      <c r="N681" s="24">
        <f>Stock[[#This Row],[Precio de Compra]]*Stock[[#This Row],[Stock Cultivate]]</f>
        <v>3445</v>
      </c>
      <c r="O681" s="24">
        <f>Stock[[#This Row],[Stock Cultivate]]*Stock[[#This Row],[Precio de Venta]]</f>
        <v>7000</v>
      </c>
      <c r="R681" s="16"/>
    </row>
    <row r="682" spans="2:18">
      <c r="B682" s="44">
        <v>215</v>
      </c>
      <c r="C682" t="s">
        <v>203</v>
      </c>
      <c r="D682" s="45">
        <v>1250</v>
      </c>
      <c r="E682" s="24">
        <v>2500</v>
      </c>
      <c r="F682" s="44">
        <f>Stock[Entradas]-Stock[Compra Cultivate]</f>
        <v>0</v>
      </c>
      <c r="G682" s="11">
        <f>SUMIFS(Compras[Cantidad],Compras[Codigo],Stock[Codigo])</f>
        <v>2</v>
      </c>
      <c r="H682" s="11">
        <f>SUMIFS(Ventas[Cantidad],Ventas[Codigo],Stock[[#This Row],[Codigo]])</f>
        <v>2</v>
      </c>
      <c r="I682" s="12">
        <f>Stock[[#This Row],[Stock Deposito]]*Stock[[#This Row],[Precio de Compra]]</f>
        <v>0</v>
      </c>
      <c r="J682" s="6">
        <f>SUMIFS(ProdDesc[Cantidad],ProdDesc[Codigo],Stock[Codigo])</f>
        <v>0</v>
      </c>
      <c r="K682" s="44">
        <f>Stock[[#This Row],[Compra Cultivate]]-Stock[[#This Row],[Salidas]]-Stock[[#This Row],[Usados]]</f>
        <v>0</v>
      </c>
      <c r="L682" s="24">
        <f>Stock[[#This Row],[Stock Deposito]]*Stock[[#This Row],[Precio de Venta]]</f>
        <v>0</v>
      </c>
      <c r="M682" s="6">
        <f>SUMIFS(Tabla9[Cantidad],Tabla9[Codigo],Stock[Codigo])</f>
        <v>2</v>
      </c>
      <c r="N682" s="24">
        <f>Stock[[#This Row],[Precio de Compra]]*Stock[[#This Row],[Stock Cultivate]]</f>
        <v>0</v>
      </c>
      <c r="O682" s="24">
        <f>Stock[[#This Row],[Stock Cultivate]]*Stock[[#This Row],[Precio de Venta]]</f>
        <v>0</v>
      </c>
      <c r="R682" s="16"/>
    </row>
    <row r="683" spans="2:18">
      <c r="B683" s="44">
        <v>214</v>
      </c>
      <c r="C683" t="s">
        <v>202</v>
      </c>
      <c r="D683" s="45">
        <v>1500</v>
      </c>
      <c r="E683" s="24">
        <v>3000</v>
      </c>
      <c r="F683" s="44">
        <f>Stock[Entradas]-Stock[Compra Cultivate]</f>
        <v>0</v>
      </c>
      <c r="G683" s="11">
        <f>SUMIFS(Compras[Cantidad],Compras[Codigo],Stock[Codigo])</f>
        <v>0</v>
      </c>
      <c r="H683" s="11">
        <f>SUMIFS(Ventas[Cantidad],Ventas[Codigo],Stock[[#This Row],[Codigo]])</f>
        <v>0</v>
      </c>
      <c r="I683" s="12">
        <f>Stock[[#This Row],[Stock Deposito]]*Stock[[#This Row],[Precio de Compra]]</f>
        <v>0</v>
      </c>
      <c r="J683" s="6">
        <f>SUMIFS(ProdDesc[Cantidad],ProdDesc[Codigo],Stock[Codigo])</f>
        <v>0</v>
      </c>
      <c r="K683" s="44">
        <f>Stock[[#This Row],[Compra Cultivate]]-Stock[[#This Row],[Salidas]]-Stock[[#This Row],[Usados]]</f>
        <v>0</v>
      </c>
      <c r="L683" s="24">
        <f>Stock[[#This Row],[Stock Deposito]]*Stock[[#This Row],[Precio de Venta]]</f>
        <v>0</v>
      </c>
      <c r="M683" s="6">
        <f>SUMIFS(Tabla9[Cantidad],Tabla9[Codigo],Stock[Codigo])</f>
        <v>0</v>
      </c>
      <c r="N683" s="24">
        <f>Stock[[#This Row],[Precio de Compra]]*Stock[[#This Row],[Stock Cultivate]]</f>
        <v>0</v>
      </c>
      <c r="O683" s="24">
        <f>Stock[[#This Row],[Stock Cultivate]]*Stock[[#This Row],[Precio de Venta]]</f>
        <v>0</v>
      </c>
      <c r="R683" s="16"/>
    </row>
    <row r="684" spans="2:18">
      <c r="B684" s="44">
        <v>213</v>
      </c>
      <c r="C684" t="s">
        <v>201</v>
      </c>
      <c r="D684" s="45">
        <v>3000</v>
      </c>
      <c r="E684" s="24">
        <v>5500</v>
      </c>
      <c r="F684" s="44">
        <f>Stock[Entradas]-Stock[Compra Cultivate]</f>
        <v>0</v>
      </c>
      <c r="G684" s="11">
        <f>SUMIFS(Compras[Cantidad],Compras[Codigo],Stock[Codigo])</f>
        <v>1</v>
      </c>
      <c r="H684" s="11">
        <f>SUMIFS(Ventas[Cantidad],Ventas[Codigo],Stock[[#This Row],[Codigo]])</f>
        <v>0</v>
      </c>
      <c r="I684" s="12">
        <f>Stock[[#This Row],[Stock Deposito]]*Stock[[#This Row],[Precio de Compra]]</f>
        <v>0</v>
      </c>
      <c r="J684" s="6">
        <f>SUMIFS(ProdDesc[Cantidad],ProdDesc[Codigo],Stock[Codigo])</f>
        <v>0</v>
      </c>
      <c r="K684" s="44">
        <f>Stock[[#This Row],[Compra Cultivate]]-Stock[[#This Row],[Salidas]]-Stock[[#This Row],[Usados]]</f>
        <v>1</v>
      </c>
      <c r="L684" s="24">
        <f>Stock[[#This Row],[Stock Deposito]]*Stock[[#This Row],[Precio de Venta]]</f>
        <v>0</v>
      </c>
      <c r="M684" s="6">
        <f>SUMIFS(Tabla9[Cantidad],Tabla9[Codigo],Stock[Codigo])</f>
        <v>1</v>
      </c>
      <c r="N684" s="24">
        <f>Stock[[#This Row],[Precio de Compra]]*Stock[[#This Row],[Stock Cultivate]]</f>
        <v>3000</v>
      </c>
      <c r="O684" s="24">
        <f>Stock[[#This Row],[Stock Cultivate]]*Stock[[#This Row],[Precio de Venta]]</f>
        <v>5500</v>
      </c>
      <c r="R684" s="16"/>
    </row>
    <row r="685" spans="2:18">
      <c r="B685" s="44">
        <v>212</v>
      </c>
      <c r="C685" t="s">
        <v>200</v>
      </c>
      <c r="D685" s="45">
        <v>2229</v>
      </c>
      <c r="E685" s="24">
        <v>4500</v>
      </c>
      <c r="F685" s="44">
        <f>Stock[Entradas]-Stock[Compra Cultivate]</f>
        <v>0</v>
      </c>
      <c r="G685" s="11">
        <f>SUMIFS(Compras[Cantidad],Compras[Codigo],Stock[Codigo])</f>
        <v>2</v>
      </c>
      <c r="H685" s="11">
        <f>SUMIFS(Ventas[Cantidad],Ventas[Codigo],Stock[[#This Row],[Codigo]])</f>
        <v>2</v>
      </c>
      <c r="I685" s="12">
        <f>Stock[[#This Row],[Stock Deposito]]*Stock[[#This Row],[Precio de Compra]]</f>
        <v>0</v>
      </c>
      <c r="J685" s="6">
        <f>SUMIFS(ProdDesc[Cantidad],ProdDesc[Codigo],Stock[Codigo])</f>
        <v>0</v>
      </c>
      <c r="K685" s="44">
        <f>Stock[[#This Row],[Compra Cultivate]]-Stock[[#This Row],[Salidas]]-Stock[[#This Row],[Usados]]</f>
        <v>0</v>
      </c>
      <c r="L685" s="24">
        <f>Stock[[#This Row],[Stock Deposito]]*Stock[[#This Row],[Precio de Venta]]</f>
        <v>0</v>
      </c>
      <c r="M685" s="6">
        <f>SUMIFS(Tabla9[Cantidad],Tabla9[Codigo],Stock[Codigo])</f>
        <v>2</v>
      </c>
      <c r="N685" s="24">
        <f>Stock[[#This Row],[Precio de Compra]]*Stock[[#This Row],[Stock Cultivate]]</f>
        <v>0</v>
      </c>
      <c r="O685" s="24">
        <f>Stock[[#This Row],[Stock Cultivate]]*Stock[[#This Row],[Precio de Venta]]</f>
        <v>0</v>
      </c>
      <c r="R685" s="16"/>
    </row>
    <row r="686" spans="2:18">
      <c r="B686" s="44">
        <v>211</v>
      </c>
      <c r="C686" t="s">
        <v>199</v>
      </c>
      <c r="D686" s="45">
        <v>1574</v>
      </c>
      <c r="E686" s="24">
        <v>3000</v>
      </c>
      <c r="F686" s="44">
        <f>Stock[Entradas]-Stock[Compra Cultivate]</f>
        <v>0</v>
      </c>
      <c r="G686" s="11">
        <f>SUMIFS(Compras[Cantidad],Compras[Codigo],Stock[Codigo])</f>
        <v>1</v>
      </c>
      <c r="H686" s="11">
        <f>SUMIFS(Ventas[Cantidad],Ventas[Codigo],Stock[[#This Row],[Codigo]])</f>
        <v>1</v>
      </c>
      <c r="I686" s="12">
        <f>Stock[[#This Row],[Stock Deposito]]*Stock[[#This Row],[Precio de Compra]]</f>
        <v>0</v>
      </c>
      <c r="J686" s="6">
        <f>SUMIFS(ProdDesc[Cantidad],ProdDesc[Codigo],Stock[Codigo])</f>
        <v>0</v>
      </c>
      <c r="K686" s="44">
        <f>Stock[[#This Row],[Compra Cultivate]]-Stock[[#This Row],[Salidas]]-Stock[[#This Row],[Usados]]</f>
        <v>0</v>
      </c>
      <c r="L686" s="24">
        <f>Stock[[#This Row],[Stock Deposito]]*Stock[[#This Row],[Precio de Venta]]</f>
        <v>0</v>
      </c>
      <c r="M686" s="6">
        <f>SUMIFS(Tabla9[Cantidad],Tabla9[Codigo],Stock[Codigo])</f>
        <v>1</v>
      </c>
      <c r="N686" s="24">
        <f>Stock[[#This Row],[Precio de Compra]]*Stock[[#This Row],[Stock Cultivate]]</f>
        <v>0</v>
      </c>
      <c r="O686" s="24">
        <f>Stock[[#This Row],[Stock Cultivate]]*Stock[[#This Row],[Precio de Venta]]</f>
        <v>0</v>
      </c>
      <c r="R686" s="16"/>
    </row>
    <row r="687" spans="2:18">
      <c r="B687" s="44">
        <v>210</v>
      </c>
      <c r="C687" t="s">
        <v>198</v>
      </c>
      <c r="D687" s="45">
        <v>3500</v>
      </c>
      <c r="E687" s="24">
        <v>6500</v>
      </c>
      <c r="F687" s="44">
        <f>Stock[Entradas]-Stock[Compra Cultivate]</f>
        <v>0</v>
      </c>
      <c r="G687" s="11">
        <f>SUMIFS(Compras[Cantidad],Compras[Codigo],Stock[Codigo])</f>
        <v>1</v>
      </c>
      <c r="H687" s="11">
        <f>SUMIFS(Ventas[Cantidad],Ventas[Codigo],Stock[[#This Row],[Codigo]])</f>
        <v>0</v>
      </c>
      <c r="I687" s="12">
        <f>Stock[[#This Row],[Stock Deposito]]*Stock[[#This Row],[Precio de Compra]]</f>
        <v>0</v>
      </c>
      <c r="J687" s="6">
        <f>SUMIFS(ProdDesc[Cantidad],ProdDesc[Codigo],Stock[Codigo])</f>
        <v>0</v>
      </c>
      <c r="K687" s="44">
        <f>Stock[[#This Row],[Compra Cultivate]]-Stock[[#This Row],[Salidas]]-Stock[[#This Row],[Usados]]</f>
        <v>1</v>
      </c>
      <c r="L687" s="24">
        <f>Stock[[#This Row],[Stock Deposito]]*Stock[[#This Row],[Precio de Venta]]</f>
        <v>0</v>
      </c>
      <c r="M687" s="6">
        <f>SUMIFS(Tabla9[Cantidad],Tabla9[Codigo],Stock[Codigo])</f>
        <v>1</v>
      </c>
      <c r="N687" s="24">
        <f>Stock[[#This Row],[Precio de Compra]]*Stock[[#This Row],[Stock Cultivate]]</f>
        <v>3500</v>
      </c>
      <c r="O687" s="24">
        <f>Stock[[#This Row],[Stock Cultivate]]*Stock[[#This Row],[Precio de Venta]]</f>
        <v>6500</v>
      </c>
      <c r="R687" s="16"/>
    </row>
    <row r="688" spans="2:18">
      <c r="B688" s="44">
        <v>209</v>
      </c>
      <c r="C688" t="s">
        <v>197</v>
      </c>
      <c r="D688" s="45">
        <v>1573</v>
      </c>
      <c r="E688" s="24">
        <v>3000</v>
      </c>
      <c r="F688" s="44">
        <f>Stock[Entradas]-Stock[Compra Cultivate]</f>
        <v>0</v>
      </c>
      <c r="G688" s="11">
        <f>SUMIFS(Compras[Cantidad],Compras[Codigo],Stock[Codigo])</f>
        <v>0</v>
      </c>
      <c r="H688" s="11">
        <f>SUMIFS(Ventas[Cantidad],Ventas[Codigo],Stock[[#This Row],[Codigo]])</f>
        <v>0</v>
      </c>
      <c r="I688" s="12">
        <f>Stock[[#This Row],[Stock Deposito]]*Stock[[#This Row],[Precio de Compra]]</f>
        <v>0</v>
      </c>
      <c r="J688" s="6">
        <f>SUMIFS(ProdDesc[Cantidad],ProdDesc[Codigo],Stock[Codigo])</f>
        <v>0</v>
      </c>
      <c r="K688" s="44">
        <f>Stock[[#This Row],[Compra Cultivate]]-Stock[[#This Row],[Salidas]]-Stock[[#This Row],[Usados]]</f>
        <v>0</v>
      </c>
      <c r="L688" s="24">
        <f>Stock[[#This Row],[Stock Deposito]]*Stock[[#This Row],[Precio de Venta]]</f>
        <v>0</v>
      </c>
      <c r="M688" s="6">
        <f>SUMIFS(Tabla9[Cantidad],Tabla9[Codigo],Stock[Codigo])</f>
        <v>0</v>
      </c>
      <c r="N688" s="24">
        <f>Stock[[#This Row],[Precio de Compra]]*Stock[[#This Row],[Stock Cultivate]]</f>
        <v>0</v>
      </c>
      <c r="O688" s="24">
        <f>Stock[[#This Row],[Stock Cultivate]]*Stock[[#This Row],[Precio de Venta]]</f>
        <v>0</v>
      </c>
      <c r="R688" s="16"/>
    </row>
    <row r="689" spans="1:18">
      <c r="B689" s="44">
        <v>208</v>
      </c>
      <c r="C689" t="s">
        <v>196</v>
      </c>
      <c r="D689" s="45">
        <v>5913</v>
      </c>
      <c r="E689" s="24">
        <v>12000</v>
      </c>
      <c r="F689" s="44">
        <f>Stock[Entradas]-Stock[Compra Cultivate]</f>
        <v>0</v>
      </c>
      <c r="G689" s="11">
        <f>SUMIFS(Compras[Cantidad],Compras[Codigo],Stock[Codigo])</f>
        <v>2</v>
      </c>
      <c r="H689" s="11">
        <f>SUMIFS(Ventas[Cantidad],Ventas[Codigo],Stock[[#This Row],[Codigo]])</f>
        <v>0</v>
      </c>
      <c r="I689" s="12">
        <f>Stock[[#This Row],[Stock Deposito]]*Stock[[#This Row],[Precio de Compra]]</f>
        <v>0</v>
      </c>
      <c r="J689" s="6">
        <f>SUMIFS(ProdDesc[Cantidad],ProdDesc[Codigo],Stock[Codigo])</f>
        <v>0</v>
      </c>
      <c r="K689" s="44">
        <f>Stock[[#This Row],[Compra Cultivate]]-Stock[[#This Row],[Salidas]]-Stock[[#This Row],[Usados]]</f>
        <v>2</v>
      </c>
      <c r="L689" s="24">
        <f>Stock[[#This Row],[Stock Deposito]]*Stock[[#This Row],[Precio de Venta]]</f>
        <v>0</v>
      </c>
      <c r="M689" s="6">
        <f>SUMIFS(Tabla9[Cantidad],Tabla9[Codigo],Stock[Codigo])</f>
        <v>2</v>
      </c>
      <c r="N689" s="24">
        <f>Stock[[#This Row],[Precio de Compra]]*Stock[[#This Row],[Stock Cultivate]]</f>
        <v>11826</v>
      </c>
      <c r="O689" s="24">
        <f>Stock[[#This Row],[Stock Cultivate]]*Stock[[#This Row],[Precio de Venta]]</f>
        <v>24000</v>
      </c>
      <c r="R689" s="16"/>
    </row>
    <row r="690" spans="1:18">
      <c r="B690" s="44">
        <v>207</v>
      </c>
      <c r="C690" t="s">
        <v>195</v>
      </c>
      <c r="D690" s="45">
        <v>812</v>
      </c>
      <c r="E690" s="24">
        <v>1500</v>
      </c>
      <c r="F690" s="44">
        <f>Stock[Entradas]-Stock[Compra Cultivate]</f>
        <v>0</v>
      </c>
      <c r="G690" s="11">
        <f>SUMIFS(Compras[Cantidad],Compras[Codigo],Stock[Codigo])</f>
        <v>0</v>
      </c>
      <c r="H690" s="11">
        <f>SUMIFS(Ventas[Cantidad],Ventas[Codigo],Stock[[#This Row],[Codigo]])</f>
        <v>0</v>
      </c>
      <c r="I690" s="12">
        <f>Stock[[#This Row],[Stock Deposito]]*Stock[[#This Row],[Precio de Compra]]</f>
        <v>0</v>
      </c>
      <c r="J690" s="6">
        <f>SUMIFS(ProdDesc[Cantidad],ProdDesc[Codigo],Stock[Codigo])</f>
        <v>0</v>
      </c>
      <c r="K690" s="44">
        <f>Stock[[#This Row],[Compra Cultivate]]-Stock[[#This Row],[Salidas]]-Stock[[#This Row],[Usados]]</f>
        <v>0</v>
      </c>
      <c r="L690" s="24">
        <f>Stock[[#This Row],[Stock Deposito]]*Stock[[#This Row],[Precio de Venta]]</f>
        <v>0</v>
      </c>
      <c r="M690" s="6">
        <f>SUMIFS(Tabla9[Cantidad],Tabla9[Codigo],Stock[Codigo])</f>
        <v>0</v>
      </c>
      <c r="N690" s="24">
        <f>Stock[[#This Row],[Precio de Compra]]*Stock[[#This Row],[Stock Cultivate]]</f>
        <v>0</v>
      </c>
      <c r="O690" s="24">
        <f>Stock[[#This Row],[Stock Cultivate]]*Stock[[#This Row],[Precio de Venta]]</f>
        <v>0</v>
      </c>
      <c r="R690" s="16"/>
    </row>
    <row r="691" spans="1:18">
      <c r="A691" t="s">
        <v>310</v>
      </c>
      <c r="B691" s="44">
        <v>206</v>
      </c>
      <c r="C691" t="s">
        <v>194</v>
      </c>
      <c r="D691" s="45">
        <v>812</v>
      </c>
      <c r="E691" s="24">
        <v>1500</v>
      </c>
      <c r="F691" s="44">
        <f>Stock[Entradas]-Stock[Compra Cultivate]</f>
        <v>0</v>
      </c>
      <c r="G691" s="11">
        <f>SUMIFS(Compras[Cantidad],Compras[Codigo],Stock[Codigo])</f>
        <v>0</v>
      </c>
      <c r="H691" s="11">
        <f>SUMIFS(Ventas[Cantidad],Ventas[Codigo],Stock[[#This Row],[Codigo]])</f>
        <v>0</v>
      </c>
      <c r="I691" s="12">
        <f>Stock[[#This Row],[Stock Deposito]]*Stock[[#This Row],[Precio de Compra]]</f>
        <v>0</v>
      </c>
      <c r="J691" s="6">
        <f>SUMIFS(ProdDesc[Cantidad],ProdDesc[Codigo],Stock[Codigo])</f>
        <v>0</v>
      </c>
      <c r="K691" s="44">
        <f>Stock[[#This Row],[Compra Cultivate]]-Stock[[#This Row],[Salidas]]-Stock[[#This Row],[Usados]]</f>
        <v>0</v>
      </c>
      <c r="L691" s="24">
        <f>Stock[[#This Row],[Stock Deposito]]*Stock[[#This Row],[Precio de Venta]]</f>
        <v>0</v>
      </c>
      <c r="M691" s="6">
        <f>SUMIFS(Tabla9[Cantidad],Tabla9[Codigo],Stock[Codigo])</f>
        <v>0</v>
      </c>
      <c r="N691" s="24">
        <f>Stock[[#This Row],[Precio de Compra]]*Stock[[#This Row],[Stock Cultivate]]</f>
        <v>0</v>
      </c>
      <c r="O691" s="24">
        <f>Stock[[#This Row],[Stock Cultivate]]*Stock[[#This Row],[Precio de Venta]]</f>
        <v>0</v>
      </c>
      <c r="R691" s="16"/>
    </row>
    <row r="692" spans="1:18">
      <c r="B692" s="44">
        <v>205</v>
      </c>
      <c r="C692" t="s">
        <v>193</v>
      </c>
      <c r="D692" s="45">
        <v>812</v>
      </c>
      <c r="E692" s="24">
        <v>1500</v>
      </c>
      <c r="F692" s="44">
        <f>Stock[Entradas]-Stock[Compra Cultivate]</f>
        <v>0</v>
      </c>
      <c r="G692" s="11">
        <f>SUMIFS(Compras[Cantidad],Compras[Codigo],Stock[Codigo])</f>
        <v>0</v>
      </c>
      <c r="H692" s="11">
        <f>SUMIFS(Ventas[Cantidad],Ventas[Codigo],Stock[[#This Row],[Codigo]])</f>
        <v>0</v>
      </c>
      <c r="I692" s="12">
        <f>Stock[[#This Row],[Stock Deposito]]*Stock[[#This Row],[Precio de Compra]]</f>
        <v>0</v>
      </c>
      <c r="J692" s="6">
        <f>SUMIFS(ProdDesc[Cantidad],ProdDesc[Codigo],Stock[Codigo])</f>
        <v>0</v>
      </c>
      <c r="K692" s="44">
        <f>Stock[[#This Row],[Compra Cultivate]]-Stock[[#This Row],[Salidas]]-Stock[[#This Row],[Usados]]</f>
        <v>0</v>
      </c>
      <c r="L692" s="24">
        <f>Stock[[#This Row],[Stock Deposito]]*Stock[[#This Row],[Precio de Venta]]</f>
        <v>0</v>
      </c>
      <c r="M692" s="6">
        <f>SUMIFS(Tabla9[Cantidad],Tabla9[Codigo],Stock[Codigo])</f>
        <v>0</v>
      </c>
      <c r="N692" s="24">
        <f>Stock[[#This Row],[Precio de Compra]]*Stock[[#This Row],[Stock Cultivate]]</f>
        <v>0</v>
      </c>
      <c r="O692" s="24">
        <f>Stock[[#This Row],[Stock Cultivate]]*Stock[[#This Row],[Precio de Venta]]</f>
        <v>0</v>
      </c>
      <c r="R692" s="16"/>
    </row>
    <row r="693" spans="1:18">
      <c r="B693" s="44">
        <v>204</v>
      </c>
      <c r="C693" t="s">
        <v>192</v>
      </c>
      <c r="D693" s="45">
        <v>812</v>
      </c>
      <c r="E693" s="24">
        <v>1600</v>
      </c>
      <c r="F693" s="44">
        <f>Stock[Entradas]-Stock[Compra Cultivate]</f>
        <v>0</v>
      </c>
      <c r="G693" s="11">
        <f>SUMIFS(Compras[Cantidad],Compras[Codigo],Stock[Codigo])</f>
        <v>0</v>
      </c>
      <c r="H693" s="11">
        <f>SUMIFS(Ventas[Cantidad],Ventas[Codigo],Stock[[#This Row],[Codigo]])</f>
        <v>0</v>
      </c>
      <c r="I693" s="12">
        <f>Stock[[#This Row],[Stock Deposito]]*Stock[[#This Row],[Precio de Compra]]</f>
        <v>0</v>
      </c>
      <c r="J693" s="6">
        <f>SUMIFS(ProdDesc[Cantidad],ProdDesc[Codigo],Stock[Codigo])</f>
        <v>0</v>
      </c>
      <c r="K693" s="44">
        <f>Stock[[#This Row],[Compra Cultivate]]-Stock[[#This Row],[Salidas]]-Stock[[#This Row],[Usados]]</f>
        <v>0</v>
      </c>
      <c r="L693" s="24">
        <f>Stock[[#This Row],[Stock Deposito]]*Stock[[#This Row],[Precio de Venta]]</f>
        <v>0</v>
      </c>
      <c r="M693" s="6">
        <f>SUMIFS(Tabla9[Cantidad],Tabla9[Codigo],Stock[Codigo])</f>
        <v>0</v>
      </c>
      <c r="N693" s="24">
        <f>Stock[[#This Row],[Precio de Compra]]*Stock[[#This Row],[Stock Cultivate]]</f>
        <v>0</v>
      </c>
      <c r="O693" s="24">
        <f>Stock[[#This Row],[Stock Cultivate]]*Stock[[#This Row],[Precio de Venta]]</f>
        <v>0</v>
      </c>
      <c r="R693" s="16"/>
    </row>
    <row r="694" spans="1:18">
      <c r="B694" s="44">
        <v>203</v>
      </c>
      <c r="C694" t="s">
        <v>191</v>
      </c>
      <c r="D694" s="45">
        <v>2520</v>
      </c>
      <c r="E694" s="24">
        <v>4000</v>
      </c>
      <c r="F694" s="44">
        <f>Stock[Entradas]-Stock[Compra Cultivate]</f>
        <v>0</v>
      </c>
      <c r="G694" s="11">
        <f>SUMIFS(Compras[Cantidad],Compras[Codigo],Stock[Codigo])</f>
        <v>3</v>
      </c>
      <c r="H694" s="11">
        <f>SUMIFS(Ventas[Cantidad],Ventas[Codigo],Stock[[#This Row],[Codigo]])</f>
        <v>0</v>
      </c>
      <c r="I694" s="12">
        <f>Stock[[#This Row],[Stock Deposito]]*Stock[[#This Row],[Precio de Compra]]</f>
        <v>0</v>
      </c>
      <c r="J694" s="6">
        <f>SUMIFS(ProdDesc[Cantidad],ProdDesc[Codigo],Stock[Codigo])</f>
        <v>0</v>
      </c>
      <c r="K694" s="44">
        <f>Stock[[#This Row],[Compra Cultivate]]-Stock[[#This Row],[Salidas]]-Stock[[#This Row],[Usados]]</f>
        <v>3</v>
      </c>
      <c r="L694" s="24">
        <f>Stock[[#This Row],[Stock Deposito]]*Stock[[#This Row],[Precio de Venta]]</f>
        <v>0</v>
      </c>
      <c r="M694" s="6">
        <f>SUMIFS(Tabla9[Cantidad],Tabla9[Codigo],Stock[Codigo])</f>
        <v>3</v>
      </c>
      <c r="N694" s="24">
        <f>Stock[[#This Row],[Precio de Compra]]*Stock[[#This Row],[Stock Cultivate]]</f>
        <v>7560</v>
      </c>
      <c r="O694" s="24">
        <f>Stock[[#This Row],[Stock Cultivate]]*Stock[[#This Row],[Precio de Venta]]</f>
        <v>12000</v>
      </c>
      <c r="R694" s="16"/>
    </row>
    <row r="695" spans="1:18">
      <c r="B695" s="44">
        <v>202</v>
      </c>
      <c r="C695" t="s">
        <v>190</v>
      </c>
      <c r="D695" s="45">
        <v>252</v>
      </c>
      <c r="E695" s="24">
        <v>4000</v>
      </c>
      <c r="F695" s="44">
        <f>Stock[Entradas]-Stock[Compra Cultivate]</f>
        <v>0</v>
      </c>
      <c r="G695" s="11">
        <f>SUMIFS(Compras[Cantidad],Compras[Codigo],Stock[Codigo])</f>
        <v>3</v>
      </c>
      <c r="H695" s="11">
        <f>SUMIFS(Ventas[Cantidad],Ventas[Codigo],Stock[[#This Row],[Codigo]])</f>
        <v>1</v>
      </c>
      <c r="I695" s="12">
        <f>Stock[[#This Row],[Stock Deposito]]*Stock[[#This Row],[Precio de Compra]]</f>
        <v>0</v>
      </c>
      <c r="J695" s="6">
        <f>SUMIFS(ProdDesc[Cantidad],ProdDesc[Codigo],Stock[Codigo])</f>
        <v>0</v>
      </c>
      <c r="K695" s="44">
        <f>Stock[[#This Row],[Compra Cultivate]]-Stock[[#This Row],[Salidas]]-Stock[[#This Row],[Usados]]</f>
        <v>2</v>
      </c>
      <c r="L695" s="24">
        <f>Stock[[#This Row],[Stock Deposito]]*Stock[[#This Row],[Precio de Venta]]</f>
        <v>0</v>
      </c>
      <c r="M695" s="6">
        <f>SUMIFS(Tabla9[Cantidad],Tabla9[Codigo],Stock[Codigo])</f>
        <v>3</v>
      </c>
      <c r="N695" s="24">
        <f>Stock[[#This Row],[Precio de Compra]]*Stock[[#This Row],[Stock Cultivate]]</f>
        <v>504</v>
      </c>
      <c r="O695" s="24">
        <f>Stock[[#This Row],[Stock Cultivate]]*Stock[[#This Row],[Precio de Venta]]</f>
        <v>8000</v>
      </c>
      <c r="R695" s="16"/>
    </row>
    <row r="696" spans="1:18">
      <c r="B696" s="44">
        <v>201</v>
      </c>
      <c r="C696" t="s">
        <v>59</v>
      </c>
      <c r="D696" s="45">
        <v>223</v>
      </c>
      <c r="E696" s="24">
        <v>450</v>
      </c>
      <c r="F696" s="44">
        <f>Stock[Entradas]-Stock[Compra Cultivate]</f>
        <v>0</v>
      </c>
      <c r="G696" s="11">
        <f>SUMIFS(Compras[Cantidad],Compras[Codigo],Stock[Codigo])</f>
        <v>30</v>
      </c>
      <c r="H696" s="11">
        <f>SUMIFS(Ventas[Cantidad],Ventas[Codigo],Stock[[#This Row],[Codigo]])</f>
        <v>10</v>
      </c>
      <c r="I696" s="12">
        <f>Stock[[#This Row],[Stock Deposito]]*Stock[[#This Row],[Precio de Compra]]</f>
        <v>0</v>
      </c>
      <c r="J696" s="6">
        <f>SUMIFS(ProdDesc[Cantidad],ProdDesc[Codigo],Stock[Codigo])</f>
        <v>0</v>
      </c>
      <c r="K696" s="44">
        <f>Stock[[#This Row],[Compra Cultivate]]-Stock[[#This Row],[Salidas]]-Stock[[#This Row],[Usados]]</f>
        <v>20</v>
      </c>
      <c r="L696" s="24">
        <f>Stock[[#This Row],[Stock Deposito]]*Stock[[#This Row],[Precio de Venta]]</f>
        <v>0</v>
      </c>
      <c r="M696" s="6">
        <f>SUMIFS(Tabla9[Cantidad],Tabla9[Codigo],Stock[Codigo])</f>
        <v>30</v>
      </c>
      <c r="N696" s="24">
        <f>Stock[[#This Row],[Precio de Compra]]*Stock[[#This Row],[Stock Cultivate]]</f>
        <v>4460</v>
      </c>
      <c r="O696" s="24">
        <f>Stock[[#This Row],[Stock Cultivate]]*Stock[[#This Row],[Precio de Venta]]</f>
        <v>9000</v>
      </c>
      <c r="R696" s="16"/>
    </row>
    <row r="697" spans="1:18">
      <c r="B697" s="44">
        <v>200</v>
      </c>
      <c r="C697" t="s">
        <v>189</v>
      </c>
      <c r="D697" s="45">
        <v>1050</v>
      </c>
      <c r="E697" s="24">
        <v>2100</v>
      </c>
      <c r="F697" s="44">
        <f>Stock[Entradas]-Stock[Compra Cultivate]</f>
        <v>0</v>
      </c>
      <c r="G697" s="11">
        <f>SUMIFS(Compras[Cantidad],Compras[Codigo],Stock[Codigo])</f>
        <v>0</v>
      </c>
      <c r="H697" s="11">
        <f>SUMIFS(Ventas[Cantidad],Ventas[Codigo],Stock[[#This Row],[Codigo]])</f>
        <v>0</v>
      </c>
      <c r="I697" s="12">
        <f>Stock[[#This Row],[Stock Deposito]]*Stock[[#This Row],[Precio de Compra]]</f>
        <v>0</v>
      </c>
      <c r="J697" s="6">
        <f>SUMIFS(ProdDesc[Cantidad],ProdDesc[Codigo],Stock[Codigo])</f>
        <v>0</v>
      </c>
      <c r="K697" s="44">
        <f>Stock[[#This Row],[Compra Cultivate]]-Stock[[#This Row],[Salidas]]-Stock[[#This Row],[Usados]]</f>
        <v>0</v>
      </c>
      <c r="L697" s="24">
        <f>Stock[[#This Row],[Stock Deposito]]*Stock[[#This Row],[Precio de Venta]]</f>
        <v>0</v>
      </c>
      <c r="M697" s="6">
        <f>SUMIFS(Tabla9[Cantidad],Tabla9[Codigo],Stock[Codigo])</f>
        <v>0</v>
      </c>
      <c r="N697" s="24">
        <f>Stock[[#This Row],[Precio de Compra]]*Stock[[#This Row],[Stock Cultivate]]</f>
        <v>0</v>
      </c>
      <c r="O697" s="24">
        <f>Stock[[#This Row],[Stock Cultivate]]*Stock[[#This Row],[Precio de Venta]]</f>
        <v>0</v>
      </c>
      <c r="R697" s="16"/>
    </row>
    <row r="698" spans="1:18">
      <c r="B698" s="44">
        <v>199</v>
      </c>
      <c r="C698" t="s">
        <v>58</v>
      </c>
      <c r="D698" s="45">
        <v>140</v>
      </c>
      <c r="E698" s="24">
        <v>300</v>
      </c>
      <c r="F698" s="44">
        <f>Stock[Entradas]-Stock[Compra Cultivate]</f>
        <v>0</v>
      </c>
      <c r="G698" s="11">
        <f>SUMIFS(Compras[Cantidad],Compras[Codigo],Stock[Codigo])</f>
        <v>20</v>
      </c>
      <c r="H698" s="11">
        <f>SUMIFS(Ventas[Cantidad],Ventas[Codigo],Stock[[#This Row],[Codigo]])</f>
        <v>4</v>
      </c>
      <c r="I698" s="12">
        <f>Stock[[#This Row],[Stock Deposito]]*Stock[[#This Row],[Precio de Compra]]</f>
        <v>0</v>
      </c>
      <c r="J698" s="6">
        <f>SUMIFS(ProdDesc[Cantidad],ProdDesc[Codigo],Stock[Codigo])</f>
        <v>5</v>
      </c>
      <c r="K698" s="44">
        <f>Stock[[#This Row],[Compra Cultivate]]-Stock[[#This Row],[Salidas]]-Stock[[#This Row],[Usados]]</f>
        <v>11</v>
      </c>
      <c r="L698" s="24">
        <f>Stock[[#This Row],[Stock Deposito]]*Stock[[#This Row],[Precio de Venta]]</f>
        <v>0</v>
      </c>
      <c r="M698" s="6">
        <f>SUMIFS(Tabla9[Cantidad],Tabla9[Codigo],Stock[Codigo])</f>
        <v>20</v>
      </c>
      <c r="N698" s="24">
        <f>Stock[[#This Row],[Precio de Compra]]*Stock[[#This Row],[Stock Cultivate]]</f>
        <v>1540</v>
      </c>
      <c r="O698" s="24">
        <f>Stock[[#This Row],[Stock Cultivate]]*Stock[[#This Row],[Precio de Venta]]</f>
        <v>3300</v>
      </c>
      <c r="R698" s="16"/>
    </row>
    <row r="699" spans="1:18">
      <c r="B699" s="44">
        <v>198</v>
      </c>
      <c r="C699" t="s">
        <v>188</v>
      </c>
      <c r="D699" s="45">
        <v>615</v>
      </c>
      <c r="E699" s="24">
        <v>1000</v>
      </c>
      <c r="F699" s="44">
        <f>Stock[Entradas]-Stock[Compra Cultivate]</f>
        <v>0</v>
      </c>
      <c r="G699" s="11">
        <f>SUMIFS(Compras[Cantidad],Compras[Codigo],Stock[Codigo])</f>
        <v>1</v>
      </c>
      <c r="H699" s="11">
        <f>SUMIFS(Ventas[Cantidad],Ventas[Codigo],Stock[[#This Row],[Codigo]])</f>
        <v>0</v>
      </c>
      <c r="I699" s="12">
        <f>Stock[[#This Row],[Stock Deposito]]*Stock[[#This Row],[Precio de Compra]]</f>
        <v>0</v>
      </c>
      <c r="J699" s="6">
        <f>SUMIFS(ProdDesc[Cantidad],ProdDesc[Codigo],Stock[Codigo])</f>
        <v>0</v>
      </c>
      <c r="K699" s="44">
        <f>Stock[[#This Row],[Compra Cultivate]]-Stock[[#This Row],[Salidas]]-Stock[[#This Row],[Usados]]</f>
        <v>1</v>
      </c>
      <c r="L699" s="24">
        <f>Stock[[#This Row],[Stock Deposito]]*Stock[[#This Row],[Precio de Venta]]</f>
        <v>0</v>
      </c>
      <c r="M699" s="6">
        <f>SUMIFS(Tabla9[Cantidad],Tabla9[Codigo],Stock[Codigo])</f>
        <v>1</v>
      </c>
      <c r="N699" s="24">
        <f>Stock[[#This Row],[Precio de Compra]]*Stock[[#This Row],[Stock Cultivate]]</f>
        <v>615</v>
      </c>
      <c r="O699" s="24">
        <f>Stock[[#This Row],[Stock Cultivate]]*Stock[[#This Row],[Precio de Venta]]</f>
        <v>1000</v>
      </c>
      <c r="R699" s="16"/>
    </row>
    <row r="700" spans="1:18">
      <c r="B700" s="44">
        <v>197</v>
      </c>
      <c r="C700" t="s">
        <v>187</v>
      </c>
      <c r="D700" s="45">
        <v>654</v>
      </c>
      <c r="E700" s="24">
        <v>1400</v>
      </c>
      <c r="F700" s="44">
        <f>Stock[Entradas]-Stock[Compra Cultivate]</f>
        <v>0</v>
      </c>
      <c r="G700" s="11">
        <f>SUMIFS(Compras[Cantidad],Compras[Codigo],Stock[Codigo])</f>
        <v>1</v>
      </c>
      <c r="H700" s="11">
        <f>SUMIFS(Ventas[Cantidad],Ventas[Codigo],Stock[[#This Row],[Codigo]])</f>
        <v>0</v>
      </c>
      <c r="I700" s="12">
        <f>Stock[[#This Row],[Stock Deposito]]*Stock[[#This Row],[Precio de Compra]]</f>
        <v>0</v>
      </c>
      <c r="J700" s="6">
        <f>SUMIFS(ProdDesc[Cantidad],ProdDesc[Codigo],Stock[Codigo])</f>
        <v>0</v>
      </c>
      <c r="K700" s="44">
        <f>Stock[[#This Row],[Compra Cultivate]]-Stock[[#This Row],[Salidas]]-Stock[[#This Row],[Usados]]</f>
        <v>1</v>
      </c>
      <c r="L700" s="24">
        <f>Stock[[#This Row],[Stock Deposito]]*Stock[[#This Row],[Precio de Venta]]</f>
        <v>0</v>
      </c>
      <c r="M700" s="6">
        <f>SUMIFS(Tabla9[Cantidad],Tabla9[Codigo],Stock[Codigo])</f>
        <v>1</v>
      </c>
      <c r="N700" s="24">
        <f>Stock[[#This Row],[Precio de Compra]]*Stock[[#This Row],[Stock Cultivate]]</f>
        <v>654</v>
      </c>
      <c r="O700" s="24">
        <f>Stock[[#This Row],[Stock Cultivate]]*Stock[[#This Row],[Precio de Venta]]</f>
        <v>1400</v>
      </c>
      <c r="R700" s="16"/>
    </row>
    <row r="701" spans="1:18">
      <c r="B701" s="44">
        <v>196</v>
      </c>
      <c r="C701" t="s">
        <v>186</v>
      </c>
      <c r="D701" s="45">
        <v>630</v>
      </c>
      <c r="E701" s="24">
        <v>1300</v>
      </c>
      <c r="F701" s="44">
        <f>Stock[Entradas]-Stock[Compra Cultivate]</f>
        <v>0</v>
      </c>
      <c r="G701" s="11">
        <f>SUMIFS(Compras[Cantidad],Compras[Codigo],Stock[Codigo])</f>
        <v>6</v>
      </c>
      <c r="H701" s="11">
        <f>SUMIFS(Ventas[Cantidad],Ventas[Codigo],Stock[[#This Row],[Codigo]])</f>
        <v>3</v>
      </c>
      <c r="I701" s="12">
        <f>Stock[[#This Row],[Stock Deposito]]*Stock[[#This Row],[Precio de Compra]]</f>
        <v>0</v>
      </c>
      <c r="J701" s="6">
        <f>SUMIFS(ProdDesc[Cantidad],ProdDesc[Codigo],Stock[Codigo])</f>
        <v>0</v>
      </c>
      <c r="K701" s="44">
        <f>Stock[[#This Row],[Compra Cultivate]]-Stock[[#This Row],[Salidas]]-Stock[[#This Row],[Usados]]</f>
        <v>3</v>
      </c>
      <c r="L701" s="24">
        <f>Stock[[#This Row],[Stock Deposito]]*Stock[[#This Row],[Precio de Venta]]</f>
        <v>0</v>
      </c>
      <c r="M701" s="6">
        <f>SUMIFS(Tabla9[Cantidad],Tabla9[Codigo],Stock[Codigo])</f>
        <v>6</v>
      </c>
      <c r="N701" s="24">
        <f>Stock[[#This Row],[Precio de Compra]]*Stock[[#This Row],[Stock Cultivate]]</f>
        <v>1890</v>
      </c>
      <c r="O701" s="24">
        <f>Stock[[#This Row],[Stock Cultivate]]*Stock[[#This Row],[Precio de Venta]]</f>
        <v>3900</v>
      </c>
      <c r="R701" s="16"/>
    </row>
    <row r="702" spans="1:18">
      <c r="B702" s="44">
        <v>195</v>
      </c>
      <c r="C702" t="s">
        <v>185</v>
      </c>
      <c r="D702" s="45">
        <v>576</v>
      </c>
      <c r="E702" s="24">
        <v>1200</v>
      </c>
      <c r="F702" s="44">
        <f>Stock[Entradas]-Stock[Compra Cultivate]</f>
        <v>0</v>
      </c>
      <c r="G702" s="11">
        <f>SUMIFS(Compras[Cantidad],Compras[Codigo],Stock[Codigo])</f>
        <v>13</v>
      </c>
      <c r="H702" s="11">
        <f>SUMIFS(Ventas[Cantidad],Ventas[Codigo],Stock[[#This Row],[Codigo]])</f>
        <v>4</v>
      </c>
      <c r="I702" s="12">
        <f>Stock[[#This Row],[Stock Deposito]]*Stock[[#This Row],[Precio de Compra]]</f>
        <v>0</v>
      </c>
      <c r="J702" s="6">
        <f>SUMIFS(ProdDesc[Cantidad],ProdDesc[Codigo],Stock[Codigo])</f>
        <v>0</v>
      </c>
      <c r="K702" s="44">
        <f>Stock[[#This Row],[Compra Cultivate]]-Stock[[#This Row],[Salidas]]-Stock[[#This Row],[Usados]]</f>
        <v>9</v>
      </c>
      <c r="L702" s="24">
        <f>Stock[[#This Row],[Stock Deposito]]*Stock[[#This Row],[Precio de Venta]]</f>
        <v>0</v>
      </c>
      <c r="M702" s="6">
        <f>SUMIFS(Tabla9[Cantidad],Tabla9[Codigo],Stock[Codigo])</f>
        <v>13</v>
      </c>
      <c r="N702" s="24">
        <f>Stock[[#This Row],[Precio de Compra]]*Stock[[#This Row],[Stock Cultivate]]</f>
        <v>5184</v>
      </c>
      <c r="O702" s="24">
        <f>Stock[[#This Row],[Stock Cultivate]]*Stock[[#This Row],[Precio de Venta]]</f>
        <v>10800</v>
      </c>
      <c r="R702" s="16"/>
    </row>
    <row r="703" spans="1:18">
      <c r="B703" s="44">
        <v>194</v>
      </c>
      <c r="C703" t="s">
        <v>184</v>
      </c>
      <c r="D703" s="45">
        <v>540</v>
      </c>
      <c r="E703" s="24">
        <v>1100</v>
      </c>
      <c r="F703" s="44">
        <f>Stock[Entradas]-Stock[Compra Cultivate]</f>
        <v>0</v>
      </c>
      <c r="G703" s="11">
        <f>SUMIFS(Compras[Cantidad],Compras[Codigo],Stock[Codigo])</f>
        <v>12</v>
      </c>
      <c r="H703" s="11">
        <f>SUMIFS(Ventas[Cantidad],Ventas[Codigo],Stock[[#This Row],[Codigo]])</f>
        <v>1</v>
      </c>
      <c r="I703" s="12">
        <f>Stock[[#This Row],[Stock Deposito]]*Stock[[#This Row],[Precio de Compra]]</f>
        <v>0</v>
      </c>
      <c r="J703" s="6">
        <f>SUMIFS(ProdDesc[Cantidad],ProdDesc[Codigo],Stock[Codigo])</f>
        <v>0</v>
      </c>
      <c r="K703" s="44">
        <f>Stock[[#This Row],[Compra Cultivate]]-Stock[[#This Row],[Salidas]]-Stock[[#This Row],[Usados]]</f>
        <v>11</v>
      </c>
      <c r="L703" s="24">
        <f>Stock[[#This Row],[Stock Deposito]]*Stock[[#This Row],[Precio de Venta]]</f>
        <v>0</v>
      </c>
      <c r="M703" s="6">
        <f>SUMIFS(Tabla9[Cantidad],Tabla9[Codigo],Stock[Codigo])</f>
        <v>12</v>
      </c>
      <c r="N703" s="24">
        <f>Stock[[#This Row],[Precio de Compra]]*Stock[[#This Row],[Stock Cultivate]]</f>
        <v>5940</v>
      </c>
      <c r="O703" s="24">
        <f>Stock[[#This Row],[Stock Cultivate]]*Stock[[#This Row],[Precio de Venta]]</f>
        <v>12100</v>
      </c>
      <c r="R703" s="16"/>
    </row>
    <row r="704" spans="1:18">
      <c r="B704" s="44">
        <v>193</v>
      </c>
      <c r="C704" t="s">
        <v>183</v>
      </c>
      <c r="D704" s="45">
        <v>522</v>
      </c>
      <c r="E704" s="24">
        <v>1000</v>
      </c>
      <c r="F704" s="44">
        <f>Stock[Entradas]-Stock[Compra Cultivate]</f>
        <v>0</v>
      </c>
      <c r="G704" s="11">
        <f>SUMIFS(Compras[Cantidad],Compras[Codigo],Stock[Codigo])</f>
        <v>8</v>
      </c>
      <c r="H704" s="11">
        <f>SUMIFS(Ventas[Cantidad],Ventas[Codigo],Stock[[#This Row],[Codigo]])</f>
        <v>2</v>
      </c>
      <c r="I704" s="12">
        <f>Stock[[#This Row],[Stock Deposito]]*Stock[[#This Row],[Precio de Compra]]</f>
        <v>0</v>
      </c>
      <c r="J704" s="6">
        <f>SUMIFS(ProdDesc[Cantidad],ProdDesc[Codigo],Stock[Codigo])</f>
        <v>0</v>
      </c>
      <c r="K704" s="44">
        <f>Stock[[#This Row],[Compra Cultivate]]-Stock[[#This Row],[Salidas]]-Stock[[#This Row],[Usados]]</f>
        <v>6</v>
      </c>
      <c r="L704" s="24">
        <f>Stock[[#This Row],[Stock Deposito]]*Stock[[#This Row],[Precio de Venta]]</f>
        <v>0</v>
      </c>
      <c r="M704" s="6">
        <f>SUMIFS(Tabla9[Cantidad],Tabla9[Codigo],Stock[Codigo])</f>
        <v>8</v>
      </c>
      <c r="N704" s="24">
        <f>Stock[[#This Row],[Precio de Compra]]*Stock[[#This Row],[Stock Cultivate]]</f>
        <v>3132</v>
      </c>
      <c r="O704" s="24">
        <f>Stock[[#This Row],[Stock Cultivate]]*Stock[[#This Row],[Precio de Venta]]</f>
        <v>6000</v>
      </c>
      <c r="R704" s="16"/>
    </row>
    <row r="705" spans="2:18">
      <c r="B705" s="44">
        <v>192</v>
      </c>
      <c r="C705" t="s">
        <v>260</v>
      </c>
      <c r="D705" s="45">
        <v>261</v>
      </c>
      <c r="E705" s="24">
        <v>550</v>
      </c>
      <c r="F705" s="44">
        <f>Stock[Entradas]-Stock[Compra Cultivate]</f>
        <v>0</v>
      </c>
      <c r="G705" s="11">
        <f>SUMIFS(Compras[Cantidad],Compras[Codigo],Stock[Codigo])</f>
        <v>3</v>
      </c>
      <c r="H705" s="11">
        <f>SUMIFS(Ventas[Cantidad],Ventas[Codigo],Stock[[#This Row],[Codigo]])</f>
        <v>3</v>
      </c>
      <c r="I705" s="12">
        <f>Stock[[#This Row],[Stock Deposito]]*Stock[[#This Row],[Precio de Compra]]</f>
        <v>0</v>
      </c>
      <c r="J705" s="6">
        <f>SUMIFS(ProdDesc[Cantidad],ProdDesc[Codigo],Stock[Codigo])</f>
        <v>0</v>
      </c>
      <c r="K705" s="44">
        <f>Stock[[#This Row],[Compra Cultivate]]-Stock[[#This Row],[Salidas]]-Stock[[#This Row],[Usados]]</f>
        <v>0</v>
      </c>
      <c r="L705" s="24">
        <f>Stock[[#This Row],[Stock Deposito]]*Stock[[#This Row],[Precio de Venta]]</f>
        <v>0</v>
      </c>
      <c r="M705" s="6">
        <f>SUMIFS(Tabla9[Cantidad],Tabla9[Codigo],Stock[Codigo])</f>
        <v>3</v>
      </c>
      <c r="N705" s="24">
        <f>Stock[[#This Row],[Precio de Compra]]*Stock[[#This Row],[Stock Cultivate]]</f>
        <v>0</v>
      </c>
      <c r="O705" s="24">
        <f>Stock[[#This Row],[Stock Cultivate]]*Stock[[#This Row],[Precio de Venta]]</f>
        <v>0</v>
      </c>
      <c r="R705" s="16"/>
    </row>
    <row r="706" spans="2:18">
      <c r="B706" s="44">
        <v>191</v>
      </c>
      <c r="C706" t="s">
        <v>182</v>
      </c>
      <c r="D706" s="45">
        <v>495</v>
      </c>
      <c r="E706" s="24">
        <v>1000</v>
      </c>
      <c r="F706" s="44">
        <f>Stock[Entradas]-Stock[Compra Cultivate]</f>
        <v>0</v>
      </c>
      <c r="G706" s="11">
        <f>SUMIFS(Compras[Cantidad],Compras[Codigo],Stock[Codigo])</f>
        <v>0</v>
      </c>
      <c r="H706" s="11">
        <f>SUMIFS(Ventas[Cantidad],Ventas[Codigo],Stock[[#This Row],[Codigo]])</f>
        <v>0</v>
      </c>
      <c r="I706" s="12">
        <f>Stock[[#This Row],[Stock Deposito]]*Stock[[#This Row],[Precio de Compra]]</f>
        <v>0</v>
      </c>
      <c r="J706" s="6">
        <f>SUMIFS(ProdDesc[Cantidad],ProdDesc[Codigo],Stock[Codigo])</f>
        <v>0</v>
      </c>
      <c r="K706" s="44">
        <f>Stock[[#This Row],[Compra Cultivate]]-Stock[[#This Row],[Salidas]]-Stock[[#This Row],[Usados]]</f>
        <v>0</v>
      </c>
      <c r="L706" s="24">
        <f>Stock[[#This Row],[Stock Deposito]]*Stock[[#This Row],[Precio de Venta]]</f>
        <v>0</v>
      </c>
      <c r="M706" s="6">
        <f>SUMIFS(Tabla9[Cantidad],Tabla9[Codigo],Stock[Codigo])</f>
        <v>0</v>
      </c>
      <c r="N706" s="24">
        <f>Stock[[#This Row],[Precio de Compra]]*Stock[[#This Row],[Stock Cultivate]]</f>
        <v>0</v>
      </c>
      <c r="O706" s="24">
        <f>Stock[[#This Row],[Stock Cultivate]]*Stock[[#This Row],[Precio de Venta]]</f>
        <v>0</v>
      </c>
      <c r="R706" s="16"/>
    </row>
    <row r="707" spans="2:18">
      <c r="B707" s="44">
        <v>190</v>
      </c>
      <c r="C707" t="s">
        <v>181</v>
      </c>
      <c r="D707" s="45">
        <v>495</v>
      </c>
      <c r="E707" s="24">
        <v>1000</v>
      </c>
      <c r="F707" s="44">
        <f>Stock[Entradas]-Stock[Compra Cultivate]</f>
        <v>0</v>
      </c>
      <c r="G707" s="11">
        <f>SUMIFS(Compras[Cantidad],Compras[Codigo],Stock[Codigo])</f>
        <v>0</v>
      </c>
      <c r="H707" s="11">
        <f>SUMIFS(Ventas[Cantidad],Ventas[Codigo],Stock[[#This Row],[Codigo]])</f>
        <v>0</v>
      </c>
      <c r="I707" s="12">
        <f>Stock[[#This Row],[Stock Deposito]]*Stock[[#This Row],[Precio de Compra]]</f>
        <v>0</v>
      </c>
      <c r="J707" s="6">
        <f>SUMIFS(ProdDesc[Cantidad],ProdDesc[Codigo],Stock[Codigo])</f>
        <v>0</v>
      </c>
      <c r="K707" s="44">
        <f>Stock[[#This Row],[Compra Cultivate]]-Stock[[#This Row],[Salidas]]-Stock[[#This Row],[Usados]]</f>
        <v>0</v>
      </c>
      <c r="L707" s="24">
        <f>Stock[[#This Row],[Stock Deposito]]*Stock[[#This Row],[Precio de Venta]]</f>
        <v>0</v>
      </c>
      <c r="M707" s="6">
        <f>SUMIFS(Tabla9[Cantidad],Tabla9[Codigo],Stock[Codigo])</f>
        <v>0</v>
      </c>
      <c r="N707" s="24">
        <f>Stock[[#This Row],[Precio de Compra]]*Stock[[#This Row],[Stock Cultivate]]</f>
        <v>0</v>
      </c>
      <c r="O707" s="24">
        <f>Stock[[#This Row],[Stock Cultivate]]*Stock[[#This Row],[Precio de Venta]]</f>
        <v>0</v>
      </c>
      <c r="R707" s="16"/>
    </row>
    <row r="708" spans="2:18">
      <c r="B708" s="44">
        <v>189</v>
      </c>
      <c r="C708" t="s">
        <v>180</v>
      </c>
      <c r="D708" s="45">
        <v>650</v>
      </c>
      <c r="E708" s="24">
        <v>1300</v>
      </c>
      <c r="F708" s="44">
        <f>Stock[Entradas]-Stock[Compra Cultivate]</f>
        <v>0</v>
      </c>
      <c r="G708" s="11">
        <f>SUMIFS(Compras[Cantidad],Compras[Codigo],Stock[Codigo])</f>
        <v>0</v>
      </c>
      <c r="H708" s="11">
        <f>SUMIFS(Ventas[Cantidad],Ventas[Codigo],Stock[[#This Row],[Codigo]])</f>
        <v>0</v>
      </c>
      <c r="I708" s="12">
        <f>Stock[[#This Row],[Stock Deposito]]*Stock[[#This Row],[Precio de Compra]]</f>
        <v>0</v>
      </c>
      <c r="J708" s="6">
        <f>SUMIFS(ProdDesc[Cantidad],ProdDesc[Codigo],Stock[Codigo])</f>
        <v>0</v>
      </c>
      <c r="K708" s="44">
        <f>Stock[[#This Row],[Compra Cultivate]]-Stock[[#This Row],[Salidas]]-Stock[[#This Row],[Usados]]</f>
        <v>0</v>
      </c>
      <c r="L708" s="24">
        <f>Stock[[#This Row],[Stock Deposito]]*Stock[[#This Row],[Precio de Venta]]</f>
        <v>0</v>
      </c>
      <c r="M708" s="6">
        <f>SUMIFS(Tabla9[Cantidad],Tabla9[Codigo],Stock[Codigo])</f>
        <v>0</v>
      </c>
      <c r="N708" s="24">
        <f>Stock[[#This Row],[Precio de Compra]]*Stock[[#This Row],[Stock Cultivate]]</f>
        <v>0</v>
      </c>
      <c r="O708" s="24">
        <f>Stock[[#This Row],[Stock Cultivate]]*Stock[[#This Row],[Precio de Venta]]</f>
        <v>0</v>
      </c>
      <c r="R708" s="16"/>
    </row>
    <row r="709" spans="2:18">
      <c r="B709" s="44">
        <v>188</v>
      </c>
      <c r="C709" t="s">
        <v>179</v>
      </c>
      <c r="D709" s="45">
        <v>650</v>
      </c>
      <c r="E709" s="24">
        <v>1300</v>
      </c>
      <c r="F709" s="44">
        <f>Stock[Entradas]-Stock[Compra Cultivate]</f>
        <v>0</v>
      </c>
      <c r="G709" s="11">
        <f>SUMIFS(Compras[Cantidad],Compras[Codigo],Stock[Codigo])</f>
        <v>2</v>
      </c>
      <c r="H709" s="11">
        <f>SUMIFS(Ventas[Cantidad],Ventas[Codigo],Stock[[#This Row],[Codigo]])</f>
        <v>0</v>
      </c>
      <c r="I709" s="12">
        <f>Stock[[#This Row],[Stock Deposito]]*Stock[[#This Row],[Precio de Compra]]</f>
        <v>0</v>
      </c>
      <c r="J709" s="6">
        <f>SUMIFS(ProdDesc[Cantidad],ProdDesc[Codigo],Stock[Codigo])</f>
        <v>0</v>
      </c>
      <c r="K709" s="44">
        <f>Stock[[#This Row],[Compra Cultivate]]-Stock[[#This Row],[Salidas]]-Stock[[#This Row],[Usados]]</f>
        <v>2</v>
      </c>
      <c r="L709" s="24">
        <f>Stock[[#This Row],[Stock Deposito]]*Stock[[#This Row],[Precio de Venta]]</f>
        <v>0</v>
      </c>
      <c r="M709" s="6">
        <f>SUMIFS(Tabla9[Cantidad],Tabla9[Codigo],Stock[Codigo])</f>
        <v>2</v>
      </c>
      <c r="N709" s="24">
        <f>Stock[[#This Row],[Precio de Compra]]*Stock[[#This Row],[Stock Cultivate]]</f>
        <v>1300</v>
      </c>
      <c r="O709" s="24">
        <f>Stock[[#This Row],[Stock Cultivate]]*Stock[[#This Row],[Precio de Venta]]</f>
        <v>2600</v>
      </c>
      <c r="R709" s="16"/>
    </row>
    <row r="710" spans="2:18">
      <c r="B710" s="44">
        <v>187</v>
      </c>
      <c r="C710" t="s">
        <v>57</v>
      </c>
      <c r="D710" s="45">
        <v>2000</v>
      </c>
      <c r="E710" s="24">
        <v>4000</v>
      </c>
      <c r="F710" s="44">
        <f>Stock[Entradas]-Stock[Compra Cultivate]</f>
        <v>0</v>
      </c>
      <c r="G710" s="11">
        <f>SUMIFS(Compras[Cantidad],Compras[Codigo],Stock[Codigo])</f>
        <v>13</v>
      </c>
      <c r="H710" s="11">
        <f>SUMIFS(Ventas[Cantidad],Ventas[Codigo],Stock[[#This Row],[Codigo]])</f>
        <v>2</v>
      </c>
      <c r="I710" s="12">
        <f>Stock[[#This Row],[Stock Deposito]]*Stock[[#This Row],[Precio de Compra]]</f>
        <v>0</v>
      </c>
      <c r="J710" s="6">
        <f>SUMIFS(ProdDesc[Cantidad],ProdDesc[Codigo],Stock[Codigo])</f>
        <v>1</v>
      </c>
      <c r="K710" s="44">
        <f>Stock[[#This Row],[Compra Cultivate]]-Stock[[#This Row],[Salidas]]-Stock[[#This Row],[Usados]]</f>
        <v>10</v>
      </c>
      <c r="L710" s="24">
        <f>Stock[[#This Row],[Stock Deposito]]*Stock[[#This Row],[Precio de Venta]]</f>
        <v>0</v>
      </c>
      <c r="M710" s="6">
        <f>SUMIFS(Tabla9[Cantidad],Tabla9[Codigo],Stock[Codigo])</f>
        <v>13</v>
      </c>
      <c r="N710" s="24">
        <f>Stock[[#This Row],[Precio de Compra]]*Stock[[#This Row],[Stock Cultivate]]</f>
        <v>20000</v>
      </c>
      <c r="O710" s="24">
        <f>Stock[[#This Row],[Stock Cultivate]]*Stock[[#This Row],[Precio de Venta]]</f>
        <v>40000</v>
      </c>
      <c r="R710" s="16"/>
    </row>
    <row r="711" spans="2:18">
      <c r="B711" s="44">
        <v>186</v>
      </c>
      <c r="C711" t="s">
        <v>56</v>
      </c>
      <c r="D711" s="45">
        <v>879</v>
      </c>
      <c r="E711" s="24">
        <v>2000</v>
      </c>
      <c r="F711" s="44">
        <f>Stock[Entradas]-Stock[Compra Cultivate]</f>
        <v>0</v>
      </c>
      <c r="G711" s="11">
        <f>SUMIFS(Compras[Cantidad],Compras[Codigo],Stock[Codigo])</f>
        <v>4</v>
      </c>
      <c r="H711" s="11">
        <f>SUMIFS(Ventas[Cantidad],Ventas[Codigo],Stock[[#This Row],[Codigo]])</f>
        <v>1</v>
      </c>
      <c r="I711" s="12">
        <f>Stock[[#This Row],[Stock Deposito]]*Stock[[#This Row],[Precio de Compra]]</f>
        <v>0</v>
      </c>
      <c r="J711" s="6">
        <f>SUMIFS(ProdDesc[Cantidad],ProdDesc[Codigo],Stock[Codigo])</f>
        <v>1</v>
      </c>
      <c r="K711" s="44">
        <f>Stock[[#This Row],[Compra Cultivate]]-Stock[[#This Row],[Salidas]]-Stock[[#This Row],[Usados]]</f>
        <v>2</v>
      </c>
      <c r="L711" s="24">
        <f>Stock[[#This Row],[Stock Deposito]]*Stock[[#This Row],[Precio de Venta]]</f>
        <v>0</v>
      </c>
      <c r="M711" s="6">
        <f>SUMIFS(Tabla9[Cantidad],Tabla9[Codigo],Stock[Codigo])</f>
        <v>4</v>
      </c>
      <c r="N711" s="24">
        <f>Stock[[#This Row],[Precio de Compra]]*Stock[[#This Row],[Stock Cultivate]]</f>
        <v>1758</v>
      </c>
      <c r="O711" s="24">
        <f>Stock[[#This Row],[Stock Cultivate]]*Stock[[#This Row],[Precio de Venta]]</f>
        <v>4000</v>
      </c>
      <c r="R711" s="16"/>
    </row>
    <row r="712" spans="2:18">
      <c r="B712" s="44">
        <v>185</v>
      </c>
      <c r="C712" t="s">
        <v>55</v>
      </c>
      <c r="D712" s="45">
        <v>2000</v>
      </c>
      <c r="E712" s="24">
        <v>4000</v>
      </c>
      <c r="F712" s="44">
        <f>Stock[Entradas]-Stock[Compra Cultivate]</f>
        <v>0</v>
      </c>
      <c r="G712" s="11">
        <f>SUMIFS(Compras[Cantidad],Compras[Codigo],Stock[Codigo])</f>
        <v>6</v>
      </c>
      <c r="H712" s="11">
        <f>SUMIFS(Ventas[Cantidad],Ventas[Codigo],Stock[[#This Row],[Codigo]])</f>
        <v>5</v>
      </c>
      <c r="I712" s="12">
        <f>Stock[[#This Row],[Stock Deposito]]*Stock[[#This Row],[Precio de Compra]]</f>
        <v>0</v>
      </c>
      <c r="J712" s="6">
        <f>SUMIFS(ProdDesc[Cantidad],ProdDesc[Codigo],Stock[Codigo])</f>
        <v>1</v>
      </c>
      <c r="K712" s="44">
        <f>Stock[[#This Row],[Compra Cultivate]]-Stock[[#This Row],[Salidas]]-Stock[[#This Row],[Usados]]</f>
        <v>0</v>
      </c>
      <c r="L712" s="24">
        <f>Stock[[#This Row],[Stock Deposito]]*Stock[[#This Row],[Precio de Venta]]</f>
        <v>0</v>
      </c>
      <c r="M712" s="6">
        <f>SUMIFS(Tabla9[Cantidad],Tabla9[Codigo],Stock[Codigo])</f>
        <v>6</v>
      </c>
      <c r="N712" s="24">
        <f>Stock[[#This Row],[Precio de Compra]]*Stock[[#This Row],[Stock Cultivate]]</f>
        <v>0</v>
      </c>
      <c r="O712" s="24">
        <f>Stock[[#This Row],[Stock Cultivate]]*Stock[[#This Row],[Precio de Venta]]</f>
        <v>0</v>
      </c>
      <c r="R712" s="16"/>
    </row>
    <row r="713" spans="2:18">
      <c r="B713" s="44">
        <v>184</v>
      </c>
      <c r="C713" t="s">
        <v>178</v>
      </c>
      <c r="D713" s="45">
        <v>390</v>
      </c>
      <c r="E713" s="24">
        <v>800</v>
      </c>
      <c r="F713" s="44">
        <f>Stock[Entradas]-Stock[Compra Cultivate]</f>
        <v>0</v>
      </c>
      <c r="G713" s="11">
        <f>SUMIFS(Compras[Cantidad],Compras[Codigo],Stock[Codigo])</f>
        <v>4</v>
      </c>
      <c r="H713" s="11">
        <f>SUMIFS(Ventas[Cantidad],Ventas[Codigo],Stock[[#This Row],[Codigo]])</f>
        <v>0</v>
      </c>
      <c r="I713" s="12">
        <f>Stock[[#This Row],[Stock Deposito]]*Stock[[#This Row],[Precio de Compra]]</f>
        <v>0</v>
      </c>
      <c r="J713" s="6">
        <f>SUMIFS(ProdDesc[Cantidad],ProdDesc[Codigo],Stock[Codigo])</f>
        <v>0</v>
      </c>
      <c r="K713" s="44">
        <f>Stock[[#This Row],[Compra Cultivate]]-Stock[[#This Row],[Salidas]]-Stock[[#This Row],[Usados]]</f>
        <v>4</v>
      </c>
      <c r="L713" s="24">
        <f>Stock[[#This Row],[Stock Deposito]]*Stock[[#This Row],[Precio de Venta]]</f>
        <v>0</v>
      </c>
      <c r="M713" s="6">
        <f>SUMIFS(Tabla9[Cantidad],Tabla9[Codigo],Stock[Codigo])</f>
        <v>4</v>
      </c>
      <c r="N713" s="24">
        <f>Stock[[#This Row],[Precio de Compra]]*Stock[[#This Row],[Stock Cultivate]]</f>
        <v>1560</v>
      </c>
      <c r="O713" s="24">
        <f>Stock[[#This Row],[Stock Cultivate]]*Stock[[#This Row],[Precio de Venta]]</f>
        <v>3200</v>
      </c>
      <c r="R713" s="16"/>
    </row>
    <row r="714" spans="2:18">
      <c r="B714" s="44">
        <v>183</v>
      </c>
      <c r="C714" t="s">
        <v>177</v>
      </c>
      <c r="D714" s="45">
        <v>390</v>
      </c>
      <c r="E714" s="24">
        <v>800</v>
      </c>
      <c r="F714" s="44">
        <f>Stock[Entradas]-Stock[Compra Cultivate]</f>
        <v>3</v>
      </c>
      <c r="G714" s="11">
        <f>SUMIFS(Compras[Cantidad],Compras[Codigo],Stock[Codigo])</f>
        <v>8</v>
      </c>
      <c r="H714" s="11">
        <f>SUMIFS(Ventas[Cantidad],Ventas[Codigo],Stock[[#This Row],[Codigo]])</f>
        <v>0</v>
      </c>
      <c r="I714" s="12">
        <f>Stock[[#This Row],[Stock Deposito]]*Stock[[#This Row],[Precio de Compra]]</f>
        <v>1170</v>
      </c>
      <c r="J714" s="6">
        <f>SUMIFS(ProdDesc[Cantidad],ProdDesc[Codigo],Stock[Codigo])</f>
        <v>0</v>
      </c>
      <c r="K714" s="44">
        <f>Stock[[#This Row],[Compra Cultivate]]-Stock[[#This Row],[Salidas]]-Stock[[#This Row],[Usados]]</f>
        <v>5</v>
      </c>
      <c r="L714" s="24">
        <f>Stock[[#This Row],[Stock Deposito]]*Stock[[#This Row],[Precio de Venta]]</f>
        <v>2400</v>
      </c>
      <c r="M714" s="6">
        <f>SUMIFS(Tabla9[Cantidad],Tabla9[Codigo],Stock[Codigo])</f>
        <v>5</v>
      </c>
      <c r="N714" s="24">
        <f>Stock[[#This Row],[Precio de Compra]]*Stock[[#This Row],[Stock Cultivate]]</f>
        <v>1950</v>
      </c>
      <c r="O714" s="24">
        <f>Stock[[#This Row],[Stock Cultivate]]*Stock[[#This Row],[Precio de Venta]]</f>
        <v>4000</v>
      </c>
      <c r="R714" s="16"/>
    </row>
    <row r="715" spans="2:18">
      <c r="B715" s="44">
        <v>182</v>
      </c>
      <c r="C715" t="s">
        <v>176</v>
      </c>
      <c r="D715" s="45">
        <v>542</v>
      </c>
      <c r="E715" s="24">
        <v>1000</v>
      </c>
      <c r="F715" s="44">
        <f>Stock[Entradas]-Stock[Compra Cultivate]</f>
        <v>0</v>
      </c>
      <c r="G715" s="11">
        <f>SUMIFS(Compras[Cantidad],Compras[Codigo],Stock[Codigo])</f>
        <v>4</v>
      </c>
      <c r="H715" s="11">
        <f>SUMIFS(Ventas[Cantidad],Ventas[Codigo],Stock[[#This Row],[Codigo]])</f>
        <v>1</v>
      </c>
      <c r="I715" s="12">
        <f>Stock[[#This Row],[Stock Deposito]]*Stock[[#This Row],[Precio de Compra]]</f>
        <v>0</v>
      </c>
      <c r="J715" s="6">
        <f>SUMIFS(ProdDesc[Cantidad],ProdDesc[Codigo],Stock[Codigo])</f>
        <v>0</v>
      </c>
      <c r="K715" s="44">
        <f>Stock[[#This Row],[Compra Cultivate]]-Stock[[#This Row],[Salidas]]-Stock[[#This Row],[Usados]]</f>
        <v>3</v>
      </c>
      <c r="L715" s="24">
        <f>Stock[[#This Row],[Stock Deposito]]*Stock[[#This Row],[Precio de Venta]]</f>
        <v>0</v>
      </c>
      <c r="M715" s="6">
        <f>SUMIFS(Tabla9[Cantidad],Tabla9[Codigo],Stock[Codigo])</f>
        <v>4</v>
      </c>
      <c r="N715" s="24">
        <f>Stock[[#This Row],[Precio de Compra]]*Stock[[#This Row],[Stock Cultivate]]</f>
        <v>1626</v>
      </c>
      <c r="O715" s="24">
        <f>Stock[[#This Row],[Stock Cultivate]]*Stock[[#This Row],[Precio de Venta]]</f>
        <v>3000</v>
      </c>
      <c r="R715" s="16"/>
    </row>
    <row r="716" spans="2:18">
      <c r="B716" s="44">
        <v>180</v>
      </c>
      <c r="C716" t="s">
        <v>175</v>
      </c>
      <c r="D716" s="45">
        <v>270</v>
      </c>
      <c r="E716" s="24">
        <v>700</v>
      </c>
      <c r="F716" s="44">
        <f>Stock[Entradas]-Stock[Compra Cultivate]</f>
        <v>0</v>
      </c>
      <c r="G716" s="11">
        <f>SUMIFS(Compras[Cantidad],Compras[Codigo],Stock[Codigo])</f>
        <v>4</v>
      </c>
      <c r="H716" s="11">
        <f>SUMIFS(Ventas[Cantidad],Ventas[Codigo],Stock[[#This Row],[Codigo]])</f>
        <v>4</v>
      </c>
      <c r="I716" s="12">
        <f>Stock[[#This Row],[Stock Deposito]]*Stock[[#This Row],[Precio de Compra]]</f>
        <v>0</v>
      </c>
      <c r="J716" s="6">
        <f>SUMIFS(ProdDesc[Cantidad],ProdDesc[Codigo],Stock[Codigo])</f>
        <v>0</v>
      </c>
      <c r="K716" s="44">
        <f>Stock[[#This Row],[Compra Cultivate]]-Stock[[#This Row],[Salidas]]-Stock[[#This Row],[Usados]]</f>
        <v>0</v>
      </c>
      <c r="L716" s="24">
        <f>Stock[[#This Row],[Stock Deposito]]*Stock[[#This Row],[Precio de Venta]]</f>
        <v>0</v>
      </c>
      <c r="M716" s="6">
        <f>SUMIFS(Tabla9[Cantidad],Tabla9[Codigo],Stock[Codigo])</f>
        <v>4</v>
      </c>
      <c r="N716" s="24">
        <f>Stock[[#This Row],[Precio de Compra]]*Stock[[#This Row],[Stock Cultivate]]</f>
        <v>0</v>
      </c>
      <c r="O716" s="24">
        <f>Stock[[#This Row],[Stock Cultivate]]*Stock[[#This Row],[Precio de Venta]]</f>
        <v>0</v>
      </c>
      <c r="R716" s="16"/>
    </row>
    <row r="717" spans="2:18">
      <c r="B717" s="44">
        <v>179</v>
      </c>
      <c r="C717" t="s">
        <v>174</v>
      </c>
      <c r="D717" s="45">
        <v>600</v>
      </c>
      <c r="E717" s="24">
        <v>900</v>
      </c>
      <c r="F717" s="44">
        <f>Stock[Entradas]-Stock[Compra Cultivate]</f>
        <v>0</v>
      </c>
      <c r="G717" s="11">
        <f>SUMIFS(Compras[Cantidad],Compras[Codigo],Stock[Codigo])</f>
        <v>5</v>
      </c>
      <c r="H717" s="11">
        <f>SUMIFS(Ventas[Cantidad],Ventas[Codigo],Stock[[#This Row],[Codigo]])</f>
        <v>1</v>
      </c>
      <c r="I717" s="12">
        <f>Stock[[#This Row],[Stock Deposito]]*Stock[[#This Row],[Precio de Compra]]</f>
        <v>0</v>
      </c>
      <c r="J717" s="6">
        <f>SUMIFS(ProdDesc[Cantidad],ProdDesc[Codigo],Stock[Codigo])</f>
        <v>0</v>
      </c>
      <c r="K717" s="44">
        <f>Stock[[#This Row],[Compra Cultivate]]-Stock[[#This Row],[Salidas]]-Stock[[#This Row],[Usados]]</f>
        <v>4</v>
      </c>
      <c r="L717" s="24">
        <f>Stock[[#This Row],[Stock Deposito]]*Stock[[#This Row],[Precio de Venta]]</f>
        <v>0</v>
      </c>
      <c r="M717" s="6">
        <f>SUMIFS(Tabla9[Cantidad],Tabla9[Codigo],Stock[Codigo])</f>
        <v>5</v>
      </c>
      <c r="N717" s="24">
        <f>Stock[[#This Row],[Precio de Compra]]*Stock[[#This Row],[Stock Cultivate]]</f>
        <v>2400</v>
      </c>
      <c r="O717" s="24">
        <f>Stock[[#This Row],[Stock Cultivate]]*Stock[[#This Row],[Precio de Venta]]</f>
        <v>3600</v>
      </c>
      <c r="R717" s="16"/>
    </row>
    <row r="718" spans="2:18">
      <c r="B718" s="44">
        <v>178</v>
      </c>
      <c r="C718" t="s">
        <v>54</v>
      </c>
      <c r="D718" s="45">
        <v>1750</v>
      </c>
      <c r="E718" s="24">
        <v>3500</v>
      </c>
      <c r="F718" s="44">
        <f>Stock[Entradas]-Stock[Compra Cultivate]</f>
        <v>0</v>
      </c>
      <c r="G718" s="11">
        <f>SUMIFS(Compras[Cantidad],Compras[Codigo],Stock[Codigo])</f>
        <v>0</v>
      </c>
      <c r="H718" s="11">
        <f>SUMIFS(Ventas[Cantidad],Ventas[Codigo],Stock[[#This Row],[Codigo]])</f>
        <v>0</v>
      </c>
      <c r="I718" s="12">
        <f>Stock[[#This Row],[Stock Deposito]]*Stock[[#This Row],[Precio de Compra]]</f>
        <v>0</v>
      </c>
      <c r="J718" s="6">
        <f>SUMIFS(ProdDesc[Cantidad],ProdDesc[Codigo],Stock[Codigo])</f>
        <v>0</v>
      </c>
      <c r="K718" s="44">
        <f>Stock[[#This Row],[Compra Cultivate]]-Stock[[#This Row],[Salidas]]-Stock[[#This Row],[Usados]]</f>
        <v>0</v>
      </c>
      <c r="L718" s="24">
        <f>Stock[[#This Row],[Stock Deposito]]*Stock[[#This Row],[Precio de Venta]]</f>
        <v>0</v>
      </c>
      <c r="M718" s="6">
        <f>SUMIFS(Tabla9[Cantidad],Tabla9[Codigo],Stock[Codigo])</f>
        <v>0</v>
      </c>
      <c r="N718" s="24">
        <f>Stock[[#This Row],[Precio de Compra]]*Stock[[#This Row],[Stock Cultivate]]</f>
        <v>0</v>
      </c>
      <c r="O718" s="24">
        <f>Stock[[#This Row],[Stock Cultivate]]*Stock[[#This Row],[Precio de Venta]]</f>
        <v>0</v>
      </c>
      <c r="R718" s="16"/>
    </row>
    <row r="719" spans="2:18">
      <c r="B719" s="44">
        <v>177</v>
      </c>
      <c r="C719" t="s">
        <v>440</v>
      </c>
      <c r="D719" s="45">
        <v>2661</v>
      </c>
      <c r="E719" s="24">
        <v>4500</v>
      </c>
      <c r="F719" s="44">
        <f>Stock[Entradas]-Stock[Compra Cultivate]</f>
        <v>0</v>
      </c>
      <c r="G719" s="11">
        <f>SUMIFS(Compras[Cantidad],Compras[Codigo],Stock[Codigo])</f>
        <v>0</v>
      </c>
      <c r="H719" s="11">
        <f>SUMIFS(Ventas[Cantidad],Ventas[Codigo],Stock[[#This Row],[Codigo]])</f>
        <v>0</v>
      </c>
      <c r="I719" s="12">
        <f>Stock[[#This Row],[Stock Deposito]]*Stock[[#This Row],[Precio de Compra]]</f>
        <v>0</v>
      </c>
      <c r="J719" s="6">
        <f>SUMIFS(ProdDesc[Cantidad],ProdDesc[Codigo],Stock[Codigo])</f>
        <v>0</v>
      </c>
      <c r="K719" s="44">
        <f>Stock[[#This Row],[Compra Cultivate]]-Stock[[#This Row],[Salidas]]-Stock[[#This Row],[Usados]]</f>
        <v>0</v>
      </c>
      <c r="L719" s="24">
        <f>Stock[[#This Row],[Stock Deposito]]*Stock[[#This Row],[Precio de Venta]]</f>
        <v>0</v>
      </c>
      <c r="M719" s="6">
        <f>SUMIFS(Tabla9[Cantidad],Tabla9[Codigo],Stock[Codigo])</f>
        <v>0</v>
      </c>
      <c r="N719" s="24">
        <f>Stock[[#This Row],[Precio de Compra]]*Stock[[#This Row],[Stock Cultivate]]</f>
        <v>0</v>
      </c>
      <c r="O719" s="24">
        <f>Stock[[#This Row],[Stock Cultivate]]*Stock[[#This Row],[Precio de Venta]]</f>
        <v>0</v>
      </c>
      <c r="R719" s="16"/>
    </row>
    <row r="720" spans="2:18">
      <c r="B720" s="44">
        <v>176</v>
      </c>
      <c r="C720" t="s">
        <v>439</v>
      </c>
      <c r="D720" s="45">
        <v>5365</v>
      </c>
      <c r="E720" s="24">
        <v>10000</v>
      </c>
      <c r="F720" s="44">
        <f>Stock[Entradas]-Stock[Compra Cultivate]</f>
        <v>0</v>
      </c>
      <c r="G720" s="11">
        <f>SUMIFS(Compras[Cantidad],Compras[Codigo],Stock[Codigo])</f>
        <v>0</v>
      </c>
      <c r="H720" s="11">
        <f>SUMIFS(Ventas[Cantidad],Ventas[Codigo],Stock[[#This Row],[Codigo]])</f>
        <v>0</v>
      </c>
      <c r="I720" s="12">
        <f>Stock[[#This Row],[Stock Deposito]]*Stock[[#This Row],[Precio de Compra]]</f>
        <v>0</v>
      </c>
      <c r="J720" s="6">
        <f>SUMIFS(ProdDesc[Cantidad],ProdDesc[Codigo],Stock[Codigo])</f>
        <v>0</v>
      </c>
      <c r="K720" s="44">
        <f>Stock[[#This Row],[Compra Cultivate]]-Stock[[#This Row],[Salidas]]-Stock[[#This Row],[Usados]]</f>
        <v>0</v>
      </c>
      <c r="L720" s="24">
        <f>Stock[[#This Row],[Stock Deposito]]*Stock[[#This Row],[Precio de Venta]]</f>
        <v>0</v>
      </c>
      <c r="M720" s="6">
        <f>SUMIFS(Tabla9[Cantidad],Tabla9[Codigo],Stock[Codigo])</f>
        <v>0</v>
      </c>
      <c r="N720" s="24">
        <f>Stock[[#This Row],[Precio de Compra]]*Stock[[#This Row],[Stock Cultivate]]</f>
        <v>0</v>
      </c>
      <c r="O720" s="24">
        <f>Stock[[#This Row],[Stock Cultivate]]*Stock[[#This Row],[Precio de Venta]]</f>
        <v>0</v>
      </c>
      <c r="R720" s="16"/>
    </row>
    <row r="721" spans="2:18">
      <c r="B721" s="44">
        <v>175</v>
      </c>
      <c r="C721" t="s">
        <v>1144</v>
      </c>
      <c r="D721" s="45">
        <v>3791</v>
      </c>
      <c r="E721" s="24">
        <v>7600</v>
      </c>
      <c r="F721" s="44">
        <f>Stock[Entradas]-Stock[Compra Cultivate]</f>
        <v>0</v>
      </c>
      <c r="G721" s="11">
        <f>SUMIFS(Compras[Cantidad],Compras[Codigo],Stock[Codigo])</f>
        <v>3</v>
      </c>
      <c r="H721" s="11">
        <f>SUMIFS(Ventas[Cantidad],Ventas[Codigo],Stock[[#This Row],[Codigo]])</f>
        <v>2</v>
      </c>
      <c r="I721" s="12">
        <f>Stock[[#This Row],[Stock Deposito]]*Stock[[#This Row],[Precio de Compra]]</f>
        <v>0</v>
      </c>
      <c r="J721" s="6">
        <f>SUMIFS(ProdDesc[Cantidad],ProdDesc[Codigo],Stock[Codigo])</f>
        <v>0</v>
      </c>
      <c r="K721" s="44">
        <f>Stock[[#This Row],[Compra Cultivate]]-Stock[[#This Row],[Salidas]]-Stock[[#This Row],[Usados]]</f>
        <v>1</v>
      </c>
      <c r="L721" s="24">
        <f>Stock[[#This Row],[Stock Deposito]]*Stock[[#This Row],[Precio de Venta]]</f>
        <v>0</v>
      </c>
      <c r="M721" s="6">
        <f>SUMIFS(Tabla9[Cantidad],Tabla9[Codigo],Stock[Codigo])</f>
        <v>3</v>
      </c>
      <c r="N721" s="24">
        <f>Stock[[#This Row],[Precio de Compra]]*Stock[[#This Row],[Stock Cultivate]]</f>
        <v>3791</v>
      </c>
      <c r="O721" s="24">
        <f>Stock[[#This Row],[Stock Cultivate]]*Stock[[#This Row],[Precio de Venta]]</f>
        <v>7600</v>
      </c>
      <c r="R721" s="16"/>
    </row>
    <row r="722" spans="2:18">
      <c r="B722" s="44">
        <v>174</v>
      </c>
      <c r="C722" t="s">
        <v>438</v>
      </c>
      <c r="D722" s="45">
        <v>7274</v>
      </c>
      <c r="E722" s="24">
        <v>12000</v>
      </c>
      <c r="F722" s="44">
        <f>Stock[Entradas]-Stock[Compra Cultivate]</f>
        <v>0</v>
      </c>
      <c r="G722" s="11">
        <f>SUMIFS(Compras[Cantidad],Compras[Codigo],Stock[Codigo])</f>
        <v>1</v>
      </c>
      <c r="H722" s="11">
        <f>SUMIFS(Ventas[Cantidad],Ventas[Codigo],Stock[[#This Row],[Codigo]])</f>
        <v>1</v>
      </c>
      <c r="I722" s="12">
        <f>Stock[[#This Row],[Stock Deposito]]*Stock[[#This Row],[Precio de Compra]]</f>
        <v>0</v>
      </c>
      <c r="J722" s="6">
        <f>SUMIFS(ProdDesc[Cantidad],ProdDesc[Codigo],Stock[Codigo])</f>
        <v>0</v>
      </c>
      <c r="K722" s="44">
        <f>Stock[[#This Row],[Compra Cultivate]]-Stock[[#This Row],[Salidas]]-Stock[[#This Row],[Usados]]</f>
        <v>0</v>
      </c>
      <c r="L722" s="24">
        <f>Stock[[#This Row],[Stock Deposito]]*Stock[[#This Row],[Precio de Venta]]</f>
        <v>0</v>
      </c>
      <c r="M722" s="6">
        <f>SUMIFS(Tabla9[Cantidad],Tabla9[Codigo],Stock[Codigo])</f>
        <v>1</v>
      </c>
      <c r="N722" s="24">
        <f>Stock[[#This Row],[Precio de Compra]]*Stock[[#This Row],[Stock Cultivate]]</f>
        <v>0</v>
      </c>
      <c r="O722" s="24">
        <f>Stock[[#This Row],[Stock Cultivate]]*Stock[[#This Row],[Precio de Venta]]</f>
        <v>0</v>
      </c>
      <c r="R722" s="16"/>
    </row>
    <row r="723" spans="2:18">
      <c r="B723" s="44">
        <v>173</v>
      </c>
      <c r="C723" t="s">
        <v>437</v>
      </c>
      <c r="D723" s="45">
        <v>2265</v>
      </c>
      <c r="E723" s="24">
        <v>4500</v>
      </c>
      <c r="F723" s="44">
        <f>Stock[Entradas]-Stock[Compra Cultivate]</f>
        <v>0</v>
      </c>
      <c r="G723" s="11">
        <f>SUMIFS(Compras[Cantidad],Compras[Codigo],Stock[Codigo])</f>
        <v>0</v>
      </c>
      <c r="H723" s="11">
        <f>SUMIFS(Ventas[Cantidad],Ventas[Codigo],Stock[[#This Row],[Codigo]])</f>
        <v>0</v>
      </c>
      <c r="I723" s="12">
        <f>Stock[[#This Row],[Stock Deposito]]*Stock[[#This Row],[Precio de Compra]]</f>
        <v>0</v>
      </c>
      <c r="J723" s="6">
        <f>SUMIFS(ProdDesc[Cantidad],ProdDesc[Codigo],Stock[Codigo])</f>
        <v>0</v>
      </c>
      <c r="K723" s="44">
        <f>Stock[[#This Row],[Compra Cultivate]]-Stock[[#This Row],[Salidas]]-Stock[[#This Row],[Usados]]</f>
        <v>0</v>
      </c>
      <c r="L723" s="24">
        <f>Stock[[#This Row],[Stock Deposito]]*Stock[[#This Row],[Precio de Venta]]</f>
        <v>0</v>
      </c>
      <c r="M723" s="6">
        <f>SUMIFS(Tabla9[Cantidad],Tabla9[Codigo],Stock[Codigo])</f>
        <v>0</v>
      </c>
      <c r="N723" s="24">
        <f>Stock[[#This Row],[Precio de Compra]]*Stock[[#This Row],[Stock Cultivate]]</f>
        <v>0</v>
      </c>
      <c r="O723" s="24">
        <f>Stock[[#This Row],[Stock Cultivate]]*Stock[[#This Row],[Precio de Venta]]</f>
        <v>0</v>
      </c>
      <c r="R723" s="16"/>
    </row>
    <row r="724" spans="2:18">
      <c r="B724" s="44">
        <v>172</v>
      </c>
      <c r="C724" t="s">
        <v>576</v>
      </c>
      <c r="D724" s="45">
        <v>1030</v>
      </c>
      <c r="E724" s="24">
        <v>2000</v>
      </c>
      <c r="F724" s="44">
        <f>Stock[Entradas]-Stock[Compra Cultivate]</f>
        <v>0</v>
      </c>
      <c r="G724" s="11">
        <f>SUMIFS(Compras[Cantidad],Compras[Codigo],Stock[Codigo])</f>
        <v>2</v>
      </c>
      <c r="H724" s="11">
        <f>SUMIFS(Ventas[Cantidad],Ventas[Codigo],Stock[[#This Row],[Codigo]])</f>
        <v>1</v>
      </c>
      <c r="I724" s="12">
        <f>Stock[[#This Row],[Stock Deposito]]*Stock[[#This Row],[Precio de Compra]]</f>
        <v>0</v>
      </c>
      <c r="J724" s="6">
        <f>SUMIFS(ProdDesc[Cantidad],ProdDesc[Codigo],Stock[Codigo])</f>
        <v>0</v>
      </c>
      <c r="K724" s="44">
        <f>Stock[[#This Row],[Compra Cultivate]]-Stock[[#This Row],[Salidas]]-Stock[[#This Row],[Usados]]</f>
        <v>1</v>
      </c>
      <c r="L724" s="24">
        <f>Stock[[#This Row],[Stock Deposito]]*Stock[[#This Row],[Precio de Venta]]</f>
        <v>0</v>
      </c>
      <c r="M724" s="6">
        <f>SUMIFS(Tabla9[Cantidad],Tabla9[Codigo],Stock[Codigo])</f>
        <v>2</v>
      </c>
      <c r="N724" s="24">
        <f>Stock[[#This Row],[Precio de Compra]]*Stock[[#This Row],[Stock Cultivate]]</f>
        <v>1030</v>
      </c>
      <c r="O724" s="24">
        <f>Stock[[#This Row],[Stock Cultivate]]*Stock[[#This Row],[Precio de Venta]]</f>
        <v>2000</v>
      </c>
      <c r="R724" s="16"/>
    </row>
    <row r="725" spans="2:18">
      <c r="B725" s="44">
        <v>171</v>
      </c>
      <c r="C725" t="s">
        <v>436</v>
      </c>
      <c r="D725" s="45">
        <v>1075</v>
      </c>
      <c r="E725" s="24">
        <v>2000</v>
      </c>
      <c r="F725" s="44">
        <f>Stock[Entradas]-Stock[Compra Cultivate]</f>
        <v>0</v>
      </c>
      <c r="G725" s="11">
        <f>SUMIFS(Compras[Cantidad],Compras[Codigo],Stock[Codigo])</f>
        <v>0</v>
      </c>
      <c r="H725" s="11">
        <f>SUMIFS(Ventas[Cantidad],Ventas[Codigo],Stock[[#This Row],[Codigo]])</f>
        <v>0</v>
      </c>
      <c r="I725" s="12">
        <f>Stock[[#This Row],[Stock Deposito]]*Stock[[#This Row],[Precio de Compra]]</f>
        <v>0</v>
      </c>
      <c r="J725" s="6">
        <f>SUMIFS(ProdDesc[Cantidad],ProdDesc[Codigo],Stock[Codigo])</f>
        <v>0</v>
      </c>
      <c r="K725" s="44">
        <f>Stock[[#This Row],[Compra Cultivate]]-Stock[[#This Row],[Salidas]]-Stock[[#This Row],[Usados]]</f>
        <v>0</v>
      </c>
      <c r="L725" s="24">
        <f>Stock[[#This Row],[Stock Deposito]]*Stock[[#This Row],[Precio de Venta]]</f>
        <v>0</v>
      </c>
      <c r="M725" s="6">
        <f>SUMIFS(Tabla9[Cantidad],Tabla9[Codigo],Stock[Codigo])</f>
        <v>0</v>
      </c>
      <c r="N725" s="24">
        <f>Stock[[#This Row],[Precio de Compra]]*Stock[[#This Row],[Stock Cultivate]]</f>
        <v>0</v>
      </c>
      <c r="O725" s="24">
        <f>Stock[[#This Row],[Stock Cultivate]]*Stock[[#This Row],[Precio de Venta]]</f>
        <v>0</v>
      </c>
      <c r="R725" s="16"/>
    </row>
    <row r="726" spans="2:18">
      <c r="B726" s="44">
        <v>170</v>
      </c>
      <c r="C726" t="s">
        <v>331</v>
      </c>
      <c r="D726" s="45">
        <v>430</v>
      </c>
      <c r="E726" s="24">
        <v>900</v>
      </c>
      <c r="F726" s="44">
        <f>Stock[Entradas]-Stock[Compra Cultivate]</f>
        <v>0</v>
      </c>
      <c r="G726" s="11">
        <f>SUMIFS(Compras[Cantidad],Compras[Codigo],Stock[Codigo])</f>
        <v>4</v>
      </c>
      <c r="H726" s="11">
        <f>SUMIFS(Ventas[Cantidad],Ventas[Codigo],Stock[[#This Row],[Codigo]])</f>
        <v>3</v>
      </c>
      <c r="I726" s="12">
        <f>Stock[[#This Row],[Stock Deposito]]*Stock[[#This Row],[Precio de Compra]]</f>
        <v>0</v>
      </c>
      <c r="J726" s="6">
        <f>SUMIFS(ProdDesc[Cantidad],ProdDesc[Codigo],Stock[Codigo])</f>
        <v>0</v>
      </c>
      <c r="K726" s="44">
        <f>Stock[[#This Row],[Compra Cultivate]]-Stock[[#This Row],[Salidas]]-Stock[[#This Row],[Usados]]</f>
        <v>1</v>
      </c>
      <c r="L726" s="24">
        <f>Stock[[#This Row],[Stock Deposito]]*Stock[[#This Row],[Precio de Venta]]</f>
        <v>0</v>
      </c>
      <c r="M726" s="6">
        <f>SUMIFS(Tabla9[Cantidad],Tabla9[Codigo],Stock[Codigo])</f>
        <v>4</v>
      </c>
      <c r="N726" s="24">
        <f>Stock[[#This Row],[Precio de Compra]]*Stock[[#This Row],[Stock Cultivate]]</f>
        <v>430</v>
      </c>
      <c r="O726" s="24">
        <f>Stock[[#This Row],[Stock Cultivate]]*Stock[[#This Row],[Precio de Venta]]</f>
        <v>900</v>
      </c>
      <c r="R726" s="16"/>
    </row>
    <row r="727" spans="2:18">
      <c r="B727" s="44">
        <v>169</v>
      </c>
      <c r="C727" t="s">
        <v>173</v>
      </c>
      <c r="D727" s="45">
        <v>560</v>
      </c>
      <c r="E727" s="24">
        <v>1000</v>
      </c>
      <c r="F727" s="44">
        <f>Stock[Entradas]-Stock[Compra Cultivate]</f>
        <v>0</v>
      </c>
      <c r="G727" s="11">
        <f>SUMIFS(Compras[Cantidad],Compras[Codigo],Stock[Codigo])</f>
        <v>0</v>
      </c>
      <c r="H727" s="11">
        <f>SUMIFS(Ventas[Cantidad],Ventas[Codigo],Stock[[#This Row],[Codigo]])</f>
        <v>0</v>
      </c>
      <c r="I727" s="12">
        <f>Stock[[#This Row],[Stock Deposito]]*Stock[[#This Row],[Precio de Compra]]</f>
        <v>0</v>
      </c>
      <c r="J727" s="6">
        <f>SUMIFS(ProdDesc[Cantidad],ProdDesc[Codigo],Stock[Codigo])</f>
        <v>0</v>
      </c>
      <c r="K727" s="44">
        <f>Stock[[#This Row],[Compra Cultivate]]-Stock[[#This Row],[Salidas]]-Stock[[#This Row],[Usados]]</f>
        <v>0</v>
      </c>
      <c r="L727" s="24">
        <f>Stock[[#This Row],[Stock Deposito]]*Stock[[#This Row],[Precio de Venta]]</f>
        <v>0</v>
      </c>
      <c r="M727" s="6">
        <f>SUMIFS(Tabla9[Cantidad],Tabla9[Codigo],Stock[Codigo])</f>
        <v>0</v>
      </c>
      <c r="N727" s="24">
        <f>Stock[[#This Row],[Precio de Compra]]*Stock[[#This Row],[Stock Cultivate]]</f>
        <v>0</v>
      </c>
      <c r="O727" s="24">
        <f>Stock[[#This Row],[Stock Cultivate]]*Stock[[#This Row],[Precio de Venta]]</f>
        <v>0</v>
      </c>
      <c r="R727" s="16"/>
    </row>
    <row r="728" spans="2:18">
      <c r="B728" s="44">
        <v>168</v>
      </c>
      <c r="C728" t="s">
        <v>172</v>
      </c>
      <c r="D728" s="45">
        <v>803</v>
      </c>
      <c r="E728" s="24">
        <v>1600</v>
      </c>
      <c r="F728" s="44">
        <f>Stock[Entradas]-Stock[Compra Cultivate]</f>
        <v>0</v>
      </c>
      <c r="G728" s="11">
        <f>SUMIFS(Compras[Cantidad],Compras[Codigo],Stock[Codigo])</f>
        <v>0</v>
      </c>
      <c r="H728" s="11">
        <f>SUMIFS(Ventas[Cantidad],Ventas[Codigo],Stock[[#This Row],[Codigo]])</f>
        <v>0</v>
      </c>
      <c r="I728" s="12">
        <f>Stock[[#This Row],[Stock Deposito]]*Stock[[#This Row],[Precio de Compra]]</f>
        <v>0</v>
      </c>
      <c r="J728" s="6">
        <f>SUMIFS(ProdDesc[Cantidad],ProdDesc[Codigo],Stock[Codigo])</f>
        <v>0</v>
      </c>
      <c r="K728" s="44">
        <f>Stock[[#This Row],[Compra Cultivate]]-Stock[[#This Row],[Salidas]]-Stock[[#This Row],[Usados]]</f>
        <v>0</v>
      </c>
      <c r="L728" s="24">
        <f>Stock[[#This Row],[Stock Deposito]]*Stock[[#This Row],[Precio de Venta]]</f>
        <v>0</v>
      </c>
      <c r="M728" s="6">
        <f>SUMIFS(Tabla9[Cantidad],Tabla9[Codigo],Stock[Codigo])</f>
        <v>0</v>
      </c>
      <c r="N728" s="24">
        <f>Stock[[#This Row],[Precio de Compra]]*Stock[[#This Row],[Stock Cultivate]]</f>
        <v>0</v>
      </c>
      <c r="O728" s="24">
        <f>Stock[[#This Row],[Stock Cultivate]]*Stock[[#This Row],[Precio de Venta]]</f>
        <v>0</v>
      </c>
      <c r="R728" s="16"/>
    </row>
    <row r="729" spans="2:18">
      <c r="B729" s="44">
        <v>167</v>
      </c>
      <c r="C729" t="s">
        <v>171</v>
      </c>
      <c r="D729" s="45">
        <v>1041</v>
      </c>
      <c r="E729" s="24">
        <v>2000</v>
      </c>
      <c r="F729" s="44">
        <f>Stock[Entradas]-Stock[Compra Cultivate]</f>
        <v>0</v>
      </c>
      <c r="G729" s="11">
        <f>SUMIFS(Compras[Cantidad],Compras[Codigo],Stock[Codigo])</f>
        <v>1</v>
      </c>
      <c r="H729" s="11">
        <f>SUMIFS(Ventas[Cantidad],Ventas[Codigo],Stock[[#This Row],[Codigo]])</f>
        <v>1</v>
      </c>
      <c r="I729" s="12">
        <f>Stock[[#This Row],[Stock Deposito]]*Stock[[#This Row],[Precio de Compra]]</f>
        <v>0</v>
      </c>
      <c r="J729" s="6">
        <f>SUMIFS(ProdDesc[Cantidad],ProdDesc[Codigo],Stock[Codigo])</f>
        <v>0</v>
      </c>
      <c r="K729" s="44">
        <f>Stock[[#This Row],[Compra Cultivate]]-Stock[[#This Row],[Salidas]]-Stock[[#This Row],[Usados]]</f>
        <v>0</v>
      </c>
      <c r="L729" s="24">
        <f>Stock[[#This Row],[Stock Deposito]]*Stock[[#This Row],[Precio de Venta]]</f>
        <v>0</v>
      </c>
      <c r="M729" s="6">
        <f>SUMIFS(Tabla9[Cantidad],Tabla9[Codigo],Stock[Codigo])</f>
        <v>1</v>
      </c>
      <c r="N729" s="24">
        <f>Stock[[#This Row],[Precio de Compra]]*Stock[[#This Row],[Stock Cultivate]]</f>
        <v>0</v>
      </c>
      <c r="O729" s="24">
        <f>Stock[[#This Row],[Stock Cultivate]]*Stock[[#This Row],[Precio de Venta]]</f>
        <v>0</v>
      </c>
      <c r="R729" s="16"/>
    </row>
    <row r="730" spans="2:18">
      <c r="B730" s="44">
        <v>166</v>
      </c>
      <c r="C730" t="s">
        <v>170</v>
      </c>
      <c r="D730" s="45">
        <v>900</v>
      </c>
      <c r="E730" s="24">
        <v>1800</v>
      </c>
      <c r="F730" s="44">
        <f>Stock[Entradas]-Stock[Compra Cultivate]</f>
        <v>0</v>
      </c>
      <c r="G730" s="11">
        <f>SUMIFS(Compras[Cantidad],Compras[Codigo],Stock[Codigo])</f>
        <v>0</v>
      </c>
      <c r="H730" s="11">
        <f>SUMIFS(Ventas[Cantidad],Ventas[Codigo],Stock[[#This Row],[Codigo]])</f>
        <v>0</v>
      </c>
      <c r="I730" s="12">
        <f>Stock[[#This Row],[Stock Deposito]]*Stock[[#This Row],[Precio de Compra]]</f>
        <v>0</v>
      </c>
      <c r="J730" s="6">
        <f>SUMIFS(ProdDesc[Cantidad],ProdDesc[Codigo],Stock[Codigo])</f>
        <v>0</v>
      </c>
      <c r="K730" s="44">
        <f>Stock[[#This Row],[Compra Cultivate]]-Stock[[#This Row],[Salidas]]-Stock[[#This Row],[Usados]]</f>
        <v>0</v>
      </c>
      <c r="L730" s="24">
        <f>Stock[[#This Row],[Stock Deposito]]*Stock[[#This Row],[Precio de Venta]]</f>
        <v>0</v>
      </c>
      <c r="M730" s="6">
        <f>SUMIFS(Tabla9[Cantidad],Tabla9[Codigo],Stock[Codigo])</f>
        <v>0</v>
      </c>
      <c r="N730" s="24">
        <f>Stock[[#This Row],[Precio de Compra]]*Stock[[#This Row],[Stock Cultivate]]</f>
        <v>0</v>
      </c>
      <c r="O730" s="24">
        <f>Stock[[#This Row],[Stock Cultivate]]*Stock[[#This Row],[Precio de Venta]]</f>
        <v>0</v>
      </c>
      <c r="R730" s="16"/>
    </row>
    <row r="731" spans="2:18">
      <c r="B731" s="44">
        <v>165</v>
      </c>
      <c r="C731" t="s">
        <v>169</v>
      </c>
      <c r="D731" s="45">
        <v>1237</v>
      </c>
      <c r="E731" s="24">
        <v>2500</v>
      </c>
      <c r="F731" s="44">
        <f>Stock[Entradas]-Stock[Compra Cultivate]</f>
        <v>0</v>
      </c>
      <c r="G731" s="11">
        <f>SUMIFS(Compras[Cantidad],Compras[Codigo],Stock[Codigo])</f>
        <v>4</v>
      </c>
      <c r="H731" s="11">
        <f>SUMIFS(Ventas[Cantidad],Ventas[Codigo],Stock[[#This Row],[Codigo]])</f>
        <v>2</v>
      </c>
      <c r="I731" s="12">
        <f>Stock[[#This Row],[Stock Deposito]]*Stock[[#This Row],[Precio de Compra]]</f>
        <v>0</v>
      </c>
      <c r="J731" s="6">
        <f>SUMIFS(ProdDesc[Cantidad],ProdDesc[Codigo],Stock[Codigo])</f>
        <v>0</v>
      </c>
      <c r="K731" s="44">
        <f>Stock[[#This Row],[Compra Cultivate]]-Stock[[#This Row],[Salidas]]-Stock[[#This Row],[Usados]]</f>
        <v>2</v>
      </c>
      <c r="L731" s="24">
        <f>Stock[[#This Row],[Stock Deposito]]*Stock[[#This Row],[Precio de Venta]]</f>
        <v>0</v>
      </c>
      <c r="M731" s="6">
        <f>SUMIFS(Tabla9[Cantidad],Tabla9[Codigo],Stock[Codigo])</f>
        <v>4</v>
      </c>
      <c r="N731" s="24">
        <f>Stock[[#This Row],[Precio de Compra]]*Stock[[#This Row],[Stock Cultivate]]</f>
        <v>2474</v>
      </c>
      <c r="O731" s="24">
        <f>Stock[[#This Row],[Stock Cultivate]]*Stock[[#This Row],[Precio de Venta]]</f>
        <v>5000</v>
      </c>
      <c r="R731" s="16"/>
    </row>
    <row r="732" spans="2:18">
      <c r="B732" s="44">
        <v>164</v>
      </c>
      <c r="C732" t="s">
        <v>168</v>
      </c>
      <c r="D732" s="45">
        <v>1076</v>
      </c>
      <c r="E732" s="24">
        <v>2200</v>
      </c>
      <c r="F732" s="44">
        <f>Stock[Entradas]-Stock[Compra Cultivate]</f>
        <v>0</v>
      </c>
      <c r="G732" s="11">
        <f>SUMIFS(Compras[Cantidad],Compras[Codigo],Stock[Codigo])</f>
        <v>6</v>
      </c>
      <c r="H732" s="11">
        <f>SUMIFS(Ventas[Cantidad],Ventas[Codigo],Stock[[#This Row],[Codigo]])</f>
        <v>3</v>
      </c>
      <c r="I732" s="12">
        <f>Stock[[#This Row],[Stock Deposito]]*Stock[[#This Row],[Precio de Compra]]</f>
        <v>0</v>
      </c>
      <c r="J732" s="6">
        <f>SUMIFS(ProdDesc[Cantidad],ProdDesc[Codigo],Stock[Codigo])</f>
        <v>0</v>
      </c>
      <c r="K732" s="44">
        <f>Stock[[#This Row],[Compra Cultivate]]-Stock[[#This Row],[Salidas]]-Stock[[#This Row],[Usados]]</f>
        <v>3</v>
      </c>
      <c r="L732" s="24">
        <f>Stock[[#This Row],[Stock Deposito]]*Stock[[#This Row],[Precio de Venta]]</f>
        <v>0</v>
      </c>
      <c r="M732" s="6">
        <f>SUMIFS(Tabla9[Cantidad],Tabla9[Codigo],Stock[Codigo])</f>
        <v>6</v>
      </c>
      <c r="N732" s="24">
        <f>Stock[[#This Row],[Precio de Compra]]*Stock[[#This Row],[Stock Cultivate]]</f>
        <v>3228</v>
      </c>
      <c r="O732" s="24">
        <f>Stock[[#This Row],[Stock Cultivate]]*Stock[[#This Row],[Precio de Venta]]</f>
        <v>6600</v>
      </c>
      <c r="R732" s="16"/>
    </row>
    <row r="733" spans="2:18">
      <c r="B733" s="44">
        <v>163</v>
      </c>
      <c r="C733" t="s">
        <v>167</v>
      </c>
      <c r="D733" s="45">
        <v>1438</v>
      </c>
      <c r="E733" s="24">
        <v>2900</v>
      </c>
      <c r="F733" s="44">
        <f>Stock[Entradas]-Stock[Compra Cultivate]</f>
        <v>0</v>
      </c>
      <c r="G733" s="11">
        <f>SUMIFS(Compras[Cantidad],Compras[Codigo],Stock[Codigo])</f>
        <v>1</v>
      </c>
      <c r="H733" s="11">
        <f>SUMIFS(Ventas[Cantidad],Ventas[Codigo],Stock[[#This Row],[Codigo]])</f>
        <v>0</v>
      </c>
      <c r="I733" s="12">
        <f>Stock[[#This Row],[Stock Deposito]]*Stock[[#This Row],[Precio de Compra]]</f>
        <v>0</v>
      </c>
      <c r="J733" s="6">
        <f>SUMIFS(ProdDesc[Cantidad],ProdDesc[Codigo],Stock[Codigo])</f>
        <v>0</v>
      </c>
      <c r="K733" s="44">
        <f>Stock[[#This Row],[Compra Cultivate]]-Stock[[#This Row],[Salidas]]-Stock[[#This Row],[Usados]]</f>
        <v>1</v>
      </c>
      <c r="L733" s="24">
        <f>Stock[[#This Row],[Stock Deposito]]*Stock[[#This Row],[Precio de Venta]]</f>
        <v>0</v>
      </c>
      <c r="M733" s="6">
        <f>SUMIFS(Tabla9[Cantidad],Tabla9[Codigo],Stock[Codigo])</f>
        <v>1</v>
      </c>
      <c r="N733" s="24">
        <f>Stock[[#This Row],[Precio de Compra]]*Stock[[#This Row],[Stock Cultivate]]</f>
        <v>1438</v>
      </c>
      <c r="O733" s="24">
        <f>Stock[[#This Row],[Stock Cultivate]]*Stock[[#This Row],[Precio de Venta]]</f>
        <v>2900</v>
      </c>
      <c r="R733" s="16"/>
    </row>
    <row r="734" spans="2:18">
      <c r="B734" s="44">
        <v>162</v>
      </c>
      <c r="C734" t="s">
        <v>166</v>
      </c>
      <c r="D734" s="45">
        <v>1600</v>
      </c>
      <c r="E734" s="24">
        <v>3000</v>
      </c>
      <c r="F734" s="44">
        <f>Stock[Entradas]-Stock[Compra Cultivate]</f>
        <v>0</v>
      </c>
      <c r="G734" s="11">
        <f>SUMIFS(Compras[Cantidad],Compras[Codigo],Stock[Codigo])</f>
        <v>0</v>
      </c>
      <c r="H734" s="11">
        <f>SUMIFS(Ventas[Cantidad],Ventas[Codigo],Stock[[#This Row],[Codigo]])</f>
        <v>0</v>
      </c>
      <c r="I734" s="12">
        <f>Stock[[#This Row],[Stock Deposito]]*Stock[[#This Row],[Precio de Compra]]</f>
        <v>0</v>
      </c>
      <c r="J734" s="6">
        <f>SUMIFS(ProdDesc[Cantidad],ProdDesc[Codigo],Stock[Codigo])</f>
        <v>0</v>
      </c>
      <c r="K734" s="44">
        <f>Stock[[#This Row],[Compra Cultivate]]-Stock[[#This Row],[Salidas]]-Stock[[#This Row],[Usados]]</f>
        <v>0</v>
      </c>
      <c r="L734" s="24">
        <f>Stock[[#This Row],[Stock Deposito]]*Stock[[#This Row],[Precio de Venta]]</f>
        <v>0</v>
      </c>
      <c r="M734" s="6">
        <f>SUMIFS(Tabla9[Cantidad],Tabla9[Codigo],Stock[Codigo])</f>
        <v>0</v>
      </c>
      <c r="N734" s="24">
        <f>Stock[[#This Row],[Precio de Compra]]*Stock[[#This Row],[Stock Cultivate]]</f>
        <v>0</v>
      </c>
      <c r="O734" s="24">
        <f>Stock[[#This Row],[Stock Cultivate]]*Stock[[#This Row],[Precio de Venta]]</f>
        <v>0</v>
      </c>
      <c r="R734" s="16"/>
    </row>
    <row r="735" spans="2:18">
      <c r="B735" s="44">
        <v>161</v>
      </c>
      <c r="C735" t="s">
        <v>165</v>
      </c>
      <c r="D735" s="45">
        <v>830</v>
      </c>
      <c r="E735" s="24">
        <v>1600</v>
      </c>
      <c r="F735" s="44">
        <f>Stock[Entradas]-Stock[Compra Cultivate]</f>
        <v>0</v>
      </c>
      <c r="G735" s="11">
        <f>SUMIFS(Compras[Cantidad],Compras[Codigo],Stock[Codigo])</f>
        <v>1</v>
      </c>
      <c r="H735" s="11">
        <f>SUMIFS(Ventas[Cantidad],Ventas[Codigo],Stock[[#This Row],[Codigo]])</f>
        <v>1</v>
      </c>
      <c r="I735" s="12">
        <f>Stock[[#This Row],[Stock Deposito]]*Stock[[#This Row],[Precio de Compra]]</f>
        <v>0</v>
      </c>
      <c r="J735" s="6">
        <f>SUMIFS(ProdDesc[Cantidad],ProdDesc[Codigo],Stock[Codigo])</f>
        <v>0</v>
      </c>
      <c r="K735" s="44">
        <f>Stock[[#This Row],[Compra Cultivate]]-Stock[[#This Row],[Salidas]]-Stock[[#This Row],[Usados]]</f>
        <v>0</v>
      </c>
      <c r="L735" s="24">
        <f>Stock[[#This Row],[Stock Deposito]]*Stock[[#This Row],[Precio de Venta]]</f>
        <v>0</v>
      </c>
      <c r="M735" s="6">
        <f>SUMIFS(Tabla9[Cantidad],Tabla9[Codigo],Stock[Codigo])</f>
        <v>1</v>
      </c>
      <c r="N735" s="24">
        <f>Stock[[#This Row],[Precio de Compra]]*Stock[[#This Row],[Stock Cultivate]]</f>
        <v>0</v>
      </c>
      <c r="O735" s="24">
        <f>Stock[[#This Row],[Stock Cultivate]]*Stock[[#This Row],[Precio de Venta]]</f>
        <v>0</v>
      </c>
      <c r="R735" s="16"/>
    </row>
    <row r="736" spans="2:18">
      <c r="B736" s="44">
        <v>160</v>
      </c>
      <c r="C736" t="s">
        <v>164</v>
      </c>
      <c r="D736" s="45">
        <v>1020</v>
      </c>
      <c r="E736" s="24">
        <v>2000</v>
      </c>
      <c r="F736" s="44">
        <f>Stock[Entradas]-Stock[Compra Cultivate]</f>
        <v>0</v>
      </c>
      <c r="G736" s="11">
        <f>SUMIFS(Compras[Cantidad],Compras[Codigo],Stock[Codigo])</f>
        <v>2</v>
      </c>
      <c r="H736" s="11">
        <f>SUMIFS(Ventas[Cantidad],Ventas[Codigo],Stock[[#This Row],[Codigo]])</f>
        <v>0</v>
      </c>
      <c r="I736" s="12">
        <f>Stock[[#This Row],[Stock Deposito]]*Stock[[#This Row],[Precio de Compra]]</f>
        <v>0</v>
      </c>
      <c r="J736" s="6">
        <f>SUMIFS(ProdDesc[Cantidad],ProdDesc[Codigo],Stock[Codigo])</f>
        <v>0</v>
      </c>
      <c r="K736" s="44">
        <f>Stock[[#This Row],[Compra Cultivate]]-Stock[[#This Row],[Salidas]]-Stock[[#This Row],[Usados]]</f>
        <v>2</v>
      </c>
      <c r="L736" s="24">
        <f>Stock[[#This Row],[Stock Deposito]]*Stock[[#This Row],[Precio de Venta]]</f>
        <v>0</v>
      </c>
      <c r="M736" s="6">
        <f>SUMIFS(Tabla9[Cantidad],Tabla9[Codigo],Stock[Codigo])</f>
        <v>2</v>
      </c>
      <c r="N736" s="24">
        <f>Stock[[#This Row],[Precio de Compra]]*Stock[[#This Row],[Stock Cultivate]]</f>
        <v>2040</v>
      </c>
      <c r="O736" s="24">
        <f>Stock[[#This Row],[Stock Cultivate]]*Stock[[#This Row],[Precio de Venta]]</f>
        <v>4000</v>
      </c>
      <c r="R736" s="16"/>
    </row>
    <row r="737" spans="2:18">
      <c r="B737" s="44">
        <v>159</v>
      </c>
      <c r="C737" t="s">
        <v>163</v>
      </c>
      <c r="D737" s="45">
        <v>1810</v>
      </c>
      <c r="E737" s="24">
        <v>3500</v>
      </c>
      <c r="F737" s="44">
        <f>Stock[Entradas]-Stock[Compra Cultivate]</f>
        <v>0</v>
      </c>
      <c r="G737" s="11">
        <f>SUMIFS(Compras[Cantidad],Compras[Codigo],Stock[Codigo])</f>
        <v>1</v>
      </c>
      <c r="H737" s="11">
        <f>SUMIFS(Ventas[Cantidad],Ventas[Codigo],Stock[[#This Row],[Codigo]])</f>
        <v>0</v>
      </c>
      <c r="I737" s="12">
        <f>Stock[[#This Row],[Stock Deposito]]*Stock[[#This Row],[Precio de Compra]]</f>
        <v>0</v>
      </c>
      <c r="J737" s="6">
        <f>SUMIFS(ProdDesc[Cantidad],ProdDesc[Codigo],Stock[Codigo])</f>
        <v>0</v>
      </c>
      <c r="K737" s="44">
        <f>Stock[[#This Row],[Compra Cultivate]]-Stock[[#This Row],[Salidas]]-Stock[[#This Row],[Usados]]</f>
        <v>1</v>
      </c>
      <c r="L737" s="24">
        <f>Stock[[#This Row],[Stock Deposito]]*Stock[[#This Row],[Precio de Venta]]</f>
        <v>0</v>
      </c>
      <c r="M737" s="6">
        <f>SUMIFS(Tabla9[Cantidad],Tabla9[Codigo],Stock[Codigo])</f>
        <v>1</v>
      </c>
      <c r="N737" s="24">
        <f>Stock[[#This Row],[Precio de Compra]]*Stock[[#This Row],[Stock Cultivate]]</f>
        <v>1810</v>
      </c>
      <c r="O737" s="24">
        <f>Stock[[#This Row],[Stock Cultivate]]*Stock[[#This Row],[Precio de Venta]]</f>
        <v>3500</v>
      </c>
      <c r="R737" s="16"/>
    </row>
    <row r="738" spans="2:18">
      <c r="B738" s="44">
        <v>158</v>
      </c>
      <c r="C738" t="s">
        <v>162</v>
      </c>
      <c r="D738" s="45">
        <v>910</v>
      </c>
      <c r="E738" s="24">
        <v>2000</v>
      </c>
      <c r="F738" s="44">
        <f>Stock[Entradas]-Stock[Compra Cultivate]</f>
        <v>0</v>
      </c>
      <c r="G738" s="11">
        <f>SUMIFS(Compras[Cantidad],Compras[Codigo],Stock[Codigo])</f>
        <v>6</v>
      </c>
      <c r="H738" s="11">
        <f>SUMIFS(Ventas[Cantidad],Ventas[Codigo],Stock[[#This Row],[Codigo]])</f>
        <v>5</v>
      </c>
      <c r="I738" s="12">
        <f>Stock[[#This Row],[Stock Deposito]]*Stock[[#This Row],[Precio de Compra]]</f>
        <v>0</v>
      </c>
      <c r="J738" s="6">
        <f>SUMIFS(ProdDesc[Cantidad],ProdDesc[Codigo],Stock[Codigo])</f>
        <v>0</v>
      </c>
      <c r="K738" s="44">
        <f>Stock[[#This Row],[Compra Cultivate]]-Stock[[#This Row],[Salidas]]-Stock[[#This Row],[Usados]]</f>
        <v>1</v>
      </c>
      <c r="L738" s="24">
        <f>Stock[[#This Row],[Stock Deposito]]*Stock[[#This Row],[Precio de Venta]]</f>
        <v>0</v>
      </c>
      <c r="M738" s="6">
        <f>SUMIFS(Tabla9[Cantidad],Tabla9[Codigo],Stock[Codigo])</f>
        <v>6</v>
      </c>
      <c r="N738" s="24">
        <f>Stock[[#This Row],[Precio de Compra]]*Stock[[#This Row],[Stock Cultivate]]</f>
        <v>910</v>
      </c>
      <c r="O738" s="24">
        <f>Stock[[#This Row],[Stock Cultivate]]*Stock[[#This Row],[Precio de Venta]]</f>
        <v>2000</v>
      </c>
      <c r="R738" s="16"/>
    </row>
    <row r="739" spans="2:18">
      <c r="B739" s="44">
        <v>157</v>
      </c>
      <c r="C739" t="s">
        <v>161</v>
      </c>
      <c r="D739" s="45">
        <v>1895</v>
      </c>
      <c r="E739" s="24">
        <v>3800</v>
      </c>
      <c r="F739" s="44">
        <f>Stock[Entradas]-Stock[Compra Cultivate]</f>
        <v>0</v>
      </c>
      <c r="G739" s="11">
        <f>SUMIFS(Compras[Cantidad],Compras[Codigo],Stock[Codigo])</f>
        <v>6</v>
      </c>
      <c r="H739" s="11">
        <f>SUMIFS(Ventas[Cantidad],Ventas[Codigo],Stock[[#This Row],[Codigo]])</f>
        <v>5</v>
      </c>
      <c r="I739" s="12">
        <f>Stock[[#This Row],[Stock Deposito]]*Stock[[#This Row],[Precio de Compra]]</f>
        <v>0</v>
      </c>
      <c r="J739" s="6">
        <f>SUMIFS(ProdDesc[Cantidad],ProdDesc[Codigo],Stock[Codigo])</f>
        <v>0</v>
      </c>
      <c r="K739" s="44">
        <f>Stock[[#This Row],[Compra Cultivate]]-Stock[[#This Row],[Salidas]]-Stock[[#This Row],[Usados]]</f>
        <v>1</v>
      </c>
      <c r="L739" s="24">
        <f>Stock[[#This Row],[Stock Deposito]]*Stock[[#This Row],[Precio de Venta]]</f>
        <v>0</v>
      </c>
      <c r="M739" s="6">
        <f>SUMIFS(Tabla9[Cantidad],Tabla9[Codigo],Stock[Codigo])</f>
        <v>6</v>
      </c>
      <c r="N739" s="24">
        <f>Stock[[#This Row],[Precio de Compra]]*Stock[[#This Row],[Stock Cultivate]]</f>
        <v>1895</v>
      </c>
      <c r="O739" s="24">
        <f>Stock[[#This Row],[Stock Cultivate]]*Stock[[#This Row],[Precio de Venta]]</f>
        <v>3800</v>
      </c>
      <c r="R739" s="16"/>
    </row>
    <row r="740" spans="2:18">
      <c r="B740" s="44">
        <v>156</v>
      </c>
      <c r="C740" t="s">
        <v>160</v>
      </c>
      <c r="D740" s="45">
        <v>929</v>
      </c>
      <c r="E740" s="24">
        <v>2000</v>
      </c>
      <c r="F740" s="44">
        <f>Stock[Entradas]-Stock[Compra Cultivate]</f>
        <v>0</v>
      </c>
      <c r="G740" s="11">
        <f>SUMIFS(Compras[Cantidad],Compras[Codigo],Stock[Codigo])</f>
        <v>1</v>
      </c>
      <c r="H740" s="11">
        <f>SUMIFS(Ventas[Cantidad],Ventas[Codigo],Stock[[#This Row],[Codigo]])</f>
        <v>0</v>
      </c>
      <c r="I740" s="12">
        <f>Stock[[#This Row],[Stock Deposito]]*Stock[[#This Row],[Precio de Compra]]</f>
        <v>0</v>
      </c>
      <c r="J740" s="6">
        <f>SUMIFS(ProdDesc[Cantidad],ProdDesc[Codigo],Stock[Codigo])</f>
        <v>0</v>
      </c>
      <c r="K740" s="44">
        <f>Stock[[#This Row],[Compra Cultivate]]-Stock[[#This Row],[Salidas]]-Stock[[#This Row],[Usados]]</f>
        <v>1</v>
      </c>
      <c r="L740" s="24">
        <f>Stock[[#This Row],[Stock Deposito]]*Stock[[#This Row],[Precio de Venta]]</f>
        <v>0</v>
      </c>
      <c r="M740" s="6">
        <f>SUMIFS(Tabla9[Cantidad],Tabla9[Codigo],Stock[Codigo])</f>
        <v>1</v>
      </c>
      <c r="N740" s="24">
        <f>Stock[[#This Row],[Precio de Compra]]*Stock[[#This Row],[Stock Cultivate]]</f>
        <v>929</v>
      </c>
      <c r="O740" s="24">
        <f>Stock[[#This Row],[Stock Cultivate]]*Stock[[#This Row],[Precio de Venta]]</f>
        <v>2000</v>
      </c>
      <c r="R740" s="16"/>
    </row>
    <row r="741" spans="2:18">
      <c r="B741" s="44">
        <v>155</v>
      </c>
      <c r="C741" t="s">
        <v>159</v>
      </c>
      <c r="D741" s="45">
        <v>450</v>
      </c>
      <c r="E741" s="24">
        <v>900</v>
      </c>
      <c r="F741" s="44">
        <f>Stock[Entradas]-Stock[Compra Cultivate]</f>
        <v>0</v>
      </c>
      <c r="G741" s="11">
        <f>SUMIFS(Compras[Cantidad],Compras[Codigo],Stock[Codigo])</f>
        <v>2</v>
      </c>
      <c r="H741" s="11">
        <f>SUMIFS(Ventas[Cantidad],Ventas[Codigo],Stock[[#This Row],[Codigo]])</f>
        <v>0</v>
      </c>
      <c r="I741" s="12">
        <f>Stock[[#This Row],[Stock Deposito]]*Stock[[#This Row],[Precio de Compra]]</f>
        <v>0</v>
      </c>
      <c r="J741" s="6">
        <f>SUMIFS(ProdDesc[Cantidad],ProdDesc[Codigo],Stock[Codigo])</f>
        <v>1</v>
      </c>
      <c r="K741" s="44">
        <f>Stock[[#This Row],[Compra Cultivate]]-Stock[[#This Row],[Salidas]]-Stock[[#This Row],[Usados]]</f>
        <v>1</v>
      </c>
      <c r="L741" s="24">
        <f>Stock[[#This Row],[Stock Deposito]]*Stock[[#This Row],[Precio de Venta]]</f>
        <v>0</v>
      </c>
      <c r="M741" s="6">
        <f>SUMIFS(Tabla9[Cantidad],Tabla9[Codigo],Stock[Codigo])</f>
        <v>2</v>
      </c>
      <c r="N741" s="24">
        <f>Stock[[#This Row],[Precio de Compra]]*Stock[[#This Row],[Stock Cultivate]]</f>
        <v>450</v>
      </c>
      <c r="O741" s="24">
        <f>Stock[[#This Row],[Stock Cultivate]]*Stock[[#This Row],[Precio de Venta]]</f>
        <v>900</v>
      </c>
      <c r="R741" s="16"/>
    </row>
    <row r="742" spans="2:18">
      <c r="B742" s="44">
        <v>154</v>
      </c>
      <c r="C742" t="s">
        <v>158</v>
      </c>
      <c r="D742" s="45">
        <v>710</v>
      </c>
      <c r="E742" s="24">
        <v>1400</v>
      </c>
      <c r="F742" s="44">
        <f>Stock[Entradas]-Stock[Compra Cultivate]</f>
        <v>0</v>
      </c>
      <c r="G742" s="11">
        <f>SUMIFS(Compras[Cantidad],Compras[Codigo],Stock[Codigo])</f>
        <v>0</v>
      </c>
      <c r="H742" s="11">
        <f>SUMIFS(Ventas[Cantidad],Ventas[Codigo],Stock[[#This Row],[Codigo]])</f>
        <v>0</v>
      </c>
      <c r="I742" s="12">
        <f>Stock[[#This Row],[Stock Deposito]]*Stock[[#This Row],[Precio de Compra]]</f>
        <v>0</v>
      </c>
      <c r="J742" s="6">
        <f>SUMIFS(ProdDesc[Cantidad],ProdDesc[Codigo],Stock[Codigo])</f>
        <v>0</v>
      </c>
      <c r="K742" s="44">
        <f>Stock[[#This Row],[Compra Cultivate]]-Stock[[#This Row],[Salidas]]-Stock[[#This Row],[Usados]]</f>
        <v>0</v>
      </c>
      <c r="L742" s="24">
        <f>Stock[[#This Row],[Stock Deposito]]*Stock[[#This Row],[Precio de Venta]]</f>
        <v>0</v>
      </c>
      <c r="M742" s="6">
        <f>SUMIFS(Tabla9[Cantidad],Tabla9[Codigo],Stock[Codigo])</f>
        <v>0</v>
      </c>
      <c r="N742" s="24">
        <f>Stock[[#This Row],[Precio de Compra]]*Stock[[#This Row],[Stock Cultivate]]</f>
        <v>0</v>
      </c>
      <c r="O742" s="24">
        <f>Stock[[#This Row],[Stock Cultivate]]*Stock[[#This Row],[Precio de Venta]]</f>
        <v>0</v>
      </c>
      <c r="R742" s="16"/>
    </row>
    <row r="743" spans="2:18">
      <c r="B743" s="44">
        <v>153</v>
      </c>
      <c r="C743" t="s">
        <v>435</v>
      </c>
      <c r="D743" s="45">
        <v>2280</v>
      </c>
      <c r="E743" s="24">
        <v>4000</v>
      </c>
      <c r="F743" s="44">
        <f>Stock[Entradas]-Stock[Compra Cultivate]</f>
        <v>0</v>
      </c>
      <c r="G743" s="11">
        <f>SUMIFS(Compras[Cantidad],Compras[Codigo],Stock[Codigo])</f>
        <v>1</v>
      </c>
      <c r="H743" s="11">
        <f>SUMIFS(Ventas[Cantidad],Ventas[Codigo],Stock[[#This Row],[Codigo]])</f>
        <v>1</v>
      </c>
      <c r="I743" s="12">
        <f>Stock[[#This Row],[Stock Deposito]]*Stock[[#This Row],[Precio de Compra]]</f>
        <v>0</v>
      </c>
      <c r="J743" s="6">
        <f>SUMIFS(ProdDesc[Cantidad],ProdDesc[Codigo],Stock[Codigo])</f>
        <v>0</v>
      </c>
      <c r="K743" s="44">
        <f>Stock[[#This Row],[Compra Cultivate]]-Stock[[#This Row],[Salidas]]-Stock[[#This Row],[Usados]]</f>
        <v>0</v>
      </c>
      <c r="L743" s="24">
        <f>Stock[[#This Row],[Stock Deposito]]*Stock[[#This Row],[Precio de Venta]]</f>
        <v>0</v>
      </c>
      <c r="M743" s="6">
        <f>SUMIFS(Tabla9[Cantidad],Tabla9[Codigo],Stock[Codigo])</f>
        <v>1</v>
      </c>
      <c r="N743" s="24">
        <f>Stock[[#This Row],[Precio de Compra]]*Stock[[#This Row],[Stock Cultivate]]</f>
        <v>0</v>
      </c>
      <c r="O743" s="24">
        <f>Stock[[#This Row],[Stock Cultivate]]*Stock[[#This Row],[Precio de Venta]]</f>
        <v>0</v>
      </c>
      <c r="R743" s="16"/>
    </row>
    <row r="744" spans="2:18">
      <c r="B744" s="44">
        <v>152</v>
      </c>
      <c r="C744" t="s">
        <v>157</v>
      </c>
      <c r="D744" s="45">
        <v>633</v>
      </c>
      <c r="E744" s="24">
        <v>1300</v>
      </c>
      <c r="F744" s="44">
        <f>Stock[Entradas]-Stock[Compra Cultivate]</f>
        <v>4</v>
      </c>
      <c r="G744" s="11">
        <f>SUMIFS(Compras[Cantidad],Compras[Codigo],Stock[Codigo])</f>
        <v>4</v>
      </c>
      <c r="H744" s="11">
        <f>SUMIFS(Ventas[Cantidad],Ventas[Codigo],Stock[[#This Row],[Codigo]])</f>
        <v>0</v>
      </c>
      <c r="I744" s="12">
        <f>Stock[[#This Row],[Stock Deposito]]*Stock[[#This Row],[Precio de Compra]]</f>
        <v>2532</v>
      </c>
      <c r="J744" s="6">
        <f>SUMIFS(ProdDesc[Cantidad],ProdDesc[Codigo],Stock[Codigo])</f>
        <v>0</v>
      </c>
      <c r="K744" s="44">
        <f>Stock[[#This Row],[Compra Cultivate]]-Stock[[#This Row],[Salidas]]-Stock[[#This Row],[Usados]]</f>
        <v>0</v>
      </c>
      <c r="L744" s="24">
        <f>Stock[[#This Row],[Stock Deposito]]*Stock[[#This Row],[Precio de Venta]]</f>
        <v>5200</v>
      </c>
      <c r="M744" s="6">
        <f>SUMIFS(Tabla9[Cantidad],Tabla9[Codigo],Stock[Codigo])</f>
        <v>0</v>
      </c>
      <c r="N744" s="24">
        <f>Stock[[#This Row],[Precio de Compra]]*Stock[[#This Row],[Stock Cultivate]]</f>
        <v>0</v>
      </c>
      <c r="O744" s="24">
        <f>Stock[[#This Row],[Stock Cultivate]]*Stock[[#This Row],[Precio de Venta]]</f>
        <v>0</v>
      </c>
      <c r="R744" s="16"/>
    </row>
    <row r="745" spans="2:18">
      <c r="B745" s="44">
        <v>151</v>
      </c>
      <c r="C745" t="s">
        <v>156</v>
      </c>
      <c r="D745" s="45">
        <v>1160</v>
      </c>
      <c r="E745" s="24">
        <v>2300</v>
      </c>
      <c r="F745" s="44">
        <f>Stock[Entradas]-Stock[Compra Cultivate]</f>
        <v>9</v>
      </c>
      <c r="G745" s="11">
        <f>SUMIFS(Compras[Cantidad],Compras[Codigo],Stock[Codigo])</f>
        <v>11</v>
      </c>
      <c r="H745" s="11">
        <f>SUMIFS(Ventas[Cantidad],Ventas[Codigo],Stock[[#This Row],[Codigo]])</f>
        <v>0</v>
      </c>
      <c r="I745" s="12">
        <f>Stock[[#This Row],[Stock Deposito]]*Stock[[#This Row],[Precio de Compra]]</f>
        <v>10440</v>
      </c>
      <c r="J745" s="6">
        <f>SUMIFS(ProdDesc[Cantidad],ProdDesc[Codigo],Stock[Codigo])</f>
        <v>0</v>
      </c>
      <c r="K745" s="44">
        <f>Stock[[#This Row],[Compra Cultivate]]-Stock[[#This Row],[Salidas]]-Stock[[#This Row],[Usados]]</f>
        <v>2</v>
      </c>
      <c r="L745" s="24">
        <f>Stock[[#This Row],[Stock Deposito]]*Stock[[#This Row],[Precio de Venta]]</f>
        <v>20700</v>
      </c>
      <c r="M745" s="6">
        <f>SUMIFS(Tabla9[Cantidad],Tabla9[Codigo],Stock[Codigo])</f>
        <v>2</v>
      </c>
      <c r="N745" s="24">
        <f>Stock[[#This Row],[Precio de Compra]]*Stock[[#This Row],[Stock Cultivate]]</f>
        <v>2320</v>
      </c>
      <c r="O745" s="24">
        <f>Stock[[#This Row],[Stock Cultivate]]*Stock[[#This Row],[Precio de Venta]]</f>
        <v>4600</v>
      </c>
      <c r="R745" s="16"/>
    </row>
    <row r="746" spans="2:18">
      <c r="B746" s="44">
        <v>150</v>
      </c>
      <c r="C746" t="s">
        <v>155</v>
      </c>
      <c r="D746" s="45">
        <v>580</v>
      </c>
      <c r="E746" s="24">
        <v>1200</v>
      </c>
      <c r="F746" s="44">
        <f>Stock[Entradas]-Stock[Compra Cultivate]</f>
        <v>2</v>
      </c>
      <c r="G746" s="11">
        <f>SUMIFS(Compras[Cantidad],Compras[Codigo],Stock[Codigo])</f>
        <v>7</v>
      </c>
      <c r="H746" s="11">
        <f>SUMIFS(Ventas[Cantidad],Ventas[Codigo],Stock[[#This Row],[Codigo]])</f>
        <v>3</v>
      </c>
      <c r="I746" s="12">
        <f>Stock[[#This Row],[Stock Deposito]]*Stock[[#This Row],[Precio de Compra]]</f>
        <v>1160</v>
      </c>
      <c r="J746" s="6">
        <f>SUMIFS(ProdDesc[Cantidad],ProdDesc[Codigo],Stock[Codigo])</f>
        <v>0</v>
      </c>
      <c r="K746" s="44">
        <f>Stock[[#This Row],[Compra Cultivate]]-Stock[[#This Row],[Salidas]]-Stock[[#This Row],[Usados]]</f>
        <v>2</v>
      </c>
      <c r="L746" s="24">
        <f>Stock[[#This Row],[Stock Deposito]]*Stock[[#This Row],[Precio de Venta]]</f>
        <v>2400</v>
      </c>
      <c r="M746" s="6">
        <f>SUMIFS(Tabla9[Cantidad],Tabla9[Codigo],Stock[Codigo])</f>
        <v>5</v>
      </c>
      <c r="N746" s="24">
        <f>Stock[[#This Row],[Precio de Compra]]*Stock[[#This Row],[Stock Cultivate]]</f>
        <v>1160</v>
      </c>
      <c r="O746" s="24">
        <f>Stock[[#This Row],[Stock Cultivate]]*Stock[[#This Row],[Precio de Venta]]</f>
        <v>2400</v>
      </c>
      <c r="R746" s="16"/>
    </row>
    <row r="747" spans="2:18">
      <c r="B747" s="44">
        <v>149</v>
      </c>
      <c r="C747" t="s">
        <v>498</v>
      </c>
      <c r="D747" s="45">
        <v>75</v>
      </c>
      <c r="E747" s="24">
        <v>200</v>
      </c>
      <c r="F747" s="44">
        <f>Stock[Entradas]-Stock[Compra Cultivate]</f>
        <v>0</v>
      </c>
      <c r="G747" s="11">
        <f>SUMIFS(Compras[Cantidad],Compras[Codigo],Stock[Codigo])</f>
        <v>31</v>
      </c>
      <c r="H747" s="11">
        <f>SUMIFS(Ventas[Cantidad],Ventas[Codigo],Stock[[#This Row],[Codigo]])</f>
        <v>23</v>
      </c>
      <c r="I747" s="12">
        <f>Stock[[#This Row],[Stock Deposito]]*Stock[[#This Row],[Precio de Compra]]</f>
        <v>0</v>
      </c>
      <c r="J747" s="6">
        <f>SUMIFS(ProdDesc[Cantidad],ProdDesc[Codigo],Stock[Codigo])</f>
        <v>8</v>
      </c>
      <c r="K747" s="44">
        <f>Stock[[#This Row],[Compra Cultivate]]-Stock[[#This Row],[Salidas]]-Stock[[#This Row],[Usados]]</f>
        <v>0</v>
      </c>
      <c r="L747" s="24">
        <f>Stock[[#This Row],[Stock Deposito]]*Stock[[#This Row],[Precio de Venta]]</f>
        <v>0</v>
      </c>
      <c r="M747" s="6">
        <f>SUMIFS(Tabla9[Cantidad],Tabla9[Codigo],Stock[Codigo])</f>
        <v>31</v>
      </c>
      <c r="N747" s="24">
        <f>Stock[[#This Row],[Precio de Compra]]*Stock[[#This Row],[Stock Cultivate]]</f>
        <v>0</v>
      </c>
      <c r="O747" s="24">
        <f>Stock[[#This Row],[Stock Cultivate]]*Stock[[#This Row],[Precio de Venta]]</f>
        <v>0</v>
      </c>
      <c r="R747" s="16"/>
    </row>
    <row r="748" spans="2:18">
      <c r="B748" s="44">
        <v>148</v>
      </c>
      <c r="C748" t="s">
        <v>154</v>
      </c>
      <c r="D748" s="45">
        <v>255</v>
      </c>
      <c r="E748" s="24">
        <v>450</v>
      </c>
      <c r="F748" s="44">
        <f>Stock[Entradas]-Stock[Compra Cultivate]</f>
        <v>0</v>
      </c>
      <c r="G748" s="11">
        <f>SUMIFS(Compras[Cantidad],Compras[Codigo],Stock[Codigo])</f>
        <v>0</v>
      </c>
      <c r="H748" s="11">
        <f>SUMIFS(Ventas[Cantidad],Ventas[Codigo],Stock[[#This Row],[Codigo]])</f>
        <v>0</v>
      </c>
      <c r="I748" s="12">
        <f>Stock[[#This Row],[Stock Deposito]]*Stock[[#This Row],[Precio de Compra]]</f>
        <v>0</v>
      </c>
      <c r="J748" s="6">
        <f>SUMIFS(ProdDesc[Cantidad],ProdDesc[Codigo],Stock[Codigo])</f>
        <v>0</v>
      </c>
      <c r="K748" s="44">
        <f>Stock[[#This Row],[Compra Cultivate]]-Stock[[#This Row],[Salidas]]-Stock[[#This Row],[Usados]]</f>
        <v>0</v>
      </c>
      <c r="L748" s="24">
        <f>Stock[[#This Row],[Stock Deposito]]*Stock[[#This Row],[Precio de Venta]]</f>
        <v>0</v>
      </c>
      <c r="M748" s="6">
        <f>SUMIFS(Tabla9[Cantidad],Tabla9[Codigo],Stock[Codigo])</f>
        <v>0</v>
      </c>
      <c r="N748" s="24">
        <f>Stock[[#This Row],[Precio de Compra]]*Stock[[#This Row],[Stock Cultivate]]</f>
        <v>0</v>
      </c>
      <c r="O748" s="24">
        <f>Stock[[#This Row],[Stock Cultivate]]*Stock[[#This Row],[Precio de Venta]]</f>
        <v>0</v>
      </c>
      <c r="R748" s="16"/>
    </row>
    <row r="749" spans="2:18">
      <c r="B749" s="44">
        <v>147</v>
      </c>
      <c r="C749" t="s">
        <v>153</v>
      </c>
      <c r="D749" s="45">
        <v>380</v>
      </c>
      <c r="E749" s="24">
        <v>700</v>
      </c>
      <c r="F749" s="44">
        <f>Stock[Entradas]-Stock[Compra Cultivate]</f>
        <v>0</v>
      </c>
      <c r="G749" s="11">
        <f>SUMIFS(Compras[Cantidad],Compras[Codigo],Stock[Codigo])</f>
        <v>1</v>
      </c>
      <c r="H749" s="11">
        <f>SUMIFS(Ventas[Cantidad],Ventas[Codigo],Stock[[#This Row],[Codigo]])</f>
        <v>1</v>
      </c>
      <c r="I749" s="12">
        <f>Stock[[#This Row],[Stock Deposito]]*Stock[[#This Row],[Precio de Compra]]</f>
        <v>0</v>
      </c>
      <c r="J749" s="6">
        <f>SUMIFS(ProdDesc[Cantidad],ProdDesc[Codigo],Stock[Codigo])</f>
        <v>0</v>
      </c>
      <c r="K749" s="44">
        <f>Stock[[#This Row],[Compra Cultivate]]-Stock[[#This Row],[Salidas]]-Stock[[#This Row],[Usados]]</f>
        <v>0</v>
      </c>
      <c r="L749" s="24">
        <f>Stock[[#This Row],[Stock Deposito]]*Stock[[#This Row],[Precio de Venta]]</f>
        <v>0</v>
      </c>
      <c r="M749" s="6">
        <f>SUMIFS(Tabla9[Cantidad],Tabla9[Codigo],Stock[Codigo])</f>
        <v>1</v>
      </c>
      <c r="N749" s="24">
        <f>Stock[[#This Row],[Precio de Compra]]*Stock[[#This Row],[Stock Cultivate]]</f>
        <v>0</v>
      </c>
      <c r="O749" s="24">
        <f>Stock[[#This Row],[Stock Cultivate]]*Stock[[#This Row],[Precio de Venta]]</f>
        <v>0</v>
      </c>
      <c r="R749" s="16"/>
    </row>
    <row r="750" spans="2:18">
      <c r="B750" s="44">
        <v>146</v>
      </c>
      <c r="C750" t="s">
        <v>152</v>
      </c>
      <c r="D750" s="45">
        <v>845</v>
      </c>
      <c r="E750" s="24">
        <v>1500</v>
      </c>
      <c r="F750" s="44">
        <f>Stock[Entradas]-Stock[Compra Cultivate]</f>
        <v>0</v>
      </c>
      <c r="G750" s="11">
        <f>SUMIFS(Compras[Cantidad],Compras[Codigo],Stock[Codigo])</f>
        <v>0</v>
      </c>
      <c r="H750" s="11">
        <f>SUMIFS(Ventas[Cantidad],Ventas[Codigo],Stock[[#This Row],[Codigo]])</f>
        <v>0</v>
      </c>
      <c r="I750" s="12">
        <f>Stock[[#This Row],[Stock Deposito]]*Stock[[#This Row],[Precio de Compra]]</f>
        <v>0</v>
      </c>
      <c r="J750" s="6">
        <f>SUMIFS(ProdDesc[Cantidad],ProdDesc[Codigo],Stock[Codigo])</f>
        <v>0</v>
      </c>
      <c r="K750" s="44">
        <f>Stock[[#This Row],[Compra Cultivate]]-Stock[[#This Row],[Salidas]]-Stock[[#This Row],[Usados]]</f>
        <v>0</v>
      </c>
      <c r="L750" s="24">
        <f>Stock[[#This Row],[Stock Deposito]]*Stock[[#This Row],[Precio de Venta]]</f>
        <v>0</v>
      </c>
      <c r="M750" s="6">
        <f>SUMIFS(Tabla9[Cantidad],Tabla9[Codigo],Stock[Codigo])</f>
        <v>0</v>
      </c>
      <c r="N750" s="24">
        <f>Stock[[#This Row],[Precio de Compra]]*Stock[[#This Row],[Stock Cultivate]]</f>
        <v>0</v>
      </c>
      <c r="O750" s="24">
        <f>Stock[[#This Row],[Stock Cultivate]]*Stock[[#This Row],[Precio de Venta]]</f>
        <v>0</v>
      </c>
      <c r="R750" s="16"/>
    </row>
    <row r="751" spans="2:18">
      <c r="B751" s="44">
        <v>145</v>
      </c>
      <c r="C751" t="s">
        <v>151</v>
      </c>
      <c r="D751" s="45">
        <v>580</v>
      </c>
      <c r="E751" s="24">
        <v>1200</v>
      </c>
      <c r="F751" s="44">
        <f>Stock[Entradas]-Stock[Compra Cultivate]</f>
        <v>0</v>
      </c>
      <c r="G751" s="11">
        <f>SUMIFS(Compras[Cantidad],Compras[Codigo],Stock[Codigo])</f>
        <v>8</v>
      </c>
      <c r="H751" s="11">
        <f>SUMIFS(Ventas[Cantidad],Ventas[Codigo],Stock[[#This Row],[Codigo]])</f>
        <v>7</v>
      </c>
      <c r="I751" s="12">
        <f>Stock[[#This Row],[Stock Deposito]]*Stock[[#This Row],[Precio de Compra]]</f>
        <v>0</v>
      </c>
      <c r="J751" s="6">
        <f>SUMIFS(ProdDesc[Cantidad],ProdDesc[Codigo],Stock[Codigo])</f>
        <v>0</v>
      </c>
      <c r="K751" s="44">
        <f>Stock[[#This Row],[Compra Cultivate]]-Stock[[#This Row],[Salidas]]-Stock[[#This Row],[Usados]]</f>
        <v>1</v>
      </c>
      <c r="L751" s="24">
        <f>Stock[[#This Row],[Stock Deposito]]*Stock[[#This Row],[Precio de Venta]]</f>
        <v>0</v>
      </c>
      <c r="M751" s="6">
        <f>SUMIFS(Tabla9[Cantidad],Tabla9[Codigo],Stock[Codigo])</f>
        <v>8</v>
      </c>
      <c r="N751" s="24">
        <f>Stock[[#This Row],[Precio de Compra]]*Stock[[#This Row],[Stock Cultivate]]</f>
        <v>580</v>
      </c>
      <c r="O751" s="24">
        <f>Stock[[#This Row],[Stock Cultivate]]*Stock[[#This Row],[Precio de Venta]]</f>
        <v>1200</v>
      </c>
      <c r="R751" s="16"/>
    </row>
    <row r="752" spans="2:18">
      <c r="B752" s="44">
        <v>144</v>
      </c>
      <c r="C752" t="s">
        <v>150</v>
      </c>
      <c r="D752" s="45">
        <v>385</v>
      </c>
      <c r="E752" s="24">
        <v>700</v>
      </c>
      <c r="F752" s="44">
        <f>Stock[Entradas]-Stock[Compra Cultivate]</f>
        <v>0</v>
      </c>
      <c r="G752" s="11">
        <f>SUMIFS(Compras[Cantidad],Compras[Codigo],Stock[Codigo])</f>
        <v>2</v>
      </c>
      <c r="H752" s="11">
        <f>SUMIFS(Ventas[Cantidad],Ventas[Codigo],Stock[[#This Row],[Codigo]])</f>
        <v>1</v>
      </c>
      <c r="I752" s="12">
        <f>Stock[[#This Row],[Stock Deposito]]*Stock[[#This Row],[Precio de Compra]]</f>
        <v>0</v>
      </c>
      <c r="J752" s="6">
        <f>SUMIFS(ProdDesc[Cantidad],ProdDesc[Codigo],Stock[Codigo])</f>
        <v>0</v>
      </c>
      <c r="K752" s="44">
        <f>Stock[[#This Row],[Compra Cultivate]]-Stock[[#This Row],[Salidas]]-Stock[[#This Row],[Usados]]</f>
        <v>1</v>
      </c>
      <c r="L752" s="24">
        <f>Stock[[#This Row],[Stock Deposito]]*Stock[[#This Row],[Precio de Venta]]</f>
        <v>0</v>
      </c>
      <c r="M752" s="6">
        <f>SUMIFS(Tabla9[Cantidad],Tabla9[Codigo],Stock[Codigo])</f>
        <v>2</v>
      </c>
      <c r="N752" s="24">
        <f>Stock[[#This Row],[Precio de Compra]]*Stock[[#This Row],[Stock Cultivate]]</f>
        <v>385</v>
      </c>
      <c r="O752" s="24">
        <f>Stock[[#This Row],[Stock Cultivate]]*Stock[[#This Row],[Precio de Venta]]</f>
        <v>700</v>
      </c>
      <c r="R752" s="16"/>
    </row>
    <row r="753" spans="2:18">
      <c r="B753" s="44">
        <v>143</v>
      </c>
      <c r="C753" t="s">
        <v>149</v>
      </c>
      <c r="D753" s="45">
        <v>692</v>
      </c>
      <c r="E753" s="24">
        <v>1300</v>
      </c>
      <c r="F753" s="44">
        <f>Stock[Entradas]-Stock[Compra Cultivate]</f>
        <v>0</v>
      </c>
      <c r="G753" s="11">
        <f>SUMIFS(Compras[Cantidad],Compras[Codigo],Stock[Codigo])</f>
        <v>3</v>
      </c>
      <c r="H753" s="11">
        <f>SUMIFS(Ventas[Cantidad],Ventas[Codigo],Stock[[#This Row],[Codigo]])</f>
        <v>1</v>
      </c>
      <c r="I753" s="12">
        <f>Stock[[#This Row],[Stock Deposito]]*Stock[[#This Row],[Precio de Compra]]</f>
        <v>0</v>
      </c>
      <c r="J753" s="6">
        <f>SUMIFS(ProdDesc[Cantidad],ProdDesc[Codigo],Stock[Codigo])</f>
        <v>0</v>
      </c>
      <c r="K753" s="44">
        <f>Stock[[#This Row],[Compra Cultivate]]-Stock[[#This Row],[Salidas]]-Stock[[#This Row],[Usados]]</f>
        <v>2</v>
      </c>
      <c r="L753" s="24">
        <f>Stock[[#This Row],[Stock Deposito]]*Stock[[#This Row],[Precio de Venta]]</f>
        <v>0</v>
      </c>
      <c r="M753" s="6">
        <f>SUMIFS(Tabla9[Cantidad],Tabla9[Codigo],Stock[Codigo])</f>
        <v>3</v>
      </c>
      <c r="N753" s="24">
        <f>Stock[[#This Row],[Precio de Compra]]*Stock[[#This Row],[Stock Cultivate]]</f>
        <v>1384</v>
      </c>
      <c r="O753" s="24">
        <f>Stock[[#This Row],[Stock Cultivate]]*Stock[[#This Row],[Precio de Venta]]</f>
        <v>2600</v>
      </c>
      <c r="R753" s="16"/>
    </row>
    <row r="754" spans="2:18">
      <c r="B754" s="44">
        <v>142</v>
      </c>
      <c r="C754" t="s">
        <v>537</v>
      </c>
      <c r="D754" s="45">
        <v>215</v>
      </c>
      <c r="E754" s="24">
        <v>500</v>
      </c>
      <c r="F754" s="44">
        <f>Stock[Entradas]-Stock[Compra Cultivate]</f>
        <v>0</v>
      </c>
      <c r="G754" s="11">
        <f>SUMIFS(Compras[Cantidad],Compras[Codigo],Stock[Codigo])</f>
        <v>2</v>
      </c>
      <c r="H754" s="11">
        <f>SUMIFS(Ventas[Cantidad],Ventas[Codigo],Stock[[#This Row],[Codigo]])</f>
        <v>0</v>
      </c>
      <c r="I754" s="12">
        <f>Stock[[#This Row],[Stock Deposito]]*Stock[[#This Row],[Precio de Compra]]</f>
        <v>0</v>
      </c>
      <c r="J754" s="6">
        <f>SUMIFS(ProdDesc[Cantidad],ProdDesc[Codigo],Stock[Codigo])</f>
        <v>1</v>
      </c>
      <c r="K754" s="44">
        <f>Stock[[#This Row],[Compra Cultivate]]-Stock[[#This Row],[Salidas]]-Stock[[#This Row],[Usados]]</f>
        <v>1</v>
      </c>
      <c r="L754" s="24">
        <f>Stock[[#This Row],[Stock Deposito]]*Stock[[#This Row],[Precio de Venta]]</f>
        <v>0</v>
      </c>
      <c r="M754" s="6">
        <f>SUMIFS(Tabla9[Cantidad],Tabla9[Codigo],Stock[Codigo])</f>
        <v>2</v>
      </c>
      <c r="N754" s="24">
        <f>Stock[[#This Row],[Precio de Compra]]*Stock[[#This Row],[Stock Cultivate]]</f>
        <v>215</v>
      </c>
      <c r="O754" s="24">
        <f>Stock[[#This Row],[Stock Cultivate]]*Stock[[#This Row],[Precio de Venta]]</f>
        <v>500</v>
      </c>
      <c r="R754" s="16"/>
    </row>
    <row r="755" spans="2:18">
      <c r="B755" s="44">
        <v>141</v>
      </c>
      <c r="C755" t="s">
        <v>148</v>
      </c>
      <c r="D755" s="45">
        <v>225</v>
      </c>
      <c r="E755" s="24">
        <v>600</v>
      </c>
      <c r="F755" s="44">
        <f>Stock[Entradas]-Stock[Compra Cultivate]</f>
        <v>0</v>
      </c>
      <c r="G755" s="11">
        <f>SUMIFS(Compras[Cantidad],Compras[Codigo],Stock[Codigo])</f>
        <v>2</v>
      </c>
      <c r="H755" s="11">
        <f>SUMIFS(Ventas[Cantidad],Ventas[Codigo],Stock[[#This Row],[Codigo]])</f>
        <v>2</v>
      </c>
      <c r="I755" s="12">
        <f>Stock[[#This Row],[Stock Deposito]]*Stock[[#This Row],[Precio de Compra]]</f>
        <v>0</v>
      </c>
      <c r="J755" s="6">
        <f>SUMIFS(ProdDesc[Cantidad],ProdDesc[Codigo],Stock[Codigo])</f>
        <v>0</v>
      </c>
      <c r="K755" s="44">
        <f>Stock[[#This Row],[Compra Cultivate]]-Stock[[#This Row],[Salidas]]-Stock[[#This Row],[Usados]]</f>
        <v>0</v>
      </c>
      <c r="L755" s="24">
        <f>Stock[[#This Row],[Stock Deposito]]*Stock[[#This Row],[Precio de Venta]]</f>
        <v>0</v>
      </c>
      <c r="M755" s="6">
        <f>SUMIFS(Tabla9[Cantidad],Tabla9[Codigo],Stock[Codigo])</f>
        <v>2</v>
      </c>
      <c r="N755" s="24">
        <f>Stock[[#This Row],[Precio de Compra]]*Stock[[#This Row],[Stock Cultivate]]</f>
        <v>0</v>
      </c>
      <c r="O755" s="24">
        <f>Stock[[#This Row],[Stock Cultivate]]*Stock[[#This Row],[Precio de Venta]]</f>
        <v>0</v>
      </c>
      <c r="R755" s="16"/>
    </row>
    <row r="756" spans="2:18">
      <c r="B756" s="44">
        <v>140</v>
      </c>
      <c r="C756" t="s">
        <v>147</v>
      </c>
      <c r="D756" s="45">
        <v>354</v>
      </c>
      <c r="E756" s="24">
        <v>700</v>
      </c>
      <c r="F756" s="44">
        <f>Stock[Entradas]-Stock[Compra Cultivate]</f>
        <v>0</v>
      </c>
      <c r="G756" s="11">
        <f>SUMIFS(Compras[Cantidad],Compras[Codigo],Stock[Codigo])</f>
        <v>2</v>
      </c>
      <c r="H756" s="11">
        <f>SUMIFS(Ventas[Cantidad],Ventas[Codigo],Stock[[#This Row],[Codigo]])</f>
        <v>1</v>
      </c>
      <c r="I756" s="12">
        <f>Stock[[#This Row],[Stock Deposito]]*Stock[[#This Row],[Precio de Compra]]</f>
        <v>0</v>
      </c>
      <c r="J756" s="6">
        <f>SUMIFS(ProdDesc[Cantidad],ProdDesc[Codigo],Stock[Codigo])</f>
        <v>0</v>
      </c>
      <c r="K756" s="44">
        <f>Stock[[#This Row],[Compra Cultivate]]-Stock[[#This Row],[Salidas]]-Stock[[#This Row],[Usados]]</f>
        <v>1</v>
      </c>
      <c r="L756" s="24">
        <f>Stock[[#This Row],[Stock Deposito]]*Stock[[#This Row],[Precio de Venta]]</f>
        <v>0</v>
      </c>
      <c r="M756" s="6">
        <f>SUMIFS(Tabla9[Cantidad],Tabla9[Codigo],Stock[Codigo])</f>
        <v>2</v>
      </c>
      <c r="N756" s="24">
        <f>Stock[[#This Row],[Precio de Compra]]*Stock[[#This Row],[Stock Cultivate]]</f>
        <v>354</v>
      </c>
      <c r="O756" s="24">
        <f>Stock[[#This Row],[Stock Cultivate]]*Stock[[#This Row],[Precio de Venta]]</f>
        <v>700</v>
      </c>
      <c r="R756" s="16"/>
    </row>
    <row r="757" spans="2:18">
      <c r="B757" s="44">
        <v>139</v>
      </c>
      <c r="C757" t="s">
        <v>146</v>
      </c>
      <c r="D757" s="45">
        <v>494</v>
      </c>
      <c r="E757" s="24">
        <v>1000</v>
      </c>
      <c r="F757" s="44">
        <f>Stock[Entradas]-Stock[Compra Cultivate]</f>
        <v>1</v>
      </c>
      <c r="G757" s="11">
        <f>SUMIFS(Compras[Cantidad],Compras[Codigo],Stock[Codigo])</f>
        <v>6</v>
      </c>
      <c r="H757" s="11">
        <f>SUMIFS(Ventas[Cantidad],Ventas[Codigo],Stock[[#This Row],[Codigo]])</f>
        <v>2</v>
      </c>
      <c r="I757" s="12">
        <f>Stock[[#This Row],[Stock Deposito]]*Stock[[#This Row],[Precio de Compra]]</f>
        <v>494</v>
      </c>
      <c r="J757" s="6">
        <f>SUMIFS(ProdDesc[Cantidad],ProdDesc[Codigo],Stock[Codigo])</f>
        <v>0</v>
      </c>
      <c r="K757" s="44">
        <f>Stock[[#This Row],[Compra Cultivate]]-Stock[[#This Row],[Salidas]]-Stock[[#This Row],[Usados]]</f>
        <v>3</v>
      </c>
      <c r="L757" s="24">
        <f>Stock[[#This Row],[Stock Deposito]]*Stock[[#This Row],[Precio de Venta]]</f>
        <v>1000</v>
      </c>
      <c r="M757" s="6">
        <f>SUMIFS(Tabla9[Cantidad],Tabla9[Codigo],Stock[Codigo])</f>
        <v>5</v>
      </c>
      <c r="N757" s="24">
        <f>Stock[[#This Row],[Precio de Compra]]*Stock[[#This Row],[Stock Cultivate]]</f>
        <v>1482</v>
      </c>
      <c r="O757" s="24">
        <f>Stock[[#This Row],[Stock Cultivate]]*Stock[[#This Row],[Precio de Venta]]</f>
        <v>3000</v>
      </c>
      <c r="R757" s="16"/>
    </row>
    <row r="758" spans="2:18">
      <c r="B758" s="44">
        <v>138</v>
      </c>
      <c r="C758" t="s">
        <v>145</v>
      </c>
      <c r="D758" s="45">
        <v>1200</v>
      </c>
      <c r="E758" s="24">
        <v>2400</v>
      </c>
      <c r="F758" s="44">
        <f>Stock[Entradas]-Stock[Compra Cultivate]</f>
        <v>0</v>
      </c>
      <c r="G758" s="11">
        <f>SUMIFS(Compras[Cantidad],Compras[Codigo],Stock[Codigo])</f>
        <v>0</v>
      </c>
      <c r="H758" s="11">
        <f>SUMIFS(Ventas[Cantidad],Ventas[Codigo],Stock[[#This Row],[Codigo]])</f>
        <v>0</v>
      </c>
      <c r="I758" s="12">
        <f>Stock[[#This Row],[Stock Deposito]]*Stock[[#This Row],[Precio de Compra]]</f>
        <v>0</v>
      </c>
      <c r="J758" s="6">
        <f>SUMIFS(ProdDesc[Cantidad],ProdDesc[Codigo],Stock[Codigo])</f>
        <v>0</v>
      </c>
      <c r="K758" s="44">
        <f>Stock[[#This Row],[Compra Cultivate]]-Stock[[#This Row],[Salidas]]-Stock[[#This Row],[Usados]]</f>
        <v>0</v>
      </c>
      <c r="L758" s="24">
        <f>Stock[[#This Row],[Stock Deposito]]*Stock[[#This Row],[Precio de Venta]]</f>
        <v>0</v>
      </c>
      <c r="M758" s="6">
        <f>SUMIFS(Tabla9[Cantidad],Tabla9[Codigo],Stock[Codigo])</f>
        <v>0</v>
      </c>
      <c r="N758" s="24">
        <f>Stock[[#This Row],[Precio de Compra]]*Stock[[#This Row],[Stock Cultivate]]</f>
        <v>0</v>
      </c>
      <c r="O758" s="24">
        <f>Stock[[#This Row],[Stock Cultivate]]*Stock[[#This Row],[Precio de Venta]]</f>
        <v>0</v>
      </c>
      <c r="R758" s="16"/>
    </row>
    <row r="759" spans="2:18">
      <c r="B759" s="44">
        <v>137</v>
      </c>
      <c r="C759" t="s">
        <v>144</v>
      </c>
      <c r="D759" s="45">
        <v>816</v>
      </c>
      <c r="E759" s="24">
        <v>1650</v>
      </c>
      <c r="F759" s="44">
        <f>Stock[Entradas]-Stock[Compra Cultivate]</f>
        <v>0</v>
      </c>
      <c r="G759" s="11">
        <f>SUMIFS(Compras[Cantidad],Compras[Codigo],Stock[Codigo])</f>
        <v>1</v>
      </c>
      <c r="H759" s="11">
        <f>SUMIFS(Ventas[Cantidad],Ventas[Codigo],Stock[[#This Row],[Codigo]])</f>
        <v>1</v>
      </c>
      <c r="I759" s="12">
        <f>Stock[[#This Row],[Stock Deposito]]*Stock[[#This Row],[Precio de Compra]]</f>
        <v>0</v>
      </c>
      <c r="J759" s="6">
        <f>SUMIFS(ProdDesc[Cantidad],ProdDesc[Codigo],Stock[Codigo])</f>
        <v>0</v>
      </c>
      <c r="K759" s="44">
        <f>Stock[[#This Row],[Compra Cultivate]]-Stock[[#This Row],[Salidas]]-Stock[[#This Row],[Usados]]</f>
        <v>0</v>
      </c>
      <c r="L759" s="24">
        <f>Stock[[#This Row],[Stock Deposito]]*Stock[[#This Row],[Precio de Venta]]</f>
        <v>0</v>
      </c>
      <c r="M759" s="6">
        <f>SUMIFS(Tabla9[Cantidad],Tabla9[Codigo],Stock[Codigo])</f>
        <v>1</v>
      </c>
      <c r="N759" s="24">
        <f>Stock[[#This Row],[Precio de Compra]]*Stock[[#This Row],[Stock Cultivate]]</f>
        <v>0</v>
      </c>
      <c r="O759" s="24">
        <f>Stock[[#This Row],[Stock Cultivate]]*Stock[[#This Row],[Precio de Venta]]</f>
        <v>0</v>
      </c>
      <c r="R759" s="16"/>
    </row>
    <row r="760" spans="2:18">
      <c r="B760" s="44">
        <v>136</v>
      </c>
      <c r="C760" t="s">
        <v>143</v>
      </c>
      <c r="D760" s="45">
        <v>10000</v>
      </c>
      <c r="E760" s="24">
        <v>20000</v>
      </c>
      <c r="F760" s="44">
        <f>Stock[Entradas]-Stock[Compra Cultivate]</f>
        <v>0</v>
      </c>
      <c r="G760" s="11">
        <f>SUMIFS(Compras[Cantidad],Compras[Codigo],Stock[Codigo])</f>
        <v>1</v>
      </c>
      <c r="H760" s="11">
        <f>SUMIFS(Ventas[Cantidad],Ventas[Codigo],Stock[[#This Row],[Codigo]])</f>
        <v>0</v>
      </c>
      <c r="I760" s="12">
        <f>Stock[[#This Row],[Stock Deposito]]*Stock[[#This Row],[Precio de Compra]]</f>
        <v>0</v>
      </c>
      <c r="J760" s="6">
        <f>SUMIFS(ProdDesc[Cantidad],ProdDesc[Codigo],Stock[Codigo])</f>
        <v>0</v>
      </c>
      <c r="K760" s="44">
        <f>Stock[[#This Row],[Compra Cultivate]]-Stock[[#This Row],[Salidas]]-Stock[[#This Row],[Usados]]</f>
        <v>1</v>
      </c>
      <c r="L760" s="24">
        <f>Stock[[#This Row],[Stock Deposito]]*Stock[[#This Row],[Precio de Venta]]</f>
        <v>0</v>
      </c>
      <c r="M760" s="6">
        <f>SUMIFS(Tabla9[Cantidad],Tabla9[Codigo],Stock[Codigo])</f>
        <v>1</v>
      </c>
      <c r="N760" s="24">
        <f>Stock[[#This Row],[Precio de Compra]]*Stock[[#This Row],[Stock Cultivate]]</f>
        <v>10000</v>
      </c>
      <c r="O760" s="24">
        <f>Stock[[#This Row],[Stock Cultivate]]*Stock[[#This Row],[Precio de Venta]]</f>
        <v>20000</v>
      </c>
      <c r="R760" s="16"/>
    </row>
    <row r="761" spans="2:18">
      <c r="B761" s="44">
        <v>135</v>
      </c>
      <c r="C761" t="s">
        <v>142</v>
      </c>
      <c r="D761" s="45">
        <v>1047</v>
      </c>
      <c r="E761" s="24">
        <v>2100</v>
      </c>
      <c r="F761" s="44">
        <f>Stock[Entradas]-Stock[Compra Cultivate]</f>
        <v>0</v>
      </c>
      <c r="G761" s="11">
        <f>SUMIFS(Compras[Cantidad],Compras[Codigo],Stock[Codigo])</f>
        <v>6</v>
      </c>
      <c r="H761" s="11">
        <f>SUMIFS(Ventas[Cantidad],Ventas[Codigo],Stock[[#This Row],[Codigo]])</f>
        <v>2</v>
      </c>
      <c r="I761" s="12">
        <f>Stock[[#This Row],[Stock Deposito]]*Stock[[#This Row],[Precio de Compra]]</f>
        <v>0</v>
      </c>
      <c r="J761" s="6">
        <f>SUMIFS(ProdDesc[Cantidad],ProdDesc[Codigo],Stock[Codigo])</f>
        <v>1</v>
      </c>
      <c r="K761" s="44">
        <f>Stock[[#This Row],[Compra Cultivate]]-Stock[[#This Row],[Salidas]]-Stock[[#This Row],[Usados]]</f>
        <v>3</v>
      </c>
      <c r="L761" s="24">
        <f>Stock[[#This Row],[Stock Deposito]]*Stock[[#This Row],[Precio de Venta]]</f>
        <v>0</v>
      </c>
      <c r="M761" s="6">
        <f>SUMIFS(Tabla9[Cantidad],Tabla9[Codigo],Stock[Codigo])</f>
        <v>6</v>
      </c>
      <c r="N761" s="24">
        <f>Stock[[#This Row],[Precio de Compra]]*Stock[[#This Row],[Stock Cultivate]]</f>
        <v>3141</v>
      </c>
      <c r="O761" s="24">
        <f>Stock[[#This Row],[Stock Cultivate]]*Stock[[#This Row],[Precio de Venta]]</f>
        <v>6300</v>
      </c>
      <c r="R761" s="16"/>
    </row>
    <row r="762" spans="2:18">
      <c r="B762" s="44">
        <v>134</v>
      </c>
      <c r="C762" t="s">
        <v>141</v>
      </c>
      <c r="D762" s="45">
        <v>1187</v>
      </c>
      <c r="E762" s="24">
        <v>2200</v>
      </c>
      <c r="F762" s="44">
        <f>Stock[Entradas]-Stock[Compra Cultivate]</f>
        <v>0</v>
      </c>
      <c r="G762" s="11">
        <f>SUMIFS(Compras[Cantidad],Compras[Codigo],Stock[Codigo])</f>
        <v>0</v>
      </c>
      <c r="H762" s="11">
        <f>SUMIFS(Ventas[Cantidad],Ventas[Codigo],Stock[[#This Row],[Codigo]])</f>
        <v>0</v>
      </c>
      <c r="I762" s="12">
        <f>Stock[[#This Row],[Stock Deposito]]*Stock[[#This Row],[Precio de Compra]]</f>
        <v>0</v>
      </c>
      <c r="J762" s="6">
        <f>SUMIFS(ProdDesc[Cantidad],ProdDesc[Codigo],Stock[Codigo])</f>
        <v>0</v>
      </c>
      <c r="K762" s="44">
        <f>Stock[[#This Row],[Compra Cultivate]]-Stock[[#This Row],[Salidas]]-Stock[[#This Row],[Usados]]</f>
        <v>0</v>
      </c>
      <c r="L762" s="24">
        <f>Stock[[#This Row],[Stock Deposito]]*Stock[[#This Row],[Precio de Venta]]</f>
        <v>0</v>
      </c>
      <c r="M762" s="6">
        <f>SUMIFS(Tabla9[Cantidad],Tabla9[Codigo],Stock[Codigo])</f>
        <v>0</v>
      </c>
      <c r="N762" s="24">
        <f>Stock[[#This Row],[Precio de Compra]]*Stock[[#This Row],[Stock Cultivate]]</f>
        <v>0</v>
      </c>
      <c r="O762" s="24">
        <f>Stock[[#This Row],[Stock Cultivate]]*Stock[[#This Row],[Precio de Venta]]</f>
        <v>0</v>
      </c>
      <c r="R762" s="16"/>
    </row>
    <row r="763" spans="2:18">
      <c r="B763" s="44">
        <v>133</v>
      </c>
      <c r="C763" t="s">
        <v>140</v>
      </c>
      <c r="D763" s="45">
        <v>3399</v>
      </c>
      <c r="E763" s="24">
        <v>6800</v>
      </c>
      <c r="F763" s="44">
        <f>Stock[Entradas]-Stock[Compra Cultivate]</f>
        <v>0</v>
      </c>
      <c r="G763" s="11">
        <f>SUMIFS(Compras[Cantidad],Compras[Codigo],Stock[Codigo])</f>
        <v>2</v>
      </c>
      <c r="H763" s="11">
        <f>SUMIFS(Ventas[Cantidad],Ventas[Codigo],Stock[[#This Row],[Codigo]])</f>
        <v>0</v>
      </c>
      <c r="I763" s="12">
        <f>Stock[[#This Row],[Stock Deposito]]*Stock[[#This Row],[Precio de Compra]]</f>
        <v>0</v>
      </c>
      <c r="J763" s="6">
        <f>SUMIFS(ProdDesc[Cantidad],ProdDesc[Codigo],Stock[Codigo])</f>
        <v>0</v>
      </c>
      <c r="K763" s="44">
        <f>Stock[[#This Row],[Compra Cultivate]]-Stock[[#This Row],[Salidas]]-Stock[[#This Row],[Usados]]</f>
        <v>2</v>
      </c>
      <c r="L763" s="24">
        <f>Stock[[#This Row],[Stock Deposito]]*Stock[[#This Row],[Precio de Venta]]</f>
        <v>0</v>
      </c>
      <c r="M763" s="6">
        <f>SUMIFS(Tabla9[Cantidad],Tabla9[Codigo],Stock[Codigo])</f>
        <v>2</v>
      </c>
      <c r="N763" s="24">
        <f>Stock[[#This Row],[Precio de Compra]]*Stock[[#This Row],[Stock Cultivate]]</f>
        <v>6798</v>
      </c>
      <c r="O763" s="24">
        <f>Stock[[#This Row],[Stock Cultivate]]*Stock[[#This Row],[Precio de Venta]]</f>
        <v>13600</v>
      </c>
      <c r="R763" s="16"/>
    </row>
    <row r="764" spans="2:18">
      <c r="B764" s="44">
        <v>132</v>
      </c>
      <c r="C764" t="s">
        <v>139</v>
      </c>
      <c r="D764" s="45">
        <v>760</v>
      </c>
      <c r="E764" s="24">
        <v>1500</v>
      </c>
      <c r="F764" s="44">
        <f>Stock[Entradas]-Stock[Compra Cultivate]</f>
        <v>0</v>
      </c>
      <c r="G764" s="11">
        <f>SUMIFS(Compras[Cantidad],Compras[Codigo],Stock[Codigo])</f>
        <v>0</v>
      </c>
      <c r="H764" s="11">
        <f>SUMIFS(Ventas[Cantidad],Ventas[Codigo],Stock[[#This Row],[Codigo]])</f>
        <v>0</v>
      </c>
      <c r="I764" s="12">
        <f>Stock[[#This Row],[Stock Deposito]]*Stock[[#This Row],[Precio de Compra]]</f>
        <v>0</v>
      </c>
      <c r="J764" s="6">
        <f>SUMIFS(ProdDesc[Cantidad],ProdDesc[Codigo],Stock[Codigo])</f>
        <v>0</v>
      </c>
      <c r="K764" s="44">
        <f>Stock[[#This Row],[Compra Cultivate]]-Stock[[#This Row],[Salidas]]-Stock[[#This Row],[Usados]]</f>
        <v>0</v>
      </c>
      <c r="L764" s="24">
        <f>Stock[[#This Row],[Stock Deposito]]*Stock[[#This Row],[Precio de Venta]]</f>
        <v>0</v>
      </c>
      <c r="M764" s="6">
        <f>SUMIFS(Tabla9[Cantidad],Tabla9[Codigo],Stock[Codigo])</f>
        <v>0</v>
      </c>
      <c r="N764" s="24">
        <f>Stock[[#This Row],[Precio de Compra]]*Stock[[#This Row],[Stock Cultivate]]</f>
        <v>0</v>
      </c>
      <c r="O764" s="24">
        <f>Stock[[#This Row],[Stock Cultivate]]*Stock[[#This Row],[Precio de Venta]]</f>
        <v>0</v>
      </c>
      <c r="R764" s="16"/>
    </row>
    <row r="765" spans="2:18">
      <c r="B765" s="44">
        <v>131</v>
      </c>
      <c r="C765" t="s">
        <v>138</v>
      </c>
      <c r="D765" s="45">
        <v>1200</v>
      </c>
      <c r="E765" s="24">
        <v>2400</v>
      </c>
      <c r="F765" s="44">
        <f>Stock[Entradas]-Stock[Compra Cultivate]</f>
        <v>0</v>
      </c>
      <c r="G765" s="11">
        <f>SUMIFS(Compras[Cantidad],Compras[Codigo],Stock[Codigo])</f>
        <v>1</v>
      </c>
      <c r="H765" s="11">
        <f>SUMIFS(Ventas[Cantidad],Ventas[Codigo],Stock[[#This Row],[Codigo]])</f>
        <v>0</v>
      </c>
      <c r="I765" s="12">
        <f>Stock[[#This Row],[Stock Deposito]]*Stock[[#This Row],[Precio de Compra]]</f>
        <v>0</v>
      </c>
      <c r="J765" s="6">
        <f>SUMIFS(ProdDesc[Cantidad],ProdDesc[Codigo],Stock[Codigo])</f>
        <v>0</v>
      </c>
      <c r="K765" s="44">
        <f>Stock[[#This Row],[Compra Cultivate]]-Stock[[#This Row],[Salidas]]-Stock[[#This Row],[Usados]]</f>
        <v>1</v>
      </c>
      <c r="L765" s="24">
        <f>Stock[[#This Row],[Stock Deposito]]*Stock[[#This Row],[Precio de Venta]]</f>
        <v>0</v>
      </c>
      <c r="M765" s="6">
        <f>SUMIFS(Tabla9[Cantidad],Tabla9[Codigo],Stock[Codigo])</f>
        <v>1</v>
      </c>
      <c r="N765" s="24">
        <f>Stock[[#This Row],[Precio de Compra]]*Stock[[#This Row],[Stock Cultivate]]</f>
        <v>1200</v>
      </c>
      <c r="O765" s="24">
        <f>Stock[[#This Row],[Stock Cultivate]]*Stock[[#This Row],[Precio de Venta]]</f>
        <v>2400</v>
      </c>
      <c r="R765" s="16"/>
    </row>
    <row r="766" spans="2:18">
      <c r="B766" s="44">
        <v>130</v>
      </c>
      <c r="C766" t="s">
        <v>137</v>
      </c>
      <c r="D766" s="45">
        <v>2915</v>
      </c>
      <c r="E766" s="24">
        <v>6000</v>
      </c>
      <c r="F766" s="44">
        <f>Stock[Entradas]-Stock[Compra Cultivate]</f>
        <v>0</v>
      </c>
      <c r="G766" s="11">
        <f>SUMIFS(Compras[Cantidad],Compras[Codigo],Stock[Codigo])</f>
        <v>3</v>
      </c>
      <c r="H766" s="11">
        <f>SUMIFS(Ventas[Cantidad],Ventas[Codigo],Stock[[#This Row],[Codigo]])</f>
        <v>0</v>
      </c>
      <c r="I766" s="12">
        <f>Stock[[#This Row],[Stock Deposito]]*Stock[[#This Row],[Precio de Compra]]</f>
        <v>0</v>
      </c>
      <c r="J766" s="6">
        <f>SUMIFS(ProdDesc[Cantidad],ProdDesc[Codigo],Stock[Codigo])</f>
        <v>0</v>
      </c>
      <c r="K766" s="44">
        <f>Stock[[#This Row],[Compra Cultivate]]-Stock[[#This Row],[Salidas]]-Stock[[#This Row],[Usados]]</f>
        <v>3</v>
      </c>
      <c r="L766" s="24">
        <f>Stock[[#This Row],[Stock Deposito]]*Stock[[#This Row],[Precio de Venta]]</f>
        <v>0</v>
      </c>
      <c r="M766" s="6">
        <f>SUMIFS(Tabla9[Cantidad],Tabla9[Codigo],Stock[Codigo])</f>
        <v>3</v>
      </c>
      <c r="N766" s="24">
        <f>Stock[[#This Row],[Precio de Compra]]*Stock[[#This Row],[Stock Cultivate]]</f>
        <v>8745</v>
      </c>
      <c r="O766" s="24">
        <f>Stock[[#This Row],[Stock Cultivate]]*Stock[[#This Row],[Precio de Venta]]</f>
        <v>18000</v>
      </c>
      <c r="R766" s="16"/>
    </row>
    <row r="767" spans="2:18">
      <c r="B767" s="44">
        <v>129</v>
      </c>
      <c r="C767" t="s">
        <v>136</v>
      </c>
      <c r="D767" s="45">
        <v>1847</v>
      </c>
      <c r="E767" s="24">
        <v>3700</v>
      </c>
      <c r="F767" s="44">
        <f>Stock[Entradas]-Stock[Compra Cultivate]</f>
        <v>1</v>
      </c>
      <c r="G767" s="11">
        <f>SUMIFS(Compras[Cantidad],Compras[Codigo],Stock[Codigo])</f>
        <v>3</v>
      </c>
      <c r="H767" s="11">
        <f>SUMIFS(Ventas[Cantidad],Ventas[Codigo],Stock[[#This Row],[Codigo]])</f>
        <v>1</v>
      </c>
      <c r="I767" s="12">
        <f>Stock[[#This Row],[Stock Deposito]]*Stock[[#This Row],[Precio de Compra]]</f>
        <v>1847</v>
      </c>
      <c r="J767" s="6">
        <f>SUMIFS(ProdDesc[Cantidad],ProdDesc[Codigo],Stock[Codigo])</f>
        <v>0</v>
      </c>
      <c r="K767" s="44">
        <f>Stock[[#This Row],[Compra Cultivate]]-Stock[[#This Row],[Salidas]]-Stock[[#This Row],[Usados]]</f>
        <v>1</v>
      </c>
      <c r="L767" s="24">
        <f>Stock[[#This Row],[Stock Deposito]]*Stock[[#This Row],[Precio de Venta]]</f>
        <v>3700</v>
      </c>
      <c r="M767" s="6">
        <f>SUMIFS(Tabla9[Cantidad],Tabla9[Codigo],Stock[Codigo])</f>
        <v>2</v>
      </c>
      <c r="N767" s="24">
        <f>Stock[[#This Row],[Precio de Compra]]*Stock[[#This Row],[Stock Cultivate]]</f>
        <v>1847</v>
      </c>
      <c r="O767" s="24">
        <f>Stock[[#This Row],[Stock Cultivate]]*Stock[[#This Row],[Precio de Venta]]</f>
        <v>3700</v>
      </c>
      <c r="R767" s="16"/>
    </row>
    <row r="768" spans="2:18">
      <c r="B768" s="44">
        <v>128</v>
      </c>
      <c r="C768" t="s">
        <v>135</v>
      </c>
      <c r="D768" s="45">
        <v>1047</v>
      </c>
      <c r="E768" s="24">
        <v>2100</v>
      </c>
      <c r="F768" s="44">
        <f>Stock[Entradas]-Stock[Compra Cultivate]</f>
        <v>0</v>
      </c>
      <c r="G768" s="11">
        <f>SUMIFS(Compras[Cantidad],Compras[Codigo],Stock[Codigo])</f>
        <v>9</v>
      </c>
      <c r="H768" s="11">
        <f>SUMIFS(Ventas[Cantidad],Ventas[Codigo],Stock[[#This Row],[Codigo]])</f>
        <v>5</v>
      </c>
      <c r="I768" s="12">
        <f>Stock[[#This Row],[Stock Deposito]]*Stock[[#This Row],[Precio de Compra]]</f>
        <v>0</v>
      </c>
      <c r="J768" s="6">
        <f>SUMIFS(ProdDesc[Cantidad],ProdDesc[Codigo],Stock[Codigo])</f>
        <v>0</v>
      </c>
      <c r="K768" s="44">
        <f>Stock[[#This Row],[Compra Cultivate]]-Stock[[#This Row],[Salidas]]-Stock[[#This Row],[Usados]]</f>
        <v>4</v>
      </c>
      <c r="L768" s="24">
        <f>Stock[[#This Row],[Stock Deposito]]*Stock[[#This Row],[Precio de Venta]]</f>
        <v>0</v>
      </c>
      <c r="M768" s="6">
        <f>SUMIFS(Tabla9[Cantidad],Tabla9[Codigo],Stock[Codigo])</f>
        <v>9</v>
      </c>
      <c r="N768" s="24">
        <f>Stock[[#This Row],[Precio de Compra]]*Stock[[#This Row],[Stock Cultivate]]</f>
        <v>4188</v>
      </c>
      <c r="O768" s="24">
        <f>Stock[[#This Row],[Stock Cultivate]]*Stock[[#This Row],[Precio de Venta]]</f>
        <v>8400</v>
      </c>
      <c r="R768" s="16"/>
    </row>
    <row r="769" spans="2:18">
      <c r="B769" s="44">
        <v>127</v>
      </c>
      <c r="C769" t="s">
        <v>134</v>
      </c>
      <c r="D769" s="45">
        <v>226</v>
      </c>
      <c r="E769" s="24">
        <v>450</v>
      </c>
      <c r="F769" s="44">
        <f>Stock[Entradas]-Stock[Compra Cultivate]</f>
        <v>0</v>
      </c>
      <c r="G769" s="11">
        <f>SUMIFS(Compras[Cantidad],Compras[Codigo],Stock[Codigo])</f>
        <v>0</v>
      </c>
      <c r="H769" s="11">
        <f>SUMIFS(Ventas[Cantidad],Ventas[Codigo],Stock[[#This Row],[Codigo]])</f>
        <v>0</v>
      </c>
      <c r="I769" s="12">
        <f>Stock[[#This Row],[Stock Deposito]]*Stock[[#This Row],[Precio de Compra]]</f>
        <v>0</v>
      </c>
      <c r="J769" s="6">
        <f>SUMIFS(ProdDesc[Cantidad],ProdDesc[Codigo],Stock[Codigo])</f>
        <v>0</v>
      </c>
      <c r="K769" s="44">
        <f>Stock[[#This Row],[Compra Cultivate]]-Stock[[#This Row],[Salidas]]-Stock[[#This Row],[Usados]]</f>
        <v>0</v>
      </c>
      <c r="L769" s="24">
        <f>Stock[[#This Row],[Stock Deposito]]*Stock[[#This Row],[Precio de Venta]]</f>
        <v>0</v>
      </c>
      <c r="M769" s="6">
        <f>SUMIFS(Tabla9[Cantidad],Tabla9[Codigo],Stock[Codigo])</f>
        <v>0</v>
      </c>
      <c r="N769" s="24">
        <f>Stock[[#This Row],[Precio de Compra]]*Stock[[#This Row],[Stock Cultivate]]</f>
        <v>0</v>
      </c>
      <c r="O769" s="24">
        <f>Stock[[#This Row],[Stock Cultivate]]*Stock[[#This Row],[Precio de Venta]]</f>
        <v>0</v>
      </c>
      <c r="R769" s="16"/>
    </row>
    <row r="770" spans="2:18">
      <c r="B770" s="44">
        <v>126</v>
      </c>
      <c r="C770" t="s">
        <v>133</v>
      </c>
      <c r="D770" s="45">
        <v>5320</v>
      </c>
      <c r="E770" s="24">
        <v>10000</v>
      </c>
      <c r="F770" s="44">
        <f>Stock[Entradas]-Stock[Compra Cultivate]</f>
        <v>0</v>
      </c>
      <c r="G770" s="11">
        <f>SUMIFS(Compras[Cantidad],Compras[Codigo],Stock[Codigo])</f>
        <v>0</v>
      </c>
      <c r="H770" s="11">
        <f>SUMIFS(Ventas[Cantidad],Ventas[Codigo],Stock[[#This Row],[Codigo]])</f>
        <v>0</v>
      </c>
      <c r="I770" s="12">
        <f>Stock[[#This Row],[Stock Deposito]]*Stock[[#This Row],[Precio de Compra]]</f>
        <v>0</v>
      </c>
      <c r="J770" s="6">
        <f>SUMIFS(ProdDesc[Cantidad],ProdDesc[Codigo],Stock[Codigo])</f>
        <v>0</v>
      </c>
      <c r="K770" s="44">
        <f>Stock[[#This Row],[Compra Cultivate]]-Stock[[#This Row],[Salidas]]-Stock[[#This Row],[Usados]]</f>
        <v>0</v>
      </c>
      <c r="L770" s="24">
        <f>Stock[[#This Row],[Stock Deposito]]*Stock[[#This Row],[Precio de Venta]]</f>
        <v>0</v>
      </c>
      <c r="M770" s="6">
        <f>SUMIFS(Tabla9[Cantidad],Tabla9[Codigo],Stock[Codigo])</f>
        <v>0</v>
      </c>
      <c r="N770" s="24">
        <f>Stock[[#This Row],[Precio de Compra]]*Stock[[#This Row],[Stock Cultivate]]</f>
        <v>0</v>
      </c>
      <c r="O770" s="24">
        <f>Stock[[#This Row],[Stock Cultivate]]*Stock[[#This Row],[Precio de Venta]]</f>
        <v>0</v>
      </c>
      <c r="R770" s="16"/>
    </row>
    <row r="771" spans="2:18">
      <c r="B771" s="44">
        <v>125</v>
      </c>
      <c r="C771" t="s">
        <v>132</v>
      </c>
      <c r="D771" s="45">
        <v>779</v>
      </c>
      <c r="E771" s="24">
        <v>1500</v>
      </c>
      <c r="F771" s="44">
        <f>Stock[Entradas]-Stock[Compra Cultivate]</f>
        <v>0</v>
      </c>
      <c r="G771" s="11">
        <f>SUMIFS(Compras[Cantidad],Compras[Codigo],Stock[Codigo])</f>
        <v>1</v>
      </c>
      <c r="H771" s="11">
        <f>SUMIFS(Ventas[Cantidad],Ventas[Codigo],Stock[[#This Row],[Codigo]])</f>
        <v>0</v>
      </c>
      <c r="I771" s="12">
        <f>Stock[[#This Row],[Stock Deposito]]*Stock[[#This Row],[Precio de Compra]]</f>
        <v>0</v>
      </c>
      <c r="J771" s="6">
        <f>SUMIFS(ProdDesc[Cantidad],ProdDesc[Codigo],Stock[Codigo])</f>
        <v>0</v>
      </c>
      <c r="K771" s="44">
        <f>Stock[[#This Row],[Compra Cultivate]]-Stock[[#This Row],[Salidas]]-Stock[[#This Row],[Usados]]</f>
        <v>1</v>
      </c>
      <c r="L771" s="24">
        <f>Stock[[#This Row],[Stock Deposito]]*Stock[[#This Row],[Precio de Venta]]</f>
        <v>0</v>
      </c>
      <c r="M771" s="6">
        <f>SUMIFS(Tabla9[Cantidad],Tabla9[Codigo],Stock[Codigo])</f>
        <v>1</v>
      </c>
      <c r="N771" s="24">
        <f>Stock[[#This Row],[Precio de Compra]]*Stock[[#This Row],[Stock Cultivate]]</f>
        <v>779</v>
      </c>
      <c r="O771" s="24">
        <f>Stock[[#This Row],[Stock Cultivate]]*Stock[[#This Row],[Precio de Venta]]</f>
        <v>1500</v>
      </c>
      <c r="R771" s="16"/>
    </row>
    <row r="772" spans="2:18">
      <c r="B772" s="44">
        <v>123</v>
      </c>
      <c r="C772" t="s">
        <v>131</v>
      </c>
      <c r="D772" s="45">
        <v>170</v>
      </c>
      <c r="E772" s="24">
        <v>400</v>
      </c>
      <c r="F772" s="44">
        <f>Stock[Entradas]-Stock[Compra Cultivate]</f>
        <v>0</v>
      </c>
      <c r="G772" s="11">
        <f>SUMIFS(Compras[Cantidad],Compras[Codigo],Stock[Codigo])</f>
        <v>7</v>
      </c>
      <c r="H772" s="11">
        <f>SUMIFS(Ventas[Cantidad],Ventas[Codigo],Stock[[#This Row],[Codigo]])</f>
        <v>0</v>
      </c>
      <c r="I772" s="12">
        <f>Stock[[#This Row],[Stock Deposito]]*Stock[[#This Row],[Precio de Compra]]</f>
        <v>0</v>
      </c>
      <c r="J772" s="6">
        <f>SUMIFS(ProdDesc[Cantidad],ProdDesc[Codigo],Stock[Codigo])</f>
        <v>0</v>
      </c>
      <c r="K772" s="44">
        <f>Stock[[#This Row],[Compra Cultivate]]-Stock[[#This Row],[Salidas]]-Stock[[#This Row],[Usados]]</f>
        <v>7</v>
      </c>
      <c r="L772" s="24">
        <f>Stock[[#This Row],[Stock Deposito]]*Stock[[#This Row],[Precio de Venta]]</f>
        <v>0</v>
      </c>
      <c r="M772" s="6">
        <f>SUMIFS(Tabla9[Cantidad],Tabla9[Codigo],Stock[Codigo])</f>
        <v>7</v>
      </c>
      <c r="N772" s="24">
        <f>Stock[[#This Row],[Precio de Compra]]*Stock[[#This Row],[Stock Cultivate]]</f>
        <v>1190</v>
      </c>
      <c r="O772" s="24">
        <f>Stock[[#This Row],[Stock Cultivate]]*Stock[[#This Row],[Precio de Venta]]</f>
        <v>2800</v>
      </c>
      <c r="R772" s="16"/>
    </row>
    <row r="773" spans="2:18">
      <c r="B773" s="44">
        <v>122</v>
      </c>
      <c r="C773" t="s">
        <v>130</v>
      </c>
      <c r="D773" s="45">
        <v>665</v>
      </c>
      <c r="E773" s="24">
        <v>1100</v>
      </c>
      <c r="F773" s="44">
        <f>Stock[Entradas]-Stock[Compra Cultivate]</f>
        <v>0</v>
      </c>
      <c r="G773" s="11">
        <f>SUMIFS(Compras[Cantidad],Compras[Codigo],Stock[Codigo])</f>
        <v>2</v>
      </c>
      <c r="H773" s="11">
        <f>SUMIFS(Ventas[Cantidad],Ventas[Codigo],Stock[[#This Row],[Codigo]])</f>
        <v>0</v>
      </c>
      <c r="I773" s="12">
        <f>Stock[[#This Row],[Stock Deposito]]*Stock[[#This Row],[Precio de Compra]]</f>
        <v>0</v>
      </c>
      <c r="J773" s="6">
        <f>SUMIFS(ProdDesc[Cantidad],ProdDesc[Codigo],Stock[Codigo])</f>
        <v>0</v>
      </c>
      <c r="K773" s="44">
        <f>Stock[[#This Row],[Compra Cultivate]]-Stock[[#This Row],[Salidas]]-Stock[[#This Row],[Usados]]</f>
        <v>2</v>
      </c>
      <c r="L773" s="24">
        <f>Stock[[#This Row],[Stock Deposito]]*Stock[[#This Row],[Precio de Venta]]</f>
        <v>0</v>
      </c>
      <c r="M773" s="6">
        <f>SUMIFS(Tabla9[Cantidad],Tabla9[Codigo],Stock[Codigo])</f>
        <v>2</v>
      </c>
      <c r="N773" s="24">
        <f>Stock[[#This Row],[Precio de Compra]]*Stock[[#This Row],[Stock Cultivate]]</f>
        <v>1330</v>
      </c>
      <c r="O773" s="24">
        <f>Stock[[#This Row],[Stock Cultivate]]*Stock[[#This Row],[Precio de Venta]]</f>
        <v>2200</v>
      </c>
      <c r="R773" s="16"/>
    </row>
    <row r="774" spans="2:18">
      <c r="B774" s="44">
        <v>121</v>
      </c>
      <c r="C774" t="s">
        <v>129</v>
      </c>
      <c r="D774" s="45">
        <v>560</v>
      </c>
      <c r="E774" s="24">
        <v>1000</v>
      </c>
      <c r="F774" s="44">
        <f>Stock[Entradas]-Stock[Compra Cultivate]</f>
        <v>0</v>
      </c>
      <c r="G774" s="11">
        <f>SUMIFS(Compras[Cantidad],Compras[Codigo],Stock[Codigo])</f>
        <v>1</v>
      </c>
      <c r="H774" s="11">
        <f>SUMIFS(Ventas[Cantidad],Ventas[Codigo],Stock[[#This Row],[Codigo]])</f>
        <v>1</v>
      </c>
      <c r="I774" s="12">
        <f>Stock[[#This Row],[Stock Deposito]]*Stock[[#This Row],[Precio de Compra]]</f>
        <v>0</v>
      </c>
      <c r="J774" s="6">
        <f>SUMIFS(ProdDesc[Cantidad],ProdDesc[Codigo],Stock[Codigo])</f>
        <v>0</v>
      </c>
      <c r="K774" s="44">
        <f>Stock[[#This Row],[Compra Cultivate]]-Stock[[#This Row],[Salidas]]-Stock[[#This Row],[Usados]]</f>
        <v>0</v>
      </c>
      <c r="L774" s="24">
        <f>Stock[[#This Row],[Stock Deposito]]*Stock[[#This Row],[Precio de Venta]]</f>
        <v>0</v>
      </c>
      <c r="M774" s="6">
        <f>SUMIFS(Tabla9[Cantidad],Tabla9[Codigo],Stock[Codigo])</f>
        <v>1</v>
      </c>
      <c r="N774" s="24">
        <f>Stock[[#This Row],[Precio de Compra]]*Stock[[#This Row],[Stock Cultivate]]</f>
        <v>0</v>
      </c>
      <c r="O774" s="24">
        <f>Stock[[#This Row],[Stock Cultivate]]*Stock[[#This Row],[Precio de Venta]]</f>
        <v>0</v>
      </c>
      <c r="R774" s="16"/>
    </row>
    <row r="775" spans="2:18">
      <c r="B775" s="44">
        <v>120</v>
      </c>
      <c r="C775" t="s">
        <v>128</v>
      </c>
      <c r="D775" s="45">
        <v>580</v>
      </c>
      <c r="E775" s="24">
        <v>850</v>
      </c>
      <c r="F775" s="44">
        <f>Stock[Entradas]-Stock[Compra Cultivate]</f>
        <v>0</v>
      </c>
      <c r="G775" s="11">
        <f>SUMIFS(Compras[Cantidad],Compras[Codigo],Stock[Codigo])</f>
        <v>45</v>
      </c>
      <c r="H775" s="11">
        <f>SUMIFS(Ventas[Cantidad],Ventas[Codigo],Stock[[#This Row],[Codigo]])</f>
        <v>21</v>
      </c>
      <c r="I775" s="12">
        <f>Stock[[#This Row],[Stock Deposito]]*Stock[[#This Row],[Precio de Compra]]</f>
        <v>0</v>
      </c>
      <c r="J775" s="6">
        <f>SUMIFS(ProdDesc[Cantidad],ProdDesc[Codigo],Stock[Codigo])</f>
        <v>15</v>
      </c>
      <c r="K775" s="44">
        <f>Stock[[#This Row],[Compra Cultivate]]-Stock[[#This Row],[Salidas]]-Stock[[#This Row],[Usados]]</f>
        <v>9</v>
      </c>
      <c r="L775" s="24">
        <f>Stock[[#This Row],[Stock Deposito]]*Stock[[#This Row],[Precio de Venta]]</f>
        <v>0</v>
      </c>
      <c r="M775" s="6">
        <f>SUMIFS(Tabla9[Cantidad],Tabla9[Codigo],Stock[Codigo])</f>
        <v>45</v>
      </c>
      <c r="N775" s="24">
        <f>Stock[[#This Row],[Precio de Compra]]*Stock[[#This Row],[Stock Cultivate]]</f>
        <v>5220</v>
      </c>
      <c r="O775" s="24">
        <f>Stock[[#This Row],[Stock Cultivate]]*Stock[[#This Row],[Precio de Venta]]</f>
        <v>7650</v>
      </c>
      <c r="R775" s="16"/>
    </row>
    <row r="776" spans="2:18">
      <c r="B776" s="44">
        <v>119</v>
      </c>
      <c r="C776" t="s">
        <v>127</v>
      </c>
      <c r="D776" s="45">
        <v>580</v>
      </c>
      <c r="E776" s="24">
        <v>850</v>
      </c>
      <c r="F776" s="44">
        <f>Stock[Entradas]-Stock[Compra Cultivate]</f>
        <v>0</v>
      </c>
      <c r="G776" s="11">
        <f>SUMIFS(Compras[Cantidad],Compras[Codigo],Stock[Codigo])</f>
        <v>19</v>
      </c>
      <c r="H776" s="11">
        <f>SUMIFS(Ventas[Cantidad],Ventas[Codigo],Stock[[#This Row],[Codigo]])</f>
        <v>8</v>
      </c>
      <c r="I776" s="12">
        <f>Stock[[#This Row],[Stock Deposito]]*Stock[[#This Row],[Precio de Compra]]</f>
        <v>0</v>
      </c>
      <c r="J776" s="6">
        <f>SUMIFS(ProdDesc[Cantidad],ProdDesc[Codigo],Stock[Codigo])</f>
        <v>6</v>
      </c>
      <c r="K776" s="44">
        <f>Stock[[#This Row],[Compra Cultivate]]-Stock[[#This Row],[Salidas]]-Stock[[#This Row],[Usados]]</f>
        <v>5</v>
      </c>
      <c r="L776" s="24">
        <f>Stock[[#This Row],[Stock Deposito]]*Stock[[#This Row],[Precio de Venta]]</f>
        <v>0</v>
      </c>
      <c r="M776" s="6">
        <f>SUMIFS(Tabla9[Cantidad],Tabla9[Codigo],Stock[Codigo])</f>
        <v>19</v>
      </c>
      <c r="N776" s="24">
        <f>Stock[[#This Row],[Precio de Compra]]*Stock[[#This Row],[Stock Cultivate]]</f>
        <v>2900</v>
      </c>
      <c r="O776" s="24">
        <f>Stock[[#This Row],[Stock Cultivate]]*Stock[[#This Row],[Precio de Venta]]</f>
        <v>4250</v>
      </c>
      <c r="R776" s="16"/>
    </row>
    <row r="777" spans="2:18">
      <c r="B777" s="44">
        <v>118</v>
      </c>
      <c r="C777" t="s">
        <v>338</v>
      </c>
      <c r="D777" s="45">
        <v>580</v>
      </c>
      <c r="E777" s="24">
        <v>850</v>
      </c>
      <c r="F777" s="44">
        <f>Stock[Entradas]-Stock[Compra Cultivate]</f>
        <v>0</v>
      </c>
      <c r="G777" s="11">
        <f>SUMIFS(Compras[Cantidad],Compras[Codigo],Stock[Codigo])</f>
        <v>6</v>
      </c>
      <c r="H777" s="11">
        <f>SUMIFS(Ventas[Cantidad],Ventas[Codigo],Stock[[#This Row],[Codigo]])</f>
        <v>1</v>
      </c>
      <c r="I777" s="12">
        <f>Stock[[#This Row],[Stock Deposito]]*Stock[[#This Row],[Precio de Compra]]</f>
        <v>0</v>
      </c>
      <c r="J777" s="6">
        <f>SUMIFS(ProdDesc[Cantidad],ProdDesc[Codigo],Stock[Codigo])</f>
        <v>0</v>
      </c>
      <c r="K777" s="44">
        <f>Stock[[#This Row],[Compra Cultivate]]-Stock[[#This Row],[Salidas]]-Stock[[#This Row],[Usados]]</f>
        <v>5</v>
      </c>
      <c r="L777" s="24">
        <f>Stock[[#This Row],[Stock Deposito]]*Stock[[#This Row],[Precio de Venta]]</f>
        <v>0</v>
      </c>
      <c r="M777" s="6">
        <f>SUMIFS(Tabla9[Cantidad],Tabla9[Codigo],Stock[Codigo])</f>
        <v>6</v>
      </c>
      <c r="N777" s="24">
        <f>Stock[[#This Row],[Precio de Compra]]*Stock[[#This Row],[Stock Cultivate]]</f>
        <v>2900</v>
      </c>
      <c r="O777" s="24">
        <f>Stock[[#This Row],[Stock Cultivate]]*Stock[[#This Row],[Precio de Venta]]</f>
        <v>4250</v>
      </c>
      <c r="R777" s="16"/>
    </row>
    <row r="778" spans="2:18">
      <c r="B778" s="44">
        <v>117</v>
      </c>
      <c r="C778" t="s">
        <v>126</v>
      </c>
      <c r="D778" s="45">
        <v>580</v>
      </c>
      <c r="E778" s="24">
        <v>850</v>
      </c>
      <c r="F778" s="44">
        <f>Stock[Entradas]-Stock[Compra Cultivate]</f>
        <v>0</v>
      </c>
      <c r="G778" s="11">
        <f>SUMIFS(Compras[Cantidad],Compras[Codigo],Stock[Codigo])</f>
        <v>31</v>
      </c>
      <c r="H778" s="11">
        <f>SUMIFS(Ventas[Cantidad],Ventas[Codigo],Stock[[#This Row],[Codigo]])</f>
        <v>19</v>
      </c>
      <c r="I778" s="12">
        <f>Stock[[#This Row],[Stock Deposito]]*Stock[[#This Row],[Precio de Compra]]</f>
        <v>0</v>
      </c>
      <c r="J778" s="6">
        <f>SUMIFS(ProdDesc[Cantidad],ProdDesc[Codigo],Stock[Codigo])</f>
        <v>8</v>
      </c>
      <c r="K778" s="44">
        <f>Stock[[#This Row],[Compra Cultivate]]-Stock[[#This Row],[Salidas]]-Stock[[#This Row],[Usados]]</f>
        <v>4</v>
      </c>
      <c r="L778" s="24">
        <f>Stock[[#This Row],[Stock Deposito]]*Stock[[#This Row],[Precio de Venta]]</f>
        <v>0</v>
      </c>
      <c r="M778" s="6">
        <f>SUMIFS(Tabla9[Cantidad],Tabla9[Codigo],Stock[Codigo])</f>
        <v>31</v>
      </c>
      <c r="N778" s="24">
        <f>Stock[[#This Row],[Precio de Compra]]*Stock[[#This Row],[Stock Cultivate]]</f>
        <v>2320</v>
      </c>
      <c r="O778" s="24">
        <f>Stock[[#This Row],[Stock Cultivate]]*Stock[[#This Row],[Precio de Venta]]</f>
        <v>3400</v>
      </c>
      <c r="R778" s="16"/>
    </row>
    <row r="779" spans="2:18">
      <c r="B779" s="44">
        <v>116</v>
      </c>
      <c r="C779" t="s">
        <v>125</v>
      </c>
      <c r="D779" s="45">
        <v>665</v>
      </c>
      <c r="E779" s="24">
        <v>1000</v>
      </c>
      <c r="F779" s="44">
        <f>Stock[Entradas]-Stock[Compra Cultivate]</f>
        <v>0</v>
      </c>
      <c r="G779" s="11">
        <f>SUMIFS(Compras[Cantidad],Compras[Codigo],Stock[Codigo])</f>
        <v>0</v>
      </c>
      <c r="H779" s="11">
        <f>SUMIFS(Ventas[Cantidad],Ventas[Codigo],Stock[[#This Row],[Codigo]])</f>
        <v>0</v>
      </c>
      <c r="I779" s="12">
        <f>Stock[[#This Row],[Stock Deposito]]*Stock[[#This Row],[Precio de Compra]]</f>
        <v>0</v>
      </c>
      <c r="J779" s="6">
        <f>SUMIFS(ProdDesc[Cantidad],ProdDesc[Codigo],Stock[Codigo])</f>
        <v>0</v>
      </c>
      <c r="K779" s="44">
        <f>Stock[[#This Row],[Compra Cultivate]]-Stock[[#This Row],[Salidas]]-Stock[[#This Row],[Usados]]</f>
        <v>0</v>
      </c>
      <c r="L779" s="24">
        <f>Stock[[#This Row],[Stock Deposito]]*Stock[[#This Row],[Precio de Venta]]</f>
        <v>0</v>
      </c>
      <c r="M779" s="6">
        <f>SUMIFS(Tabla9[Cantidad],Tabla9[Codigo],Stock[Codigo])</f>
        <v>0</v>
      </c>
      <c r="N779" s="24">
        <f>Stock[[#This Row],[Precio de Compra]]*Stock[[#This Row],[Stock Cultivate]]</f>
        <v>0</v>
      </c>
      <c r="O779" s="24">
        <f>Stock[[#This Row],[Stock Cultivate]]*Stock[[#This Row],[Precio de Venta]]</f>
        <v>0</v>
      </c>
      <c r="R779" s="16"/>
    </row>
    <row r="780" spans="2:18">
      <c r="B780" s="44">
        <v>115</v>
      </c>
      <c r="C780" t="s">
        <v>124</v>
      </c>
      <c r="D780" s="45">
        <v>665</v>
      </c>
      <c r="E780" s="24">
        <v>1000</v>
      </c>
      <c r="F780" s="44">
        <f>Stock[Entradas]-Stock[Compra Cultivate]</f>
        <v>0</v>
      </c>
      <c r="G780" s="11">
        <f>SUMIFS(Compras[Cantidad],Compras[Codigo],Stock[Codigo])</f>
        <v>0</v>
      </c>
      <c r="H780" s="11">
        <f>SUMIFS(Ventas[Cantidad],Ventas[Codigo],Stock[[#This Row],[Codigo]])</f>
        <v>0</v>
      </c>
      <c r="I780" s="12">
        <f>Stock[[#This Row],[Stock Deposito]]*Stock[[#This Row],[Precio de Compra]]</f>
        <v>0</v>
      </c>
      <c r="J780" s="6">
        <f>SUMIFS(ProdDesc[Cantidad],ProdDesc[Codigo],Stock[Codigo])</f>
        <v>0</v>
      </c>
      <c r="K780" s="44">
        <f>Stock[[#This Row],[Compra Cultivate]]-Stock[[#This Row],[Salidas]]-Stock[[#This Row],[Usados]]</f>
        <v>0</v>
      </c>
      <c r="L780" s="24">
        <f>Stock[[#This Row],[Stock Deposito]]*Stock[[#This Row],[Precio de Venta]]</f>
        <v>0</v>
      </c>
      <c r="M780" s="6">
        <f>SUMIFS(Tabla9[Cantidad],Tabla9[Codigo],Stock[Codigo])</f>
        <v>0</v>
      </c>
      <c r="N780" s="24">
        <f>Stock[[#This Row],[Precio de Compra]]*Stock[[#This Row],[Stock Cultivate]]</f>
        <v>0</v>
      </c>
      <c r="O780" s="24">
        <f>Stock[[#This Row],[Stock Cultivate]]*Stock[[#This Row],[Precio de Venta]]</f>
        <v>0</v>
      </c>
      <c r="R780" s="16"/>
    </row>
    <row r="781" spans="2:18">
      <c r="B781" s="44">
        <v>114</v>
      </c>
      <c r="C781" t="s">
        <v>123</v>
      </c>
      <c r="D781" s="45">
        <v>525</v>
      </c>
      <c r="E781" s="24">
        <v>900</v>
      </c>
      <c r="F781" s="44">
        <f>Stock[Entradas]-Stock[Compra Cultivate]</f>
        <v>0</v>
      </c>
      <c r="G781" s="11">
        <f>SUMIFS(Compras[Cantidad],Compras[Codigo],Stock[Codigo])</f>
        <v>2</v>
      </c>
      <c r="H781" s="11">
        <f>SUMIFS(Ventas[Cantidad],Ventas[Codigo],Stock[[#This Row],[Codigo]])</f>
        <v>0</v>
      </c>
      <c r="I781" s="12">
        <f>Stock[[#This Row],[Stock Deposito]]*Stock[[#This Row],[Precio de Compra]]</f>
        <v>0</v>
      </c>
      <c r="J781" s="6">
        <f>SUMIFS(ProdDesc[Cantidad],ProdDesc[Codigo],Stock[Codigo])</f>
        <v>2</v>
      </c>
      <c r="K781" s="44">
        <f>Stock[[#This Row],[Compra Cultivate]]-Stock[[#This Row],[Salidas]]-Stock[[#This Row],[Usados]]</f>
        <v>0</v>
      </c>
      <c r="L781" s="24">
        <f>Stock[[#This Row],[Stock Deposito]]*Stock[[#This Row],[Precio de Venta]]</f>
        <v>0</v>
      </c>
      <c r="M781" s="6">
        <f>SUMIFS(Tabla9[Cantidad],Tabla9[Codigo],Stock[Codigo])</f>
        <v>2</v>
      </c>
      <c r="N781" s="24">
        <f>Stock[[#This Row],[Precio de Compra]]*Stock[[#This Row],[Stock Cultivate]]</f>
        <v>0</v>
      </c>
      <c r="O781" s="24">
        <f>Stock[[#This Row],[Stock Cultivate]]*Stock[[#This Row],[Precio de Venta]]</f>
        <v>0</v>
      </c>
      <c r="R781" s="16"/>
    </row>
    <row r="782" spans="2:18">
      <c r="B782" s="44">
        <v>113</v>
      </c>
      <c r="C782" t="s">
        <v>122</v>
      </c>
      <c r="D782" s="45">
        <v>435</v>
      </c>
      <c r="E782" s="24">
        <v>750</v>
      </c>
      <c r="F782" s="44">
        <f>Stock[Entradas]-Stock[Compra Cultivate]</f>
        <v>0</v>
      </c>
      <c r="G782" s="11">
        <f>SUMIFS(Compras[Cantidad],Compras[Codigo],Stock[Codigo])</f>
        <v>0</v>
      </c>
      <c r="H782" s="11">
        <f>SUMIFS(Ventas[Cantidad],Ventas[Codigo],Stock[[#This Row],[Codigo]])</f>
        <v>0</v>
      </c>
      <c r="I782" s="12">
        <f>Stock[[#This Row],[Stock Deposito]]*Stock[[#This Row],[Precio de Compra]]</f>
        <v>0</v>
      </c>
      <c r="J782" s="6">
        <f>SUMIFS(ProdDesc[Cantidad],ProdDesc[Codigo],Stock[Codigo])</f>
        <v>0</v>
      </c>
      <c r="K782" s="44">
        <f>Stock[[#This Row],[Compra Cultivate]]-Stock[[#This Row],[Salidas]]-Stock[[#This Row],[Usados]]</f>
        <v>0</v>
      </c>
      <c r="L782" s="24">
        <f>Stock[[#This Row],[Stock Deposito]]*Stock[[#This Row],[Precio de Venta]]</f>
        <v>0</v>
      </c>
      <c r="M782" s="6">
        <f>SUMIFS(Tabla9[Cantidad],Tabla9[Codigo],Stock[Codigo])</f>
        <v>0</v>
      </c>
      <c r="N782" s="24">
        <f>Stock[[#This Row],[Precio de Compra]]*Stock[[#This Row],[Stock Cultivate]]</f>
        <v>0</v>
      </c>
      <c r="O782" s="24">
        <f>Stock[[#This Row],[Stock Cultivate]]*Stock[[#This Row],[Precio de Venta]]</f>
        <v>0</v>
      </c>
      <c r="R782" s="16"/>
    </row>
    <row r="783" spans="2:18">
      <c r="B783" s="44">
        <v>112</v>
      </c>
      <c r="C783" t="s">
        <v>121</v>
      </c>
      <c r="D783" s="45">
        <v>552</v>
      </c>
      <c r="E783" s="24">
        <v>800</v>
      </c>
      <c r="F783" s="44">
        <f>Stock[Entradas]-Stock[Compra Cultivate]</f>
        <v>0</v>
      </c>
      <c r="G783" s="11">
        <f>SUMIFS(Compras[Cantidad],Compras[Codigo],Stock[Codigo])</f>
        <v>3</v>
      </c>
      <c r="H783" s="11">
        <f>SUMIFS(Ventas[Cantidad],Ventas[Codigo],Stock[[#This Row],[Codigo]])</f>
        <v>3</v>
      </c>
      <c r="I783" s="12">
        <f>Stock[[#This Row],[Stock Deposito]]*Stock[[#This Row],[Precio de Compra]]</f>
        <v>0</v>
      </c>
      <c r="J783" s="6">
        <f>SUMIFS(ProdDesc[Cantidad],ProdDesc[Codigo],Stock[Codigo])</f>
        <v>0</v>
      </c>
      <c r="K783" s="44">
        <f>Stock[[#This Row],[Compra Cultivate]]-Stock[[#This Row],[Salidas]]-Stock[[#This Row],[Usados]]</f>
        <v>0</v>
      </c>
      <c r="L783" s="24">
        <f>Stock[[#This Row],[Stock Deposito]]*Stock[[#This Row],[Precio de Venta]]</f>
        <v>0</v>
      </c>
      <c r="M783" s="6">
        <f>SUMIFS(Tabla9[Cantidad],Tabla9[Codigo],Stock[Codigo])</f>
        <v>3</v>
      </c>
      <c r="N783" s="24">
        <f>Stock[[#This Row],[Precio de Compra]]*Stock[[#This Row],[Stock Cultivate]]</f>
        <v>0</v>
      </c>
      <c r="O783" s="24">
        <f>Stock[[#This Row],[Stock Cultivate]]*Stock[[#This Row],[Precio de Venta]]</f>
        <v>0</v>
      </c>
      <c r="R783" s="16"/>
    </row>
    <row r="784" spans="2:18">
      <c r="B784" s="44">
        <v>111</v>
      </c>
      <c r="C784" t="s">
        <v>120</v>
      </c>
      <c r="D784" s="45">
        <v>3273</v>
      </c>
      <c r="E784" s="24">
        <v>6500</v>
      </c>
      <c r="F784" s="44">
        <f>Stock[Entradas]-Stock[Compra Cultivate]</f>
        <v>1</v>
      </c>
      <c r="G784" s="11">
        <f>SUMIFS(Compras[Cantidad],Compras[Codigo],Stock[Codigo])</f>
        <v>2</v>
      </c>
      <c r="H784" s="11">
        <f>SUMIFS(Ventas[Cantidad],Ventas[Codigo],Stock[[#This Row],[Codigo]])</f>
        <v>0</v>
      </c>
      <c r="I784" s="12">
        <f>Stock[[#This Row],[Stock Deposito]]*Stock[[#This Row],[Precio de Compra]]</f>
        <v>3273</v>
      </c>
      <c r="J784" s="6">
        <f>SUMIFS(ProdDesc[Cantidad],ProdDesc[Codigo],Stock[Codigo])</f>
        <v>0</v>
      </c>
      <c r="K784" s="44">
        <f>Stock[[#This Row],[Compra Cultivate]]-Stock[[#This Row],[Salidas]]-Stock[[#This Row],[Usados]]</f>
        <v>1</v>
      </c>
      <c r="L784" s="24">
        <f>Stock[[#This Row],[Stock Deposito]]*Stock[[#This Row],[Precio de Venta]]</f>
        <v>6500</v>
      </c>
      <c r="M784" s="6">
        <f>SUMIFS(Tabla9[Cantidad],Tabla9[Codigo],Stock[Codigo])</f>
        <v>1</v>
      </c>
      <c r="N784" s="24">
        <f>Stock[[#This Row],[Precio de Compra]]*Stock[[#This Row],[Stock Cultivate]]</f>
        <v>3273</v>
      </c>
      <c r="O784" s="24">
        <f>Stock[[#This Row],[Stock Cultivate]]*Stock[[#This Row],[Precio de Venta]]</f>
        <v>6500</v>
      </c>
      <c r="R784" s="16"/>
    </row>
    <row r="785" spans="2:18">
      <c r="B785" s="44">
        <v>110</v>
      </c>
      <c r="C785" t="s">
        <v>119</v>
      </c>
      <c r="D785" s="45">
        <v>843</v>
      </c>
      <c r="E785" s="24">
        <v>1500</v>
      </c>
      <c r="F785" s="44">
        <f>Stock[Entradas]-Stock[Compra Cultivate]</f>
        <v>0</v>
      </c>
      <c r="G785" s="11">
        <f>SUMIFS(Compras[Cantidad],Compras[Codigo],Stock[Codigo])</f>
        <v>3</v>
      </c>
      <c r="H785" s="11">
        <f>SUMIFS(Ventas[Cantidad],Ventas[Codigo],Stock[[#This Row],[Codigo]])</f>
        <v>0</v>
      </c>
      <c r="I785" s="12">
        <f>Stock[[#This Row],[Stock Deposito]]*Stock[[#This Row],[Precio de Compra]]</f>
        <v>0</v>
      </c>
      <c r="J785" s="6">
        <f>SUMIFS(ProdDesc[Cantidad],ProdDesc[Codigo],Stock[Codigo])</f>
        <v>0</v>
      </c>
      <c r="K785" s="44">
        <f>Stock[[#This Row],[Compra Cultivate]]-Stock[[#This Row],[Salidas]]-Stock[[#This Row],[Usados]]</f>
        <v>3</v>
      </c>
      <c r="L785" s="24">
        <f>Stock[[#This Row],[Stock Deposito]]*Stock[[#This Row],[Precio de Venta]]</f>
        <v>0</v>
      </c>
      <c r="M785" s="6">
        <f>SUMIFS(Tabla9[Cantidad],Tabla9[Codigo],Stock[Codigo])</f>
        <v>3</v>
      </c>
      <c r="N785" s="24">
        <f>Stock[[#This Row],[Precio de Compra]]*Stock[[#This Row],[Stock Cultivate]]</f>
        <v>2529</v>
      </c>
      <c r="O785" s="24">
        <f>Stock[[#This Row],[Stock Cultivate]]*Stock[[#This Row],[Precio de Venta]]</f>
        <v>4500</v>
      </c>
      <c r="R785" s="16"/>
    </row>
    <row r="786" spans="2:18">
      <c r="B786" s="44">
        <v>109</v>
      </c>
      <c r="C786" t="s">
        <v>118</v>
      </c>
      <c r="D786" s="45">
        <v>843</v>
      </c>
      <c r="E786" s="24">
        <v>1500</v>
      </c>
      <c r="F786" s="44">
        <f>Stock[Entradas]-Stock[Compra Cultivate]</f>
        <v>0</v>
      </c>
      <c r="G786" s="11">
        <f>SUMIFS(Compras[Cantidad],Compras[Codigo],Stock[Codigo])</f>
        <v>1</v>
      </c>
      <c r="H786" s="11">
        <f>SUMIFS(Ventas[Cantidad],Ventas[Codigo],Stock[[#This Row],[Codigo]])</f>
        <v>1</v>
      </c>
      <c r="I786" s="12">
        <f>Stock[[#This Row],[Stock Deposito]]*Stock[[#This Row],[Precio de Compra]]</f>
        <v>0</v>
      </c>
      <c r="J786" s="6">
        <f>SUMIFS(ProdDesc[Cantidad],ProdDesc[Codigo],Stock[Codigo])</f>
        <v>0</v>
      </c>
      <c r="K786" s="44">
        <f>Stock[[#This Row],[Compra Cultivate]]-Stock[[#This Row],[Salidas]]-Stock[[#This Row],[Usados]]</f>
        <v>0</v>
      </c>
      <c r="L786" s="24">
        <f>Stock[[#This Row],[Stock Deposito]]*Stock[[#This Row],[Precio de Venta]]</f>
        <v>0</v>
      </c>
      <c r="M786" s="6">
        <f>SUMIFS(Tabla9[Cantidad],Tabla9[Codigo],Stock[Codigo])</f>
        <v>1</v>
      </c>
      <c r="N786" s="24">
        <f>Stock[[#This Row],[Precio de Compra]]*Stock[[#This Row],[Stock Cultivate]]</f>
        <v>0</v>
      </c>
      <c r="O786" s="24">
        <f>Stock[[#This Row],[Stock Cultivate]]*Stock[[#This Row],[Precio de Venta]]</f>
        <v>0</v>
      </c>
      <c r="R786" s="16"/>
    </row>
    <row r="787" spans="2:18">
      <c r="B787" s="44">
        <v>108</v>
      </c>
      <c r="C787" t="s">
        <v>117</v>
      </c>
      <c r="D787" s="45">
        <v>308</v>
      </c>
      <c r="E787" s="24">
        <v>500</v>
      </c>
      <c r="F787" s="44">
        <f>Stock[Entradas]-Stock[Compra Cultivate]</f>
        <v>0</v>
      </c>
      <c r="G787" s="11">
        <f>SUMIFS(Compras[Cantidad],Compras[Codigo],Stock[Codigo])</f>
        <v>0</v>
      </c>
      <c r="H787" s="11">
        <f>SUMIFS(Ventas[Cantidad],Ventas[Codigo],Stock[[#This Row],[Codigo]])</f>
        <v>0</v>
      </c>
      <c r="I787" s="12">
        <f>Stock[[#This Row],[Stock Deposito]]*Stock[[#This Row],[Precio de Compra]]</f>
        <v>0</v>
      </c>
      <c r="J787" s="6">
        <f>SUMIFS(ProdDesc[Cantidad],ProdDesc[Codigo],Stock[Codigo])</f>
        <v>0</v>
      </c>
      <c r="K787" s="44">
        <f>Stock[[#This Row],[Compra Cultivate]]-Stock[[#This Row],[Salidas]]-Stock[[#This Row],[Usados]]</f>
        <v>0</v>
      </c>
      <c r="L787" s="24">
        <f>Stock[[#This Row],[Stock Deposito]]*Stock[[#This Row],[Precio de Venta]]</f>
        <v>0</v>
      </c>
      <c r="M787" s="6">
        <f>SUMIFS(Tabla9[Cantidad],Tabla9[Codigo],Stock[Codigo])</f>
        <v>0</v>
      </c>
      <c r="N787" s="24">
        <f>Stock[[#This Row],[Precio de Compra]]*Stock[[#This Row],[Stock Cultivate]]</f>
        <v>0</v>
      </c>
      <c r="O787" s="24">
        <f>Stock[[#This Row],[Stock Cultivate]]*Stock[[#This Row],[Precio de Venta]]</f>
        <v>0</v>
      </c>
      <c r="R787" s="16"/>
    </row>
    <row r="788" spans="2:18">
      <c r="B788" s="44">
        <v>107</v>
      </c>
      <c r="C788" t="s">
        <v>116</v>
      </c>
      <c r="D788" s="45">
        <v>280</v>
      </c>
      <c r="E788" s="24">
        <v>450</v>
      </c>
      <c r="F788" s="44">
        <f>Stock[Entradas]-Stock[Compra Cultivate]</f>
        <v>0</v>
      </c>
      <c r="G788" s="11">
        <f>SUMIFS(Compras[Cantidad],Compras[Codigo],Stock[Codigo])</f>
        <v>25</v>
      </c>
      <c r="H788" s="11">
        <f>SUMIFS(Ventas[Cantidad],Ventas[Codigo],Stock[[#This Row],[Codigo]])</f>
        <v>17</v>
      </c>
      <c r="I788" s="12">
        <f>Stock[[#This Row],[Stock Deposito]]*Stock[[#This Row],[Precio de Compra]]</f>
        <v>0</v>
      </c>
      <c r="J788" s="6">
        <f>SUMIFS(ProdDesc[Cantidad],ProdDesc[Codigo],Stock[Codigo])</f>
        <v>8</v>
      </c>
      <c r="K788" s="44">
        <f>Stock[[#This Row],[Compra Cultivate]]-Stock[[#This Row],[Salidas]]-Stock[[#This Row],[Usados]]</f>
        <v>0</v>
      </c>
      <c r="L788" s="24">
        <f>Stock[[#This Row],[Stock Deposito]]*Stock[[#This Row],[Precio de Venta]]</f>
        <v>0</v>
      </c>
      <c r="M788" s="6">
        <f>SUMIFS(Tabla9[Cantidad],Tabla9[Codigo],Stock[Codigo])</f>
        <v>25</v>
      </c>
      <c r="N788" s="24">
        <f>Stock[[#This Row],[Precio de Compra]]*Stock[[#This Row],[Stock Cultivate]]</f>
        <v>0</v>
      </c>
      <c r="O788" s="24">
        <f>Stock[[#This Row],[Stock Cultivate]]*Stock[[#This Row],[Precio de Venta]]</f>
        <v>0</v>
      </c>
      <c r="R788" s="16"/>
    </row>
    <row r="789" spans="2:18">
      <c r="B789" s="44">
        <v>106</v>
      </c>
      <c r="C789" t="s">
        <v>53</v>
      </c>
      <c r="D789" s="45">
        <v>225</v>
      </c>
      <c r="E789" s="24">
        <v>500</v>
      </c>
      <c r="F789" s="44">
        <f>Stock[Entradas]-Stock[Compra Cultivate]</f>
        <v>0</v>
      </c>
      <c r="G789" s="11">
        <f>SUMIFS(Compras[Cantidad],Compras[Codigo],Stock[Codigo])</f>
        <v>3</v>
      </c>
      <c r="H789" s="11">
        <f>SUMIFS(Ventas[Cantidad],Ventas[Codigo],Stock[[#This Row],[Codigo]])</f>
        <v>0</v>
      </c>
      <c r="I789" s="12">
        <f>Stock[[#This Row],[Stock Deposito]]*Stock[[#This Row],[Precio de Compra]]</f>
        <v>0</v>
      </c>
      <c r="J789" s="6">
        <f>SUMIFS(ProdDesc[Cantidad],ProdDesc[Codigo],Stock[Codigo])</f>
        <v>1</v>
      </c>
      <c r="K789" s="44">
        <f>Stock[[#This Row],[Compra Cultivate]]-Stock[[#This Row],[Salidas]]-Stock[[#This Row],[Usados]]</f>
        <v>2</v>
      </c>
      <c r="L789" s="24">
        <f>Stock[[#This Row],[Stock Deposito]]*Stock[[#This Row],[Precio de Venta]]</f>
        <v>0</v>
      </c>
      <c r="M789" s="6">
        <f>SUMIFS(Tabla9[Cantidad],Tabla9[Codigo],Stock[Codigo])</f>
        <v>3</v>
      </c>
      <c r="N789" s="24">
        <f>Stock[[#This Row],[Precio de Compra]]*Stock[[#This Row],[Stock Cultivate]]</f>
        <v>450</v>
      </c>
      <c r="O789" s="24">
        <f>Stock[[#This Row],[Stock Cultivate]]*Stock[[#This Row],[Precio de Venta]]</f>
        <v>1000</v>
      </c>
      <c r="R789" s="16"/>
    </row>
    <row r="790" spans="2:18">
      <c r="B790" s="44">
        <v>105</v>
      </c>
      <c r="C790" t="s">
        <v>52</v>
      </c>
      <c r="D790" s="45">
        <v>225</v>
      </c>
      <c r="E790" s="24">
        <v>500</v>
      </c>
      <c r="F790" s="44">
        <f>Stock[Entradas]-Stock[Compra Cultivate]</f>
        <v>0</v>
      </c>
      <c r="G790" s="11">
        <f>SUMIFS(Compras[Cantidad],Compras[Codigo],Stock[Codigo])</f>
        <v>0</v>
      </c>
      <c r="H790" s="11">
        <f>SUMIFS(Ventas[Cantidad],Ventas[Codigo],Stock[[#This Row],[Codigo]])</f>
        <v>0</v>
      </c>
      <c r="I790" s="12">
        <f>Stock[[#This Row],[Stock Deposito]]*Stock[[#This Row],[Precio de Compra]]</f>
        <v>0</v>
      </c>
      <c r="J790" s="6">
        <f>SUMIFS(ProdDesc[Cantidad],ProdDesc[Codigo],Stock[Codigo])</f>
        <v>0</v>
      </c>
      <c r="K790" s="44">
        <f>Stock[[#This Row],[Compra Cultivate]]-Stock[[#This Row],[Salidas]]-Stock[[#This Row],[Usados]]</f>
        <v>0</v>
      </c>
      <c r="L790" s="24">
        <f>Stock[[#This Row],[Stock Deposito]]*Stock[[#This Row],[Precio de Venta]]</f>
        <v>0</v>
      </c>
      <c r="M790" s="6">
        <f>SUMIFS(Tabla9[Cantidad],Tabla9[Codigo],Stock[Codigo])</f>
        <v>0</v>
      </c>
      <c r="N790" s="24">
        <f>Stock[[#This Row],[Precio de Compra]]*Stock[[#This Row],[Stock Cultivate]]</f>
        <v>0</v>
      </c>
      <c r="O790" s="24">
        <f>Stock[[#This Row],[Stock Cultivate]]*Stock[[#This Row],[Precio de Venta]]</f>
        <v>0</v>
      </c>
      <c r="R790" s="16"/>
    </row>
    <row r="791" spans="2:18">
      <c r="B791" s="44">
        <v>104</v>
      </c>
      <c r="C791" t="s">
        <v>51</v>
      </c>
      <c r="D791" s="45">
        <v>225</v>
      </c>
      <c r="E791" s="24">
        <v>500</v>
      </c>
      <c r="F791" s="44">
        <f>Stock[Entradas]-Stock[Compra Cultivate]</f>
        <v>0</v>
      </c>
      <c r="G791" s="11">
        <f>SUMIFS(Compras[Cantidad],Compras[Codigo],Stock[Codigo])</f>
        <v>0</v>
      </c>
      <c r="H791" s="11">
        <f>SUMIFS(Ventas[Cantidad],Ventas[Codigo],Stock[[#This Row],[Codigo]])</f>
        <v>0</v>
      </c>
      <c r="I791" s="12">
        <f>Stock[[#This Row],[Stock Deposito]]*Stock[[#This Row],[Precio de Compra]]</f>
        <v>0</v>
      </c>
      <c r="J791" s="6">
        <f>SUMIFS(ProdDesc[Cantidad],ProdDesc[Codigo],Stock[Codigo])</f>
        <v>0</v>
      </c>
      <c r="K791" s="44">
        <f>Stock[[#This Row],[Compra Cultivate]]-Stock[[#This Row],[Salidas]]-Stock[[#This Row],[Usados]]</f>
        <v>0</v>
      </c>
      <c r="L791" s="24">
        <f>Stock[[#This Row],[Stock Deposito]]*Stock[[#This Row],[Precio de Venta]]</f>
        <v>0</v>
      </c>
      <c r="M791" s="6">
        <f>SUMIFS(Tabla9[Cantidad],Tabla9[Codigo],Stock[Codigo])</f>
        <v>0</v>
      </c>
      <c r="N791" s="24">
        <f>Stock[[#This Row],[Precio de Compra]]*Stock[[#This Row],[Stock Cultivate]]</f>
        <v>0</v>
      </c>
      <c r="O791" s="24">
        <f>Stock[[#This Row],[Stock Cultivate]]*Stock[[#This Row],[Precio de Venta]]</f>
        <v>0</v>
      </c>
      <c r="R791" s="16"/>
    </row>
    <row r="792" spans="2:18">
      <c r="B792" s="44">
        <v>103</v>
      </c>
      <c r="C792" t="s">
        <v>50</v>
      </c>
      <c r="D792" s="45">
        <v>225</v>
      </c>
      <c r="E792" s="24">
        <v>500</v>
      </c>
      <c r="F792" s="44">
        <f>Stock[Entradas]-Stock[Compra Cultivate]</f>
        <v>0</v>
      </c>
      <c r="G792" s="11">
        <f>SUMIFS(Compras[Cantidad],Compras[Codigo],Stock[Codigo])</f>
        <v>21</v>
      </c>
      <c r="H792" s="11">
        <f>SUMIFS(Ventas[Cantidad],Ventas[Codigo],Stock[[#This Row],[Codigo]])</f>
        <v>0</v>
      </c>
      <c r="I792" s="12">
        <f>Stock[[#This Row],[Stock Deposito]]*Stock[[#This Row],[Precio de Compra]]</f>
        <v>0</v>
      </c>
      <c r="J792" s="6">
        <f>SUMIFS(ProdDesc[Cantidad],ProdDesc[Codigo],Stock[Codigo])</f>
        <v>0</v>
      </c>
      <c r="K792" s="44">
        <f>Stock[[#This Row],[Compra Cultivate]]-Stock[[#This Row],[Salidas]]-Stock[[#This Row],[Usados]]</f>
        <v>21</v>
      </c>
      <c r="L792" s="24">
        <f>Stock[[#This Row],[Stock Deposito]]*Stock[[#This Row],[Precio de Venta]]</f>
        <v>0</v>
      </c>
      <c r="M792" s="6">
        <f>SUMIFS(Tabla9[Cantidad],Tabla9[Codigo],Stock[Codigo])</f>
        <v>21</v>
      </c>
      <c r="N792" s="24">
        <f>Stock[[#This Row],[Precio de Compra]]*Stock[[#This Row],[Stock Cultivate]]</f>
        <v>4725</v>
      </c>
      <c r="O792" s="24">
        <f>Stock[[#This Row],[Stock Cultivate]]*Stock[[#This Row],[Precio de Venta]]</f>
        <v>10500</v>
      </c>
      <c r="R792" s="16"/>
    </row>
    <row r="793" spans="2:18">
      <c r="B793" s="44">
        <v>102</v>
      </c>
      <c r="C793" t="s">
        <v>49</v>
      </c>
      <c r="D793" s="45">
        <v>225</v>
      </c>
      <c r="E793" s="24">
        <v>500</v>
      </c>
      <c r="F793" s="44">
        <f>Stock[Entradas]-Stock[Compra Cultivate]</f>
        <v>0</v>
      </c>
      <c r="G793" s="11">
        <f>SUMIFS(Compras[Cantidad],Compras[Codigo],Stock[Codigo])</f>
        <v>13</v>
      </c>
      <c r="H793" s="11">
        <f>SUMIFS(Ventas[Cantidad],Ventas[Codigo],Stock[[#This Row],[Codigo]])</f>
        <v>0</v>
      </c>
      <c r="I793" s="12">
        <f>Stock[[#This Row],[Stock Deposito]]*Stock[[#This Row],[Precio de Compra]]</f>
        <v>0</v>
      </c>
      <c r="J793" s="6">
        <f>SUMIFS(ProdDesc[Cantidad],ProdDesc[Codigo],Stock[Codigo])</f>
        <v>0</v>
      </c>
      <c r="K793" s="44">
        <f>Stock[[#This Row],[Compra Cultivate]]-Stock[[#This Row],[Salidas]]-Stock[[#This Row],[Usados]]</f>
        <v>13</v>
      </c>
      <c r="L793" s="24">
        <f>Stock[[#This Row],[Stock Deposito]]*Stock[[#This Row],[Precio de Venta]]</f>
        <v>0</v>
      </c>
      <c r="M793" s="6">
        <f>SUMIFS(Tabla9[Cantidad],Tabla9[Codigo],Stock[Codigo])</f>
        <v>13</v>
      </c>
      <c r="N793" s="24">
        <f>Stock[[#This Row],[Precio de Compra]]*Stock[[#This Row],[Stock Cultivate]]</f>
        <v>2925</v>
      </c>
      <c r="O793" s="24">
        <f>Stock[[#This Row],[Stock Cultivate]]*Stock[[#This Row],[Precio de Venta]]</f>
        <v>6500</v>
      </c>
      <c r="R793" s="16"/>
    </row>
    <row r="794" spans="2:18">
      <c r="B794" s="44">
        <v>101</v>
      </c>
      <c r="C794" t="s">
        <v>48</v>
      </c>
      <c r="D794" s="45">
        <v>225</v>
      </c>
      <c r="E794" s="24">
        <v>500</v>
      </c>
      <c r="F794" s="44">
        <f>Stock[Entradas]-Stock[Compra Cultivate]</f>
        <v>0</v>
      </c>
      <c r="G794" s="11">
        <f>SUMIFS(Compras[Cantidad],Compras[Codigo],Stock[Codigo])</f>
        <v>12</v>
      </c>
      <c r="H794" s="11">
        <f>SUMIFS(Ventas[Cantidad],Ventas[Codigo],Stock[[#This Row],[Codigo]])</f>
        <v>6</v>
      </c>
      <c r="I794" s="12">
        <f>Stock[[#This Row],[Stock Deposito]]*Stock[[#This Row],[Precio de Compra]]</f>
        <v>0</v>
      </c>
      <c r="J794" s="6">
        <f>SUMIFS(ProdDesc[Cantidad],ProdDesc[Codigo],Stock[Codigo])</f>
        <v>0</v>
      </c>
      <c r="K794" s="44">
        <f>Stock[[#This Row],[Compra Cultivate]]-Stock[[#This Row],[Salidas]]-Stock[[#This Row],[Usados]]</f>
        <v>6</v>
      </c>
      <c r="L794" s="24">
        <f>Stock[[#This Row],[Stock Deposito]]*Stock[[#This Row],[Precio de Venta]]</f>
        <v>0</v>
      </c>
      <c r="M794" s="6">
        <f>SUMIFS(Tabla9[Cantidad],Tabla9[Codigo],Stock[Codigo])</f>
        <v>12</v>
      </c>
      <c r="N794" s="24">
        <f>Stock[[#This Row],[Precio de Compra]]*Stock[[#This Row],[Stock Cultivate]]</f>
        <v>1350</v>
      </c>
      <c r="O794" s="24">
        <f>Stock[[#This Row],[Stock Cultivate]]*Stock[[#This Row],[Precio de Venta]]</f>
        <v>3000</v>
      </c>
      <c r="R794" s="16"/>
    </row>
    <row r="795" spans="2:18">
      <c r="B795" s="44">
        <v>100</v>
      </c>
      <c r="C795" t="s">
        <v>47</v>
      </c>
      <c r="D795" s="45">
        <v>225</v>
      </c>
      <c r="E795" s="24">
        <v>500</v>
      </c>
      <c r="F795" s="44">
        <f>Stock[Entradas]-Stock[Compra Cultivate]</f>
        <v>0</v>
      </c>
      <c r="G795" s="11">
        <f>SUMIFS(Compras[Cantidad],Compras[Codigo],Stock[Codigo])</f>
        <v>8</v>
      </c>
      <c r="H795" s="11">
        <f>SUMIFS(Ventas[Cantidad],Ventas[Codigo],Stock[[#This Row],[Codigo]])</f>
        <v>3</v>
      </c>
      <c r="I795" s="12">
        <f>Stock[[#This Row],[Stock Deposito]]*Stock[[#This Row],[Precio de Compra]]</f>
        <v>0</v>
      </c>
      <c r="J795" s="6">
        <f>SUMIFS(ProdDesc[Cantidad],ProdDesc[Codigo],Stock[Codigo])</f>
        <v>0</v>
      </c>
      <c r="K795" s="44">
        <f>Stock[[#This Row],[Compra Cultivate]]-Stock[[#This Row],[Salidas]]-Stock[[#This Row],[Usados]]</f>
        <v>5</v>
      </c>
      <c r="L795" s="24">
        <f>Stock[[#This Row],[Stock Deposito]]*Stock[[#This Row],[Precio de Venta]]</f>
        <v>0</v>
      </c>
      <c r="M795" s="6">
        <f>SUMIFS(Tabla9[Cantidad],Tabla9[Codigo],Stock[Codigo])</f>
        <v>8</v>
      </c>
      <c r="N795" s="24">
        <f>Stock[[#This Row],[Precio de Compra]]*Stock[[#This Row],[Stock Cultivate]]</f>
        <v>1125</v>
      </c>
      <c r="O795" s="24">
        <f>Stock[[#This Row],[Stock Cultivate]]*Stock[[#This Row],[Precio de Venta]]</f>
        <v>2500</v>
      </c>
      <c r="R795" s="16"/>
    </row>
    <row r="796" spans="2:18">
      <c r="B796" s="44">
        <v>99</v>
      </c>
      <c r="C796" t="s">
        <v>488</v>
      </c>
      <c r="D796" s="45">
        <v>422</v>
      </c>
      <c r="E796" s="24">
        <v>850</v>
      </c>
      <c r="F796" s="44">
        <f>Stock[Entradas]-Stock[Compra Cultivate]</f>
        <v>0</v>
      </c>
      <c r="G796" s="11">
        <f>SUMIFS(Compras[Cantidad],Compras[Codigo],Stock[Codigo])</f>
        <v>23</v>
      </c>
      <c r="H796" s="11">
        <f>SUMIFS(Ventas[Cantidad],Ventas[Codigo],Stock[[#This Row],[Codigo]])</f>
        <v>17</v>
      </c>
      <c r="I796" s="12">
        <f>Stock[[#This Row],[Stock Deposito]]*Stock[[#This Row],[Precio de Compra]]</f>
        <v>0</v>
      </c>
      <c r="J796" s="6">
        <f>SUMIFS(ProdDesc[Cantidad],ProdDesc[Codigo],Stock[Codigo])</f>
        <v>0</v>
      </c>
      <c r="K796" s="44">
        <f>Stock[[#This Row],[Compra Cultivate]]-Stock[[#This Row],[Salidas]]-Stock[[#This Row],[Usados]]</f>
        <v>6</v>
      </c>
      <c r="L796" s="24">
        <f>Stock[[#This Row],[Stock Deposito]]*Stock[[#This Row],[Precio de Venta]]</f>
        <v>0</v>
      </c>
      <c r="M796" s="6">
        <f>SUMIFS(Tabla9[Cantidad],Tabla9[Codigo],Stock[Codigo])</f>
        <v>23</v>
      </c>
      <c r="N796" s="24">
        <f>Stock[[#This Row],[Precio de Compra]]*Stock[[#This Row],[Stock Cultivate]]</f>
        <v>2532</v>
      </c>
      <c r="O796" s="24">
        <f>Stock[[#This Row],[Stock Cultivate]]*Stock[[#This Row],[Precio de Venta]]</f>
        <v>5100</v>
      </c>
      <c r="R796" s="16"/>
    </row>
    <row r="797" spans="2:18">
      <c r="B797" s="44">
        <v>98</v>
      </c>
      <c r="C797" t="s">
        <v>548</v>
      </c>
      <c r="D797" s="45">
        <v>315</v>
      </c>
      <c r="E797" s="24">
        <v>500</v>
      </c>
      <c r="F797" s="44">
        <f>Stock[Entradas]-Stock[Compra Cultivate]</f>
        <v>0</v>
      </c>
      <c r="G797" s="11">
        <f>SUMIFS(Compras[Cantidad],Compras[Codigo],Stock[Codigo])</f>
        <v>1</v>
      </c>
      <c r="H797" s="11">
        <f>SUMIFS(Ventas[Cantidad],Ventas[Codigo],Stock[[#This Row],[Codigo]])</f>
        <v>0</v>
      </c>
      <c r="I797" s="12">
        <f>Stock[[#This Row],[Stock Deposito]]*Stock[[#This Row],[Precio de Compra]]</f>
        <v>0</v>
      </c>
      <c r="J797" s="6">
        <f>SUMIFS(ProdDesc[Cantidad],ProdDesc[Codigo],Stock[Codigo])</f>
        <v>0</v>
      </c>
      <c r="K797" s="44">
        <f>Stock[[#This Row],[Compra Cultivate]]-Stock[[#This Row],[Salidas]]-Stock[[#This Row],[Usados]]</f>
        <v>1</v>
      </c>
      <c r="L797" s="24">
        <f>Stock[[#This Row],[Stock Deposito]]*Stock[[#This Row],[Precio de Venta]]</f>
        <v>0</v>
      </c>
      <c r="M797" s="6">
        <f>SUMIFS(Tabla9[Cantidad],Tabla9[Codigo],Stock[Codigo])</f>
        <v>1</v>
      </c>
      <c r="N797" s="24">
        <f>Stock[[#This Row],[Precio de Compra]]*Stock[[#This Row],[Stock Cultivate]]</f>
        <v>315</v>
      </c>
      <c r="O797" s="24">
        <f>Stock[[#This Row],[Stock Cultivate]]*Stock[[#This Row],[Precio de Venta]]</f>
        <v>500</v>
      </c>
      <c r="R797" s="16"/>
    </row>
    <row r="798" spans="2:18">
      <c r="B798" s="44">
        <v>97</v>
      </c>
      <c r="C798" t="s">
        <v>115</v>
      </c>
      <c r="D798" s="45">
        <v>803</v>
      </c>
      <c r="E798" s="24">
        <v>1600</v>
      </c>
      <c r="F798" s="44">
        <f>Stock[Entradas]-Stock[Compra Cultivate]</f>
        <v>0</v>
      </c>
      <c r="G798" s="11">
        <f>SUMIFS(Compras[Cantidad],Compras[Codigo],Stock[Codigo])</f>
        <v>7</v>
      </c>
      <c r="H798" s="11">
        <f>SUMIFS(Ventas[Cantidad],Ventas[Codigo],Stock[[#This Row],[Codigo]])</f>
        <v>3</v>
      </c>
      <c r="I798" s="12">
        <f>Stock[[#This Row],[Stock Deposito]]*Stock[[#This Row],[Precio de Compra]]</f>
        <v>0</v>
      </c>
      <c r="J798" s="6">
        <f>SUMIFS(ProdDesc[Cantidad],ProdDesc[Codigo],Stock[Codigo])</f>
        <v>0</v>
      </c>
      <c r="K798" s="44">
        <f>Stock[[#This Row],[Compra Cultivate]]-Stock[[#This Row],[Salidas]]-Stock[[#This Row],[Usados]]</f>
        <v>4</v>
      </c>
      <c r="L798" s="24">
        <f>Stock[[#This Row],[Stock Deposito]]*Stock[[#This Row],[Precio de Venta]]</f>
        <v>0</v>
      </c>
      <c r="M798" s="6">
        <f>SUMIFS(Tabla9[Cantidad],Tabla9[Codigo],Stock[Codigo])</f>
        <v>7</v>
      </c>
      <c r="N798" s="24">
        <f>Stock[[#This Row],[Precio de Compra]]*Stock[[#This Row],[Stock Cultivate]]</f>
        <v>3212</v>
      </c>
      <c r="O798" s="24">
        <f>Stock[[#This Row],[Stock Cultivate]]*Stock[[#This Row],[Precio de Venta]]</f>
        <v>6400</v>
      </c>
      <c r="R798" s="16"/>
    </row>
    <row r="799" spans="2:18">
      <c r="B799" s="44">
        <v>96</v>
      </c>
      <c r="C799" t="s">
        <v>114</v>
      </c>
      <c r="D799" s="45">
        <v>50</v>
      </c>
      <c r="E799" s="24">
        <v>100</v>
      </c>
      <c r="F799" s="44">
        <f>Stock[Entradas]-Stock[Compra Cultivate]</f>
        <v>0</v>
      </c>
      <c r="G799" s="11">
        <f>SUMIFS(Compras[Cantidad],Compras[Codigo],Stock[Codigo])</f>
        <v>14</v>
      </c>
      <c r="H799" s="11">
        <f>SUMIFS(Ventas[Cantidad],Ventas[Codigo],Stock[[#This Row],[Codigo]])</f>
        <v>14</v>
      </c>
      <c r="I799" s="12">
        <f>Stock[[#This Row],[Stock Deposito]]*Stock[[#This Row],[Precio de Compra]]</f>
        <v>0</v>
      </c>
      <c r="J799" s="6">
        <f>SUMIFS(ProdDesc[Cantidad],ProdDesc[Codigo],Stock[Codigo])</f>
        <v>0</v>
      </c>
      <c r="K799" s="44">
        <f>Stock[[#This Row],[Compra Cultivate]]-Stock[[#This Row],[Salidas]]-Stock[[#This Row],[Usados]]</f>
        <v>0</v>
      </c>
      <c r="L799" s="24">
        <f>Stock[[#This Row],[Stock Deposito]]*Stock[[#This Row],[Precio de Venta]]</f>
        <v>0</v>
      </c>
      <c r="M799" s="6">
        <f>SUMIFS(Tabla9[Cantidad],Tabla9[Codigo],Stock[Codigo])</f>
        <v>14</v>
      </c>
      <c r="N799" s="24">
        <f>Stock[[#This Row],[Precio de Compra]]*Stock[[#This Row],[Stock Cultivate]]</f>
        <v>0</v>
      </c>
      <c r="O799" s="24">
        <f>Stock[[#This Row],[Stock Cultivate]]*Stock[[#This Row],[Precio de Venta]]</f>
        <v>0</v>
      </c>
      <c r="R799" s="16"/>
    </row>
    <row r="800" spans="2:18">
      <c r="B800" s="44">
        <v>95</v>
      </c>
      <c r="C800" t="s">
        <v>113</v>
      </c>
      <c r="D800" s="45">
        <v>156</v>
      </c>
      <c r="E800" s="24">
        <v>300</v>
      </c>
      <c r="F800" s="44">
        <f>Stock[Entradas]-Stock[Compra Cultivate]</f>
        <v>0</v>
      </c>
      <c r="G800" s="11">
        <f>SUMIFS(Compras[Cantidad],Compras[Codigo],Stock[Codigo])</f>
        <v>5</v>
      </c>
      <c r="H800" s="11">
        <f>SUMIFS(Ventas[Cantidad],Ventas[Codigo],Stock[[#This Row],[Codigo]])</f>
        <v>5</v>
      </c>
      <c r="I800" s="12">
        <f>Stock[[#This Row],[Stock Deposito]]*Stock[[#This Row],[Precio de Compra]]</f>
        <v>0</v>
      </c>
      <c r="J800" s="6">
        <f>SUMIFS(ProdDesc[Cantidad],ProdDesc[Codigo],Stock[Codigo])</f>
        <v>0</v>
      </c>
      <c r="K800" s="44">
        <f>Stock[[#This Row],[Compra Cultivate]]-Stock[[#This Row],[Salidas]]-Stock[[#This Row],[Usados]]</f>
        <v>0</v>
      </c>
      <c r="L800" s="24">
        <f>Stock[[#This Row],[Stock Deposito]]*Stock[[#This Row],[Precio de Venta]]</f>
        <v>0</v>
      </c>
      <c r="M800" s="6">
        <f>SUMIFS(Tabla9[Cantidad],Tabla9[Codigo],Stock[Codigo])</f>
        <v>5</v>
      </c>
      <c r="N800" s="24">
        <f>Stock[[#This Row],[Precio de Compra]]*Stock[[#This Row],[Stock Cultivate]]</f>
        <v>0</v>
      </c>
      <c r="O800" s="24">
        <f>Stock[[#This Row],[Stock Cultivate]]*Stock[[#This Row],[Precio de Venta]]</f>
        <v>0</v>
      </c>
      <c r="R800" s="16"/>
    </row>
    <row r="801" spans="2:18">
      <c r="B801" s="44">
        <v>94</v>
      </c>
      <c r="C801" t="s">
        <v>112</v>
      </c>
      <c r="D801" s="45">
        <v>73</v>
      </c>
      <c r="E801" s="24">
        <v>150</v>
      </c>
      <c r="F801" s="44">
        <f>Stock[Entradas]-Stock[Compra Cultivate]</f>
        <v>0</v>
      </c>
      <c r="G801" s="11">
        <f>SUMIFS(Compras[Cantidad],Compras[Codigo],Stock[Codigo])</f>
        <v>0</v>
      </c>
      <c r="H801" s="11">
        <f>SUMIFS(Ventas[Cantidad],Ventas[Codigo],Stock[[#This Row],[Codigo]])</f>
        <v>0</v>
      </c>
      <c r="I801" s="12">
        <f>Stock[[#This Row],[Stock Deposito]]*Stock[[#This Row],[Precio de Compra]]</f>
        <v>0</v>
      </c>
      <c r="J801" s="6">
        <f>SUMIFS(ProdDesc[Cantidad],ProdDesc[Codigo],Stock[Codigo])</f>
        <v>0</v>
      </c>
      <c r="K801" s="44">
        <f>Stock[[#This Row],[Compra Cultivate]]-Stock[[#This Row],[Salidas]]-Stock[[#This Row],[Usados]]</f>
        <v>0</v>
      </c>
      <c r="L801" s="24">
        <f>Stock[[#This Row],[Stock Deposito]]*Stock[[#This Row],[Precio de Venta]]</f>
        <v>0</v>
      </c>
      <c r="M801" s="6">
        <f>SUMIFS(Tabla9[Cantidad],Tabla9[Codigo],Stock[Codigo])</f>
        <v>0</v>
      </c>
      <c r="N801" s="24">
        <f>Stock[[#This Row],[Precio de Compra]]*Stock[[#This Row],[Stock Cultivate]]</f>
        <v>0</v>
      </c>
      <c r="O801" s="24">
        <f>Stock[[#This Row],[Stock Cultivate]]*Stock[[#This Row],[Precio de Venta]]</f>
        <v>0</v>
      </c>
      <c r="R801" s="16"/>
    </row>
    <row r="802" spans="2:18">
      <c r="B802" s="44">
        <v>93</v>
      </c>
      <c r="C802" t="s">
        <v>259</v>
      </c>
      <c r="D802" s="45">
        <v>111</v>
      </c>
      <c r="E802" s="24">
        <v>300</v>
      </c>
      <c r="F802" s="44">
        <f>Stock[Entradas]-Stock[Compra Cultivate]</f>
        <v>6</v>
      </c>
      <c r="G802" s="11">
        <f>SUMIFS(Compras[Cantidad],Compras[Codigo],Stock[Codigo])</f>
        <v>28</v>
      </c>
      <c r="H802" s="11">
        <f>SUMIFS(Ventas[Cantidad],Ventas[Codigo],Stock[[#This Row],[Codigo]])</f>
        <v>1</v>
      </c>
      <c r="I802" s="12">
        <f>Stock[[#This Row],[Stock Deposito]]*Stock[[#This Row],[Precio de Compra]]</f>
        <v>666</v>
      </c>
      <c r="J802" s="6">
        <f>SUMIFS(ProdDesc[Cantidad],ProdDesc[Codigo],Stock[Codigo])</f>
        <v>1</v>
      </c>
      <c r="K802" s="44">
        <f>Stock[[#This Row],[Compra Cultivate]]-Stock[[#This Row],[Salidas]]-Stock[[#This Row],[Usados]]</f>
        <v>20</v>
      </c>
      <c r="L802" s="24">
        <f>Stock[[#This Row],[Stock Deposito]]*Stock[[#This Row],[Precio de Venta]]</f>
        <v>1800</v>
      </c>
      <c r="M802" s="6">
        <f>SUMIFS(Tabla9[Cantidad],Tabla9[Codigo],Stock[Codigo])</f>
        <v>22</v>
      </c>
      <c r="N802" s="24">
        <f>Stock[[#This Row],[Precio de Compra]]*Stock[[#This Row],[Stock Cultivate]]</f>
        <v>2220</v>
      </c>
      <c r="O802" s="24">
        <f>Stock[[#This Row],[Stock Cultivate]]*Stock[[#This Row],[Precio de Venta]]</f>
        <v>6000</v>
      </c>
      <c r="R802" s="16"/>
    </row>
    <row r="803" spans="2:18">
      <c r="B803" s="44">
        <v>92</v>
      </c>
      <c r="C803" t="s">
        <v>258</v>
      </c>
      <c r="D803" s="45">
        <v>100</v>
      </c>
      <c r="E803" s="24">
        <v>200</v>
      </c>
      <c r="F803" s="44">
        <f>Stock[Entradas]-Stock[Compra Cultivate]</f>
        <v>6</v>
      </c>
      <c r="G803" s="11">
        <f>SUMIFS(Compras[Cantidad],Compras[Codigo],Stock[Codigo])</f>
        <v>13</v>
      </c>
      <c r="H803" s="11">
        <f>SUMIFS(Ventas[Cantidad],Ventas[Codigo],Stock[[#This Row],[Codigo]])</f>
        <v>1</v>
      </c>
      <c r="I803" s="12">
        <f>Stock[[#This Row],[Stock Deposito]]*Stock[[#This Row],[Precio de Compra]]</f>
        <v>600</v>
      </c>
      <c r="J803" s="6">
        <f>SUMIFS(ProdDesc[Cantidad],ProdDesc[Codigo],Stock[Codigo])</f>
        <v>0</v>
      </c>
      <c r="K803" s="44">
        <f>Stock[[#This Row],[Compra Cultivate]]-Stock[[#This Row],[Salidas]]-Stock[[#This Row],[Usados]]</f>
        <v>6</v>
      </c>
      <c r="L803" s="24">
        <f>Stock[[#This Row],[Stock Deposito]]*Stock[[#This Row],[Precio de Venta]]</f>
        <v>1200</v>
      </c>
      <c r="M803" s="6">
        <f>SUMIFS(Tabla9[Cantidad],Tabla9[Codigo],Stock[Codigo])</f>
        <v>7</v>
      </c>
      <c r="N803" s="24">
        <f>Stock[[#This Row],[Precio de Compra]]*Stock[[#This Row],[Stock Cultivate]]</f>
        <v>600</v>
      </c>
      <c r="O803" s="24">
        <f>Stock[[#This Row],[Stock Cultivate]]*Stock[[#This Row],[Precio de Venta]]</f>
        <v>1200</v>
      </c>
      <c r="R803" s="16"/>
    </row>
    <row r="804" spans="2:18">
      <c r="B804" s="44">
        <v>91</v>
      </c>
      <c r="C804" t="s">
        <v>257</v>
      </c>
      <c r="D804" s="45">
        <v>100</v>
      </c>
      <c r="E804" s="24">
        <v>200</v>
      </c>
      <c r="F804" s="44">
        <f>Stock[Entradas]-Stock[Compra Cultivate]</f>
        <v>19</v>
      </c>
      <c r="G804" s="11">
        <f>SUMIFS(Compras[Cantidad],Compras[Codigo],Stock[Codigo])</f>
        <v>27</v>
      </c>
      <c r="H804" s="11">
        <f>SUMIFS(Ventas[Cantidad],Ventas[Codigo],Stock[[#This Row],[Codigo]])</f>
        <v>3</v>
      </c>
      <c r="I804" s="12">
        <f>Stock[[#This Row],[Stock Deposito]]*Stock[[#This Row],[Precio de Compra]]</f>
        <v>1900</v>
      </c>
      <c r="J804" s="6">
        <f>SUMIFS(ProdDesc[Cantidad],ProdDesc[Codigo],Stock[Codigo])</f>
        <v>0</v>
      </c>
      <c r="K804" s="44">
        <f>Stock[[#This Row],[Compra Cultivate]]-Stock[[#This Row],[Salidas]]-Stock[[#This Row],[Usados]]</f>
        <v>5</v>
      </c>
      <c r="L804" s="24">
        <f>Stock[[#This Row],[Stock Deposito]]*Stock[[#This Row],[Precio de Venta]]</f>
        <v>3800</v>
      </c>
      <c r="M804" s="6">
        <f>SUMIFS(Tabla9[Cantidad],Tabla9[Codigo],Stock[Codigo])</f>
        <v>8</v>
      </c>
      <c r="N804" s="24">
        <f>Stock[[#This Row],[Precio de Compra]]*Stock[[#This Row],[Stock Cultivate]]</f>
        <v>500</v>
      </c>
      <c r="O804" s="24">
        <f>Stock[[#This Row],[Stock Cultivate]]*Stock[[#This Row],[Precio de Venta]]</f>
        <v>1000</v>
      </c>
      <c r="R804" s="16"/>
    </row>
    <row r="805" spans="2:18">
      <c r="B805" s="44">
        <v>90</v>
      </c>
      <c r="C805" t="s">
        <v>256</v>
      </c>
      <c r="D805" s="45">
        <v>100</v>
      </c>
      <c r="E805" s="24">
        <v>200</v>
      </c>
      <c r="F805" s="44">
        <f>Stock[Entradas]-Stock[Compra Cultivate]</f>
        <v>0</v>
      </c>
      <c r="G805" s="11">
        <f>SUMIFS(Compras[Cantidad],Compras[Codigo],Stock[Codigo])</f>
        <v>2</v>
      </c>
      <c r="H805" s="11">
        <f>SUMIFS(Ventas[Cantidad],Ventas[Codigo],Stock[[#This Row],[Codigo]])</f>
        <v>2</v>
      </c>
      <c r="I805" s="12">
        <f>Stock[[#This Row],[Stock Deposito]]*Stock[[#This Row],[Precio de Compra]]</f>
        <v>0</v>
      </c>
      <c r="J805" s="6">
        <f>SUMIFS(ProdDesc[Cantidad],ProdDesc[Codigo],Stock[Codigo])</f>
        <v>0</v>
      </c>
      <c r="K805" s="44">
        <f>Stock[[#This Row],[Compra Cultivate]]-Stock[[#This Row],[Salidas]]-Stock[[#This Row],[Usados]]</f>
        <v>0</v>
      </c>
      <c r="L805" s="24">
        <f>Stock[[#This Row],[Stock Deposito]]*Stock[[#This Row],[Precio de Venta]]</f>
        <v>0</v>
      </c>
      <c r="M805" s="6">
        <f>SUMIFS(Tabla9[Cantidad],Tabla9[Codigo],Stock[Codigo])</f>
        <v>2</v>
      </c>
      <c r="N805" s="24">
        <f>Stock[[#This Row],[Precio de Compra]]*Stock[[#This Row],[Stock Cultivate]]</f>
        <v>0</v>
      </c>
      <c r="O805" s="24">
        <f>Stock[[#This Row],[Stock Cultivate]]*Stock[[#This Row],[Precio de Venta]]</f>
        <v>0</v>
      </c>
      <c r="R805" s="16"/>
    </row>
    <row r="806" spans="2:18">
      <c r="B806" s="44">
        <v>89</v>
      </c>
      <c r="C806" t="s">
        <v>255</v>
      </c>
      <c r="D806" s="45">
        <v>125</v>
      </c>
      <c r="E806" s="24">
        <v>250</v>
      </c>
      <c r="F806" s="44">
        <f>Stock[Entradas]-Stock[Compra Cultivate]</f>
        <v>0</v>
      </c>
      <c r="G806" s="11">
        <f>SUMIFS(Compras[Cantidad],Compras[Codigo],Stock[Codigo])</f>
        <v>2</v>
      </c>
      <c r="H806" s="11">
        <f>SUMIFS(Ventas[Cantidad],Ventas[Codigo],Stock[[#This Row],[Codigo]])</f>
        <v>0</v>
      </c>
      <c r="I806" s="12">
        <f>Stock[[#This Row],[Stock Deposito]]*Stock[[#This Row],[Precio de Compra]]</f>
        <v>0</v>
      </c>
      <c r="J806" s="6">
        <f>SUMIFS(ProdDesc[Cantidad],ProdDesc[Codigo],Stock[Codigo])</f>
        <v>0</v>
      </c>
      <c r="K806" s="44">
        <f>Stock[[#This Row],[Compra Cultivate]]-Stock[[#This Row],[Salidas]]-Stock[[#This Row],[Usados]]</f>
        <v>2</v>
      </c>
      <c r="L806" s="24">
        <f>Stock[[#This Row],[Stock Deposito]]*Stock[[#This Row],[Precio de Venta]]</f>
        <v>0</v>
      </c>
      <c r="M806" s="6">
        <f>SUMIFS(Tabla9[Cantidad],Tabla9[Codigo],Stock[Codigo])</f>
        <v>2</v>
      </c>
      <c r="N806" s="24">
        <f>Stock[[#This Row],[Precio de Compra]]*Stock[[#This Row],[Stock Cultivate]]</f>
        <v>250</v>
      </c>
      <c r="O806" s="24">
        <f>Stock[[#This Row],[Stock Cultivate]]*Stock[[#This Row],[Precio de Venta]]</f>
        <v>500</v>
      </c>
      <c r="R806" s="16"/>
    </row>
    <row r="807" spans="2:18">
      <c r="B807" s="44">
        <v>88</v>
      </c>
      <c r="C807" t="s">
        <v>254</v>
      </c>
      <c r="D807" s="45">
        <v>350</v>
      </c>
      <c r="E807" s="24">
        <v>700</v>
      </c>
      <c r="F807" s="44">
        <f>Stock[Entradas]-Stock[Compra Cultivate]</f>
        <v>0</v>
      </c>
      <c r="G807" s="11">
        <f>SUMIFS(Compras[Cantidad],Compras[Codigo],Stock[Codigo])</f>
        <v>4</v>
      </c>
      <c r="H807" s="11">
        <f>SUMIFS(Ventas[Cantidad],Ventas[Codigo],Stock[[#This Row],[Codigo]])</f>
        <v>3</v>
      </c>
      <c r="I807" s="12">
        <f>Stock[[#This Row],[Stock Deposito]]*Stock[[#This Row],[Precio de Compra]]</f>
        <v>0</v>
      </c>
      <c r="J807" s="6">
        <f>SUMIFS(ProdDesc[Cantidad],ProdDesc[Codigo],Stock[Codigo])</f>
        <v>0</v>
      </c>
      <c r="K807" s="44">
        <f>Stock[[#This Row],[Compra Cultivate]]-Stock[[#This Row],[Salidas]]-Stock[[#This Row],[Usados]]</f>
        <v>1</v>
      </c>
      <c r="L807" s="24">
        <f>Stock[[#This Row],[Stock Deposito]]*Stock[[#This Row],[Precio de Venta]]</f>
        <v>0</v>
      </c>
      <c r="M807" s="6">
        <f>SUMIFS(Tabla9[Cantidad],Tabla9[Codigo],Stock[Codigo])</f>
        <v>4</v>
      </c>
      <c r="N807" s="24">
        <f>Stock[[#This Row],[Precio de Compra]]*Stock[[#This Row],[Stock Cultivate]]</f>
        <v>350</v>
      </c>
      <c r="O807" s="24">
        <f>Stock[[#This Row],[Stock Cultivate]]*Stock[[#This Row],[Precio de Venta]]</f>
        <v>700</v>
      </c>
      <c r="R807" s="16"/>
    </row>
    <row r="808" spans="2:18">
      <c r="B808" s="44">
        <v>87</v>
      </c>
      <c r="C808" t="s">
        <v>253</v>
      </c>
      <c r="D808" s="45">
        <v>310</v>
      </c>
      <c r="E808" s="24">
        <v>600</v>
      </c>
      <c r="F808" s="44">
        <f>Stock[Entradas]-Stock[Compra Cultivate]</f>
        <v>0</v>
      </c>
      <c r="G808" s="11">
        <f>SUMIFS(Compras[Cantidad],Compras[Codigo],Stock[Codigo])</f>
        <v>2</v>
      </c>
      <c r="H808" s="11">
        <f>SUMIFS(Ventas[Cantidad],Ventas[Codigo],Stock[[#This Row],[Codigo]])</f>
        <v>2</v>
      </c>
      <c r="I808" s="12">
        <f>Stock[[#This Row],[Stock Deposito]]*Stock[[#This Row],[Precio de Compra]]</f>
        <v>0</v>
      </c>
      <c r="J808" s="6">
        <f>SUMIFS(ProdDesc[Cantidad],ProdDesc[Codigo],Stock[Codigo])</f>
        <v>0</v>
      </c>
      <c r="K808" s="44">
        <f>Stock[[#This Row],[Compra Cultivate]]-Stock[[#This Row],[Salidas]]-Stock[[#This Row],[Usados]]</f>
        <v>0</v>
      </c>
      <c r="L808" s="24">
        <f>Stock[[#This Row],[Stock Deposito]]*Stock[[#This Row],[Precio de Venta]]</f>
        <v>0</v>
      </c>
      <c r="M808" s="6">
        <f>SUMIFS(Tabla9[Cantidad],Tabla9[Codigo],Stock[Codigo])</f>
        <v>2</v>
      </c>
      <c r="N808" s="24">
        <f>Stock[[#This Row],[Precio de Compra]]*Stock[[#This Row],[Stock Cultivate]]</f>
        <v>0</v>
      </c>
      <c r="O808" s="24">
        <f>Stock[[#This Row],[Stock Cultivate]]*Stock[[#This Row],[Precio de Venta]]</f>
        <v>0</v>
      </c>
      <c r="R808" s="16"/>
    </row>
    <row r="809" spans="2:18">
      <c r="B809" s="44">
        <v>86</v>
      </c>
      <c r="C809" t="s">
        <v>252</v>
      </c>
      <c r="D809" s="45">
        <v>298</v>
      </c>
      <c r="E809" s="24">
        <v>600</v>
      </c>
      <c r="F809" s="44">
        <f>Stock[Entradas]-Stock[Compra Cultivate]</f>
        <v>0</v>
      </c>
      <c r="G809" s="11">
        <f>SUMIFS(Compras[Cantidad],Compras[Codigo],Stock[Codigo])</f>
        <v>43</v>
      </c>
      <c r="H809" s="11">
        <f>SUMIFS(Ventas[Cantidad],Ventas[Codigo],Stock[[#This Row],[Codigo]])</f>
        <v>2</v>
      </c>
      <c r="I809" s="12">
        <f>Stock[[#This Row],[Stock Deposito]]*Stock[[#This Row],[Precio de Compra]]</f>
        <v>0</v>
      </c>
      <c r="J809" s="6">
        <f>SUMIFS(ProdDesc[Cantidad],ProdDesc[Codigo],Stock[Codigo])</f>
        <v>0</v>
      </c>
      <c r="K809" s="44">
        <f>Stock[[#This Row],[Compra Cultivate]]-Stock[[#This Row],[Salidas]]-Stock[[#This Row],[Usados]]</f>
        <v>41</v>
      </c>
      <c r="L809" s="24">
        <f>Stock[[#This Row],[Stock Deposito]]*Stock[[#This Row],[Precio de Venta]]</f>
        <v>0</v>
      </c>
      <c r="M809" s="6">
        <f>SUMIFS(Tabla9[Cantidad],Tabla9[Codigo],Stock[Codigo])</f>
        <v>43</v>
      </c>
      <c r="N809" s="24">
        <f>Stock[[#This Row],[Precio de Compra]]*Stock[[#This Row],[Stock Cultivate]]</f>
        <v>12218</v>
      </c>
      <c r="O809" s="24">
        <f>Stock[[#This Row],[Stock Cultivate]]*Stock[[#This Row],[Precio de Venta]]</f>
        <v>24600</v>
      </c>
      <c r="R809" s="16"/>
    </row>
    <row r="810" spans="2:18">
      <c r="B810" s="44">
        <v>85</v>
      </c>
      <c r="C810" t="s">
        <v>251</v>
      </c>
      <c r="D810" s="45">
        <v>270</v>
      </c>
      <c r="E810" s="24">
        <v>500</v>
      </c>
      <c r="F810" s="44">
        <f>Stock[Entradas]-Stock[Compra Cultivate]</f>
        <v>0</v>
      </c>
      <c r="G810" s="11">
        <f>SUMIFS(Compras[Cantidad],Compras[Codigo],Stock[Codigo])</f>
        <v>0</v>
      </c>
      <c r="H810" s="11">
        <f>SUMIFS(Ventas[Cantidad],Ventas[Codigo],Stock[[#This Row],[Codigo]])</f>
        <v>0</v>
      </c>
      <c r="I810" s="12">
        <f>Stock[[#This Row],[Stock Deposito]]*Stock[[#This Row],[Precio de Compra]]</f>
        <v>0</v>
      </c>
      <c r="J810" s="6">
        <f>SUMIFS(ProdDesc[Cantidad],ProdDesc[Codigo],Stock[Codigo])</f>
        <v>0</v>
      </c>
      <c r="K810" s="44">
        <f>Stock[[#This Row],[Compra Cultivate]]-Stock[[#This Row],[Salidas]]-Stock[[#This Row],[Usados]]</f>
        <v>0</v>
      </c>
      <c r="L810" s="24">
        <f>Stock[[#This Row],[Stock Deposito]]*Stock[[#This Row],[Precio de Venta]]</f>
        <v>0</v>
      </c>
      <c r="M810" s="6">
        <f>SUMIFS(Tabla9[Cantidad],Tabla9[Codigo],Stock[Codigo])</f>
        <v>0</v>
      </c>
      <c r="N810" s="24">
        <f>Stock[[#This Row],[Precio de Compra]]*Stock[[#This Row],[Stock Cultivate]]</f>
        <v>0</v>
      </c>
      <c r="O810" s="24">
        <f>Stock[[#This Row],[Stock Cultivate]]*Stock[[#This Row],[Precio de Venta]]</f>
        <v>0</v>
      </c>
      <c r="R810" s="16"/>
    </row>
    <row r="811" spans="2:18">
      <c r="B811" s="44">
        <v>84</v>
      </c>
      <c r="C811" t="s">
        <v>250</v>
      </c>
      <c r="D811" s="45">
        <v>150</v>
      </c>
      <c r="E811" s="24">
        <v>300</v>
      </c>
      <c r="F811" s="44">
        <f>Stock[Entradas]-Stock[Compra Cultivate]</f>
        <v>0</v>
      </c>
      <c r="G811" s="11">
        <f>SUMIFS(Compras[Cantidad],Compras[Codigo],Stock[Codigo])</f>
        <v>1</v>
      </c>
      <c r="H811" s="11">
        <f>SUMIFS(Ventas[Cantidad],Ventas[Codigo],Stock[[#This Row],[Codigo]])</f>
        <v>1</v>
      </c>
      <c r="I811" s="12">
        <f>Stock[[#This Row],[Stock Deposito]]*Stock[[#This Row],[Precio de Compra]]</f>
        <v>0</v>
      </c>
      <c r="J811" s="6">
        <f>SUMIFS(ProdDesc[Cantidad],ProdDesc[Codigo],Stock[Codigo])</f>
        <v>0</v>
      </c>
      <c r="K811" s="44">
        <f>Stock[[#This Row],[Compra Cultivate]]-Stock[[#This Row],[Salidas]]-Stock[[#This Row],[Usados]]</f>
        <v>0</v>
      </c>
      <c r="L811" s="24">
        <f>Stock[[#This Row],[Stock Deposito]]*Stock[[#This Row],[Precio de Venta]]</f>
        <v>0</v>
      </c>
      <c r="M811" s="6">
        <f>SUMIFS(Tabla9[Cantidad],Tabla9[Codigo],Stock[Codigo])</f>
        <v>1</v>
      </c>
      <c r="N811" s="24">
        <f>Stock[[#This Row],[Precio de Compra]]*Stock[[#This Row],[Stock Cultivate]]</f>
        <v>0</v>
      </c>
      <c r="O811" s="24">
        <f>Stock[[#This Row],[Stock Cultivate]]*Stock[[#This Row],[Precio de Venta]]</f>
        <v>0</v>
      </c>
      <c r="R811" s="16"/>
    </row>
    <row r="812" spans="2:18">
      <c r="B812" s="44">
        <v>83</v>
      </c>
      <c r="C812" t="s">
        <v>249</v>
      </c>
      <c r="D812" s="45">
        <v>223</v>
      </c>
      <c r="E812" s="24">
        <v>450</v>
      </c>
      <c r="F812" s="44">
        <f>Stock[Entradas]-Stock[Compra Cultivate]</f>
        <v>0</v>
      </c>
      <c r="G812" s="11">
        <f>SUMIFS(Compras[Cantidad],Compras[Codigo],Stock[Codigo])</f>
        <v>6</v>
      </c>
      <c r="H812" s="11">
        <f>SUMIFS(Ventas[Cantidad],Ventas[Codigo],Stock[[#This Row],[Codigo]])</f>
        <v>4</v>
      </c>
      <c r="I812" s="12">
        <f>Stock[[#This Row],[Stock Deposito]]*Stock[[#This Row],[Precio de Compra]]</f>
        <v>0</v>
      </c>
      <c r="J812" s="6">
        <f>SUMIFS(ProdDesc[Cantidad],ProdDesc[Codigo],Stock[Codigo])</f>
        <v>0</v>
      </c>
      <c r="K812" s="44">
        <f>Stock[[#This Row],[Compra Cultivate]]-Stock[[#This Row],[Salidas]]-Stock[[#This Row],[Usados]]</f>
        <v>2</v>
      </c>
      <c r="L812" s="24">
        <f>Stock[[#This Row],[Stock Deposito]]*Stock[[#This Row],[Precio de Venta]]</f>
        <v>0</v>
      </c>
      <c r="M812" s="6">
        <f>SUMIFS(Tabla9[Cantidad],Tabla9[Codigo],Stock[Codigo])</f>
        <v>6</v>
      </c>
      <c r="N812" s="24">
        <f>Stock[[#This Row],[Precio de Compra]]*Stock[[#This Row],[Stock Cultivate]]</f>
        <v>446</v>
      </c>
      <c r="O812" s="24">
        <f>Stock[[#This Row],[Stock Cultivate]]*Stock[[#This Row],[Precio de Venta]]</f>
        <v>900</v>
      </c>
      <c r="R812" s="16"/>
    </row>
    <row r="813" spans="2:18">
      <c r="B813" s="44">
        <v>82</v>
      </c>
      <c r="C813" t="s">
        <v>248</v>
      </c>
      <c r="D813" s="45">
        <v>149</v>
      </c>
      <c r="E813" s="24">
        <v>300</v>
      </c>
      <c r="F813" s="44">
        <f>Stock[Entradas]-Stock[Compra Cultivate]</f>
        <v>0</v>
      </c>
      <c r="G813" s="11">
        <f>SUMIFS(Compras[Cantidad],Compras[Codigo],Stock[Codigo])</f>
        <v>0</v>
      </c>
      <c r="H813" s="11">
        <f>SUMIFS(Ventas[Cantidad],Ventas[Codigo],Stock[[#This Row],[Codigo]])</f>
        <v>0</v>
      </c>
      <c r="I813" s="12">
        <f>Stock[[#This Row],[Stock Deposito]]*Stock[[#This Row],[Precio de Compra]]</f>
        <v>0</v>
      </c>
      <c r="J813" s="6">
        <f>SUMIFS(ProdDesc[Cantidad],ProdDesc[Codigo],Stock[Codigo])</f>
        <v>0</v>
      </c>
      <c r="K813" s="44">
        <f>Stock[[#This Row],[Compra Cultivate]]-Stock[[#This Row],[Salidas]]-Stock[[#This Row],[Usados]]</f>
        <v>0</v>
      </c>
      <c r="L813" s="24">
        <f>Stock[[#This Row],[Stock Deposito]]*Stock[[#This Row],[Precio de Venta]]</f>
        <v>0</v>
      </c>
      <c r="M813" s="6">
        <f>SUMIFS(Tabla9[Cantidad],Tabla9[Codigo],Stock[Codigo])</f>
        <v>0</v>
      </c>
      <c r="N813" s="24">
        <f>Stock[[#This Row],[Precio de Compra]]*Stock[[#This Row],[Stock Cultivate]]</f>
        <v>0</v>
      </c>
      <c r="O813" s="24">
        <f>Stock[[#This Row],[Stock Cultivate]]*Stock[[#This Row],[Precio de Venta]]</f>
        <v>0</v>
      </c>
      <c r="R813" s="16"/>
    </row>
    <row r="814" spans="2:18">
      <c r="B814" s="44">
        <v>81</v>
      </c>
      <c r="C814" t="s">
        <v>247</v>
      </c>
      <c r="D814" s="45">
        <v>514</v>
      </c>
      <c r="E814" s="24">
        <v>1000</v>
      </c>
      <c r="F814" s="44">
        <f>Stock[Entradas]-Stock[Compra Cultivate]</f>
        <v>0</v>
      </c>
      <c r="G814" s="11">
        <f>SUMIFS(Compras[Cantidad],Compras[Codigo],Stock[Codigo])</f>
        <v>2</v>
      </c>
      <c r="H814" s="11">
        <f>SUMIFS(Ventas[Cantidad],Ventas[Codigo],Stock[[#This Row],[Codigo]])</f>
        <v>2</v>
      </c>
      <c r="I814" s="12">
        <f>Stock[[#This Row],[Stock Deposito]]*Stock[[#This Row],[Precio de Compra]]</f>
        <v>0</v>
      </c>
      <c r="J814" s="6">
        <f>SUMIFS(ProdDesc[Cantidad],ProdDesc[Codigo],Stock[Codigo])</f>
        <v>0</v>
      </c>
      <c r="K814" s="44">
        <f>Stock[[#This Row],[Compra Cultivate]]-Stock[[#This Row],[Salidas]]-Stock[[#This Row],[Usados]]</f>
        <v>0</v>
      </c>
      <c r="L814" s="24">
        <f>Stock[[#This Row],[Stock Deposito]]*Stock[[#This Row],[Precio de Venta]]</f>
        <v>0</v>
      </c>
      <c r="M814" s="6">
        <f>SUMIFS(Tabla9[Cantidad],Tabla9[Codigo],Stock[Codigo])</f>
        <v>2</v>
      </c>
      <c r="N814" s="24">
        <f>Stock[[#This Row],[Precio de Compra]]*Stock[[#This Row],[Stock Cultivate]]</f>
        <v>0</v>
      </c>
      <c r="O814" s="24">
        <f>Stock[[#This Row],[Stock Cultivate]]*Stock[[#This Row],[Precio de Venta]]</f>
        <v>0</v>
      </c>
      <c r="R814" s="16"/>
    </row>
    <row r="815" spans="2:18">
      <c r="B815" s="44">
        <v>80</v>
      </c>
      <c r="C815" t="s">
        <v>246</v>
      </c>
      <c r="D815" s="45">
        <v>568</v>
      </c>
      <c r="E815" s="24">
        <v>1150</v>
      </c>
      <c r="F815" s="44">
        <f>Stock[Entradas]-Stock[Compra Cultivate]</f>
        <v>0</v>
      </c>
      <c r="G815" s="11">
        <f>SUMIFS(Compras[Cantidad],Compras[Codigo],Stock[Codigo])</f>
        <v>15</v>
      </c>
      <c r="H815" s="11">
        <f>SUMIFS(Ventas[Cantidad],Ventas[Codigo],Stock[[#This Row],[Codigo]])</f>
        <v>7</v>
      </c>
      <c r="I815" s="12">
        <f>Stock[[#This Row],[Stock Deposito]]*Stock[[#This Row],[Precio de Compra]]</f>
        <v>0</v>
      </c>
      <c r="J815" s="6">
        <f>SUMIFS(ProdDesc[Cantidad],ProdDesc[Codigo],Stock[Codigo])</f>
        <v>0</v>
      </c>
      <c r="K815" s="44">
        <f>Stock[[#This Row],[Compra Cultivate]]-Stock[[#This Row],[Salidas]]-Stock[[#This Row],[Usados]]</f>
        <v>8</v>
      </c>
      <c r="L815" s="24">
        <f>Stock[[#This Row],[Stock Deposito]]*Stock[[#This Row],[Precio de Venta]]</f>
        <v>0</v>
      </c>
      <c r="M815" s="6">
        <f>SUMIFS(Tabla9[Cantidad],Tabla9[Codigo],Stock[Codigo])</f>
        <v>15</v>
      </c>
      <c r="N815" s="24">
        <f>Stock[[#This Row],[Precio de Compra]]*Stock[[#This Row],[Stock Cultivate]]</f>
        <v>4544</v>
      </c>
      <c r="O815" s="24">
        <f>Stock[[#This Row],[Stock Cultivate]]*Stock[[#This Row],[Precio de Venta]]</f>
        <v>9200</v>
      </c>
      <c r="R815" s="16"/>
    </row>
    <row r="816" spans="2:18">
      <c r="B816" s="44">
        <v>79</v>
      </c>
      <c r="C816" t="s">
        <v>245</v>
      </c>
      <c r="D816" s="45">
        <v>40</v>
      </c>
      <c r="E816" s="24">
        <v>100</v>
      </c>
      <c r="F816" s="44">
        <f>Stock[Entradas]-Stock[Compra Cultivate]</f>
        <v>0</v>
      </c>
      <c r="G816" s="11">
        <f>SUMIFS(Compras[Cantidad],Compras[Codigo],Stock[Codigo])</f>
        <v>0</v>
      </c>
      <c r="H816" s="11">
        <f>SUMIFS(Ventas[Cantidad],Ventas[Codigo],Stock[[#This Row],[Codigo]])</f>
        <v>0</v>
      </c>
      <c r="I816" s="12">
        <f>Stock[[#This Row],[Stock Deposito]]*Stock[[#This Row],[Precio de Compra]]</f>
        <v>0</v>
      </c>
      <c r="J816" s="6">
        <f>SUMIFS(ProdDesc[Cantidad],ProdDesc[Codigo],Stock[Codigo])</f>
        <v>0</v>
      </c>
      <c r="K816" s="44">
        <f>Stock[[#This Row],[Compra Cultivate]]-Stock[[#This Row],[Salidas]]-Stock[[#This Row],[Usados]]</f>
        <v>0</v>
      </c>
      <c r="L816" s="24">
        <f>Stock[[#This Row],[Stock Deposito]]*Stock[[#This Row],[Precio de Venta]]</f>
        <v>0</v>
      </c>
      <c r="M816" s="6">
        <f>SUMIFS(Tabla9[Cantidad],Tabla9[Codigo],Stock[Codigo])</f>
        <v>0</v>
      </c>
      <c r="N816" s="24">
        <f>Stock[[#This Row],[Precio de Compra]]*Stock[[#This Row],[Stock Cultivate]]</f>
        <v>0</v>
      </c>
      <c r="O816" s="24">
        <f>Stock[[#This Row],[Stock Cultivate]]*Stock[[#This Row],[Precio de Venta]]</f>
        <v>0</v>
      </c>
      <c r="R816" s="16"/>
    </row>
    <row r="817" spans="2:18">
      <c r="B817" s="44">
        <v>78</v>
      </c>
      <c r="C817" t="s">
        <v>244</v>
      </c>
      <c r="D817" s="45">
        <v>65</v>
      </c>
      <c r="E817" s="24">
        <v>150</v>
      </c>
      <c r="F817" s="44">
        <f>Stock[Entradas]-Stock[Compra Cultivate]</f>
        <v>0</v>
      </c>
      <c r="G817" s="11">
        <f>SUMIFS(Compras[Cantidad],Compras[Codigo],Stock[Codigo])</f>
        <v>46</v>
      </c>
      <c r="H817" s="11">
        <f>SUMIFS(Ventas[Cantidad],Ventas[Codigo],Stock[[#This Row],[Codigo]])</f>
        <v>2</v>
      </c>
      <c r="I817" s="12">
        <f>Stock[[#This Row],[Stock Deposito]]*Stock[[#This Row],[Precio de Compra]]</f>
        <v>0</v>
      </c>
      <c r="J817" s="6">
        <f>SUMIFS(ProdDesc[Cantidad],ProdDesc[Codigo],Stock[Codigo])</f>
        <v>0</v>
      </c>
      <c r="K817" s="44">
        <f>Stock[[#This Row],[Compra Cultivate]]-Stock[[#This Row],[Salidas]]-Stock[[#This Row],[Usados]]</f>
        <v>44</v>
      </c>
      <c r="L817" s="24">
        <f>Stock[[#This Row],[Stock Deposito]]*Stock[[#This Row],[Precio de Venta]]</f>
        <v>0</v>
      </c>
      <c r="M817" s="6">
        <f>SUMIFS(Tabla9[Cantidad],Tabla9[Codigo],Stock[Codigo])</f>
        <v>46</v>
      </c>
      <c r="N817" s="24">
        <f>Stock[[#This Row],[Precio de Compra]]*Stock[[#This Row],[Stock Cultivate]]</f>
        <v>2860</v>
      </c>
      <c r="O817" s="24">
        <f>Stock[[#This Row],[Stock Cultivate]]*Stock[[#This Row],[Precio de Venta]]</f>
        <v>6600</v>
      </c>
      <c r="R817" s="16"/>
    </row>
    <row r="818" spans="2:18">
      <c r="B818" s="44">
        <v>77</v>
      </c>
      <c r="C818" t="s">
        <v>243</v>
      </c>
      <c r="D818" s="45">
        <v>165</v>
      </c>
      <c r="E818" s="24">
        <v>300</v>
      </c>
      <c r="F818" s="44">
        <f>Stock[Entradas]-Stock[Compra Cultivate]</f>
        <v>0</v>
      </c>
      <c r="G818" s="11">
        <f>SUMIFS(Compras[Cantidad],Compras[Codigo],Stock[Codigo])</f>
        <v>63</v>
      </c>
      <c r="H818" s="11">
        <f>SUMIFS(Ventas[Cantidad],Ventas[Codigo],Stock[[#This Row],[Codigo]])</f>
        <v>51</v>
      </c>
      <c r="I818" s="12">
        <f>Stock[[#This Row],[Stock Deposito]]*Stock[[#This Row],[Precio de Compra]]</f>
        <v>0</v>
      </c>
      <c r="J818" s="6">
        <f>SUMIFS(ProdDesc[Cantidad],ProdDesc[Codigo],Stock[Codigo])</f>
        <v>7</v>
      </c>
      <c r="K818" s="44">
        <f>Stock[[#This Row],[Compra Cultivate]]-Stock[[#This Row],[Salidas]]-Stock[[#This Row],[Usados]]</f>
        <v>5</v>
      </c>
      <c r="L818" s="24">
        <f>Stock[[#This Row],[Stock Deposito]]*Stock[[#This Row],[Precio de Venta]]</f>
        <v>0</v>
      </c>
      <c r="M818" s="6">
        <f>SUMIFS(Tabla9[Cantidad],Tabla9[Codigo],Stock[Codigo])</f>
        <v>63</v>
      </c>
      <c r="N818" s="24">
        <f>Stock[[#This Row],[Precio de Compra]]*Stock[[#This Row],[Stock Cultivate]]</f>
        <v>825</v>
      </c>
      <c r="O818" s="24">
        <f>Stock[[#This Row],[Stock Cultivate]]*Stock[[#This Row],[Precio de Venta]]</f>
        <v>1500</v>
      </c>
      <c r="R818" s="16"/>
    </row>
    <row r="819" spans="2:18">
      <c r="B819" s="44">
        <v>76</v>
      </c>
      <c r="C819" t="s">
        <v>489</v>
      </c>
      <c r="D819" s="45">
        <v>165</v>
      </c>
      <c r="E819" s="24">
        <v>300</v>
      </c>
      <c r="F819" s="44">
        <f>Stock[Entradas]-Stock[Compra Cultivate]</f>
        <v>0</v>
      </c>
      <c r="G819" s="11">
        <f>SUMIFS(Compras[Cantidad],Compras[Codigo],Stock[Codigo])</f>
        <v>20</v>
      </c>
      <c r="H819" s="11">
        <f>SUMIFS(Ventas[Cantidad],Ventas[Codigo],Stock[[#This Row],[Codigo]])</f>
        <v>18</v>
      </c>
      <c r="I819" s="12">
        <f>Stock[[#This Row],[Stock Deposito]]*Stock[[#This Row],[Precio de Compra]]</f>
        <v>0</v>
      </c>
      <c r="J819" s="6">
        <f>SUMIFS(ProdDesc[Cantidad],ProdDesc[Codigo],Stock[Codigo])</f>
        <v>2</v>
      </c>
      <c r="K819" s="44">
        <f>Stock[[#This Row],[Compra Cultivate]]-Stock[[#This Row],[Salidas]]-Stock[[#This Row],[Usados]]</f>
        <v>0</v>
      </c>
      <c r="L819" s="24">
        <f>Stock[[#This Row],[Stock Deposito]]*Stock[[#This Row],[Precio de Venta]]</f>
        <v>0</v>
      </c>
      <c r="M819" s="6">
        <f>SUMIFS(Tabla9[Cantidad],Tabla9[Codigo],Stock[Codigo])</f>
        <v>20</v>
      </c>
      <c r="N819" s="24">
        <f>Stock[[#This Row],[Precio de Compra]]*Stock[[#This Row],[Stock Cultivate]]</f>
        <v>0</v>
      </c>
      <c r="O819" s="24">
        <f>Stock[[#This Row],[Stock Cultivate]]*Stock[[#This Row],[Precio de Venta]]</f>
        <v>0</v>
      </c>
      <c r="R819" s="16"/>
    </row>
    <row r="820" spans="2:18">
      <c r="B820" s="44">
        <v>75</v>
      </c>
      <c r="C820" t="s">
        <v>242</v>
      </c>
      <c r="D820" s="45">
        <v>93</v>
      </c>
      <c r="E820" s="24">
        <v>200</v>
      </c>
      <c r="F820" s="44">
        <f>Stock[Entradas]-Stock[Compra Cultivate]</f>
        <v>0</v>
      </c>
      <c r="G820" s="11">
        <f>SUMIFS(Compras[Cantidad],Compras[Codigo],Stock[Codigo])</f>
        <v>4</v>
      </c>
      <c r="H820" s="11">
        <f>SUMIFS(Ventas[Cantidad],Ventas[Codigo],Stock[[#This Row],[Codigo]])</f>
        <v>3</v>
      </c>
      <c r="I820" s="12">
        <f>Stock[[#This Row],[Stock Deposito]]*Stock[[#This Row],[Precio de Compra]]</f>
        <v>0</v>
      </c>
      <c r="J820" s="6">
        <f>SUMIFS(ProdDesc[Cantidad],ProdDesc[Codigo],Stock[Codigo])</f>
        <v>1</v>
      </c>
      <c r="K820" s="44">
        <f>Stock[[#This Row],[Compra Cultivate]]-Stock[[#This Row],[Salidas]]-Stock[[#This Row],[Usados]]</f>
        <v>0</v>
      </c>
      <c r="L820" s="24">
        <f>Stock[[#This Row],[Stock Deposito]]*Stock[[#This Row],[Precio de Venta]]</f>
        <v>0</v>
      </c>
      <c r="M820" s="6">
        <f>SUMIFS(Tabla9[Cantidad],Tabla9[Codigo],Stock[Codigo])</f>
        <v>4</v>
      </c>
      <c r="N820" s="24">
        <f>Stock[[#This Row],[Precio de Compra]]*Stock[[#This Row],[Stock Cultivate]]</f>
        <v>0</v>
      </c>
      <c r="O820" s="24">
        <f>Stock[[#This Row],[Stock Cultivate]]*Stock[[#This Row],[Precio de Venta]]</f>
        <v>0</v>
      </c>
      <c r="R820" s="16"/>
    </row>
    <row r="821" spans="2:18">
      <c r="B821" s="44">
        <v>74</v>
      </c>
      <c r="C821" t="s">
        <v>241</v>
      </c>
      <c r="D821" s="45">
        <v>126</v>
      </c>
      <c r="E821" s="24">
        <v>250</v>
      </c>
      <c r="F821" s="44">
        <f>Stock[Entradas]-Stock[Compra Cultivate]</f>
        <v>0</v>
      </c>
      <c r="G821" s="11">
        <f>SUMIFS(Compras[Cantidad],Compras[Codigo],Stock[Codigo])</f>
        <v>7</v>
      </c>
      <c r="H821" s="11">
        <f>SUMIFS(Ventas[Cantidad],Ventas[Codigo],Stock[[#This Row],[Codigo]])</f>
        <v>5</v>
      </c>
      <c r="I821" s="12">
        <f>Stock[[#This Row],[Stock Deposito]]*Stock[[#This Row],[Precio de Compra]]</f>
        <v>0</v>
      </c>
      <c r="J821" s="6">
        <f>SUMIFS(ProdDesc[Cantidad],ProdDesc[Codigo],Stock[Codigo])</f>
        <v>0</v>
      </c>
      <c r="K821" s="44">
        <f>Stock[[#This Row],[Compra Cultivate]]-Stock[[#This Row],[Salidas]]-Stock[[#This Row],[Usados]]</f>
        <v>2</v>
      </c>
      <c r="L821" s="24">
        <f>Stock[[#This Row],[Stock Deposito]]*Stock[[#This Row],[Precio de Venta]]</f>
        <v>0</v>
      </c>
      <c r="M821" s="6">
        <f>SUMIFS(Tabla9[Cantidad],Tabla9[Codigo],Stock[Codigo])</f>
        <v>7</v>
      </c>
      <c r="N821" s="24">
        <f>Stock[[#This Row],[Precio de Compra]]*Stock[[#This Row],[Stock Cultivate]]</f>
        <v>252</v>
      </c>
      <c r="O821" s="24">
        <f>Stock[[#This Row],[Stock Cultivate]]*Stock[[#This Row],[Precio de Venta]]</f>
        <v>500</v>
      </c>
      <c r="R821" s="16"/>
    </row>
    <row r="822" spans="2:18">
      <c r="B822" s="44">
        <v>73</v>
      </c>
      <c r="C822" t="s">
        <v>240</v>
      </c>
      <c r="D822" s="45">
        <v>126</v>
      </c>
      <c r="E822" s="24">
        <v>250</v>
      </c>
      <c r="F822" s="44">
        <f>Stock[Entradas]-Stock[Compra Cultivate]</f>
        <v>0</v>
      </c>
      <c r="G822" s="11">
        <f>SUMIFS(Compras[Cantidad],Compras[Codigo],Stock[Codigo])</f>
        <v>12</v>
      </c>
      <c r="H822" s="11">
        <f>SUMIFS(Ventas[Cantidad],Ventas[Codigo],Stock[[#This Row],[Codigo]])</f>
        <v>5</v>
      </c>
      <c r="I822" s="12">
        <f>Stock[[#This Row],[Stock Deposito]]*Stock[[#This Row],[Precio de Compra]]</f>
        <v>0</v>
      </c>
      <c r="J822" s="6">
        <f>SUMIFS(ProdDesc[Cantidad],ProdDesc[Codigo],Stock[Codigo])</f>
        <v>0</v>
      </c>
      <c r="K822" s="44">
        <f>Stock[[#This Row],[Compra Cultivate]]-Stock[[#This Row],[Salidas]]-Stock[[#This Row],[Usados]]</f>
        <v>7</v>
      </c>
      <c r="L822" s="24">
        <f>Stock[[#This Row],[Stock Deposito]]*Stock[[#This Row],[Precio de Venta]]</f>
        <v>0</v>
      </c>
      <c r="M822" s="6">
        <f>SUMIFS(Tabla9[Cantidad],Tabla9[Codigo],Stock[Codigo])</f>
        <v>12</v>
      </c>
      <c r="N822" s="24">
        <f>Stock[[#This Row],[Precio de Compra]]*Stock[[#This Row],[Stock Cultivate]]</f>
        <v>882</v>
      </c>
      <c r="O822" s="24">
        <f>Stock[[#This Row],[Stock Cultivate]]*Stock[[#This Row],[Precio de Venta]]</f>
        <v>1750</v>
      </c>
      <c r="R822" s="16"/>
    </row>
    <row r="823" spans="2:18">
      <c r="B823" s="44">
        <v>72</v>
      </c>
      <c r="C823" t="s">
        <v>239</v>
      </c>
      <c r="D823" s="45">
        <v>135</v>
      </c>
      <c r="E823" s="24">
        <v>300</v>
      </c>
      <c r="F823" s="44">
        <f>Stock[Entradas]-Stock[Compra Cultivate]</f>
        <v>0</v>
      </c>
      <c r="G823" s="11">
        <f>SUMIFS(Compras[Cantidad],Compras[Codigo],Stock[Codigo])</f>
        <v>16</v>
      </c>
      <c r="H823" s="11">
        <f>SUMIFS(Ventas[Cantidad],Ventas[Codigo],Stock[[#This Row],[Codigo]])</f>
        <v>15</v>
      </c>
      <c r="I823" s="12">
        <f>Stock[[#This Row],[Stock Deposito]]*Stock[[#This Row],[Precio de Compra]]</f>
        <v>0</v>
      </c>
      <c r="J823" s="6">
        <f>SUMIFS(ProdDesc[Cantidad],ProdDesc[Codigo],Stock[Codigo])</f>
        <v>1</v>
      </c>
      <c r="K823" s="44">
        <f>Stock[[#This Row],[Compra Cultivate]]-Stock[[#This Row],[Salidas]]-Stock[[#This Row],[Usados]]</f>
        <v>0</v>
      </c>
      <c r="L823" s="24">
        <f>Stock[[#This Row],[Stock Deposito]]*Stock[[#This Row],[Precio de Venta]]</f>
        <v>0</v>
      </c>
      <c r="M823" s="6">
        <f>SUMIFS(Tabla9[Cantidad],Tabla9[Codigo],Stock[Codigo])</f>
        <v>16</v>
      </c>
      <c r="N823" s="24">
        <f>Stock[[#This Row],[Precio de Compra]]*Stock[[#This Row],[Stock Cultivate]]</f>
        <v>0</v>
      </c>
      <c r="O823" s="24">
        <f>Stock[[#This Row],[Stock Cultivate]]*Stock[[#This Row],[Precio de Venta]]</f>
        <v>0</v>
      </c>
      <c r="R823" s="16"/>
    </row>
    <row r="824" spans="2:18">
      <c r="B824" s="44">
        <v>71</v>
      </c>
      <c r="C824" t="s">
        <v>238</v>
      </c>
      <c r="D824" s="45">
        <v>143</v>
      </c>
      <c r="E824" s="24">
        <v>300</v>
      </c>
      <c r="F824" s="44">
        <f>Stock[Entradas]-Stock[Compra Cultivate]</f>
        <v>0</v>
      </c>
      <c r="G824" s="11">
        <f>SUMIFS(Compras[Cantidad],Compras[Codigo],Stock[Codigo])</f>
        <v>35</v>
      </c>
      <c r="H824" s="11">
        <f>SUMIFS(Ventas[Cantidad],Ventas[Codigo],Stock[[#This Row],[Codigo]])</f>
        <v>20</v>
      </c>
      <c r="I824" s="12">
        <f>Stock[[#This Row],[Stock Deposito]]*Stock[[#This Row],[Precio de Compra]]</f>
        <v>0</v>
      </c>
      <c r="J824" s="6">
        <f>SUMIFS(ProdDesc[Cantidad],ProdDesc[Codigo],Stock[Codigo])</f>
        <v>0</v>
      </c>
      <c r="K824" s="44">
        <f>Stock[[#This Row],[Compra Cultivate]]-Stock[[#This Row],[Salidas]]-Stock[[#This Row],[Usados]]</f>
        <v>15</v>
      </c>
      <c r="L824" s="24">
        <f>Stock[[#This Row],[Stock Deposito]]*Stock[[#This Row],[Precio de Venta]]</f>
        <v>0</v>
      </c>
      <c r="M824" s="6">
        <f>SUMIFS(Tabla9[Cantidad],Tabla9[Codigo],Stock[Codigo])</f>
        <v>35</v>
      </c>
      <c r="N824" s="24">
        <f>Stock[[#This Row],[Precio de Compra]]*Stock[[#This Row],[Stock Cultivate]]</f>
        <v>2145</v>
      </c>
      <c r="O824" s="24">
        <f>Stock[[#This Row],[Stock Cultivate]]*Stock[[#This Row],[Precio de Venta]]</f>
        <v>4500</v>
      </c>
      <c r="R824" s="16"/>
    </row>
    <row r="825" spans="2:18">
      <c r="B825" s="44">
        <v>70</v>
      </c>
      <c r="C825" t="s">
        <v>237</v>
      </c>
      <c r="D825" s="45">
        <v>163</v>
      </c>
      <c r="E825" s="24">
        <v>400</v>
      </c>
      <c r="F825" s="44">
        <f>Stock[Entradas]-Stock[Compra Cultivate]</f>
        <v>0</v>
      </c>
      <c r="G825" s="11">
        <f>SUMIFS(Compras[Cantidad],Compras[Codigo],Stock[Codigo])</f>
        <v>20</v>
      </c>
      <c r="H825" s="11">
        <f>SUMIFS(Ventas[Cantidad],Ventas[Codigo],Stock[[#This Row],[Codigo]])</f>
        <v>16</v>
      </c>
      <c r="I825" s="12">
        <f>Stock[[#This Row],[Stock Deposito]]*Stock[[#This Row],[Precio de Compra]]</f>
        <v>0</v>
      </c>
      <c r="J825" s="6">
        <f>SUMIFS(ProdDesc[Cantidad],ProdDesc[Codigo],Stock[Codigo])</f>
        <v>0</v>
      </c>
      <c r="K825" s="44">
        <f>Stock[[#This Row],[Compra Cultivate]]-Stock[[#This Row],[Salidas]]-Stock[[#This Row],[Usados]]</f>
        <v>4</v>
      </c>
      <c r="L825" s="24">
        <f>Stock[[#This Row],[Stock Deposito]]*Stock[[#This Row],[Precio de Venta]]</f>
        <v>0</v>
      </c>
      <c r="M825" s="6">
        <f>SUMIFS(Tabla9[Cantidad],Tabla9[Codigo],Stock[Codigo])</f>
        <v>20</v>
      </c>
      <c r="N825" s="24">
        <f>Stock[[#This Row],[Precio de Compra]]*Stock[[#This Row],[Stock Cultivate]]</f>
        <v>652</v>
      </c>
      <c r="O825" s="24">
        <f>Stock[[#This Row],[Stock Cultivate]]*Stock[[#This Row],[Precio de Venta]]</f>
        <v>1600</v>
      </c>
      <c r="R825" s="16"/>
    </row>
    <row r="826" spans="2:18">
      <c r="B826" s="44">
        <v>69</v>
      </c>
      <c r="C826" t="s">
        <v>236</v>
      </c>
      <c r="D826" s="45">
        <v>112</v>
      </c>
      <c r="E826" s="24">
        <v>250</v>
      </c>
      <c r="F826" s="44">
        <f>Stock[Entradas]-Stock[Compra Cultivate]</f>
        <v>0</v>
      </c>
      <c r="G826" s="11">
        <f>SUMIFS(Compras[Cantidad],Compras[Codigo],Stock[Codigo])</f>
        <v>0</v>
      </c>
      <c r="H826" s="11">
        <f>SUMIFS(Ventas[Cantidad],Ventas[Codigo],Stock[[#This Row],[Codigo]])</f>
        <v>0</v>
      </c>
      <c r="I826" s="12">
        <f>Stock[[#This Row],[Stock Deposito]]*Stock[[#This Row],[Precio de Compra]]</f>
        <v>0</v>
      </c>
      <c r="J826" s="6">
        <f>SUMIFS(ProdDesc[Cantidad],ProdDesc[Codigo],Stock[Codigo])</f>
        <v>0</v>
      </c>
      <c r="K826" s="44">
        <f>Stock[[#This Row],[Compra Cultivate]]-Stock[[#This Row],[Salidas]]-Stock[[#This Row],[Usados]]</f>
        <v>0</v>
      </c>
      <c r="L826" s="24">
        <f>Stock[[#This Row],[Stock Deposito]]*Stock[[#This Row],[Precio de Venta]]</f>
        <v>0</v>
      </c>
      <c r="M826" s="6">
        <f>SUMIFS(Tabla9[Cantidad],Tabla9[Codigo],Stock[Codigo])</f>
        <v>0</v>
      </c>
      <c r="N826" s="24">
        <f>Stock[[#This Row],[Precio de Compra]]*Stock[[#This Row],[Stock Cultivate]]</f>
        <v>0</v>
      </c>
      <c r="O826" s="24">
        <f>Stock[[#This Row],[Stock Cultivate]]*Stock[[#This Row],[Precio de Venta]]</f>
        <v>0</v>
      </c>
      <c r="R826" s="16"/>
    </row>
    <row r="827" spans="2:18">
      <c r="B827" s="44">
        <v>68</v>
      </c>
      <c r="C827" t="s">
        <v>235</v>
      </c>
      <c r="D827" s="45">
        <v>167</v>
      </c>
      <c r="E827" s="24">
        <v>400</v>
      </c>
      <c r="F827" s="44">
        <f>Stock[Entradas]-Stock[Compra Cultivate]</f>
        <v>0</v>
      </c>
      <c r="G827" s="11">
        <f>SUMIFS(Compras[Cantidad],Compras[Codigo],Stock[Codigo])</f>
        <v>29</v>
      </c>
      <c r="H827" s="11">
        <f>SUMIFS(Ventas[Cantidad],Ventas[Codigo],Stock[[#This Row],[Codigo]])</f>
        <v>10</v>
      </c>
      <c r="I827" s="12">
        <f>Stock[[#This Row],[Stock Deposito]]*Stock[[#This Row],[Precio de Compra]]</f>
        <v>0</v>
      </c>
      <c r="J827" s="6">
        <f>SUMIFS(ProdDesc[Cantidad],ProdDesc[Codigo],Stock[Codigo])</f>
        <v>2</v>
      </c>
      <c r="K827" s="44">
        <f>Stock[[#This Row],[Compra Cultivate]]-Stock[[#This Row],[Salidas]]-Stock[[#This Row],[Usados]]</f>
        <v>17</v>
      </c>
      <c r="L827" s="24">
        <f>Stock[[#This Row],[Stock Deposito]]*Stock[[#This Row],[Precio de Venta]]</f>
        <v>0</v>
      </c>
      <c r="M827" s="6">
        <f>SUMIFS(Tabla9[Cantidad],Tabla9[Codigo],Stock[Codigo])</f>
        <v>29</v>
      </c>
      <c r="N827" s="24">
        <f>Stock[[#This Row],[Precio de Compra]]*Stock[[#This Row],[Stock Cultivate]]</f>
        <v>2839</v>
      </c>
      <c r="O827" s="24">
        <f>Stock[[#This Row],[Stock Cultivate]]*Stock[[#This Row],[Precio de Venta]]</f>
        <v>6800</v>
      </c>
      <c r="R827" s="16"/>
    </row>
    <row r="828" spans="2:18">
      <c r="B828" s="44">
        <v>67</v>
      </c>
      <c r="C828" t="s">
        <v>234</v>
      </c>
      <c r="D828" s="45">
        <v>109</v>
      </c>
      <c r="E828" s="24">
        <v>250</v>
      </c>
      <c r="F828" s="44">
        <f>Stock[Entradas]-Stock[Compra Cultivate]</f>
        <v>0</v>
      </c>
      <c r="G828" s="11">
        <f>SUMIFS(Compras[Cantidad],Compras[Codigo],Stock[Codigo])</f>
        <v>51</v>
      </c>
      <c r="H828" s="11">
        <f>SUMIFS(Ventas[Cantidad],Ventas[Codigo],Stock[[#This Row],[Codigo]])</f>
        <v>13</v>
      </c>
      <c r="I828" s="12">
        <f>Stock[[#This Row],[Stock Deposito]]*Stock[[#This Row],[Precio de Compra]]</f>
        <v>0</v>
      </c>
      <c r="J828" s="6">
        <f>SUMIFS(ProdDesc[Cantidad],ProdDesc[Codigo],Stock[Codigo])</f>
        <v>3</v>
      </c>
      <c r="K828" s="44">
        <f>Stock[[#This Row],[Compra Cultivate]]-Stock[[#This Row],[Salidas]]-Stock[[#This Row],[Usados]]</f>
        <v>35</v>
      </c>
      <c r="L828" s="24">
        <f>Stock[[#This Row],[Stock Deposito]]*Stock[[#This Row],[Precio de Venta]]</f>
        <v>0</v>
      </c>
      <c r="M828" s="6">
        <f>SUMIFS(Tabla9[Cantidad],Tabla9[Codigo],Stock[Codigo])</f>
        <v>51</v>
      </c>
      <c r="N828" s="24">
        <f>Stock[[#This Row],[Precio de Compra]]*Stock[[#This Row],[Stock Cultivate]]</f>
        <v>3815</v>
      </c>
      <c r="O828" s="24">
        <f>Stock[[#This Row],[Stock Cultivate]]*Stock[[#This Row],[Precio de Venta]]</f>
        <v>8750</v>
      </c>
      <c r="R828" s="16"/>
    </row>
    <row r="829" spans="2:18">
      <c r="B829" s="44">
        <v>66</v>
      </c>
      <c r="C829" t="s">
        <v>468</v>
      </c>
      <c r="D829" s="45">
        <v>217</v>
      </c>
      <c r="E829" s="24">
        <v>450</v>
      </c>
      <c r="F829" s="44">
        <f>Stock[Entradas]-Stock[Compra Cultivate]</f>
        <v>0</v>
      </c>
      <c r="G829" s="11">
        <f>SUMIFS(Compras[Cantidad],Compras[Codigo],Stock[Codigo])</f>
        <v>10</v>
      </c>
      <c r="H829" s="11">
        <f>SUMIFS(Ventas[Cantidad],Ventas[Codigo],Stock[[#This Row],[Codigo]])</f>
        <v>4</v>
      </c>
      <c r="I829" s="12">
        <f>Stock[[#This Row],[Stock Deposito]]*Stock[[#This Row],[Precio de Compra]]</f>
        <v>0</v>
      </c>
      <c r="J829" s="6">
        <f>SUMIFS(ProdDesc[Cantidad],ProdDesc[Codigo],Stock[Codigo])</f>
        <v>0</v>
      </c>
      <c r="K829" s="44">
        <f>Stock[[#This Row],[Compra Cultivate]]-Stock[[#This Row],[Salidas]]-Stock[[#This Row],[Usados]]</f>
        <v>6</v>
      </c>
      <c r="L829" s="24">
        <f>Stock[[#This Row],[Stock Deposito]]*Stock[[#This Row],[Precio de Venta]]</f>
        <v>0</v>
      </c>
      <c r="M829" s="6">
        <f>SUMIFS(Tabla9[Cantidad],Tabla9[Codigo],Stock[Codigo])</f>
        <v>10</v>
      </c>
      <c r="N829" s="24">
        <f>Stock[[#This Row],[Precio de Compra]]*Stock[[#This Row],[Stock Cultivate]]</f>
        <v>1302</v>
      </c>
      <c r="O829" s="24">
        <f>Stock[[#This Row],[Stock Cultivate]]*Stock[[#This Row],[Precio de Venta]]</f>
        <v>2700</v>
      </c>
      <c r="R829" s="16"/>
    </row>
    <row r="830" spans="2:18">
      <c r="B830" s="44">
        <v>65</v>
      </c>
      <c r="C830" t="s">
        <v>233</v>
      </c>
      <c r="D830" s="45">
        <v>348</v>
      </c>
      <c r="E830" s="24">
        <v>700</v>
      </c>
      <c r="F830" s="44">
        <f>Stock[Entradas]-Stock[Compra Cultivate]</f>
        <v>18</v>
      </c>
      <c r="G830" s="11">
        <f>SUMIFS(Compras[Cantidad],Compras[Codigo],Stock[Codigo])</f>
        <v>43</v>
      </c>
      <c r="H830" s="11">
        <f>SUMIFS(Ventas[Cantidad],Ventas[Codigo],Stock[[#This Row],[Codigo]])</f>
        <v>7</v>
      </c>
      <c r="I830" s="12">
        <f>Stock[[#This Row],[Stock Deposito]]*Stock[[#This Row],[Precio de Compra]]</f>
        <v>6264</v>
      </c>
      <c r="J830" s="6">
        <f>SUMIFS(ProdDesc[Cantidad],ProdDesc[Codigo],Stock[Codigo])</f>
        <v>0</v>
      </c>
      <c r="K830" s="44">
        <f>Stock[[#This Row],[Compra Cultivate]]-Stock[[#This Row],[Salidas]]-Stock[[#This Row],[Usados]]</f>
        <v>18</v>
      </c>
      <c r="L830" s="24">
        <f>Stock[[#This Row],[Stock Deposito]]*Stock[[#This Row],[Precio de Venta]]</f>
        <v>12600</v>
      </c>
      <c r="M830" s="6">
        <f>SUMIFS(Tabla9[Cantidad],Tabla9[Codigo],Stock[Codigo])</f>
        <v>25</v>
      </c>
      <c r="N830" s="24">
        <f>Stock[[#This Row],[Precio de Compra]]*Stock[[#This Row],[Stock Cultivate]]</f>
        <v>6264</v>
      </c>
      <c r="O830" s="24">
        <f>Stock[[#This Row],[Stock Cultivate]]*Stock[[#This Row],[Precio de Venta]]</f>
        <v>12600</v>
      </c>
      <c r="R830" s="16"/>
    </row>
    <row r="831" spans="2:18">
      <c r="B831" s="44">
        <v>64</v>
      </c>
      <c r="C831" t="s">
        <v>232</v>
      </c>
      <c r="D831" s="45">
        <v>259</v>
      </c>
      <c r="E831" s="24">
        <v>550</v>
      </c>
      <c r="F831" s="44">
        <f>Stock[Entradas]-Stock[Compra Cultivate]</f>
        <v>0</v>
      </c>
      <c r="G831" s="11">
        <f>SUMIFS(Compras[Cantidad],Compras[Codigo],Stock[Codigo])</f>
        <v>38</v>
      </c>
      <c r="H831" s="11">
        <f>SUMIFS(Ventas[Cantidad],Ventas[Codigo],Stock[[#This Row],[Codigo]])</f>
        <v>2</v>
      </c>
      <c r="I831" s="12">
        <f>Stock[[#This Row],[Stock Deposito]]*Stock[[#This Row],[Precio de Compra]]</f>
        <v>0</v>
      </c>
      <c r="J831" s="6">
        <f>SUMIFS(ProdDesc[Cantidad],ProdDesc[Codigo],Stock[Codigo])</f>
        <v>1</v>
      </c>
      <c r="K831" s="44">
        <f>Stock[[#This Row],[Compra Cultivate]]-Stock[[#This Row],[Salidas]]-Stock[[#This Row],[Usados]]</f>
        <v>35</v>
      </c>
      <c r="L831" s="24">
        <f>Stock[[#This Row],[Stock Deposito]]*Stock[[#This Row],[Precio de Venta]]</f>
        <v>0</v>
      </c>
      <c r="M831" s="6">
        <f>SUMIFS(Tabla9[Cantidad],Tabla9[Codigo],Stock[Codigo])</f>
        <v>38</v>
      </c>
      <c r="N831" s="24">
        <f>Stock[[#This Row],[Precio de Compra]]*Stock[[#This Row],[Stock Cultivate]]</f>
        <v>9065</v>
      </c>
      <c r="O831" s="24">
        <f>Stock[[#This Row],[Stock Cultivate]]*Stock[[#This Row],[Precio de Venta]]</f>
        <v>19250</v>
      </c>
      <c r="R831" s="16"/>
    </row>
    <row r="832" spans="2:18">
      <c r="B832" s="44">
        <v>63</v>
      </c>
      <c r="C832" t="s">
        <v>231</v>
      </c>
      <c r="D832" s="45">
        <v>150</v>
      </c>
      <c r="E832" s="24">
        <v>300</v>
      </c>
      <c r="F832" s="44">
        <f>Stock[Entradas]-Stock[Compra Cultivate]</f>
        <v>0</v>
      </c>
      <c r="G832" s="11">
        <f>SUMIFS(Compras[Cantidad],Compras[Codigo],Stock[Codigo])</f>
        <v>42</v>
      </c>
      <c r="H832" s="11">
        <f>SUMIFS(Ventas[Cantidad],Ventas[Codigo],Stock[[#This Row],[Codigo]])</f>
        <v>23</v>
      </c>
      <c r="I832" s="12">
        <f>Stock[[#This Row],[Stock Deposito]]*Stock[[#This Row],[Precio de Compra]]</f>
        <v>0</v>
      </c>
      <c r="J832" s="6">
        <f>SUMIFS(ProdDesc[Cantidad],ProdDesc[Codigo],Stock[Codigo])</f>
        <v>10</v>
      </c>
      <c r="K832" s="44">
        <f>Stock[[#This Row],[Compra Cultivate]]-Stock[[#This Row],[Salidas]]-Stock[[#This Row],[Usados]]</f>
        <v>9</v>
      </c>
      <c r="L832" s="24">
        <f>Stock[[#This Row],[Stock Deposito]]*Stock[[#This Row],[Precio de Venta]]</f>
        <v>0</v>
      </c>
      <c r="M832" s="6">
        <f>SUMIFS(Tabla9[Cantidad],Tabla9[Codigo],Stock[Codigo])</f>
        <v>42</v>
      </c>
      <c r="N832" s="24">
        <f>Stock[[#This Row],[Precio de Compra]]*Stock[[#This Row],[Stock Cultivate]]</f>
        <v>1350</v>
      </c>
      <c r="O832" s="24">
        <f>Stock[[#This Row],[Stock Cultivate]]*Stock[[#This Row],[Precio de Venta]]</f>
        <v>2700</v>
      </c>
      <c r="R832" s="16"/>
    </row>
    <row r="833" spans="2:18">
      <c r="B833" s="44">
        <v>62</v>
      </c>
      <c r="C833" t="s">
        <v>311</v>
      </c>
      <c r="D833" s="45">
        <v>1060</v>
      </c>
      <c r="E833" s="24">
        <v>2000</v>
      </c>
      <c r="F833" s="44">
        <f>Stock[Entradas]-Stock[Compra Cultivate]</f>
        <v>0</v>
      </c>
      <c r="G833" s="11">
        <f>SUMIFS(Compras[Cantidad],Compras[Codigo],Stock[Codigo])</f>
        <v>6</v>
      </c>
      <c r="H833" s="11">
        <f>SUMIFS(Ventas[Cantidad],Ventas[Codigo],Stock[[#This Row],[Codigo]])</f>
        <v>5</v>
      </c>
      <c r="I833" s="12">
        <f>Stock[[#This Row],[Stock Deposito]]*Stock[[#This Row],[Precio de Compra]]</f>
        <v>0</v>
      </c>
      <c r="J833" s="6">
        <f>SUMIFS(ProdDesc[Cantidad],ProdDesc[Codigo],Stock[Codigo])</f>
        <v>0</v>
      </c>
      <c r="K833" s="44">
        <f>Stock[[#This Row],[Compra Cultivate]]-Stock[[#This Row],[Salidas]]-Stock[[#This Row],[Usados]]</f>
        <v>1</v>
      </c>
      <c r="L833" s="24">
        <f>Stock[[#This Row],[Stock Deposito]]*Stock[[#This Row],[Precio de Venta]]</f>
        <v>0</v>
      </c>
      <c r="M833" s="6">
        <f>SUMIFS(Tabla9[Cantidad],Tabla9[Codigo],Stock[Codigo])</f>
        <v>6</v>
      </c>
      <c r="N833" s="24">
        <f>Stock[[#This Row],[Precio de Compra]]*Stock[[#This Row],[Stock Cultivate]]</f>
        <v>1060</v>
      </c>
      <c r="O833" s="24">
        <f>Stock[[#This Row],[Stock Cultivate]]*Stock[[#This Row],[Precio de Venta]]</f>
        <v>2000</v>
      </c>
      <c r="R833" s="16"/>
    </row>
    <row r="834" spans="2:18">
      <c r="B834" s="44">
        <v>61</v>
      </c>
      <c r="C834" t="s">
        <v>230</v>
      </c>
      <c r="D834" s="45">
        <v>481</v>
      </c>
      <c r="E834" s="24">
        <v>700</v>
      </c>
      <c r="F834" s="44">
        <f>Stock[Entradas]-Stock[Compra Cultivate]</f>
        <v>0</v>
      </c>
      <c r="G834" s="11">
        <f>SUMIFS(Compras[Cantidad],Compras[Codigo],Stock[Codigo])</f>
        <v>1</v>
      </c>
      <c r="H834" s="11">
        <f>SUMIFS(Ventas[Cantidad],Ventas[Codigo],Stock[[#This Row],[Codigo]])</f>
        <v>0</v>
      </c>
      <c r="I834" s="12">
        <f>Stock[[#This Row],[Stock Deposito]]*Stock[[#This Row],[Precio de Compra]]</f>
        <v>0</v>
      </c>
      <c r="J834" s="6">
        <f>SUMIFS(ProdDesc[Cantidad],ProdDesc[Codigo],Stock[Codigo])</f>
        <v>0</v>
      </c>
      <c r="K834" s="44">
        <f>Stock[[#This Row],[Compra Cultivate]]-Stock[[#This Row],[Salidas]]-Stock[[#This Row],[Usados]]</f>
        <v>1</v>
      </c>
      <c r="L834" s="24">
        <f>Stock[[#This Row],[Stock Deposito]]*Stock[[#This Row],[Precio de Venta]]</f>
        <v>0</v>
      </c>
      <c r="M834" s="6">
        <f>SUMIFS(Tabla9[Cantidad],Tabla9[Codigo],Stock[Codigo])</f>
        <v>1</v>
      </c>
      <c r="N834" s="24">
        <f>Stock[[#This Row],[Precio de Compra]]*Stock[[#This Row],[Stock Cultivate]]</f>
        <v>481</v>
      </c>
      <c r="O834" s="24">
        <f>Stock[[#This Row],[Stock Cultivate]]*Stock[[#This Row],[Precio de Venta]]</f>
        <v>700</v>
      </c>
      <c r="R834" s="16"/>
    </row>
    <row r="835" spans="2:18">
      <c r="B835" s="44">
        <v>60</v>
      </c>
      <c r="C835" t="s">
        <v>229</v>
      </c>
      <c r="D835" s="45">
        <v>176</v>
      </c>
      <c r="E835" s="24">
        <v>350</v>
      </c>
      <c r="F835" s="44">
        <f>Stock[Entradas]-Stock[Compra Cultivate]</f>
        <v>0</v>
      </c>
      <c r="G835" s="11">
        <f>SUMIFS(Compras[Cantidad],Compras[Codigo],Stock[Codigo])</f>
        <v>0</v>
      </c>
      <c r="H835" s="11">
        <f>SUMIFS(Ventas[Cantidad],Ventas[Codigo],Stock[[#This Row],[Codigo]])</f>
        <v>0</v>
      </c>
      <c r="I835" s="12">
        <f>Stock[[#This Row],[Stock Deposito]]*Stock[[#This Row],[Precio de Compra]]</f>
        <v>0</v>
      </c>
      <c r="J835" s="6">
        <f>SUMIFS(ProdDesc[Cantidad],ProdDesc[Codigo],Stock[Codigo])</f>
        <v>0</v>
      </c>
      <c r="K835" s="44">
        <f>Stock[[#This Row],[Compra Cultivate]]-Stock[[#This Row],[Salidas]]-Stock[[#This Row],[Usados]]</f>
        <v>0</v>
      </c>
      <c r="L835" s="24">
        <f>Stock[[#This Row],[Stock Deposito]]*Stock[[#This Row],[Precio de Venta]]</f>
        <v>0</v>
      </c>
      <c r="M835" s="6">
        <f>SUMIFS(Tabla9[Cantidad],Tabla9[Codigo],Stock[Codigo])</f>
        <v>0</v>
      </c>
      <c r="N835" s="24">
        <f>Stock[[#This Row],[Precio de Compra]]*Stock[[#This Row],[Stock Cultivate]]</f>
        <v>0</v>
      </c>
      <c r="O835" s="24">
        <f>Stock[[#This Row],[Stock Cultivate]]*Stock[[#This Row],[Precio de Venta]]</f>
        <v>0</v>
      </c>
      <c r="R835" s="16"/>
    </row>
    <row r="836" spans="2:18">
      <c r="B836" s="44">
        <v>59</v>
      </c>
      <c r="C836" t="s">
        <v>228</v>
      </c>
      <c r="D836" s="45">
        <v>278</v>
      </c>
      <c r="E836" s="24">
        <v>400</v>
      </c>
      <c r="F836" s="44">
        <f>Stock[Entradas]-Stock[Compra Cultivate]</f>
        <v>0</v>
      </c>
      <c r="G836" s="11">
        <f>SUMIFS(Compras[Cantidad],Compras[Codigo],Stock[Codigo])</f>
        <v>0</v>
      </c>
      <c r="H836" s="11">
        <f>SUMIFS(Ventas[Cantidad],Ventas[Codigo],Stock[[#This Row],[Codigo]])</f>
        <v>0</v>
      </c>
      <c r="I836" s="12">
        <f>Stock[[#This Row],[Stock Deposito]]*Stock[[#This Row],[Precio de Compra]]</f>
        <v>0</v>
      </c>
      <c r="J836" s="6">
        <f>SUMIFS(ProdDesc[Cantidad],ProdDesc[Codigo],Stock[Codigo])</f>
        <v>0</v>
      </c>
      <c r="K836" s="44">
        <f>Stock[[#This Row],[Compra Cultivate]]-Stock[[#This Row],[Salidas]]-Stock[[#This Row],[Usados]]</f>
        <v>0</v>
      </c>
      <c r="L836" s="24">
        <f>Stock[[#This Row],[Stock Deposito]]*Stock[[#This Row],[Precio de Venta]]</f>
        <v>0</v>
      </c>
      <c r="M836" s="6">
        <f>SUMIFS(Tabla9[Cantidad],Tabla9[Codigo],Stock[Codigo])</f>
        <v>0</v>
      </c>
      <c r="N836" s="24">
        <f>Stock[[#This Row],[Precio de Compra]]*Stock[[#This Row],[Stock Cultivate]]</f>
        <v>0</v>
      </c>
      <c r="O836" s="24">
        <f>Stock[[#This Row],[Stock Cultivate]]*Stock[[#This Row],[Precio de Venta]]</f>
        <v>0</v>
      </c>
      <c r="R836" s="16"/>
    </row>
    <row r="837" spans="2:18">
      <c r="B837" s="44">
        <v>58</v>
      </c>
      <c r="C837" t="s">
        <v>227</v>
      </c>
      <c r="D837" s="45">
        <v>378</v>
      </c>
      <c r="E837" s="24">
        <v>600</v>
      </c>
      <c r="F837" s="44">
        <f>Stock[Entradas]-Stock[Compra Cultivate]</f>
        <v>0</v>
      </c>
      <c r="G837" s="11">
        <f>SUMIFS(Compras[Cantidad],Compras[Codigo],Stock[Codigo])</f>
        <v>78</v>
      </c>
      <c r="H837" s="11">
        <f>SUMIFS(Ventas[Cantidad],Ventas[Codigo],Stock[[#This Row],[Codigo]])</f>
        <v>40</v>
      </c>
      <c r="I837" s="12">
        <f>Stock[[#This Row],[Stock Deposito]]*Stock[[#This Row],[Precio de Compra]]</f>
        <v>0</v>
      </c>
      <c r="J837" s="6">
        <f>SUMIFS(ProdDesc[Cantidad],ProdDesc[Codigo],Stock[Codigo])</f>
        <v>5</v>
      </c>
      <c r="K837" s="44">
        <f>Stock[[#This Row],[Compra Cultivate]]-Stock[[#This Row],[Salidas]]-Stock[[#This Row],[Usados]]</f>
        <v>33</v>
      </c>
      <c r="L837" s="24">
        <f>Stock[[#This Row],[Stock Deposito]]*Stock[[#This Row],[Precio de Venta]]</f>
        <v>0</v>
      </c>
      <c r="M837" s="6">
        <f>SUMIFS(Tabla9[Cantidad],Tabla9[Codigo],Stock[Codigo])</f>
        <v>78</v>
      </c>
      <c r="N837" s="24">
        <f>Stock[[#This Row],[Precio de Compra]]*Stock[[#This Row],[Stock Cultivate]]</f>
        <v>12474</v>
      </c>
      <c r="O837" s="24">
        <f>Stock[[#This Row],[Stock Cultivate]]*Stock[[#This Row],[Precio de Venta]]</f>
        <v>19800</v>
      </c>
      <c r="R837" s="16"/>
    </row>
    <row r="838" spans="2:18">
      <c r="B838" s="44">
        <v>57</v>
      </c>
      <c r="C838" t="s">
        <v>37</v>
      </c>
      <c r="D838" s="45">
        <v>310</v>
      </c>
      <c r="E838" s="24">
        <v>600</v>
      </c>
      <c r="F838" s="44">
        <f>Stock[Entradas]-Stock[Compra Cultivate]</f>
        <v>0</v>
      </c>
      <c r="G838" s="11">
        <f>SUMIFS(Compras[Cantidad],Compras[Codigo],Stock[Codigo])</f>
        <v>8</v>
      </c>
      <c r="H838" s="11">
        <f>SUMIFS(Ventas[Cantidad],Ventas[Codigo],Stock[[#This Row],[Codigo]])</f>
        <v>4</v>
      </c>
      <c r="I838" s="12">
        <f>Stock[[#This Row],[Stock Deposito]]*Stock[[#This Row],[Precio de Compra]]</f>
        <v>0</v>
      </c>
      <c r="J838" s="6">
        <f>SUMIFS(ProdDesc[Cantidad],ProdDesc[Codigo],Stock[Codigo])</f>
        <v>2</v>
      </c>
      <c r="K838" s="44">
        <f>Stock[[#This Row],[Compra Cultivate]]-Stock[[#This Row],[Salidas]]-Stock[[#This Row],[Usados]]</f>
        <v>2</v>
      </c>
      <c r="L838" s="24">
        <f>Stock[[#This Row],[Stock Deposito]]*Stock[[#This Row],[Precio de Venta]]</f>
        <v>0</v>
      </c>
      <c r="M838" s="6">
        <f>SUMIFS(Tabla9[Cantidad],Tabla9[Codigo],Stock[Codigo])</f>
        <v>8</v>
      </c>
      <c r="N838" s="24">
        <f>Stock[[#This Row],[Precio de Compra]]*Stock[[#This Row],[Stock Cultivate]]</f>
        <v>620</v>
      </c>
      <c r="O838" s="24">
        <f>Stock[[#This Row],[Stock Cultivate]]*Stock[[#This Row],[Precio de Venta]]</f>
        <v>1200</v>
      </c>
      <c r="R838" s="16"/>
    </row>
    <row r="839" spans="2:18">
      <c r="B839" s="44">
        <v>56</v>
      </c>
      <c r="C839" t="s">
        <v>36</v>
      </c>
      <c r="D839" s="45">
        <v>310</v>
      </c>
      <c r="E839" s="24">
        <v>600</v>
      </c>
      <c r="F839" s="44">
        <f>Stock[Entradas]-Stock[Compra Cultivate]</f>
        <v>0</v>
      </c>
      <c r="G839" s="11">
        <f>SUMIFS(Compras[Cantidad],Compras[Codigo],Stock[Codigo])</f>
        <v>9</v>
      </c>
      <c r="H839" s="11">
        <f>SUMIFS(Ventas[Cantidad],Ventas[Codigo],Stock[[#This Row],[Codigo]])</f>
        <v>4</v>
      </c>
      <c r="I839" s="12">
        <f>Stock[[#This Row],[Stock Deposito]]*Stock[[#This Row],[Precio de Compra]]</f>
        <v>0</v>
      </c>
      <c r="J839" s="6">
        <f>SUMIFS(ProdDesc[Cantidad],ProdDesc[Codigo],Stock[Codigo])</f>
        <v>3</v>
      </c>
      <c r="K839" s="44">
        <f>Stock[[#This Row],[Compra Cultivate]]-Stock[[#This Row],[Salidas]]-Stock[[#This Row],[Usados]]</f>
        <v>2</v>
      </c>
      <c r="L839" s="24">
        <f>Stock[[#This Row],[Stock Deposito]]*Stock[[#This Row],[Precio de Venta]]</f>
        <v>0</v>
      </c>
      <c r="M839" s="6">
        <f>SUMIFS(Tabla9[Cantidad],Tabla9[Codigo],Stock[Codigo])</f>
        <v>9</v>
      </c>
      <c r="N839" s="24">
        <f>Stock[[#This Row],[Precio de Compra]]*Stock[[#This Row],[Stock Cultivate]]</f>
        <v>620</v>
      </c>
      <c r="O839" s="24">
        <f>Stock[[#This Row],[Stock Cultivate]]*Stock[[#This Row],[Precio de Venta]]</f>
        <v>1200</v>
      </c>
      <c r="R839" s="16"/>
    </row>
    <row r="840" spans="2:18">
      <c r="B840" s="44">
        <v>55</v>
      </c>
      <c r="C840" t="s">
        <v>35</v>
      </c>
      <c r="D840" s="45">
        <v>400</v>
      </c>
      <c r="E840" s="24">
        <v>800</v>
      </c>
      <c r="F840" s="44">
        <f>Stock[Entradas]-Stock[Compra Cultivate]</f>
        <v>0</v>
      </c>
      <c r="G840" s="11">
        <f>SUMIFS(Compras[Cantidad],Compras[Codigo],Stock[Codigo])</f>
        <v>11</v>
      </c>
      <c r="H840" s="11">
        <f>SUMIFS(Ventas[Cantidad],Ventas[Codigo],Stock[[#This Row],[Codigo]])</f>
        <v>4</v>
      </c>
      <c r="I840" s="12">
        <f>Stock[[#This Row],[Stock Deposito]]*Stock[[#This Row],[Precio de Compra]]</f>
        <v>0</v>
      </c>
      <c r="J840" s="6">
        <f>SUMIFS(ProdDesc[Cantidad],ProdDesc[Codigo],Stock[Codigo])</f>
        <v>1</v>
      </c>
      <c r="K840" s="44">
        <f>Stock[[#This Row],[Compra Cultivate]]-Stock[[#This Row],[Salidas]]-Stock[[#This Row],[Usados]]</f>
        <v>6</v>
      </c>
      <c r="L840" s="24">
        <f>Stock[[#This Row],[Stock Deposito]]*Stock[[#This Row],[Precio de Venta]]</f>
        <v>0</v>
      </c>
      <c r="M840" s="6">
        <f>SUMIFS(Tabla9[Cantidad],Tabla9[Codigo],Stock[Codigo])</f>
        <v>11</v>
      </c>
      <c r="N840" s="24">
        <f>Stock[[#This Row],[Precio de Compra]]*Stock[[#This Row],[Stock Cultivate]]</f>
        <v>2400</v>
      </c>
      <c r="O840" s="24">
        <f>Stock[[#This Row],[Stock Cultivate]]*Stock[[#This Row],[Precio de Venta]]</f>
        <v>4800</v>
      </c>
      <c r="R840" s="16"/>
    </row>
    <row r="841" spans="2:18">
      <c r="B841" s="44">
        <v>54</v>
      </c>
      <c r="C841" t="s">
        <v>95</v>
      </c>
      <c r="D841" s="45">
        <v>380</v>
      </c>
      <c r="E841" s="24">
        <v>800</v>
      </c>
      <c r="F841" s="44">
        <f>Stock[Entradas]-Stock[Compra Cultivate]</f>
        <v>0</v>
      </c>
      <c r="G841" s="11">
        <f>SUMIFS(Compras[Cantidad],Compras[Codigo],Stock[Codigo])</f>
        <v>5</v>
      </c>
      <c r="H841" s="11">
        <f>SUMIFS(Ventas[Cantidad],Ventas[Codigo],Stock[[#This Row],[Codigo]])</f>
        <v>4</v>
      </c>
      <c r="I841" s="12">
        <f>Stock[[#This Row],[Stock Deposito]]*Stock[[#This Row],[Precio de Compra]]</f>
        <v>0</v>
      </c>
      <c r="J841" s="6">
        <f>SUMIFS(ProdDesc[Cantidad],ProdDesc[Codigo],Stock[Codigo])</f>
        <v>1</v>
      </c>
      <c r="K841" s="44">
        <f>Stock[[#This Row],[Compra Cultivate]]-Stock[[#This Row],[Salidas]]-Stock[[#This Row],[Usados]]</f>
        <v>0</v>
      </c>
      <c r="L841" s="24">
        <f>Stock[[#This Row],[Stock Deposito]]*Stock[[#This Row],[Precio de Venta]]</f>
        <v>0</v>
      </c>
      <c r="M841" s="6">
        <f>SUMIFS(Tabla9[Cantidad],Tabla9[Codigo],Stock[Codigo])</f>
        <v>5</v>
      </c>
      <c r="N841" s="24">
        <f>Stock[[#This Row],[Precio de Compra]]*Stock[[#This Row],[Stock Cultivate]]</f>
        <v>0</v>
      </c>
      <c r="O841" s="24">
        <f>Stock[[#This Row],[Stock Cultivate]]*Stock[[#This Row],[Precio de Venta]]</f>
        <v>0</v>
      </c>
      <c r="R841" s="16"/>
    </row>
    <row r="842" spans="2:18">
      <c r="B842" s="44">
        <v>53</v>
      </c>
      <c r="C842" t="s">
        <v>46</v>
      </c>
      <c r="D842" s="45">
        <v>150</v>
      </c>
      <c r="E842" s="24">
        <v>300</v>
      </c>
      <c r="F842" s="44">
        <f>Stock[Entradas]-Stock[Compra Cultivate]</f>
        <v>0</v>
      </c>
      <c r="G842" s="11">
        <f>SUMIFS(Compras[Cantidad],Compras[Codigo],Stock[Codigo])</f>
        <v>0</v>
      </c>
      <c r="H842" s="11">
        <f>SUMIFS(Ventas[Cantidad],Ventas[Codigo],Stock[[#This Row],[Codigo]])</f>
        <v>0</v>
      </c>
      <c r="I842" s="12">
        <f>Stock[[#This Row],[Stock Deposito]]*Stock[[#This Row],[Precio de Compra]]</f>
        <v>0</v>
      </c>
      <c r="J842" s="6">
        <f>SUMIFS(ProdDesc[Cantidad],ProdDesc[Codigo],Stock[Codigo])</f>
        <v>0</v>
      </c>
      <c r="K842" s="44">
        <f>Stock[[#This Row],[Compra Cultivate]]-Stock[[#This Row],[Salidas]]-Stock[[#This Row],[Usados]]</f>
        <v>0</v>
      </c>
      <c r="L842" s="24">
        <f>Stock[[#This Row],[Stock Deposito]]*Stock[[#This Row],[Precio de Venta]]</f>
        <v>0</v>
      </c>
      <c r="M842" s="6">
        <f>SUMIFS(Tabla9[Cantidad],Tabla9[Codigo],Stock[Codigo])</f>
        <v>0</v>
      </c>
      <c r="N842" s="24">
        <f>Stock[[#This Row],[Precio de Compra]]*Stock[[#This Row],[Stock Cultivate]]</f>
        <v>0</v>
      </c>
      <c r="O842" s="24">
        <f>Stock[[#This Row],[Stock Cultivate]]*Stock[[#This Row],[Precio de Venta]]</f>
        <v>0</v>
      </c>
      <c r="R842" s="16"/>
    </row>
    <row r="843" spans="2:18">
      <c r="B843" s="44">
        <v>52</v>
      </c>
      <c r="C843" t="s">
        <v>70</v>
      </c>
      <c r="D843" s="45">
        <v>400</v>
      </c>
      <c r="E843" s="24">
        <v>800</v>
      </c>
      <c r="F843" s="44">
        <f>Stock[Entradas]-Stock[Compra Cultivate]</f>
        <v>0</v>
      </c>
      <c r="G843" s="11">
        <f>SUMIFS(Compras[Cantidad],Compras[Codigo],Stock[Codigo])</f>
        <v>226</v>
      </c>
      <c r="H843" s="11">
        <f>SUMIFS(Ventas[Cantidad],Ventas[Codigo],Stock[[#This Row],[Codigo]])</f>
        <v>183</v>
      </c>
      <c r="I843" s="12">
        <f>Stock[[#This Row],[Stock Deposito]]*Stock[[#This Row],[Precio de Compra]]</f>
        <v>0</v>
      </c>
      <c r="J843" s="6">
        <f>SUMIFS(ProdDesc[Cantidad],ProdDesc[Codigo],Stock[Codigo])</f>
        <v>32</v>
      </c>
      <c r="K843" s="44">
        <f>Stock[[#This Row],[Compra Cultivate]]-Stock[[#This Row],[Salidas]]-Stock[[#This Row],[Usados]]</f>
        <v>11</v>
      </c>
      <c r="L843" s="24">
        <f>Stock[[#This Row],[Stock Deposito]]*Stock[[#This Row],[Precio de Venta]]</f>
        <v>0</v>
      </c>
      <c r="M843" s="6">
        <f>SUMIFS(Tabla9[Cantidad],Tabla9[Codigo],Stock[Codigo])</f>
        <v>226</v>
      </c>
      <c r="N843" s="24">
        <f>Stock[[#This Row],[Precio de Compra]]*Stock[[#This Row],[Stock Cultivate]]</f>
        <v>4400</v>
      </c>
      <c r="O843" s="24">
        <f>Stock[[#This Row],[Stock Cultivate]]*Stock[[#This Row],[Precio de Venta]]</f>
        <v>8800</v>
      </c>
      <c r="R843" s="16"/>
    </row>
    <row r="844" spans="2:18">
      <c r="B844" s="44">
        <v>51</v>
      </c>
      <c r="C844" t="s">
        <v>1177</v>
      </c>
      <c r="D844" s="45">
        <v>845</v>
      </c>
      <c r="E844" s="24">
        <v>1700</v>
      </c>
      <c r="F844" s="44">
        <f>Stock[Entradas]-Stock[Compra Cultivate]</f>
        <v>0</v>
      </c>
      <c r="G844" s="11">
        <f>SUMIFS(Compras[Cantidad],Compras[Codigo],Stock[Codigo])</f>
        <v>6</v>
      </c>
      <c r="H844" s="11">
        <f>SUMIFS(Ventas[Cantidad],Ventas[Codigo],Stock[[#This Row],[Codigo]])</f>
        <v>2</v>
      </c>
      <c r="I844" s="12">
        <f>Stock[[#This Row],[Stock Deposito]]*Stock[[#This Row],[Precio de Compra]]</f>
        <v>0</v>
      </c>
      <c r="J844" s="6">
        <f>SUMIFS(ProdDesc[Cantidad],ProdDesc[Codigo],Stock[Codigo])</f>
        <v>2</v>
      </c>
      <c r="K844" s="44">
        <f>Stock[[#This Row],[Compra Cultivate]]-Stock[[#This Row],[Salidas]]-Stock[[#This Row],[Usados]]</f>
        <v>2</v>
      </c>
      <c r="L844" s="24">
        <f>Stock[[#This Row],[Stock Deposito]]*Stock[[#This Row],[Precio de Venta]]</f>
        <v>0</v>
      </c>
      <c r="M844" s="6">
        <f>SUMIFS(Tabla9[Cantidad],Tabla9[Codigo],Stock[Codigo])</f>
        <v>6</v>
      </c>
      <c r="N844" s="24">
        <f>Stock[[#This Row],[Precio de Compra]]*Stock[[#This Row],[Stock Cultivate]]</f>
        <v>1690</v>
      </c>
      <c r="O844" s="24">
        <f>Stock[[#This Row],[Stock Cultivate]]*Stock[[#This Row],[Precio de Venta]]</f>
        <v>3400</v>
      </c>
      <c r="R844" s="16"/>
    </row>
    <row r="845" spans="2:18">
      <c r="B845" s="44">
        <v>50</v>
      </c>
      <c r="C845" t="s">
        <v>83</v>
      </c>
      <c r="D845" s="45">
        <v>70</v>
      </c>
      <c r="E845" s="24">
        <v>150</v>
      </c>
      <c r="F845" s="44">
        <f>Stock[Entradas]-Stock[Compra Cultivate]</f>
        <v>1300</v>
      </c>
      <c r="G845" s="11">
        <f>SUMIFS(Compras[Cantidad],Compras[Codigo],Stock[Codigo])</f>
        <v>1354</v>
      </c>
      <c r="H845" s="11">
        <f>SUMIFS(Ventas[Cantidad],Ventas[Codigo],Stock[[#This Row],[Codigo]])</f>
        <v>39</v>
      </c>
      <c r="I845" s="12">
        <f>Stock[[#This Row],[Stock Deposito]]*Stock[[#This Row],[Precio de Compra]]</f>
        <v>91000</v>
      </c>
      <c r="J845" s="6">
        <f>SUMIFS(ProdDesc[Cantidad],ProdDesc[Codigo],Stock[Codigo])</f>
        <v>15</v>
      </c>
      <c r="K845" s="44">
        <f>Stock[[#This Row],[Compra Cultivate]]-Stock[[#This Row],[Salidas]]-Stock[[#This Row],[Usados]]</f>
        <v>0</v>
      </c>
      <c r="L845" s="24">
        <f>Stock[[#This Row],[Stock Deposito]]*Stock[[#This Row],[Precio de Venta]]</f>
        <v>195000</v>
      </c>
      <c r="M845" s="6">
        <f>SUMIFS(Tabla9[Cantidad],Tabla9[Codigo],Stock[Codigo])</f>
        <v>54</v>
      </c>
      <c r="N845" s="24">
        <f>Stock[[#This Row],[Precio de Compra]]*Stock[[#This Row],[Stock Cultivate]]</f>
        <v>0</v>
      </c>
      <c r="O845" s="24">
        <f>Stock[[#This Row],[Stock Cultivate]]*Stock[[#This Row],[Precio de Venta]]</f>
        <v>0</v>
      </c>
      <c r="R845" s="16"/>
    </row>
    <row r="846" spans="2:18">
      <c r="B846" s="44">
        <v>49</v>
      </c>
      <c r="C846" t="s">
        <v>45</v>
      </c>
      <c r="D846" s="45">
        <v>416</v>
      </c>
      <c r="E846" s="24">
        <v>850</v>
      </c>
      <c r="F846" s="44">
        <f>Stock[Entradas]-Stock[Compra Cultivate]</f>
        <v>0</v>
      </c>
      <c r="G846" s="11">
        <f>SUMIFS(Compras[Cantidad],Compras[Codigo],Stock[Codigo])</f>
        <v>5</v>
      </c>
      <c r="H846" s="11">
        <f>SUMIFS(Ventas[Cantidad],Ventas[Codigo],Stock[[#This Row],[Codigo]])</f>
        <v>2</v>
      </c>
      <c r="I846" s="12">
        <f>Stock[[#This Row],[Stock Deposito]]*Stock[[#This Row],[Precio de Compra]]</f>
        <v>0</v>
      </c>
      <c r="J846" s="6">
        <f>SUMIFS(ProdDesc[Cantidad],ProdDesc[Codigo],Stock[Codigo])</f>
        <v>0</v>
      </c>
      <c r="K846" s="44">
        <f>Stock[[#This Row],[Compra Cultivate]]-Stock[[#This Row],[Salidas]]-Stock[[#This Row],[Usados]]</f>
        <v>3</v>
      </c>
      <c r="L846" s="24">
        <f>Stock[[#This Row],[Stock Deposito]]*Stock[[#This Row],[Precio de Venta]]</f>
        <v>0</v>
      </c>
      <c r="M846" s="6">
        <f>SUMIFS(Tabla9[Cantidad],Tabla9[Codigo],Stock[Codigo])</f>
        <v>5</v>
      </c>
      <c r="N846" s="24">
        <f>Stock[[#This Row],[Precio de Compra]]*Stock[[#This Row],[Stock Cultivate]]</f>
        <v>1248</v>
      </c>
      <c r="O846" s="24">
        <f>Stock[[#This Row],[Stock Cultivate]]*Stock[[#This Row],[Precio de Venta]]</f>
        <v>2550</v>
      </c>
      <c r="R846" s="16"/>
    </row>
    <row r="847" spans="2:18">
      <c r="B847" s="44">
        <v>48</v>
      </c>
      <c r="C847" t="s">
        <v>67</v>
      </c>
      <c r="D847" s="45">
        <v>280</v>
      </c>
      <c r="E847" s="24">
        <v>600</v>
      </c>
      <c r="F847" s="44">
        <f>Stock[Entradas]-Stock[Compra Cultivate]</f>
        <v>0</v>
      </c>
      <c r="G847" s="11">
        <f>SUMIFS(Compras[Cantidad],Compras[Codigo],Stock[Codigo])</f>
        <v>0</v>
      </c>
      <c r="H847" s="11">
        <f>SUMIFS(Ventas[Cantidad],Ventas[Codigo],Stock[[#This Row],[Codigo]])</f>
        <v>0</v>
      </c>
      <c r="I847" s="12">
        <f>Stock[[#This Row],[Stock Deposito]]*Stock[[#This Row],[Precio de Compra]]</f>
        <v>0</v>
      </c>
      <c r="J847" s="6">
        <f>SUMIFS(ProdDesc[Cantidad],ProdDesc[Codigo],Stock[Codigo])</f>
        <v>0</v>
      </c>
      <c r="K847" s="44">
        <f>Stock[[#This Row],[Compra Cultivate]]-Stock[[#This Row],[Salidas]]-Stock[[#This Row],[Usados]]</f>
        <v>0</v>
      </c>
      <c r="L847" s="24">
        <f>Stock[[#This Row],[Stock Deposito]]*Stock[[#This Row],[Precio de Venta]]</f>
        <v>0</v>
      </c>
      <c r="M847" s="6">
        <f>SUMIFS(Tabla9[Cantidad],Tabla9[Codigo],Stock[Codigo])</f>
        <v>0</v>
      </c>
      <c r="N847" s="24">
        <f>Stock[[#This Row],[Precio de Compra]]*Stock[[#This Row],[Stock Cultivate]]</f>
        <v>0</v>
      </c>
      <c r="O847" s="24">
        <f>Stock[[#This Row],[Stock Cultivate]]*Stock[[#This Row],[Precio de Venta]]</f>
        <v>0</v>
      </c>
      <c r="R847" s="16"/>
    </row>
    <row r="848" spans="2:18">
      <c r="B848" s="44">
        <v>47</v>
      </c>
      <c r="C848" t="s">
        <v>66</v>
      </c>
      <c r="D848" s="45">
        <v>350</v>
      </c>
      <c r="E848" s="24">
        <v>700</v>
      </c>
      <c r="F848" s="44">
        <f>Stock[Entradas]-Stock[Compra Cultivate]</f>
        <v>0</v>
      </c>
      <c r="G848" s="11">
        <f>SUMIFS(Compras[Cantidad],Compras[Codigo],Stock[Codigo])</f>
        <v>5</v>
      </c>
      <c r="H848" s="11">
        <f>SUMIFS(Ventas[Cantidad],Ventas[Codigo],Stock[[#This Row],[Codigo]])</f>
        <v>1</v>
      </c>
      <c r="I848" s="12">
        <f>Stock[[#This Row],[Stock Deposito]]*Stock[[#This Row],[Precio de Compra]]</f>
        <v>0</v>
      </c>
      <c r="J848" s="6">
        <f>SUMIFS(ProdDesc[Cantidad],ProdDesc[Codigo],Stock[Codigo])</f>
        <v>0</v>
      </c>
      <c r="K848" s="44">
        <f>Stock[[#This Row],[Compra Cultivate]]-Stock[[#This Row],[Salidas]]-Stock[[#This Row],[Usados]]</f>
        <v>4</v>
      </c>
      <c r="L848" s="24">
        <f>Stock[[#This Row],[Stock Deposito]]*Stock[[#This Row],[Precio de Venta]]</f>
        <v>0</v>
      </c>
      <c r="M848" s="6">
        <f>SUMIFS(Tabla9[Cantidad],Tabla9[Codigo],Stock[Codigo])</f>
        <v>5</v>
      </c>
      <c r="N848" s="24">
        <f>Stock[[#This Row],[Precio de Compra]]*Stock[[#This Row],[Stock Cultivate]]</f>
        <v>1400</v>
      </c>
      <c r="O848" s="24">
        <f>Stock[[#This Row],[Stock Cultivate]]*Stock[[#This Row],[Precio de Venta]]</f>
        <v>2800</v>
      </c>
      <c r="R848" s="16"/>
    </row>
    <row r="849" spans="2:18">
      <c r="B849" s="44">
        <v>46</v>
      </c>
      <c r="C849" t="s">
        <v>65</v>
      </c>
      <c r="D849" s="45">
        <v>400</v>
      </c>
      <c r="E849" s="24">
        <v>800</v>
      </c>
      <c r="F849" s="44">
        <f>Stock[Entradas]-Stock[Compra Cultivate]</f>
        <v>0</v>
      </c>
      <c r="G849" s="11">
        <f>SUMIFS(Compras[Cantidad],Compras[Codigo],Stock[Codigo])</f>
        <v>0</v>
      </c>
      <c r="H849" s="11">
        <f>SUMIFS(Ventas[Cantidad],Ventas[Codigo],Stock[[#This Row],[Codigo]])</f>
        <v>0</v>
      </c>
      <c r="I849" s="12">
        <f>Stock[[#This Row],[Stock Deposito]]*Stock[[#This Row],[Precio de Compra]]</f>
        <v>0</v>
      </c>
      <c r="J849" s="6">
        <f>SUMIFS(ProdDesc[Cantidad],ProdDesc[Codigo],Stock[Codigo])</f>
        <v>0</v>
      </c>
      <c r="K849" s="44">
        <f>Stock[[#This Row],[Compra Cultivate]]-Stock[[#This Row],[Salidas]]-Stock[[#This Row],[Usados]]</f>
        <v>0</v>
      </c>
      <c r="L849" s="24">
        <f>Stock[[#This Row],[Stock Deposito]]*Stock[[#This Row],[Precio de Venta]]</f>
        <v>0</v>
      </c>
      <c r="M849" s="6">
        <f>SUMIFS(Tabla9[Cantidad],Tabla9[Codigo],Stock[Codigo])</f>
        <v>0</v>
      </c>
      <c r="N849" s="24">
        <f>Stock[[#This Row],[Precio de Compra]]*Stock[[#This Row],[Stock Cultivate]]</f>
        <v>0</v>
      </c>
      <c r="O849" s="24">
        <f>Stock[[#This Row],[Stock Cultivate]]*Stock[[#This Row],[Precio de Venta]]</f>
        <v>0</v>
      </c>
      <c r="R849" s="16"/>
    </row>
    <row r="850" spans="2:18">
      <c r="B850" s="44">
        <v>45</v>
      </c>
      <c r="C850" t="s">
        <v>64</v>
      </c>
      <c r="D850" s="45">
        <v>400</v>
      </c>
      <c r="E850" s="24">
        <v>800</v>
      </c>
      <c r="F850" s="44">
        <f>Stock[Entradas]-Stock[Compra Cultivate]</f>
        <v>0</v>
      </c>
      <c r="G850" s="11">
        <f>SUMIFS(Compras[Cantidad],Compras[Codigo],Stock[Codigo])</f>
        <v>0</v>
      </c>
      <c r="H850" s="11">
        <f>SUMIFS(Ventas[Cantidad],Ventas[Codigo],Stock[[#This Row],[Codigo]])</f>
        <v>0</v>
      </c>
      <c r="I850" s="12">
        <f>Stock[[#This Row],[Stock Deposito]]*Stock[[#This Row],[Precio de Compra]]</f>
        <v>0</v>
      </c>
      <c r="J850" s="6">
        <f>SUMIFS(ProdDesc[Cantidad],ProdDesc[Codigo],Stock[Codigo])</f>
        <v>0</v>
      </c>
      <c r="K850" s="44">
        <f>Stock[[#This Row],[Compra Cultivate]]-Stock[[#This Row],[Salidas]]-Stock[[#This Row],[Usados]]</f>
        <v>0</v>
      </c>
      <c r="L850" s="24">
        <f>Stock[[#This Row],[Stock Deposito]]*Stock[[#This Row],[Precio de Venta]]</f>
        <v>0</v>
      </c>
      <c r="M850" s="6">
        <f>SUMIFS(Tabla9[Cantidad],Tabla9[Codigo],Stock[Codigo])</f>
        <v>0</v>
      </c>
      <c r="N850" s="24">
        <f>Stock[[#This Row],[Precio de Compra]]*Stock[[#This Row],[Stock Cultivate]]</f>
        <v>0</v>
      </c>
      <c r="O850" s="24">
        <f>Stock[[#This Row],[Stock Cultivate]]*Stock[[#This Row],[Precio de Venta]]</f>
        <v>0</v>
      </c>
      <c r="R850" s="16"/>
    </row>
    <row r="851" spans="2:18">
      <c r="B851" s="44">
        <v>44</v>
      </c>
      <c r="C851" t="s">
        <v>44</v>
      </c>
      <c r="D851" s="45">
        <v>250</v>
      </c>
      <c r="E851" s="24">
        <v>500</v>
      </c>
      <c r="F851" s="44">
        <f>Stock[Entradas]-Stock[Compra Cultivate]</f>
        <v>0</v>
      </c>
      <c r="G851" s="11">
        <f>SUMIFS(Compras[Cantidad],Compras[Codigo],Stock[Codigo])</f>
        <v>5</v>
      </c>
      <c r="H851" s="11">
        <f>SUMIFS(Ventas[Cantidad],Ventas[Codigo],Stock[[#This Row],[Codigo]])</f>
        <v>4</v>
      </c>
      <c r="I851" s="12">
        <f>Stock[[#This Row],[Stock Deposito]]*Stock[[#This Row],[Precio de Compra]]</f>
        <v>0</v>
      </c>
      <c r="J851" s="6">
        <f>SUMIFS(ProdDesc[Cantidad],ProdDesc[Codigo],Stock[Codigo])</f>
        <v>1</v>
      </c>
      <c r="K851" s="44">
        <f>Stock[[#This Row],[Compra Cultivate]]-Stock[[#This Row],[Salidas]]-Stock[[#This Row],[Usados]]</f>
        <v>0</v>
      </c>
      <c r="L851" s="24">
        <f>Stock[[#This Row],[Stock Deposito]]*Stock[[#This Row],[Precio de Venta]]</f>
        <v>0</v>
      </c>
      <c r="M851" s="6">
        <f>SUMIFS(Tabla9[Cantidad],Tabla9[Codigo],Stock[Codigo])</f>
        <v>5</v>
      </c>
      <c r="N851" s="24">
        <f>Stock[[#This Row],[Precio de Compra]]*Stock[[#This Row],[Stock Cultivate]]</f>
        <v>0</v>
      </c>
      <c r="O851" s="24">
        <f>Stock[[#This Row],[Stock Cultivate]]*Stock[[#This Row],[Precio de Venta]]</f>
        <v>0</v>
      </c>
      <c r="R851" s="16"/>
    </row>
    <row r="852" spans="2:18">
      <c r="B852" s="44">
        <v>43</v>
      </c>
      <c r="C852" t="s">
        <v>1162</v>
      </c>
      <c r="D852" s="45">
        <v>458</v>
      </c>
      <c r="E852" s="24">
        <v>900</v>
      </c>
      <c r="F852" s="44">
        <f>Stock[Entradas]-Stock[Compra Cultivate]</f>
        <v>1</v>
      </c>
      <c r="G852" s="11">
        <f>SUMIFS(Compras[Cantidad],Compras[Codigo],Stock[Codigo])</f>
        <v>4</v>
      </c>
      <c r="H852" s="11">
        <f>SUMIFS(Ventas[Cantidad],Ventas[Codigo],Stock[[#This Row],[Codigo]])</f>
        <v>1</v>
      </c>
      <c r="I852" s="12">
        <f>Stock[[#This Row],[Stock Deposito]]*Stock[[#This Row],[Precio de Compra]]</f>
        <v>458</v>
      </c>
      <c r="J852" s="6">
        <f>SUMIFS(ProdDesc[Cantidad],ProdDesc[Codigo],Stock[Codigo])</f>
        <v>2</v>
      </c>
      <c r="K852" s="44">
        <f>Stock[[#This Row],[Compra Cultivate]]-Stock[[#This Row],[Salidas]]-Stock[[#This Row],[Usados]]</f>
        <v>0</v>
      </c>
      <c r="L852" s="24">
        <f>Stock[[#This Row],[Stock Deposito]]*Stock[[#This Row],[Precio de Venta]]</f>
        <v>900</v>
      </c>
      <c r="M852" s="6">
        <f>SUMIFS(Tabla9[Cantidad],Tabla9[Codigo],Stock[Codigo])</f>
        <v>3</v>
      </c>
      <c r="N852" s="24">
        <f>Stock[[#This Row],[Precio de Compra]]*Stock[[#This Row],[Stock Cultivate]]</f>
        <v>0</v>
      </c>
      <c r="O852" s="24">
        <f>Stock[[#This Row],[Stock Cultivate]]*Stock[[#This Row],[Precio de Venta]]</f>
        <v>0</v>
      </c>
      <c r="R852" s="16"/>
    </row>
    <row r="853" spans="2:18">
      <c r="B853" s="44">
        <v>42</v>
      </c>
      <c r="C853" t="s">
        <v>1163</v>
      </c>
      <c r="D853" s="45">
        <v>795</v>
      </c>
      <c r="E853" s="24">
        <v>1600</v>
      </c>
      <c r="F853" s="44">
        <f>Stock[Entradas]-Stock[Compra Cultivate]</f>
        <v>1</v>
      </c>
      <c r="G853" s="11">
        <f>SUMIFS(Compras[Cantidad],Compras[Codigo],Stock[Codigo])</f>
        <v>4</v>
      </c>
      <c r="H853" s="11">
        <f>SUMIFS(Ventas[Cantidad],Ventas[Codigo],Stock[[#This Row],[Codigo]])</f>
        <v>1</v>
      </c>
      <c r="I853" s="12">
        <f>Stock[[#This Row],[Stock Deposito]]*Stock[[#This Row],[Precio de Compra]]</f>
        <v>795</v>
      </c>
      <c r="J853" s="6">
        <f>SUMIFS(ProdDesc[Cantidad],ProdDesc[Codigo],Stock[Codigo])</f>
        <v>0</v>
      </c>
      <c r="K853" s="44">
        <f>Stock[[#This Row],[Compra Cultivate]]-Stock[[#This Row],[Salidas]]-Stock[[#This Row],[Usados]]</f>
        <v>2</v>
      </c>
      <c r="L853" s="24">
        <f>Stock[[#This Row],[Stock Deposito]]*Stock[[#This Row],[Precio de Venta]]</f>
        <v>1600</v>
      </c>
      <c r="M853" s="6">
        <f>SUMIFS(Tabla9[Cantidad],Tabla9[Codigo],Stock[Codigo])</f>
        <v>3</v>
      </c>
      <c r="N853" s="24">
        <f>Stock[[#This Row],[Precio de Compra]]*Stock[[#This Row],[Stock Cultivate]]</f>
        <v>1590</v>
      </c>
      <c r="O853" s="24">
        <f>Stock[[#This Row],[Stock Cultivate]]*Stock[[#This Row],[Precio de Venta]]</f>
        <v>3200</v>
      </c>
      <c r="R853" s="16"/>
    </row>
    <row r="854" spans="2:18">
      <c r="B854" s="44">
        <v>41</v>
      </c>
      <c r="C854" t="s">
        <v>1164</v>
      </c>
      <c r="D854" s="45">
        <v>795</v>
      </c>
      <c r="E854" s="24">
        <v>1600</v>
      </c>
      <c r="F854" s="44">
        <f>Stock[Entradas]-Stock[Compra Cultivate]</f>
        <v>7</v>
      </c>
      <c r="G854" s="11">
        <f>SUMIFS(Compras[Cantidad],Compras[Codigo],Stock[Codigo])</f>
        <v>16</v>
      </c>
      <c r="H854" s="11">
        <f>SUMIFS(Ventas[Cantidad],Ventas[Codigo],Stock[[#This Row],[Codigo]])</f>
        <v>3</v>
      </c>
      <c r="I854" s="12">
        <f>Stock[[#This Row],[Stock Deposito]]*Stock[[#This Row],[Precio de Compra]]</f>
        <v>5565</v>
      </c>
      <c r="J854" s="6">
        <f>SUMIFS(ProdDesc[Cantidad],ProdDesc[Codigo],Stock[Codigo])</f>
        <v>0</v>
      </c>
      <c r="K854" s="44">
        <f>Stock[[#This Row],[Compra Cultivate]]-Stock[[#This Row],[Salidas]]-Stock[[#This Row],[Usados]]</f>
        <v>6</v>
      </c>
      <c r="L854" s="24">
        <f>Stock[[#This Row],[Stock Deposito]]*Stock[[#This Row],[Precio de Venta]]</f>
        <v>11200</v>
      </c>
      <c r="M854" s="6">
        <f>SUMIFS(Tabla9[Cantidad],Tabla9[Codigo],Stock[Codigo])</f>
        <v>9</v>
      </c>
      <c r="N854" s="24">
        <f>Stock[[#This Row],[Precio de Compra]]*Stock[[#This Row],[Stock Cultivate]]</f>
        <v>4770</v>
      </c>
      <c r="O854" s="24">
        <f>Stock[[#This Row],[Stock Cultivate]]*Stock[[#This Row],[Precio de Venta]]</f>
        <v>9600</v>
      </c>
      <c r="R854" s="16"/>
    </row>
    <row r="855" spans="2:18">
      <c r="B855" s="44">
        <v>40</v>
      </c>
      <c r="C855" t="s">
        <v>43</v>
      </c>
      <c r="D855" s="45">
        <v>600</v>
      </c>
      <c r="E855" s="24">
        <v>1200</v>
      </c>
      <c r="F855" s="44">
        <f>Stock[Entradas]-Stock[Compra Cultivate]</f>
        <v>8</v>
      </c>
      <c r="G855" s="11">
        <f>SUMIFS(Compras[Cantidad],Compras[Codigo],Stock[Codigo])</f>
        <v>16</v>
      </c>
      <c r="H855" s="11">
        <f>SUMIFS(Ventas[Cantidad],Ventas[Codigo],Stock[[#This Row],[Codigo]])</f>
        <v>8</v>
      </c>
      <c r="I855" s="12">
        <f>Stock[[#This Row],[Stock Deposito]]*Stock[[#This Row],[Precio de Compra]]</f>
        <v>4800</v>
      </c>
      <c r="J855" s="6">
        <f>SUMIFS(ProdDesc[Cantidad],ProdDesc[Codigo],Stock[Codigo])</f>
        <v>0</v>
      </c>
      <c r="K855" s="44">
        <f>Stock[[#This Row],[Compra Cultivate]]-Stock[[#This Row],[Salidas]]-Stock[[#This Row],[Usados]]</f>
        <v>0</v>
      </c>
      <c r="L855" s="24">
        <f>Stock[[#This Row],[Stock Deposito]]*Stock[[#This Row],[Precio de Venta]]</f>
        <v>9600</v>
      </c>
      <c r="M855" s="6">
        <f>SUMIFS(Tabla9[Cantidad],Tabla9[Codigo],Stock[Codigo])</f>
        <v>8</v>
      </c>
      <c r="N855" s="24">
        <f>Stock[[#This Row],[Precio de Compra]]*Stock[[#This Row],[Stock Cultivate]]</f>
        <v>0</v>
      </c>
      <c r="O855" s="24">
        <f>Stock[[#This Row],[Stock Cultivate]]*Stock[[#This Row],[Precio de Venta]]</f>
        <v>0</v>
      </c>
      <c r="R855" s="16"/>
    </row>
    <row r="856" spans="2:18">
      <c r="B856" s="44">
        <v>39</v>
      </c>
      <c r="C856" t="s">
        <v>42</v>
      </c>
      <c r="D856" s="45">
        <v>600</v>
      </c>
      <c r="E856" s="24">
        <v>1200</v>
      </c>
      <c r="F856" s="44">
        <f>Stock[Entradas]-Stock[Compra Cultivate]</f>
        <v>7</v>
      </c>
      <c r="G856" s="11">
        <f>SUMIFS(Compras[Cantidad],Compras[Codigo],Stock[Codigo])</f>
        <v>15</v>
      </c>
      <c r="H856" s="11">
        <f>SUMIFS(Ventas[Cantidad],Ventas[Codigo],Stock[[#This Row],[Codigo]])</f>
        <v>3</v>
      </c>
      <c r="I856" s="12">
        <f>Stock[[#This Row],[Stock Deposito]]*Stock[[#This Row],[Precio de Compra]]</f>
        <v>4200</v>
      </c>
      <c r="J856" s="6">
        <f>SUMIFS(ProdDesc[Cantidad],ProdDesc[Codigo],Stock[Codigo])</f>
        <v>2</v>
      </c>
      <c r="K856" s="44">
        <f>Stock[[#This Row],[Compra Cultivate]]-Stock[[#This Row],[Salidas]]-Stock[[#This Row],[Usados]]</f>
        <v>3</v>
      </c>
      <c r="L856" s="24">
        <f>Stock[[#This Row],[Stock Deposito]]*Stock[[#This Row],[Precio de Venta]]</f>
        <v>8400</v>
      </c>
      <c r="M856" s="6">
        <f>SUMIFS(Tabla9[Cantidad],Tabla9[Codigo],Stock[Codigo])</f>
        <v>8</v>
      </c>
      <c r="N856" s="24">
        <f>Stock[[#This Row],[Precio de Compra]]*Stock[[#This Row],[Stock Cultivate]]</f>
        <v>1800</v>
      </c>
      <c r="O856" s="24">
        <f>Stock[[#This Row],[Stock Cultivate]]*Stock[[#This Row],[Precio de Venta]]</f>
        <v>3600</v>
      </c>
      <c r="R856" s="16"/>
    </row>
    <row r="857" spans="2:18">
      <c r="B857" s="44">
        <v>38</v>
      </c>
      <c r="C857" t="s">
        <v>1165</v>
      </c>
      <c r="D857" s="45">
        <v>510</v>
      </c>
      <c r="E857" s="24">
        <v>1000</v>
      </c>
      <c r="F857" s="44">
        <f>Stock[Entradas]-Stock[Compra Cultivate]</f>
        <v>0</v>
      </c>
      <c r="G857" s="11">
        <f>SUMIFS(Compras[Cantidad],Compras[Codigo],Stock[Codigo])</f>
        <v>41</v>
      </c>
      <c r="H857" s="11">
        <f>SUMIFS(Ventas[Cantidad],Ventas[Codigo],Stock[[#This Row],[Codigo]])</f>
        <v>35</v>
      </c>
      <c r="I857" s="12">
        <f>Stock[[#This Row],[Stock Deposito]]*Stock[[#This Row],[Precio de Compra]]</f>
        <v>0</v>
      </c>
      <c r="J857" s="6">
        <f>SUMIFS(ProdDesc[Cantidad],ProdDesc[Codigo],Stock[Codigo])</f>
        <v>6</v>
      </c>
      <c r="K857" s="44">
        <f>Stock[[#This Row],[Compra Cultivate]]-Stock[[#This Row],[Salidas]]-Stock[[#This Row],[Usados]]</f>
        <v>0</v>
      </c>
      <c r="L857" s="24">
        <f>Stock[[#This Row],[Stock Deposito]]*Stock[[#This Row],[Precio de Venta]]</f>
        <v>0</v>
      </c>
      <c r="M857" s="6">
        <f>SUMIFS(Tabla9[Cantidad],Tabla9[Codigo],Stock[Codigo])</f>
        <v>41</v>
      </c>
      <c r="N857" s="24">
        <f>Stock[[#This Row],[Precio de Compra]]*Stock[[#This Row],[Stock Cultivate]]</f>
        <v>0</v>
      </c>
      <c r="O857" s="24">
        <f>Stock[[#This Row],[Stock Cultivate]]*Stock[[#This Row],[Precio de Venta]]</f>
        <v>0</v>
      </c>
      <c r="R857" s="16"/>
    </row>
    <row r="858" spans="2:18">
      <c r="B858" s="44">
        <v>37</v>
      </c>
      <c r="C858" t="s">
        <v>1166</v>
      </c>
      <c r="D858" s="45">
        <v>510</v>
      </c>
      <c r="E858" s="24">
        <v>1000</v>
      </c>
      <c r="F858" s="44">
        <f>Stock[Entradas]-Stock[Compra Cultivate]</f>
        <v>6</v>
      </c>
      <c r="G858" s="11">
        <f>SUMIFS(Compras[Cantidad],Compras[Codigo],Stock[Codigo])</f>
        <v>40</v>
      </c>
      <c r="H858" s="11">
        <f>SUMIFS(Ventas[Cantidad],Ventas[Codigo],Stock[[#This Row],[Codigo]])</f>
        <v>7</v>
      </c>
      <c r="I858" s="12">
        <f>Stock[[#This Row],[Stock Deposito]]*Stock[[#This Row],[Precio de Compra]]</f>
        <v>3060</v>
      </c>
      <c r="J858" s="6">
        <f>SUMIFS(ProdDesc[Cantidad],ProdDesc[Codigo],Stock[Codigo])</f>
        <v>4</v>
      </c>
      <c r="K858" s="44">
        <f>Stock[[#This Row],[Compra Cultivate]]-Stock[[#This Row],[Salidas]]-Stock[[#This Row],[Usados]]</f>
        <v>23</v>
      </c>
      <c r="L858" s="24">
        <f>Stock[[#This Row],[Stock Deposito]]*Stock[[#This Row],[Precio de Venta]]</f>
        <v>6000</v>
      </c>
      <c r="M858" s="6">
        <f>SUMIFS(Tabla9[Cantidad],Tabla9[Codigo],Stock[Codigo])</f>
        <v>34</v>
      </c>
      <c r="N858" s="24">
        <f>Stock[[#This Row],[Precio de Compra]]*Stock[[#This Row],[Stock Cultivate]]</f>
        <v>11730</v>
      </c>
      <c r="O858" s="24">
        <f>Stock[[#This Row],[Stock Cultivate]]*Stock[[#This Row],[Precio de Venta]]</f>
        <v>23000</v>
      </c>
      <c r="R858" s="16"/>
    </row>
    <row r="859" spans="2:18">
      <c r="B859" s="44">
        <v>36</v>
      </c>
      <c r="C859" t="s">
        <v>41</v>
      </c>
      <c r="D859" s="45">
        <v>908</v>
      </c>
      <c r="E859" s="24">
        <v>1800</v>
      </c>
      <c r="F859" s="44">
        <f>Stock[Entradas]-Stock[Compra Cultivate]</f>
        <v>0</v>
      </c>
      <c r="G859" s="11">
        <f>SUMIFS(Compras[Cantidad],Compras[Codigo],Stock[Codigo])</f>
        <v>46</v>
      </c>
      <c r="H859" s="11">
        <f>SUMIFS(Ventas[Cantidad],Ventas[Codigo],Stock[[#This Row],[Codigo]])</f>
        <v>39</v>
      </c>
      <c r="I859" s="12">
        <f>Stock[[#This Row],[Stock Deposito]]*Stock[[#This Row],[Precio de Compra]]</f>
        <v>0</v>
      </c>
      <c r="J859" s="6">
        <f>SUMIFS(ProdDesc[Cantidad],ProdDesc[Codigo],Stock[Codigo])</f>
        <v>7</v>
      </c>
      <c r="K859" s="44">
        <f>Stock[[#This Row],[Compra Cultivate]]-Stock[[#This Row],[Salidas]]-Stock[[#This Row],[Usados]]</f>
        <v>0</v>
      </c>
      <c r="L859" s="24">
        <f>Stock[[#This Row],[Stock Deposito]]*Stock[[#This Row],[Precio de Venta]]</f>
        <v>0</v>
      </c>
      <c r="M859" s="6">
        <f>SUMIFS(Tabla9[Cantidad],Tabla9[Codigo],Stock[Codigo])</f>
        <v>46</v>
      </c>
      <c r="N859" s="24">
        <f>Stock[[#This Row],[Precio de Compra]]*Stock[[#This Row],[Stock Cultivate]]</f>
        <v>0</v>
      </c>
      <c r="O859" s="24">
        <f>Stock[[#This Row],[Stock Cultivate]]*Stock[[#This Row],[Precio de Venta]]</f>
        <v>0</v>
      </c>
      <c r="R859" s="16"/>
    </row>
    <row r="860" spans="2:18">
      <c r="B860" s="44">
        <v>35</v>
      </c>
      <c r="C860" t="s">
        <v>40</v>
      </c>
      <c r="D860" s="45">
        <v>715</v>
      </c>
      <c r="E860" s="24">
        <v>1500</v>
      </c>
      <c r="F860" s="44">
        <f>Stock[Entradas]-Stock[Compra Cultivate]</f>
        <v>0</v>
      </c>
      <c r="G860" s="11">
        <f>SUMIFS(Compras[Cantidad],Compras[Codigo],Stock[Codigo])</f>
        <v>5</v>
      </c>
      <c r="H860" s="11">
        <f>SUMIFS(Ventas[Cantidad],Ventas[Codigo],Stock[[#This Row],[Codigo]])</f>
        <v>5</v>
      </c>
      <c r="I860" s="12">
        <f>Stock[[#This Row],[Stock Deposito]]*Stock[[#This Row],[Precio de Compra]]</f>
        <v>0</v>
      </c>
      <c r="J860" s="6">
        <f>SUMIFS(ProdDesc[Cantidad],ProdDesc[Codigo],Stock[Codigo])</f>
        <v>0</v>
      </c>
      <c r="K860" s="44">
        <f>Stock[[#This Row],[Compra Cultivate]]-Stock[[#This Row],[Salidas]]-Stock[[#This Row],[Usados]]</f>
        <v>0</v>
      </c>
      <c r="L860" s="24">
        <f>Stock[[#This Row],[Stock Deposito]]*Stock[[#This Row],[Precio de Venta]]</f>
        <v>0</v>
      </c>
      <c r="M860" s="6">
        <f>SUMIFS(Tabla9[Cantidad],Tabla9[Codigo],Stock[Codigo])</f>
        <v>5</v>
      </c>
      <c r="N860" s="24">
        <f>Stock[[#This Row],[Precio de Compra]]*Stock[[#This Row],[Stock Cultivate]]</f>
        <v>0</v>
      </c>
      <c r="O860" s="24">
        <f>Stock[[#This Row],[Stock Cultivate]]*Stock[[#This Row],[Precio de Venta]]</f>
        <v>0</v>
      </c>
      <c r="R860" s="16"/>
    </row>
    <row r="861" spans="2:18">
      <c r="B861" s="44">
        <v>34</v>
      </c>
      <c r="C861" t="s">
        <v>39</v>
      </c>
      <c r="D861" s="45">
        <v>2020</v>
      </c>
      <c r="E861" s="24">
        <v>4000</v>
      </c>
      <c r="F861" s="44">
        <f>Stock[Entradas]-Stock[Compra Cultivate]</f>
        <v>5</v>
      </c>
      <c r="G861" s="11">
        <f>SUMIFS(Compras[Cantidad],Compras[Codigo],Stock[Codigo])</f>
        <v>6</v>
      </c>
      <c r="H861" s="11">
        <f>SUMIFS(Ventas[Cantidad],Ventas[Codigo],Stock[[#This Row],[Codigo]])</f>
        <v>1</v>
      </c>
      <c r="I861" s="12">
        <f>Stock[[#This Row],[Stock Deposito]]*Stock[[#This Row],[Precio de Compra]]</f>
        <v>10100</v>
      </c>
      <c r="J861" s="6">
        <f>SUMIFS(ProdDesc[Cantidad],ProdDesc[Codigo],Stock[Codigo])</f>
        <v>0</v>
      </c>
      <c r="K861" s="44">
        <f>Stock[[#This Row],[Compra Cultivate]]-Stock[[#This Row],[Salidas]]-Stock[[#This Row],[Usados]]</f>
        <v>0</v>
      </c>
      <c r="L861" s="24">
        <f>Stock[[#This Row],[Stock Deposito]]*Stock[[#This Row],[Precio de Venta]]</f>
        <v>20000</v>
      </c>
      <c r="M861" s="6">
        <f>SUMIFS(Tabla9[Cantidad],Tabla9[Codigo],Stock[Codigo])</f>
        <v>1</v>
      </c>
      <c r="N861" s="24">
        <f>Stock[[#This Row],[Precio de Compra]]*Stock[[#This Row],[Stock Cultivate]]</f>
        <v>0</v>
      </c>
      <c r="O861" s="24">
        <f>Stock[[#This Row],[Stock Cultivate]]*Stock[[#This Row],[Precio de Venta]]</f>
        <v>0</v>
      </c>
      <c r="R861" s="16"/>
    </row>
    <row r="862" spans="2:18">
      <c r="B862" s="44">
        <v>33</v>
      </c>
      <c r="C862" t="s">
        <v>82</v>
      </c>
      <c r="D862" s="45">
        <v>650</v>
      </c>
      <c r="E862" s="24">
        <v>1400</v>
      </c>
      <c r="F862" s="44">
        <f>Stock[Entradas]-Stock[Compra Cultivate]</f>
        <v>0</v>
      </c>
      <c r="G862" s="11">
        <f>SUMIFS(Compras[Cantidad],Compras[Codigo],Stock[Codigo])</f>
        <v>9</v>
      </c>
      <c r="H862" s="11">
        <f>SUMIFS(Ventas[Cantidad],Ventas[Codigo],Stock[[#This Row],[Codigo]])</f>
        <v>6</v>
      </c>
      <c r="I862" s="12">
        <f>Stock[[#This Row],[Stock Deposito]]*Stock[[#This Row],[Precio de Compra]]</f>
        <v>0</v>
      </c>
      <c r="J862" s="6">
        <f>SUMIFS(ProdDesc[Cantidad],ProdDesc[Codigo],Stock[Codigo])</f>
        <v>1</v>
      </c>
      <c r="K862" s="44">
        <f>Stock[[#This Row],[Compra Cultivate]]-Stock[[#This Row],[Salidas]]-Stock[[#This Row],[Usados]]</f>
        <v>2</v>
      </c>
      <c r="L862" s="24">
        <f>Stock[[#This Row],[Stock Deposito]]*Stock[[#This Row],[Precio de Venta]]</f>
        <v>0</v>
      </c>
      <c r="M862" s="6">
        <f>SUMIFS(Tabla9[Cantidad],Tabla9[Codigo],Stock[Codigo])</f>
        <v>9</v>
      </c>
      <c r="N862" s="24">
        <f>Stock[[#This Row],[Precio de Compra]]*Stock[[#This Row],[Stock Cultivate]]</f>
        <v>1300</v>
      </c>
      <c r="O862" s="24">
        <f>Stock[[#This Row],[Stock Cultivate]]*Stock[[#This Row],[Precio de Venta]]</f>
        <v>2800</v>
      </c>
      <c r="R862" s="16"/>
    </row>
    <row r="863" spans="2:18">
      <c r="B863" s="44">
        <v>32</v>
      </c>
      <c r="C863" t="s">
        <v>81</v>
      </c>
      <c r="D863" s="45">
        <v>715</v>
      </c>
      <c r="E863" s="24">
        <v>1400</v>
      </c>
      <c r="F863" s="44">
        <f>Stock[Entradas]-Stock[Compra Cultivate]</f>
        <v>0</v>
      </c>
      <c r="G863" s="11">
        <f>SUMIFS(Compras[Cantidad],Compras[Codigo],Stock[Codigo])</f>
        <v>5</v>
      </c>
      <c r="H863" s="11">
        <f>SUMIFS(Ventas[Cantidad],Ventas[Codigo],Stock[[#This Row],[Codigo]])</f>
        <v>5</v>
      </c>
      <c r="I863" s="12">
        <f>Stock[[#This Row],[Stock Deposito]]*Stock[[#This Row],[Precio de Compra]]</f>
        <v>0</v>
      </c>
      <c r="J863" s="6">
        <f>SUMIFS(ProdDesc[Cantidad],ProdDesc[Codigo],Stock[Codigo])</f>
        <v>0</v>
      </c>
      <c r="K863" s="44">
        <f>Stock[[#This Row],[Compra Cultivate]]-Stock[[#This Row],[Salidas]]-Stock[[#This Row],[Usados]]</f>
        <v>0</v>
      </c>
      <c r="L863" s="24">
        <f>Stock[[#This Row],[Stock Deposito]]*Stock[[#This Row],[Precio de Venta]]</f>
        <v>0</v>
      </c>
      <c r="M863" s="6">
        <f>SUMIFS(Tabla9[Cantidad],Tabla9[Codigo],Stock[Codigo])</f>
        <v>5</v>
      </c>
      <c r="N863" s="24">
        <f>Stock[[#This Row],[Precio de Compra]]*Stock[[#This Row],[Stock Cultivate]]</f>
        <v>0</v>
      </c>
      <c r="O863" s="24">
        <f>Stock[[#This Row],[Stock Cultivate]]*Stock[[#This Row],[Precio de Venta]]</f>
        <v>0</v>
      </c>
      <c r="R863" s="16"/>
    </row>
    <row r="864" spans="2:18">
      <c r="B864" s="44">
        <v>31</v>
      </c>
      <c r="C864" t="s">
        <v>80</v>
      </c>
      <c r="D864" s="45">
        <v>700</v>
      </c>
      <c r="E864" s="24">
        <v>1400</v>
      </c>
      <c r="F864" s="44">
        <f>Stock[Entradas]-Stock[Compra Cultivate]</f>
        <v>0</v>
      </c>
      <c r="G864" s="11">
        <f>SUMIFS(Compras[Cantidad],Compras[Codigo],Stock[Codigo])</f>
        <v>13</v>
      </c>
      <c r="H864" s="11">
        <f>SUMIFS(Ventas[Cantidad],Ventas[Codigo],Stock[[#This Row],[Codigo]])</f>
        <v>10</v>
      </c>
      <c r="I864" s="12">
        <f>Stock[[#This Row],[Stock Deposito]]*Stock[[#This Row],[Precio de Compra]]</f>
        <v>0</v>
      </c>
      <c r="J864" s="6">
        <f>SUMIFS(ProdDesc[Cantidad],ProdDesc[Codigo],Stock[Codigo])</f>
        <v>0</v>
      </c>
      <c r="K864" s="44">
        <f>Stock[[#This Row],[Compra Cultivate]]-Stock[[#This Row],[Salidas]]-Stock[[#This Row],[Usados]]</f>
        <v>3</v>
      </c>
      <c r="L864" s="24">
        <f>Stock[[#This Row],[Stock Deposito]]*Stock[[#This Row],[Precio de Venta]]</f>
        <v>0</v>
      </c>
      <c r="M864" s="6">
        <f>SUMIFS(Tabla9[Cantidad],Tabla9[Codigo],Stock[Codigo])</f>
        <v>13</v>
      </c>
      <c r="N864" s="24">
        <f>Stock[[#This Row],[Precio de Compra]]*Stock[[#This Row],[Stock Cultivate]]</f>
        <v>2100</v>
      </c>
      <c r="O864" s="24">
        <f>Stock[[#This Row],[Stock Cultivate]]*Stock[[#This Row],[Precio de Venta]]</f>
        <v>4200</v>
      </c>
      <c r="R864" s="16"/>
    </row>
    <row r="865" spans="2:18">
      <c r="B865" s="44">
        <v>30</v>
      </c>
      <c r="C865" t="s">
        <v>76</v>
      </c>
      <c r="D865" s="45">
        <v>700</v>
      </c>
      <c r="E865" s="24">
        <v>1500</v>
      </c>
      <c r="F865" s="44">
        <f>Stock[Entradas]-Stock[Compra Cultivate]</f>
        <v>0</v>
      </c>
      <c r="G865" s="11">
        <f>SUMIFS(Compras[Cantidad],Compras[Codigo],Stock[Codigo])</f>
        <v>12</v>
      </c>
      <c r="H865" s="11">
        <f>SUMIFS(Ventas[Cantidad],Ventas[Codigo],Stock[[#This Row],[Codigo]])</f>
        <v>10</v>
      </c>
      <c r="I865" s="12">
        <f>Stock[[#This Row],[Stock Deposito]]*Stock[[#This Row],[Precio de Compra]]</f>
        <v>0</v>
      </c>
      <c r="J865" s="6">
        <f>SUMIFS(ProdDesc[Cantidad],ProdDesc[Codigo],Stock[Codigo])</f>
        <v>2</v>
      </c>
      <c r="K865" s="44">
        <f>Stock[[#This Row],[Compra Cultivate]]-Stock[[#This Row],[Salidas]]-Stock[[#This Row],[Usados]]</f>
        <v>0</v>
      </c>
      <c r="L865" s="24">
        <f>Stock[[#This Row],[Stock Deposito]]*Stock[[#This Row],[Precio de Venta]]</f>
        <v>0</v>
      </c>
      <c r="M865" s="6">
        <f>SUMIFS(Tabla9[Cantidad],Tabla9[Codigo],Stock[Codigo])</f>
        <v>12</v>
      </c>
      <c r="N865" s="24">
        <f>Stock[[#This Row],[Precio de Compra]]*Stock[[#This Row],[Stock Cultivate]]</f>
        <v>0</v>
      </c>
      <c r="O865" s="24">
        <f>Stock[[#This Row],[Stock Cultivate]]*Stock[[#This Row],[Precio de Venta]]</f>
        <v>0</v>
      </c>
      <c r="R865" s="16"/>
    </row>
    <row r="866" spans="2:18">
      <c r="B866" s="44">
        <v>29</v>
      </c>
      <c r="C866" t="s">
        <v>38</v>
      </c>
      <c r="D866" s="45">
        <v>2530</v>
      </c>
      <c r="E866" s="24">
        <v>5000</v>
      </c>
      <c r="F866" s="44">
        <f>Stock[Entradas]-Stock[Compra Cultivate]</f>
        <v>0</v>
      </c>
      <c r="G866" s="11">
        <f>SUMIFS(Compras[Cantidad],Compras[Codigo],Stock[Codigo])</f>
        <v>2</v>
      </c>
      <c r="H866" s="11">
        <f>SUMIFS(Ventas[Cantidad],Ventas[Codigo],Stock[[#This Row],[Codigo]])</f>
        <v>0</v>
      </c>
      <c r="I866" s="12">
        <f>Stock[[#This Row],[Stock Deposito]]*Stock[[#This Row],[Precio de Compra]]</f>
        <v>0</v>
      </c>
      <c r="J866" s="6">
        <f>SUMIFS(ProdDesc[Cantidad],ProdDesc[Codigo],Stock[Codigo])</f>
        <v>0</v>
      </c>
      <c r="K866" s="44">
        <f>Stock[[#This Row],[Compra Cultivate]]-Stock[[#This Row],[Salidas]]-Stock[[#This Row],[Usados]]</f>
        <v>2</v>
      </c>
      <c r="L866" s="24">
        <f>Stock[[#This Row],[Stock Deposito]]*Stock[[#This Row],[Precio de Venta]]</f>
        <v>0</v>
      </c>
      <c r="M866" s="6">
        <f>SUMIFS(Tabla9[Cantidad],Tabla9[Codigo],Stock[Codigo])</f>
        <v>2</v>
      </c>
      <c r="N866" s="24">
        <f>Stock[[#This Row],[Precio de Compra]]*Stock[[#This Row],[Stock Cultivate]]</f>
        <v>5060</v>
      </c>
      <c r="O866" s="24">
        <f>Stock[[#This Row],[Stock Cultivate]]*Stock[[#This Row],[Precio de Venta]]</f>
        <v>10000</v>
      </c>
      <c r="R866" s="16"/>
    </row>
    <row r="867" spans="2:18">
      <c r="B867" s="44">
        <v>28</v>
      </c>
      <c r="C867" t="s">
        <v>75</v>
      </c>
      <c r="D867" s="45">
        <v>420</v>
      </c>
      <c r="E867" s="24">
        <v>850</v>
      </c>
      <c r="F867" s="44">
        <f>Stock[Entradas]-Stock[Compra Cultivate]</f>
        <v>0</v>
      </c>
      <c r="G867" s="11">
        <f>SUMIFS(Compras[Cantidad],Compras[Codigo],Stock[Codigo])</f>
        <v>2</v>
      </c>
      <c r="H867" s="11">
        <f>SUMIFS(Ventas[Cantidad],Ventas[Codigo],Stock[[#This Row],[Codigo]])</f>
        <v>1</v>
      </c>
      <c r="I867" s="12">
        <f>Stock[[#This Row],[Stock Deposito]]*Stock[[#This Row],[Precio de Compra]]</f>
        <v>0</v>
      </c>
      <c r="J867" s="6">
        <f>SUMIFS(ProdDesc[Cantidad],ProdDesc[Codigo],Stock[Codigo])</f>
        <v>0</v>
      </c>
      <c r="K867" s="44">
        <f>Stock[[#This Row],[Compra Cultivate]]-Stock[[#This Row],[Salidas]]-Stock[[#This Row],[Usados]]</f>
        <v>1</v>
      </c>
      <c r="L867" s="24">
        <f>Stock[[#This Row],[Stock Deposito]]*Stock[[#This Row],[Precio de Venta]]</f>
        <v>0</v>
      </c>
      <c r="M867" s="6">
        <f>SUMIFS(Tabla9[Cantidad],Tabla9[Codigo],Stock[Codigo])</f>
        <v>2</v>
      </c>
      <c r="N867" s="24">
        <f>Stock[[#This Row],[Precio de Compra]]*Stock[[#This Row],[Stock Cultivate]]</f>
        <v>420</v>
      </c>
      <c r="O867" s="24">
        <f>Stock[[#This Row],[Stock Cultivate]]*Stock[[#This Row],[Precio de Venta]]</f>
        <v>850</v>
      </c>
      <c r="R867" s="16"/>
    </row>
    <row r="868" spans="2:18">
      <c r="B868" s="44">
        <v>27</v>
      </c>
      <c r="C868" t="s">
        <v>84</v>
      </c>
      <c r="D868" s="45">
        <v>320</v>
      </c>
      <c r="E868" s="24">
        <v>650</v>
      </c>
      <c r="F868" s="44">
        <f>Stock[Entradas]-Stock[Compra Cultivate]</f>
        <v>0</v>
      </c>
      <c r="G868" s="11">
        <f>SUMIFS(Compras[Cantidad],Compras[Codigo],Stock[Codigo])</f>
        <v>18</v>
      </c>
      <c r="H868" s="11">
        <f>SUMIFS(Ventas[Cantidad],Ventas[Codigo],Stock[[#This Row],[Codigo]])</f>
        <v>8</v>
      </c>
      <c r="I868" s="12">
        <f>Stock[[#This Row],[Stock Deposito]]*Stock[[#This Row],[Precio de Compra]]</f>
        <v>0</v>
      </c>
      <c r="J868" s="6">
        <f>SUMIFS(ProdDesc[Cantidad],ProdDesc[Codigo],Stock[Codigo])</f>
        <v>0</v>
      </c>
      <c r="K868" s="44">
        <f>Stock[[#This Row],[Compra Cultivate]]-Stock[[#This Row],[Salidas]]-Stock[[#This Row],[Usados]]</f>
        <v>10</v>
      </c>
      <c r="L868" s="24">
        <f>Stock[[#This Row],[Stock Deposito]]*Stock[[#This Row],[Precio de Venta]]</f>
        <v>0</v>
      </c>
      <c r="M868" s="6">
        <f>SUMIFS(Tabla9[Cantidad],Tabla9[Codigo],Stock[Codigo])</f>
        <v>18</v>
      </c>
      <c r="N868" s="24">
        <f>Stock[[#This Row],[Precio de Compra]]*Stock[[#This Row],[Stock Cultivate]]</f>
        <v>3200</v>
      </c>
      <c r="O868" s="24">
        <f>Stock[[#This Row],[Stock Cultivate]]*Stock[[#This Row],[Precio de Venta]]</f>
        <v>6500</v>
      </c>
      <c r="R868" s="16"/>
    </row>
    <row r="869" spans="2:18">
      <c r="B869" s="44">
        <v>26</v>
      </c>
      <c r="C869" t="s">
        <v>74</v>
      </c>
      <c r="D869" s="45">
        <v>220</v>
      </c>
      <c r="E869" s="24">
        <v>500</v>
      </c>
      <c r="F869" s="44">
        <f>Stock[Entradas]-Stock[Compra Cultivate]</f>
        <v>0</v>
      </c>
      <c r="G869" s="11">
        <f>SUMIFS(Compras[Cantidad],Compras[Codigo],Stock[Codigo])</f>
        <v>24</v>
      </c>
      <c r="H869" s="11">
        <f>SUMIFS(Ventas[Cantidad],Ventas[Codigo],Stock[[#This Row],[Codigo]])</f>
        <v>17</v>
      </c>
      <c r="I869" s="12">
        <f>Stock[[#This Row],[Stock Deposito]]*Stock[[#This Row],[Precio de Compra]]</f>
        <v>0</v>
      </c>
      <c r="J869" s="6">
        <f>SUMIFS(ProdDesc[Cantidad],ProdDesc[Codigo],Stock[Codigo])</f>
        <v>0</v>
      </c>
      <c r="K869" s="44">
        <f>Stock[[#This Row],[Compra Cultivate]]-Stock[[#This Row],[Salidas]]-Stock[[#This Row],[Usados]]</f>
        <v>7</v>
      </c>
      <c r="L869" s="24">
        <f>Stock[[#This Row],[Stock Deposito]]*Stock[[#This Row],[Precio de Venta]]</f>
        <v>0</v>
      </c>
      <c r="M869" s="6">
        <f>SUMIFS(Tabla9[Cantidad],Tabla9[Codigo],Stock[Codigo])</f>
        <v>24</v>
      </c>
      <c r="N869" s="24">
        <f>Stock[[#This Row],[Precio de Compra]]*Stock[[#This Row],[Stock Cultivate]]</f>
        <v>1540</v>
      </c>
      <c r="O869" s="24">
        <f>Stock[[#This Row],[Stock Cultivate]]*Stock[[#This Row],[Precio de Venta]]</f>
        <v>3500</v>
      </c>
      <c r="R869" s="16"/>
    </row>
    <row r="870" spans="2:18">
      <c r="B870" s="44">
        <v>25</v>
      </c>
      <c r="C870" t="s">
        <v>73</v>
      </c>
      <c r="D870" s="45">
        <v>345</v>
      </c>
      <c r="E870" s="24">
        <v>700</v>
      </c>
      <c r="F870" s="44">
        <f>Stock[Entradas]-Stock[Compra Cultivate]</f>
        <v>0</v>
      </c>
      <c r="G870" s="11">
        <f>SUMIFS(Compras[Cantidad],Compras[Codigo],Stock[Codigo])</f>
        <v>12</v>
      </c>
      <c r="H870" s="11">
        <f>SUMIFS(Ventas[Cantidad],Ventas[Codigo],Stock[[#This Row],[Codigo]])</f>
        <v>10</v>
      </c>
      <c r="I870" s="12">
        <f>Stock[[#This Row],[Stock Deposito]]*Stock[[#This Row],[Precio de Compra]]</f>
        <v>0</v>
      </c>
      <c r="J870" s="6">
        <f>SUMIFS(ProdDesc[Cantidad],ProdDesc[Codigo],Stock[Codigo])</f>
        <v>0</v>
      </c>
      <c r="K870" s="44">
        <f>Stock[[#This Row],[Compra Cultivate]]-Stock[[#This Row],[Salidas]]-Stock[[#This Row],[Usados]]</f>
        <v>2</v>
      </c>
      <c r="L870" s="24">
        <f>Stock[[#This Row],[Stock Deposito]]*Stock[[#This Row],[Precio de Venta]]</f>
        <v>0</v>
      </c>
      <c r="M870" s="6">
        <f>SUMIFS(Tabla9[Cantidad],Tabla9[Codigo],Stock[Codigo])</f>
        <v>12</v>
      </c>
      <c r="N870" s="24">
        <f>Stock[[#This Row],[Precio de Compra]]*Stock[[#This Row],[Stock Cultivate]]</f>
        <v>690</v>
      </c>
      <c r="O870" s="24">
        <f>Stock[[#This Row],[Stock Cultivate]]*Stock[[#This Row],[Precio de Venta]]</f>
        <v>1400</v>
      </c>
      <c r="R870" s="16"/>
    </row>
    <row r="871" spans="2:18">
      <c r="B871" s="44">
        <v>24</v>
      </c>
      <c r="C871" t="s">
        <v>72</v>
      </c>
      <c r="D871" s="45">
        <v>840</v>
      </c>
      <c r="E871" s="24">
        <v>1700</v>
      </c>
      <c r="F871" s="44">
        <f>Stock[Entradas]-Stock[Compra Cultivate]</f>
        <v>0</v>
      </c>
      <c r="G871" s="11">
        <f>SUMIFS(Compras[Cantidad],Compras[Codigo],Stock[Codigo])</f>
        <v>4</v>
      </c>
      <c r="H871" s="11">
        <f>SUMIFS(Ventas[Cantidad],Ventas[Codigo],Stock[[#This Row],[Codigo]])</f>
        <v>0</v>
      </c>
      <c r="I871" s="12">
        <f>Stock[[#This Row],[Stock Deposito]]*Stock[[#This Row],[Precio de Compra]]</f>
        <v>0</v>
      </c>
      <c r="J871" s="6">
        <f>SUMIFS(ProdDesc[Cantidad],ProdDesc[Codigo],Stock[Codigo])</f>
        <v>0</v>
      </c>
      <c r="K871" s="44">
        <f>Stock[[#This Row],[Compra Cultivate]]-Stock[[#This Row],[Salidas]]-Stock[[#This Row],[Usados]]</f>
        <v>4</v>
      </c>
      <c r="L871" s="24">
        <f>Stock[[#This Row],[Stock Deposito]]*Stock[[#This Row],[Precio de Venta]]</f>
        <v>0</v>
      </c>
      <c r="M871" s="6">
        <f>SUMIFS(Tabla9[Cantidad],Tabla9[Codigo],Stock[Codigo])</f>
        <v>4</v>
      </c>
      <c r="N871" s="24">
        <f>Stock[[#This Row],[Precio de Compra]]*Stock[[#This Row],[Stock Cultivate]]</f>
        <v>3360</v>
      </c>
      <c r="O871" s="24">
        <f>Stock[[#This Row],[Stock Cultivate]]*Stock[[#This Row],[Precio de Venta]]</f>
        <v>6800</v>
      </c>
      <c r="R871" s="16"/>
    </row>
    <row r="872" spans="2:18">
      <c r="B872" s="44">
        <v>23</v>
      </c>
      <c r="C872" t="s">
        <v>79</v>
      </c>
      <c r="D872" s="45">
        <v>260</v>
      </c>
      <c r="E872" s="24">
        <v>500</v>
      </c>
      <c r="F872" s="44">
        <f>Stock[Entradas]-Stock[Compra Cultivate]</f>
        <v>0</v>
      </c>
      <c r="G872" s="11">
        <f>SUMIFS(Compras[Cantidad],Compras[Codigo],Stock[Codigo])</f>
        <v>16</v>
      </c>
      <c r="H872" s="11">
        <f>SUMIFS(Ventas[Cantidad],Ventas[Codigo],Stock[[#This Row],[Codigo]])</f>
        <v>5</v>
      </c>
      <c r="I872" s="12">
        <f>Stock[[#This Row],[Stock Deposito]]*Stock[[#This Row],[Precio de Compra]]</f>
        <v>0</v>
      </c>
      <c r="J872" s="6">
        <f>SUMIFS(ProdDesc[Cantidad],ProdDesc[Codigo],Stock[Codigo])</f>
        <v>0</v>
      </c>
      <c r="K872" s="44">
        <f>Stock[[#This Row],[Compra Cultivate]]-Stock[[#This Row],[Salidas]]-Stock[[#This Row],[Usados]]</f>
        <v>11</v>
      </c>
      <c r="L872" s="24">
        <f>Stock[[#This Row],[Stock Deposito]]*Stock[[#This Row],[Precio de Venta]]</f>
        <v>0</v>
      </c>
      <c r="M872" s="6">
        <f>SUMIFS(Tabla9[Cantidad],Tabla9[Codigo],Stock[Codigo])</f>
        <v>16</v>
      </c>
      <c r="N872" s="24">
        <f>Stock[[#This Row],[Precio de Compra]]*Stock[[#This Row],[Stock Cultivate]]</f>
        <v>2860</v>
      </c>
      <c r="O872" s="24">
        <f>Stock[[#This Row],[Stock Cultivate]]*Stock[[#This Row],[Precio de Venta]]</f>
        <v>5500</v>
      </c>
      <c r="R872" s="16"/>
    </row>
    <row r="873" spans="2:18">
      <c r="B873" s="44">
        <v>22</v>
      </c>
      <c r="C873" t="s">
        <v>78</v>
      </c>
      <c r="D873" s="45">
        <v>275</v>
      </c>
      <c r="E873" s="24">
        <v>550</v>
      </c>
      <c r="F873" s="44">
        <f>Stock[Entradas]-Stock[Compra Cultivate]</f>
        <v>0</v>
      </c>
      <c r="G873" s="11">
        <f>SUMIFS(Compras[Cantidad],Compras[Codigo],Stock[Codigo])</f>
        <v>14</v>
      </c>
      <c r="H873" s="11">
        <f>SUMIFS(Ventas[Cantidad],Ventas[Codigo],Stock[[#This Row],[Codigo]])</f>
        <v>14</v>
      </c>
      <c r="I873" s="12">
        <f>Stock[[#This Row],[Stock Deposito]]*Stock[[#This Row],[Precio de Compra]]</f>
        <v>0</v>
      </c>
      <c r="J873" s="6">
        <f>SUMIFS(ProdDesc[Cantidad],ProdDesc[Codigo],Stock[Codigo])</f>
        <v>0</v>
      </c>
      <c r="K873" s="44">
        <f>Stock[[#This Row],[Compra Cultivate]]-Stock[[#This Row],[Salidas]]-Stock[[#This Row],[Usados]]</f>
        <v>0</v>
      </c>
      <c r="L873" s="24">
        <f>Stock[[#This Row],[Stock Deposito]]*Stock[[#This Row],[Precio de Venta]]</f>
        <v>0</v>
      </c>
      <c r="M873" s="6">
        <f>SUMIFS(Tabla9[Cantidad],Tabla9[Codigo],Stock[Codigo])</f>
        <v>14</v>
      </c>
      <c r="N873" s="24">
        <f>Stock[[#This Row],[Precio de Compra]]*Stock[[#This Row],[Stock Cultivate]]</f>
        <v>0</v>
      </c>
      <c r="O873" s="24">
        <f>Stock[[#This Row],[Stock Cultivate]]*Stock[[#This Row],[Precio de Venta]]</f>
        <v>0</v>
      </c>
      <c r="R873" s="16"/>
    </row>
    <row r="874" spans="2:18">
      <c r="B874" s="44">
        <v>21</v>
      </c>
      <c r="C874" t="s">
        <v>77</v>
      </c>
      <c r="D874" s="45">
        <v>260</v>
      </c>
      <c r="E874" s="24">
        <v>500</v>
      </c>
      <c r="F874" s="44">
        <f>Stock[Entradas]-Stock[Compra Cultivate]</f>
        <v>0</v>
      </c>
      <c r="G874" s="11">
        <f>SUMIFS(Compras[Cantidad],Compras[Codigo],Stock[Codigo])</f>
        <v>27</v>
      </c>
      <c r="H874" s="11">
        <f>SUMIFS(Ventas[Cantidad],Ventas[Codigo],Stock[[#This Row],[Codigo]])</f>
        <v>25</v>
      </c>
      <c r="I874" s="12">
        <f>Stock[[#This Row],[Stock Deposito]]*Stock[[#This Row],[Precio de Compra]]</f>
        <v>0</v>
      </c>
      <c r="J874" s="6">
        <f>SUMIFS(ProdDesc[Cantidad],ProdDesc[Codigo],Stock[Codigo])</f>
        <v>0</v>
      </c>
      <c r="K874" s="44">
        <f>Stock[[#This Row],[Compra Cultivate]]-Stock[[#This Row],[Salidas]]-Stock[[#This Row],[Usados]]</f>
        <v>2</v>
      </c>
      <c r="L874" s="24">
        <f>Stock[[#This Row],[Stock Deposito]]*Stock[[#This Row],[Precio de Venta]]</f>
        <v>0</v>
      </c>
      <c r="M874" s="6">
        <f>SUMIFS(Tabla9[Cantidad],Tabla9[Codigo],Stock[Codigo])</f>
        <v>27</v>
      </c>
      <c r="N874" s="24">
        <f>Stock[[#This Row],[Precio de Compra]]*Stock[[#This Row],[Stock Cultivate]]</f>
        <v>520</v>
      </c>
      <c r="O874" s="24">
        <f>Stock[[#This Row],[Stock Cultivate]]*Stock[[#This Row],[Precio de Venta]]</f>
        <v>1000</v>
      </c>
      <c r="R874" s="16"/>
    </row>
    <row r="875" spans="2:18">
      <c r="B875" s="44">
        <v>20</v>
      </c>
      <c r="C875" t="s">
        <v>34</v>
      </c>
      <c r="D875" s="45">
        <v>430</v>
      </c>
      <c r="E875" s="24">
        <v>900</v>
      </c>
      <c r="F875" s="44">
        <f>Stock[Entradas]-Stock[Compra Cultivate]</f>
        <v>8</v>
      </c>
      <c r="G875" s="11">
        <f>SUMIFS(Compras[Cantidad],Compras[Codigo],Stock[Codigo])</f>
        <v>17</v>
      </c>
      <c r="H875" s="11">
        <f>SUMIFS(Ventas[Cantidad],Ventas[Codigo],Stock[[#This Row],[Codigo]])</f>
        <v>5</v>
      </c>
      <c r="I875" s="12">
        <f>Stock[[#This Row],[Stock Deposito]]*Stock[[#This Row],[Precio de Compra]]</f>
        <v>3440</v>
      </c>
      <c r="J875" s="6">
        <f>SUMIFS(ProdDesc[Cantidad],ProdDesc[Codigo],Stock[Codigo])</f>
        <v>0</v>
      </c>
      <c r="K875" s="44">
        <f>Stock[[#This Row],[Compra Cultivate]]-Stock[[#This Row],[Salidas]]-Stock[[#This Row],[Usados]]</f>
        <v>4</v>
      </c>
      <c r="L875" s="24">
        <f>Stock[[#This Row],[Stock Deposito]]*Stock[[#This Row],[Precio de Venta]]</f>
        <v>7200</v>
      </c>
      <c r="M875" s="6">
        <f>SUMIFS(Tabla9[Cantidad],Tabla9[Codigo],Stock[Codigo])</f>
        <v>9</v>
      </c>
      <c r="N875" s="24">
        <f>Stock[[#This Row],[Precio de Compra]]*Stock[[#This Row],[Stock Cultivate]]</f>
        <v>1720</v>
      </c>
      <c r="O875" s="24">
        <f>Stock[[#This Row],[Stock Cultivate]]*Stock[[#This Row],[Precio de Venta]]</f>
        <v>3600</v>
      </c>
      <c r="R875" s="16"/>
    </row>
    <row r="876" spans="2:18">
      <c r="B876" s="44">
        <v>19</v>
      </c>
      <c r="C876" t="s">
        <v>570</v>
      </c>
      <c r="D876" s="45">
        <v>435</v>
      </c>
      <c r="E876" s="24">
        <v>900</v>
      </c>
      <c r="F876" s="44">
        <f>Stock[Entradas]-Stock[Compra Cultivate]</f>
        <v>2</v>
      </c>
      <c r="G876" s="11">
        <f>SUMIFS(Compras[Cantidad],Compras[Codigo],Stock[Codigo])</f>
        <v>11</v>
      </c>
      <c r="H876" s="11">
        <f>SUMIFS(Ventas[Cantidad],Ventas[Codigo],Stock[[#This Row],[Codigo]])</f>
        <v>0</v>
      </c>
      <c r="I876" s="12">
        <f>Stock[[#This Row],[Stock Deposito]]*Stock[[#This Row],[Precio de Compra]]</f>
        <v>870</v>
      </c>
      <c r="J876" s="6">
        <f>SUMIFS(ProdDesc[Cantidad],ProdDesc[Codigo],Stock[Codigo])</f>
        <v>0</v>
      </c>
      <c r="K876" s="44">
        <f>Stock[[#This Row],[Compra Cultivate]]-Stock[[#This Row],[Salidas]]-Stock[[#This Row],[Usados]]</f>
        <v>9</v>
      </c>
      <c r="L876" s="24">
        <f>Stock[[#This Row],[Stock Deposito]]*Stock[[#This Row],[Precio de Venta]]</f>
        <v>1800</v>
      </c>
      <c r="M876" s="6">
        <f>SUMIFS(Tabla9[Cantidad],Tabla9[Codigo],Stock[Codigo])</f>
        <v>9</v>
      </c>
      <c r="N876" s="24">
        <f>Stock[[#This Row],[Precio de Compra]]*Stock[[#This Row],[Stock Cultivate]]</f>
        <v>3915</v>
      </c>
      <c r="O876" s="24">
        <f>Stock[[#This Row],[Stock Cultivate]]*Stock[[#This Row],[Precio de Venta]]</f>
        <v>8100</v>
      </c>
      <c r="R876" s="16"/>
    </row>
    <row r="877" spans="2:18">
      <c r="B877" s="44">
        <v>18</v>
      </c>
      <c r="C877" t="s">
        <v>33</v>
      </c>
      <c r="D877" s="45">
        <v>240</v>
      </c>
      <c r="E877" s="24">
        <v>500</v>
      </c>
      <c r="F877" s="44">
        <f>Stock[Entradas]-Stock[Compra Cultivate]</f>
        <v>11</v>
      </c>
      <c r="G877" s="11">
        <f>SUMIFS(Compras[Cantidad],Compras[Codigo],Stock[Codigo])</f>
        <v>31</v>
      </c>
      <c r="H877" s="11">
        <f>SUMIFS(Ventas[Cantidad],Ventas[Codigo],Stock[[#This Row],[Codigo]])</f>
        <v>5</v>
      </c>
      <c r="I877" s="12">
        <f>Stock[[#This Row],[Stock Deposito]]*Stock[[#This Row],[Precio de Compra]]</f>
        <v>2640</v>
      </c>
      <c r="J877" s="6">
        <f>SUMIFS(ProdDesc[Cantidad],ProdDesc[Codigo],Stock[Codigo])</f>
        <v>0</v>
      </c>
      <c r="K877" s="44">
        <f>Stock[[#This Row],[Compra Cultivate]]-Stock[[#This Row],[Salidas]]-Stock[[#This Row],[Usados]]</f>
        <v>15</v>
      </c>
      <c r="L877" s="24">
        <f>Stock[[#This Row],[Stock Deposito]]*Stock[[#This Row],[Precio de Venta]]</f>
        <v>5500</v>
      </c>
      <c r="M877" s="6">
        <f>SUMIFS(Tabla9[Cantidad],Tabla9[Codigo],Stock[Codigo])</f>
        <v>20</v>
      </c>
      <c r="N877" s="24">
        <f>Stock[[#This Row],[Precio de Compra]]*Stock[[#This Row],[Stock Cultivate]]</f>
        <v>3600</v>
      </c>
      <c r="O877" s="24">
        <f>Stock[[#This Row],[Stock Cultivate]]*Stock[[#This Row],[Precio de Venta]]</f>
        <v>7500</v>
      </c>
      <c r="R877" s="16"/>
    </row>
    <row r="878" spans="2:18">
      <c r="B878" s="44">
        <v>17</v>
      </c>
      <c r="C878" t="s">
        <v>270</v>
      </c>
      <c r="D878" s="45">
        <v>410</v>
      </c>
      <c r="E878" s="24">
        <v>800</v>
      </c>
      <c r="F878" s="44">
        <f>Stock[Entradas]-Stock[Compra Cultivate]</f>
        <v>0</v>
      </c>
      <c r="G878" s="11">
        <f>SUMIFS(Compras[Cantidad],Compras[Codigo],Stock[Codigo])</f>
        <v>0</v>
      </c>
      <c r="H878" s="11">
        <f>SUMIFS(Ventas[Cantidad],Ventas[Codigo],Stock[[#This Row],[Codigo]])</f>
        <v>0</v>
      </c>
      <c r="I878" s="12">
        <f>Stock[[#This Row],[Stock Deposito]]*Stock[[#This Row],[Precio de Compra]]</f>
        <v>0</v>
      </c>
      <c r="J878" s="6">
        <f>SUMIFS(ProdDesc[Cantidad],ProdDesc[Codigo],Stock[Codigo])</f>
        <v>0</v>
      </c>
      <c r="K878" s="44">
        <f>Stock[[#This Row],[Compra Cultivate]]-Stock[[#This Row],[Salidas]]-Stock[[#This Row],[Usados]]</f>
        <v>0</v>
      </c>
      <c r="L878" s="24">
        <f>Stock[[#This Row],[Stock Deposito]]*Stock[[#This Row],[Precio de Venta]]</f>
        <v>0</v>
      </c>
      <c r="M878" s="6">
        <f>SUMIFS(Tabla9[Cantidad],Tabla9[Codigo],Stock[Codigo])</f>
        <v>0</v>
      </c>
      <c r="N878" s="24">
        <f>Stock[[#This Row],[Precio de Compra]]*Stock[[#This Row],[Stock Cultivate]]</f>
        <v>0</v>
      </c>
      <c r="O878" s="24">
        <f>Stock[[#This Row],[Stock Cultivate]]*Stock[[#This Row],[Precio de Venta]]</f>
        <v>0</v>
      </c>
      <c r="R878" s="16"/>
    </row>
    <row r="879" spans="2:18">
      <c r="B879" s="44">
        <v>16</v>
      </c>
      <c r="C879" t="s">
        <v>32</v>
      </c>
      <c r="D879" s="45">
        <v>425</v>
      </c>
      <c r="E879" s="24">
        <v>850</v>
      </c>
      <c r="F879" s="44">
        <f>Stock[Entradas]-Stock[Compra Cultivate]</f>
        <v>9</v>
      </c>
      <c r="G879" s="11">
        <f>SUMIFS(Compras[Cantidad],Compras[Codigo],Stock[Codigo])</f>
        <v>11</v>
      </c>
      <c r="H879" s="11">
        <f>SUMIFS(Ventas[Cantidad],Ventas[Codigo],Stock[[#This Row],[Codigo]])</f>
        <v>0</v>
      </c>
      <c r="I879" s="12">
        <f>Stock[[#This Row],[Stock Deposito]]*Stock[[#This Row],[Precio de Compra]]</f>
        <v>3825</v>
      </c>
      <c r="J879" s="6">
        <f>SUMIFS(ProdDesc[Cantidad],ProdDesc[Codigo],Stock[Codigo])</f>
        <v>0</v>
      </c>
      <c r="K879" s="44">
        <f>Stock[[#This Row],[Compra Cultivate]]-Stock[[#This Row],[Salidas]]-Stock[[#This Row],[Usados]]</f>
        <v>2</v>
      </c>
      <c r="L879" s="24">
        <f>Stock[[#This Row],[Stock Deposito]]*Stock[[#This Row],[Precio de Venta]]</f>
        <v>7650</v>
      </c>
      <c r="M879" s="6">
        <f>SUMIFS(Tabla9[Cantidad],Tabla9[Codigo],Stock[Codigo])</f>
        <v>2</v>
      </c>
      <c r="N879" s="24">
        <f>Stock[[#This Row],[Precio de Compra]]*Stock[[#This Row],[Stock Cultivate]]</f>
        <v>850</v>
      </c>
      <c r="O879" s="24">
        <f>Stock[[#This Row],[Stock Cultivate]]*Stock[[#This Row],[Precio de Venta]]</f>
        <v>1700</v>
      </c>
      <c r="R879" s="16"/>
    </row>
    <row r="880" spans="2:18">
      <c r="B880" s="44">
        <v>15</v>
      </c>
      <c r="C880" t="s">
        <v>1170</v>
      </c>
      <c r="D880" s="45">
        <v>485</v>
      </c>
      <c r="E880" s="24">
        <v>1000</v>
      </c>
      <c r="F880" s="44">
        <f>Stock[Entradas]-Stock[Compra Cultivate]</f>
        <v>2</v>
      </c>
      <c r="G880" s="11">
        <f>SUMIFS(Compras[Cantidad],Compras[Codigo],Stock[Codigo])</f>
        <v>17</v>
      </c>
      <c r="H880" s="11">
        <f>SUMIFS(Ventas[Cantidad],Ventas[Codigo],Stock[[#This Row],[Codigo]])</f>
        <v>2</v>
      </c>
      <c r="I880" s="12">
        <f>Stock[[#This Row],[Stock Deposito]]*Stock[[#This Row],[Precio de Compra]]</f>
        <v>970</v>
      </c>
      <c r="J880" s="6">
        <f>SUMIFS(ProdDesc[Cantidad],ProdDesc[Codigo],Stock[Codigo])</f>
        <v>0</v>
      </c>
      <c r="K880" s="44">
        <f>Stock[[#This Row],[Compra Cultivate]]-Stock[[#This Row],[Salidas]]-Stock[[#This Row],[Usados]]</f>
        <v>13</v>
      </c>
      <c r="L880" s="24">
        <f>Stock[[#This Row],[Stock Deposito]]*Stock[[#This Row],[Precio de Venta]]</f>
        <v>2000</v>
      </c>
      <c r="M880" s="6">
        <f>SUMIFS(Tabla9[Cantidad],Tabla9[Codigo],Stock[Codigo])</f>
        <v>15</v>
      </c>
      <c r="N880" s="24">
        <f>Stock[[#This Row],[Precio de Compra]]*Stock[[#This Row],[Stock Cultivate]]</f>
        <v>6305</v>
      </c>
      <c r="O880" s="24">
        <f>Stock[[#This Row],[Stock Cultivate]]*Stock[[#This Row],[Precio de Venta]]</f>
        <v>13000</v>
      </c>
      <c r="R880" s="16"/>
    </row>
    <row r="881" spans="2:18">
      <c r="B881" s="44">
        <v>14</v>
      </c>
      <c r="C881" t="s">
        <v>1172</v>
      </c>
      <c r="D881" s="45">
        <v>405</v>
      </c>
      <c r="E881" s="24">
        <v>800</v>
      </c>
      <c r="F881" s="44">
        <f>Stock[Entradas]-Stock[Compra Cultivate]</f>
        <v>0</v>
      </c>
      <c r="G881" s="11">
        <f>SUMIFS(Compras[Cantidad],Compras[Codigo],Stock[Codigo])</f>
        <v>2</v>
      </c>
      <c r="H881" s="11">
        <f>SUMIFS(Ventas[Cantidad],Ventas[Codigo],Stock[[#This Row],[Codigo]])</f>
        <v>0</v>
      </c>
      <c r="I881" s="12">
        <f>Stock[[#This Row],[Stock Deposito]]*Stock[[#This Row],[Precio de Compra]]</f>
        <v>0</v>
      </c>
      <c r="J881" s="6">
        <f>SUMIFS(ProdDesc[Cantidad],ProdDesc[Codigo],Stock[Codigo])</f>
        <v>0</v>
      </c>
      <c r="K881" s="44">
        <f>Stock[[#This Row],[Compra Cultivate]]-Stock[[#This Row],[Salidas]]-Stock[[#This Row],[Usados]]</f>
        <v>2</v>
      </c>
      <c r="L881" s="24">
        <f>Stock[[#This Row],[Stock Deposito]]*Stock[[#This Row],[Precio de Venta]]</f>
        <v>0</v>
      </c>
      <c r="M881" s="6">
        <f>SUMIFS(Tabla9[Cantidad],Tabla9[Codigo],Stock[Codigo])</f>
        <v>2</v>
      </c>
      <c r="N881" s="24">
        <f>Stock[[#This Row],[Precio de Compra]]*Stock[[#This Row],[Stock Cultivate]]</f>
        <v>810</v>
      </c>
      <c r="O881" s="24">
        <f>Stock[[#This Row],[Stock Cultivate]]*Stock[[#This Row],[Precio de Venta]]</f>
        <v>1600</v>
      </c>
      <c r="R881" s="16"/>
    </row>
    <row r="882" spans="2:18">
      <c r="B882" s="44">
        <v>13</v>
      </c>
      <c r="C882" t="s">
        <v>1171</v>
      </c>
      <c r="D882" s="45">
        <v>405</v>
      </c>
      <c r="E882" s="24">
        <v>800</v>
      </c>
      <c r="F882" s="44">
        <f>Stock[Entradas]-Stock[Compra Cultivate]</f>
        <v>9</v>
      </c>
      <c r="G882" s="11">
        <f>SUMIFS(Compras[Cantidad],Compras[Codigo],Stock[Codigo])</f>
        <v>29</v>
      </c>
      <c r="H882" s="11">
        <f>SUMIFS(Ventas[Cantidad],Ventas[Codigo],Stock[[#This Row],[Codigo]])</f>
        <v>4</v>
      </c>
      <c r="I882" s="12">
        <f>Stock[[#This Row],[Stock Deposito]]*Stock[[#This Row],[Precio de Compra]]</f>
        <v>3645</v>
      </c>
      <c r="J882" s="6">
        <f>SUMIFS(ProdDesc[Cantidad],ProdDesc[Codigo],Stock[Codigo])</f>
        <v>0</v>
      </c>
      <c r="K882" s="44">
        <f>Stock[[#This Row],[Compra Cultivate]]-Stock[[#This Row],[Salidas]]-Stock[[#This Row],[Usados]]</f>
        <v>16</v>
      </c>
      <c r="L882" s="24">
        <f>Stock[[#This Row],[Stock Deposito]]*Stock[[#This Row],[Precio de Venta]]</f>
        <v>7200</v>
      </c>
      <c r="M882" s="6">
        <f>SUMIFS(Tabla9[Cantidad],Tabla9[Codigo],Stock[Codigo])</f>
        <v>20</v>
      </c>
      <c r="N882" s="24">
        <f>Stock[[#This Row],[Precio de Compra]]*Stock[[#This Row],[Stock Cultivate]]</f>
        <v>6480</v>
      </c>
      <c r="O882" s="24">
        <f>Stock[[#This Row],[Stock Cultivate]]*Stock[[#This Row],[Precio de Venta]]</f>
        <v>12800</v>
      </c>
      <c r="R882" s="16"/>
    </row>
    <row r="883" spans="2:18">
      <c r="B883" s="44">
        <v>12</v>
      </c>
      <c r="C883" t="s">
        <v>71</v>
      </c>
      <c r="D883" s="45">
        <v>470</v>
      </c>
      <c r="E883" s="24">
        <v>1000</v>
      </c>
      <c r="F883" s="44">
        <f>Stock[Entradas]-Stock[Compra Cultivate]</f>
        <v>11</v>
      </c>
      <c r="G883" s="11">
        <f>SUMIFS(Compras[Cantidad],Compras[Codigo],Stock[Codigo])</f>
        <v>28</v>
      </c>
      <c r="H883" s="11">
        <f>SUMIFS(Ventas[Cantidad],Ventas[Codigo],Stock[[#This Row],[Codigo]])</f>
        <v>14</v>
      </c>
      <c r="I883" s="12">
        <f>Stock[[#This Row],[Stock Deposito]]*Stock[[#This Row],[Precio de Compra]]</f>
        <v>5170</v>
      </c>
      <c r="J883" s="6">
        <f>SUMIFS(ProdDesc[Cantidad],ProdDesc[Codigo],Stock[Codigo])</f>
        <v>3</v>
      </c>
      <c r="K883" s="44">
        <f>Stock[[#This Row],[Compra Cultivate]]-Stock[[#This Row],[Salidas]]-Stock[[#This Row],[Usados]]</f>
        <v>0</v>
      </c>
      <c r="L883" s="24">
        <f>Stock[[#This Row],[Stock Deposito]]*Stock[[#This Row],[Precio de Venta]]</f>
        <v>11000</v>
      </c>
      <c r="M883" s="6">
        <f>SUMIFS(Tabla9[Cantidad],Tabla9[Codigo],Stock[Codigo])</f>
        <v>17</v>
      </c>
      <c r="N883" s="24">
        <f>Stock[[#This Row],[Precio de Compra]]*Stock[[#This Row],[Stock Cultivate]]</f>
        <v>0</v>
      </c>
      <c r="O883" s="24">
        <f>Stock[[#This Row],[Stock Cultivate]]*Stock[[#This Row],[Precio de Venta]]</f>
        <v>0</v>
      </c>
      <c r="R883" s="16"/>
    </row>
    <row r="884" spans="2:18">
      <c r="B884" s="44">
        <v>11</v>
      </c>
      <c r="C884" t="s">
        <v>31</v>
      </c>
      <c r="D884" s="45">
        <v>530</v>
      </c>
      <c r="E884" s="24">
        <v>1100</v>
      </c>
      <c r="F884" s="44">
        <f>Stock[Entradas]-Stock[Compra Cultivate]</f>
        <v>1</v>
      </c>
      <c r="G884" s="11">
        <f>SUMIFS(Compras[Cantidad],Compras[Codigo],Stock[Codigo])</f>
        <v>5</v>
      </c>
      <c r="H884" s="11">
        <f>SUMIFS(Ventas[Cantidad],Ventas[Codigo],Stock[[#This Row],[Codigo]])</f>
        <v>2</v>
      </c>
      <c r="I884" s="12">
        <f>Stock[[#This Row],[Stock Deposito]]*Stock[[#This Row],[Precio de Compra]]</f>
        <v>530</v>
      </c>
      <c r="J884" s="6">
        <f>SUMIFS(ProdDesc[Cantidad],ProdDesc[Codigo],Stock[Codigo])</f>
        <v>0</v>
      </c>
      <c r="K884" s="44">
        <f>Stock[[#This Row],[Compra Cultivate]]-Stock[[#This Row],[Salidas]]-Stock[[#This Row],[Usados]]</f>
        <v>2</v>
      </c>
      <c r="L884" s="24">
        <f>Stock[[#This Row],[Stock Deposito]]*Stock[[#This Row],[Precio de Venta]]</f>
        <v>1100</v>
      </c>
      <c r="M884" s="6">
        <f>SUMIFS(Tabla9[Cantidad],Tabla9[Codigo],Stock[Codigo])</f>
        <v>4</v>
      </c>
      <c r="N884" s="24">
        <f>Stock[[#This Row],[Precio de Compra]]*Stock[[#This Row],[Stock Cultivate]]</f>
        <v>1060</v>
      </c>
      <c r="O884" s="24">
        <f>Stock[[#This Row],[Stock Cultivate]]*Stock[[#This Row],[Precio de Venta]]</f>
        <v>2200</v>
      </c>
      <c r="R884" s="16"/>
    </row>
    <row r="885" spans="2:18">
      <c r="B885" s="44">
        <v>10</v>
      </c>
      <c r="C885" t="s">
        <v>62</v>
      </c>
      <c r="D885" s="45">
        <v>437</v>
      </c>
      <c r="E885" s="24">
        <v>850</v>
      </c>
      <c r="F885" s="44">
        <f>Stock[Entradas]-Stock[Compra Cultivate]</f>
        <v>0</v>
      </c>
      <c r="G885" s="11">
        <f>SUMIFS(Compras[Cantidad],Compras[Codigo],Stock[Codigo])</f>
        <v>3</v>
      </c>
      <c r="H885" s="11">
        <f>SUMIFS(Ventas[Cantidad],Ventas[Codigo],Stock[[#This Row],[Codigo]])</f>
        <v>3</v>
      </c>
      <c r="I885" s="12">
        <f>Stock[[#This Row],[Stock Deposito]]*Stock[[#This Row],[Precio de Compra]]</f>
        <v>0</v>
      </c>
      <c r="J885" s="6">
        <f>SUMIFS(ProdDesc[Cantidad],ProdDesc[Codigo],Stock[Codigo])</f>
        <v>0</v>
      </c>
      <c r="K885" s="44">
        <f>Stock[[#This Row],[Compra Cultivate]]-Stock[[#This Row],[Salidas]]-Stock[[#This Row],[Usados]]</f>
        <v>0</v>
      </c>
      <c r="L885" s="24">
        <f>Stock[[#This Row],[Stock Deposito]]*Stock[[#This Row],[Precio de Venta]]</f>
        <v>0</v>
      </c>
      <c r="M885" s="6">
        <f>SUMIFS(Tabla9[Cantidad],Tabla9[Codigo],Stock[Codigo])</f>
        <v>3</v>
      </c>
      <c r="N885" s="24">
        <f>Stock[[#This Row],[Precio de Compra]]*Stock[[#This Row],[Stock Cultivate]]</f>
        <v>0</v>
      </c>
      <c r="O885" s="24">
        <f>Stock[[#This Row],[Stock Cultivate]]*Stock[[#This Row],[Precio de Venta]]</f>
        <v>0</v>
      </c>
      <c r="R885" s="16"/>
    </row>
    <row r="886" spans="2:18">
      <c r="B886" s="44">
        <v>9</v>
      </c>
      <c r="C886" t="s">
        <v>434</v>
      </c>
      <c r="D886" s="45">
        <v>1082</v>
      </c>
      <c r="E886" s="24">
        <v>2200</v>
      </c>
      <c r="F886" s="44">
        <f>Stock[Entradas]-Stock[Compra Cultivate]</f>
        <v>0</v>
      </c>
      <c r="G886" s="11">
        <f>SUMIFS(Compras[Cantidad],Compras[Codigo],Stock[Codigo])</f>
        <v>1</v>
      </c>
      <c r="H886" s="11">
        <f>SUMIFS(Ventas[Cantidad],Ventas[Codigo],Stock[[#This Row],[Codigo]])</f>
        <v>1</v>
      </c>
      <c r="I886" s="12">
        <f>Stock[[#This Row],[Stock Deposito]]*Stock[[#This Row],[Precio de Compra]]</f>
        <v>0</v>
      </c>
      <c r="J886" s="6">
        <f>SUMIFS(ProdDesc[Cantidad],ProdDesc[Codigo],Stock[Codigo])</f>
        <v>0</v>
      </c>
      <c r="K886" s="44">
        <f>Stock[[#This Row],[Compra Cultivate]]-Stock[[#This Row],[Salidas]]-Stock[[#This Row],[Usados]]</f>
        <v>0</v>
      </c>
      <c r="L886" s="24">
        <f>Stock[[#This Row],[Stock Deposito]]*Stock[[#This Row],[Precio de Venta]]</f>
        <v>0</v>
      </c>
      <c r="M886" s="6">
        <f>SUMIFS(Tabla9[Cantidad],Tabla9[Codigo],Stock[Codigo])</f>
        <v>1</v>
      </c>
      <c r="N886" s="24">
        <f>Stock[[#This Row],[Precio de Compra]]*Stock[[#This Row],[Stock Cultivate]]</f>
        <v>0</v>
      </c>
      <c r="O886" s="24">
        <f>Stock[[#This Row],[Stock Cultivate]]*Stock[[#This Row],[Precio de Venta]]</f>
        <v>0</v>
      </c>
      <c r="R886" s="16"/>
    </row>
    <row r="887" spans="2:18">
      <c r="B887" s="44">
        <v>8</v>
      </c>
      <c r="C887" t="s">
        <v>30</v>
      </c>
      <c r="D887" s="45">
        <v>2136</v>
      </c>
      <c r="E887" s="24">
        <v>4400</v>
      </c>
      <c r="F887" s="44">
        <f>Stock[Entradas]-Stock[Compra Cultivate]</f>
        <v>0</v>
      </c>
      <c r="G887" s="11">
        <f>SUMIFS(Compras[Cantidad],Compras[Codigo],Stock[Codigo])</f>
        <v>3</v>
      </c>
      <c r="H887" s="11">
        <f>SUMIFS(Ventas[Cantidad],Ventas[Codigo],Stock[[#This Row],[Codigo]])</f>
        <v>0</v>
      </c>
      <c r="I887" s="12">
        <f>Stock[[#This Row],[Stock Deposito]]*Stock[[#This Row],[Precio de Compra]]</f>
        <v>0</v>
      </c>
      <c r="J887" s="6">
        <f>SUMIFS(ProdDesc[Cantidad],ProdDesc[Codigo],Stock[Codigo])</f>
        <v>0</v>
      </c>
      <c r="K887" s="44">
        <f>Stock[[#This Row],[Compra Cultivate]]-Stock[[#This Row],[Salidas]]-Stock[[#This Row],[Usados]]</f>
        <v>3</v>
      </c>
      <c r="L887" s="24">
        <f>Stock[[#This Row],[Stock Deposito]]*Stock[[#This Row],[Precio de Venta]]</f>
        <v>0</v>
      </c>
      <c r="M887" s="6">
        <f>SUMIFS(Tabla9[Cantidad],Tabla9[Codigo],Stock[Codigo])</f>
        <v>3</v>
      </c>
      <c r="N887" s="24">
        <f>Stock[[#This Row],[Precio de Compra]]*Stock[[#This Row],[Stock Cultivate]]</f>
        <v>6408</v>
      </c>
      <c r="O887" s="24">
        <f>Stock[[#This Row],[Stock Cultivate]]*Stock[[#This Row],[Precio de Venta]]</f>
        <v>13200</v>
      </c>
      <c r="R887" s="16"/>
    </row>
    <row r="888" spans="2:18">
      <c r="B888" s="44">
        <v>7</v>
      </c>
      <c r="C888" t="s">
        <v>29</v>
      </c>
      <c r="D888" s="45">
        <v>1759</v>
      </c>
      <c r="E888" s="24">
        <v>3500</v>
      </c>
      <c r="F888" s="44">
        <f>Stock[Entradas]-Stock[Compra Cultivate]</f>
        <v>0</v>
      </c>
      <c r="G888" s="11">
        <f>SUMIFS(Compras[Cantidad],Compras[Codigo],Stock[Codigo])</f>
        <v>3</v>
      </c>
      <c r="H888" s="11">
        <f>SUMIFS(Ventas[Cantidad],Ventas[Codigo],Stock[[#This Row],[Codigo]])</f>
        <v>3</v>
      </c>
      <c r="I888" s="12">
        <f>Stock[[#This Row],[Stock Deposito]]*Stock[[#This Row],[Precio de Compra]]</f>
        <v>0</v>
      </c>
      <c r="J888" s="6">
        <f>SUMIFS(ProdDesc[Cantidad],ProdDesc[Codigo],Stock[Codigo])</f>
        <v>0</v>
      </c>
      <c r="K888" s="44">
        <f>Stock[[#This Row],[Compra Cultivate]]-Stock[[#This Row],[Salidas]]-Stock[[#This Row],[Usados]]</f>
        <v>0</v>
      </c>
      <c r="L888" s="24">
        <f>Stock[[#This Row],[Stock Deposito]]*Stock[[#This Row],[Precio de Venta]]</f>
        <v>0</v>
      </c>
      <c r="M888" s="6">
        <f>SUMIFS(Tabla9[Cantidad],Tabla9[Codigo],Stock[Codigo])</f>
        <v>3</v>
      </c>
      <c r="N888" s="24">
        <f>Stock[[#This Row],[Precio de Compra]]*Stock[[#This Row],[Stock Cultivate]]</f>
        <v>0</v>
      </c>
      <c r="O888" s="24">
        <f>Stock[[#This Row],[Stock Cultivate]]*Stock[[#This Row],[Precio de Venta]]</f>
        <v>0</v>
      </c>
      <c r="R888" s="16"/>
    </row>
    <row r="889" spans="2:18">
      <c r="B889" s="44">
        <v>6</v>
      </c>
      <c r="C889" t="s">
        <v>28</v>
      </c>
      <c r="D889" s="45">
        <v>836</v>
      </c>
      <c r="E889" s="24">
        <v>2000</v>
      </c>
      <c r="F889" s="44">
        <f>Stock[Entradas]-Stock[Compra Cultivate]</f>
        <v>0</v>
      </c>
      <c r="G889" s="11">
        <f>SUMIFS(Compras[Cantidad],Compras[Codigo],Stock[Codigo])</f>
        <v>15</v>
      </c>
      <c r="H889" s="11">
        <f>SUMIFS(Ventas[Cantidad],Ventas[Codigo],Stock[[#This Row],[Codigo]])</f>
        <v>15</v>
      </c>
      <c r="I889" s="12">
        <f>Stock[[#This Row],[Stock Deposito]]*Stock[[#This Row],[Precio de Compra]]</f>
        <v>0</v>
      </c>
      <c r="J889" s="6">
        <f>SUMIFS(ProdDesc[Cantidad],ProdDesc[Codigo],Stock[Codigo])</f>
        <v>0</v>
      </c>
      <c r="K889" s="44">
        <f>Stock[[#This Row],[Compra Cultivate]]-Stock[[#This Row],[Salidas]]-Stock[[#This Row],[Usados]]</f>
        <v>0</v>
      </c>
      <c r="L889" s="24">
        <f>Stock[[#This Row],[Stock Deposito]]*Stock[[#This Row],[Precio de Venta]]</f>
        <v>0</v>
      </c>
      <c r="M889" s="6">
        <f>SUMIFS(Tabla9[Cantidad],Tabla9[Codigo],Stock[Codigo])</f>
        <v>15</v>
      </c>
      <c r="N889" s="24">
        <f>Stock[[#This Row],[Precio de Compra]]*Stock[[#This Row],[Stock Cultivate]]</f>
        <v>0</v>
      </c>
      <c r="O889" s="24">
        <f>Stock[[#This Row],[Stock Cultivate]]*Stock[[#This Row],[Precio de Venta]]</f>
        <v>0</v>
      </c>
      <c r="R889" s="16"/>
    </row>
    <row r="890" spans="2:18">
      <c r="B890" s="44">
        <v>5</v>
      </c>
      <c r="C890" t="s">
        <v>69</v>
      </c>
      <c r="D890" s="45">
        <v>707</v>
      </c>
      <c r="E890" s="24">
        <v>2000</v>
      </c>
      <c r="F890" s="44">
        <f>Stock[Entradas]-Stock[Compra Cultivate]</f>
        <v>0</v>
      </c>
      <c r="G890" s="11">
        <f>SUMIFS(Compras[Cantidad],Compras[Codigo],Stock[Codigo])</f>
        <v>8</v>
      </c>
      <c r="H890" s="11">
        <f>SUMIFS(Ventas[Cantidad],Ventas[Codigo],Stock[[#This Row],[Codigo]])</f>
        <v>7</v>
      </c>
      <c r="I890" s="12">
        <f>Stock[[#This Row],[Stock Deposito]]*Stock[[#This Row],[Precio de Compra]]</f>
        <v>0</v>
      </c>
      <c r="J890" s="6">
        <f>SUMIFS(ProdDesc[Cantidad],ProdDesc[Codigo],Stock[Codigo])</f>
        <v>0</v>
      </c>
      <c r="K890" s="44">
        <f>Stock[[#This Row],[Compra Cultivate]]-Stock[[#This Row],[Salidas]]-Stock[[#This Row],[Usados]]</f>
        <v>1</v>
      </c>
      <c r="L890" s="24">
        <f>Stock[[#This Row],[Stock Deposito]]*Stock[[#This Row],[Precio de Venta]]</f>
        <v>0</v>
      </c>
      <c r="M890" s="6">
        <f>SUMIFS(Tabla9[Cantidad],Tabla9[Codigo],Stock[Codigo])</f>
        <v>8</v>
      </c>
      <c r="N890" s="24">
        <f>Stock[[#This Row],[Precio de Compra]]*Stock[[#This Row],[Stock Cultivate]]</f>
        <v>707</v>
      </c>
      <c r="O890" s="24">
        <f>Stock[[#This Row],[Stock Cultivate]]*Stock[[#This Row],[Precio de Venta]]</f>
        <v>2000</v>
      </c>
      <c r="R890" s="16"/>
    </row>
    <row r="891" spans="2:18">
      <c r="B891" s="44">
        <v>4</v>
      </c>
      <c r="C891" t="s">
        <v>27</v>
      </c>
      <c r="D891" s="45">
        <v>836</v>
      </c>
      <c r="E891" s="24">
        <v>2000</v>
      </c>
      <c r="F891" s="44">
        <f>Stock[Entradas]-Stock[Compra Cultivate]</f>
        <v>0</v>
      </c>
      <c r="G891" s="11">
        <f>SUMIFS(Compras[Cantidad],Compras[Codigo],Stock[Codigo])</f>
        <v>10</v>
      </c>
      <c r="H891" s="11">
        <f>SUMIFS(Ventas[Cantidad],Ventas[Codigo],Stock[[#This Row],[Codigo]])</f>
        <v>6</v>
      </c>
      <c r="I891" s="12">
        <f>Stock[[#This Row],[Stock Deposito]]*Stock[[#This Row],[Precio de Compra]]</f>
        <v>0</v>
      </c>
      <c r="J891" s="6">
        <f>SUMIFS(ProdDesc[Cantidad],ProdDesc[Codigo],Stock[Codigo])</f>
        <v>1</v>
      </c>
      <c r="K891" s="44">
        <f>Stock[[#This Row],[Compra Cultivate]]-Stock[[#This Row],[Salidas]]-Stock[[#This Row],[Usados]]</f>
        <v>3</v>
      </c>
      <c r="L891" s="24">
        <f>Stock[[#This Row],[Stock Deposito]]*Stock[[#This Row],[Precio de Venta]]</f>
        <v>0</v>
      </c>
      <c r="M891" s="6">
        <f>SUMIFS(Tabla9[Cantidad],Tabla9[Codigo],Stock[Codigo])</f>
        <v>10</v>
      </c>
      <c r="N891" s="24">
        <f>Stock[[#This Row],[Precio de Compra]]*Stock[[#This Row],[Stock Cultivate]]</f>
        <v>2508</v>
      </c>
      <c r="O891" s="24">
        <f>Stock[[#This Row],[Stock Cultivate]]*Stock[[#This Row],[Precio de Venta]]</f>
        <v>6000</v>
      </c>
      <c r="R891" s="16"/>
    </row>
    <row r="892" spans="2:18">
      <c r="B892" s="44">
        <v>3</v>
      </c>
      <c r="C892" t="s">
        <v>68</v>
      </c>
      <c r="D892" s="45">
        <v>1094</v>
      </c>
      <c r="E892" s="24">
        <v>2000</v>
      </c>
      <c r="F892" s="44">
        <f>Stock[Entradas]-Stock[Compra Cultivate]</f>
        <v>0</v>
      </c>
      <c r="G892" s="11">
        <f>SUMIFS(Compras[Cantidad],Compras[Codigo],Stock[Codigo])</f>
        <v>6</v>
      </c>
      <c r="H892" s="11">
        <f>SUMIFS(Ventas[Cantidad],Ventas[Codigo],Stock[[#This Row],[Codigo]])</f>
        <v>3</v>
      </c>
      <c r="I892" s="12">
        <f>Stock[[#This Row],[Stock Deposito]]*Stock[[#This Row],[Precio de Compra]]</f>
        <v>0</v>
      </c>
      <c r="J892" s="6">
        <f>SUMIFS(ProdDesc[Cantidad],ProdDesc[Codigo],Stock[Codigo])</f>
        <v>0</v>
      </c>
      <c r="K892" s="44">
        <f>Stock[[#This Row],[Compra Cultivate]]-Stock[[#This Row],[Salidas]]-Stock[[#This Row],[Usados]]</f>
        <v>3</v>
      </c>
      <c r="L892" s="24">
        <f>Stock[[#This Row],[Stock Deposito]]*Stock[[#This Row],[Precio de Venta]]</f>
        <v>0</v>
      </c>
      <c r="M892" s="6">
        <f>SUMIFS(Tabla9[Cantidad],Tabla9[Codigo],Stock[Codigo])</f>
        <v>6</v>
      </c>
      <c r="N892" s="24">
        <f>Stock[[#This Row],[Precio de Compra]]*Stock[[#This Row],[Stock Cultivate]]</f>
        <v>3282</v>
      </c>
      <c r="O892" s="24">
        <f>Stock[[#This Row],[Stock Cultivate]]*Stock[[#This Row],[Precio de Venta]]</f>
        <v>6000</v>
      </c>
      <c r="R892" s="16"/>
    </row>
    <row r="893" spans="2:18">
      <c r="B893" s="44">
        <v>2</v>
      </c>
      <c r="C893" t="s">
        <v>26</v>
      </c>
      <c r="D893" s="45">
        <v>836</v>
      </c>
      <c r="E893" s="24">
        <v>2000</v>
      </c>
      <c r="F893" s="44">
        <f>Stock[Entradas]-Stock[Compra Cultivate]</f>
        <v>0</v>
      </c>
      <c r="G893" s="11">
        <f>SUMIFS(Compras[Cantidad],Compras[Codigo],Stock[Codigo])</f>
        <v>8</v>
      </c>
      <c r="H893" s="11">
        <f>SUMIFS(Ventas[Cantidad],Ventas[Codigo],Stock[[#This Row],[Codigo]])</f>
        <v>4</v>
      </c>
      <c r="I893" s="12">
        <f>Stock[[#This Row],[Stock Deposito]]*Stock[[#This Row],[Precio de Compra]]</f>
        <v>0</v>
      </c>
      <c r="J893" s="6">
        <f>SUMIFS(ProdDesc[Cantidad],ProdDesc[Codigo],Stock[Codigo])</f>
        <v>0</v>
      </c>
      <c r="K893" s="44">
        <f>Stock[[#This Row],[Compra Cultivate]]-Stock[[#This Row],[Salidas]]-Stock[[#This Row],[Usados]]</f>
        <v>4</v>
      </c>
      <c r="L893" s="24">
        <f>Stock[[#This Row],[Stock Deposito]]*Stock[[#This Row],[Precio de Venta]]</f>
        <v>0</v>
      </c>
      <c r="M893" s="6">
        <f>SUMIFS(Tabla9[Cantidad],Tabla9[Codigo],Stock[Codigo])</f>
        <v>8</v>
      </c>
      <c r="N893" s="24">
        <f>Stock[[#This Row],[Precio de Compra]]*Stock[[#This Row],[Stock Cultivate]]</f>
        <v>3344</v>
      </c>
      <c r="O893" s="24">
        <f>Stock[[#This Row],[Stock Cultivate]]*Stock[[#This Row],[Precio de Venta]]</f>
        <v>8000</v>
      </c>
      <c r="R893" s="16"/>
    </row>
    <row r="894" spans="2:18">
      <c r="B894" s="44">
        <v>1</v>
      </c>
      <c r="C894" t="s">
        <v>25</v>
      </c>
      <c r="D894" s="45">
        <v>836</v>
      </c>
      <c r="E894" s="24">
        <v>2000</v>
      </c>
      <c r="F894" s="44">
        <f>Stock[Entradas]-Stock[Compra Cultivate]</f>
        <v>0</v>
      </c>
      <c r="G894" s="11">
        <f>SUMIFS(Compras[Cantidad],Compras[Codigo],Stock[Codigo])</f>
        <v>4</v>
      </c>
      <c r="H894" s="11">
        <f>SUMIFS(Ventas[Cantidad],Ventas[Codigo],Stock[[#This Row],[Codigo]])</f>
        <v>0</v>
      </c>
      <c r="I894" s="12">
        <f>Stock[[#This Row],[Stock Deposito]]*Stock[[#This Row],[Precio de Compra]]</f>
        <v>0</v>
      </c>
      <c r="J894" s="6">
        <f>SUMIFS(ProdDesc[Cantidad],ProdDesc[Codigo],Stock[Codigo])</f>
        <v>0</v>
      </c>
      <c r="K894" s="44">
        <f>Stock[[#This Row],[Compra Cultivate]]-Stock[[#This Row],[Salidas]]-Stock[[#This Row],[Usados]]</f>
        <v>4</v>
      </c>
      <c r="L894" s="24">
        <f>Stock[[#This Row],[Stock Deposito]]*Stock[[#This Row],[Precio de Venta]]</f>
        <v>0</v>
      </c>
      <c r="M894" s="6">
        <f>SUMIFS(Tabla9[Cantidad],Tabla9[Codigo],Stock[Codigo])</f>
        <v>4</v>
      </c>
      <c r="N894" s="24">
        <f>Stock[[#This Row],[Precio de Compra]]*Stock[[#This Row],[Stock Cultivate]]</f>
        <v>3344</v>
      </c>
      <c r="O894" s="24">
        <f>Stock[[#This Row],[Stock Cultivate]]*Stock[[#This Row],[Precio de Venta]]</f>
        <v>8000</v>
      </c>
      <c r="R894" s="16"/>
    </row>
    <row r="895" spans="2:18">
      <c r="O895" s="16"/>
      <c r="R895" s="16"/>
    </row>
    <row r="896" spans="2:18">
      <c r="R896" s="16"/>
    </row>
  </sheetData>
  <mergeCells count="2">
    <mergeCell ref="B1:J1"/>
    <mergeCell ref="B2:O2"/>
  </mergeCells>
  <phoneticPr fontId="2" type="noConversion"/>
  <conditionalFormatting sqref="B4:I894">
    <cfRule type="expression" dxfId="29" priority="4">
      <formula>$F4&lt;=0</formula>
    </cfRule>
  </conditionalFormatting>
  <conditionalFormatting sqref="H844 B769:D769 G845:H877 I844:I877">
    <cfRule type="expression" dxfId="28" priority="3">
      <formula>$F769&lt;=0</formula>
    </cfRule>
  </conditionalFormatting>
  <conditionalFormatting sqref="D770">
    <cfRule type="expression" dxfId="27" priority="2">
      <formula>$F770&lt;=0</formula>
    </cfRule>
  </conditionalFormatting>
  <conditionalFormatting sqref="K4:O894">
    <cfRule type="expression" dxfId="26" priority="1">
      <formula>$K4&lt;=0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I214"/>
  <sheetViews>
    <sheetView showGridLines="0" showRowColHeaders="0" workbookViewId="0">
      <pane ySplit="3" topLeftCell="A4" activePane="bottomLeft" state="frozen"/>
      <selection activeCell="B1" sqref="B1"/>
      <selection pane="bottomLeft" activeCell="C17" sqref="C17"/>
    </sheetView>
  </sheetViews>
  <sheetFormatPr baseColWidth="10" defaultRowHeight="15"/>
  <cols>
    <col min="1" max="1" width="44.42578125" hidden="1" customWidth="1"/>
    <col min="2" max="2" width="18.42578125" customWidth="1"/>
    <col min="3" max="3" width="66.7109375" customWidth="1"/>
    <col min="4" max="4" width="23.7109375" customWidth="1"/>
    <col min="5" max="5" width="15.5703125" customWidth="1"/>
    <col min="6" max="6" width="23" customWidth="1"/>
    <col min="7" max="7" width="40.85546875" customWidth="1"/>
    <col min="8" max="9" width="11.42578125" style="16"/>
  </cols>
  <sheetData>
    <row r="1" spans="2:7" ht="75.75" customHeight="1">
      <c r="B1" s="16"/>
      <c r="C1" s="16"/>
      <c r="D1" s="16"/>
      <c r="E1" s="16"/>
      <c r="F1" s="16"/>
      <c r="G1" s="16"/>
    </row>
    <row r="2" spans="2:7" ht="73.5" customHeight="1">
      <c r="B2" s="73" t="s">
        <v>341</v>
      </c>
      <c r="C2" s="73"/>
      <c r="D2" s="73"/>
      <c r="E2" s="73"/>
      <c r="F2" s="73"/>
      <c r="G2" s="73"/>
    </row>
    <row r="3" spans="2:7" ht="15" customHeight="1">
      <c r="B3" s="22" t="s">
        <v>90</v>
      </c>
      <c r="C3" s="22" t="s">
        <v>1</v>
      </c>
      <c r="D3" s="22" t="s">
        <v>339</v>
      </c>
      <c r="E3" s="22" t="s">
        <v>89</v>
      </c>
      <c r="F3" s="22" t="s">
        <v>0</v>
      </c>
      <c r="G3" s="25" t="s">
        <v>486</v>
      </c>
    </row>
    <row r="4" spans="2:7" ht="15" customHeight="1">
      <c r="B4" s="58">
        <v>58</v>
      </c>
      <c r="C4" s="57" t="str">
        <f>VLOOKUP(ProdDesc[[#This Row],[Codigo]],Stock[],2,FALSE)</f>
        <v xml:space="preserve">Encendedor Clipper </v>
      </c>
      <c r="D4" s="59">
        <f>VLOOKUP(ProdDesc[[#This Row],[Codigo]],Stock[],3,FALSE)</f>
        <v>378</v>
      </c>
      <c r="E4" s="60">
        <v>1</v>
      </c>
      <c r="F4" s="61" t="s">
        <v>1178</v>
      </c>
      <c r="G4" s="62" t="s">
        <v>505</v>
      </c>
    </row>
    <row r="5" spans="2:7" ht="15" customHeight="1">
      <c r="B5" s="58">
        <v>63</v>
      </c>
      <c r="C5" s="57" t="str">
        <f>VLOOKUP(ProdDesc[[#This Row],[Codigo]],Stock[],2,FALSE)</f>
        <v>Sedas Lion Rolling Circus 1/4 alfalfa</v>
      </c>
      <c r="D5" s="59">
        <f>VLOOKUP(ProdDesc[[#This Row],[Codigo]],Stock[],3,FALSE)</f>
        <v>150</v>
      </c>
      <c r="E5" s="60">
        <v>1</v>
      </c>
      <c r="F5" s="61" t="s">
        <v>1178</v>
      </c>
      <c r="G5" s="62" t="s">
        <v>505</v>
      </c>
    </row>
    <row r="6" spans="2:7" ht="15" customHeight="1">
      <c r="B6" s="58">
        <v>366</v>
      </c>
      <c r="C6" s="57" t="str">
        <f>VLOOKUP(ProdDesc[[#This Row],[Codigo]],Stock[],2,FALSE)</f>
        <v>Tabaco Moro Mango</v>
      </c>
      <c r="D6" s="59">
        <f>VLOOKUP(ProdDesc[[#This Row],[Codigo]],Stock[],3,FALSE)</f>
        <v>525</v>
      </c>
      <c r="E6" s="60">
        <v>1</v>
      </c>
      <c r="F6" s="61" t="s">
        <v>1178</v>
      </c>
      <c r="G6" s="62" t="s">
        <v>590</v>
      </c>
    </row>
    <row r="7" spans="2:7" ht="15" customHeight="1">
      <c r="B7" s="58">
        <v>75</v>
      </c>
      <c r="C7" s="57" t="str">
        <f>VLOOKUP(ProdDesc[[#This Row],[Codigo]],Stock[],2,FALSE)</f>
        <v>Sedas STAMPS Kz Organic</v>
      </c>
      <c r="D7" s="59">
        <f>VLOOKUP(ProdDesc[[#This Row],[Codigo]],Stock[],3,FALSE)</f>
        <v>93</v>
      </c>
      <c r="E7" s="60">
        <v>1</v>
      </c>
      <c r="F7" s="61" t="s">
        <v>1140</v>
      </c>
      <c r="G7" s="62" t="s">
        <v>722</v>
      </c>
    </row>
    <row r="8" spans="2:7" ht="15" customHeight="1">
      <c r="B8" s="58">
        <v>114</v>
      </c>
      <c r="C8" s="57" t="str">
        <f>VLOOKUP(ProdDesc[[#This Row],[Codigo]],Stock[],2,FALSE)</f>
        <v>Tabaco RED FIELD</v>
      </c>
      <c r="D8" s="59">
        <f>VLOOKUP(ProdDesc[[#This Row],[Codigo]],Stock[],3,FALSE)</f>
        <v>525</v>
      </c>
      <c r="E8" s="60">
        <v>2</v>
      </c>
      <c r="F8" s="61" t="s">
        <v>1140</v>
      </c>
      <c r="G8" s="62" t="s">
        <v>1141</v>
      </c>
    </row>
    <row r="9" spans="2:7" ht="15" customHeight="1">
      <c r="B9" s="58">
        <v>239</v>
      </c>
      <c r="C9" s="57" t="str">
        <f>VLOOKUP(ProdDesc[[#This Row],[Codigo]],Stock[],2,FALSE)</f>
        <v>Rejillas x5</v>
      </c>
      <c r="D9" s="59">
        <f>VLOOKUP(ProdDesc[[#This Row],[Codigo]],Stock[],3,FALSE)</f>
        <v>20</v>
      </c>
      <c r="E9" s="60">
        <v>41</v>
      </c>
      <c r="F9" s="61" t="s">
        <v>1140</v>
      </c>
      <c r="G9" s="62" t="s">
        <v>520</v>
      </c>
    </row>
    <row r="10" spans="2:7" ht="15" customHeight="1">
      <c r="B10" s="58">
        <v>398</v>
      </c>
      <c r="C10" s="57" t="str">
        <f>VLOOKUP(ProdDesc[[#This Row],[Codigo]],Stock[],2,FALSE)</f>
        <v xml:space="preserve">Pangea kit profesional </v>
      </c>
      <c r="D10" s="59">
        <f>VLOOKUP(ProdDesc[[#This Row],[Codigo]],Stock[],3,FALSE)</f>
        <v>4025</v>
      </c>
      <c r="E10" s="60">
        <v>1</v>
      </c>
      <c r="F10" s="61" t="s">
        <v>1135</v>
      </c>
      <c r="G10" s="62" t="s">
        <v>1137</v>
      </c>
    </row>
    <row r="11" spans="2:7" ht="15" customHeight="1">
      <c r="B11" s="58">
        <v>503</v>
      </c>
      <c r="C11" s="57" t="str">
        <f>VLOOKUP(ProdDesc[[#This Row],[Codigo]],Stock[],2,FALSE)</f>
        <v>Encendedor Magic Clip pop</v>
      </c>
      <c r="D11" s="59">
        <f>VLOOKUP(ProdDesc[[#This Row],[Codigo]],Stock[],3,FALSE)</f>
        <v>150</v>
      </c>
      <c r="E11" s="60">
        <v>9</v>
      </c>
      <c r="F11" s="61" t="s">
        <v>1135</v>
      </c>
      <c r="G11" s="62" t="s">
        <v>1138</v>
      </c>
    </row>
    <row r="12" spans="2:7" ht="15" customHeight="1">
      <c r="B12" s="58">
        <v>516</v>
      </c>
      <c r="C12" s="57" t="str">
        <f>VLOOKUP(ProdDesc[[#This Row],[Codigo]],Stock[],2,FALSE)</f>
        <v>Balanza de Cocina</v>
      </c>
      <c r="D12" s="59">
        <f>VLOOKUP(ProdDesc[[#This Row],[Codigo]],Stock[],3,FALSE)</f>
        <v>2000</v>
      </c>
      <c r="E12" s="60">
        <v>1</v>
      </c>
      <c r="F12" s="61" t="s">
        <v>1135</v>
      </c>
      <c r="G12" s="62" t="s">
        <v>722</v>
      </c>
    </row>
    <row r="13" spans="2:7" ht="15" customHeight="1">
      <c r="B13" s="58">
        <v>291</v>
      </c>
      <c r="C13" s="57" t="str">
        <f>VLOOKUP(ProdDesc[[#This Row],[Codigo]],Stock[],2,FALSE)</f>
        <v>Macetas Mad Rocket 25 Litros</v>
      </c>
      <c r="D13" s="59">
        <f>VLOOKUP(ProdDesc[[#This Row],[Codigo]],Stock[],3,FALSE)</f>
        <v>1143</v>
      </c>
      <c r="E13" s="60">
        <v>1</v>
      </c>
      <c r="F13" s="61" t="s">
        <v>1135</v>
      </c>
      <c r="G13" s="62" t="s">
        <v>1137</v>
      </c>
    </row>
    <row r="14" spans="2:7" ht="15" customHeight="1">
      <c r="B14" s="58">
        <v>322</v>
      </c>
      <c r="C14" s="57" t="str">
        <f>VLOOKUP(ProdDesc[[#This Row],[Codigo]],Stock[],2,FALSE)</f>
        <v>Masetas Air Pot</v>
      </c>
      <c r="D14" s="59">
        <f>VLOOKUP(ProdDesc[[#This Row],[Codigo]],Stock[],3,FALSE)</f>
        <v>500</v>
      </c>
      <c r="E14" s="60">
        <v>1</v>
      </c>
      <c r="F14" s="61" t="s">
        <v>1135</v>
      </c>
      <c r="G14" s="62" t="s">
        <v>1137</v>
      </c>
    </row>
    <row r="15" spans="2:7" ht="15" customHeight="1">
      <c r="B15" s="58">
        <v>548</v>
      </c>
      <c r="C15" s="57" t="str">
        <f>VLOOKUP(ProdDesc[[#This Row],[Codigo]],Stock[],2,FALSE)</f>
        <v>Anillos de Silicona</v>
      </c>
      <c r="D15" s="59">
        <f>VLOOKUP(ProdDesc[[#This Row],[Codigo]],Stock[],3,FALSE)</f>
        <v>345</v>
      </c>
      <c r="E15" s="60">
        <v>3</v>
      </c>
      <c r="F15" s="61" t="s">
        <v>1135</v>
      </c>
      <c r="G15" s="62" t="s">
        <v>1137</v>
      </c>
    </row>
    <row r="16" spans="2:7" ht="15" customHeight="1">
      <c r="B16" s="58">
        <v>533</v>
      </c>
      <c r="C16" s="57" t="str">
        <f>VLOOKUP(ProdDesc[[#This Row],[Codigo]],Stock[],2,FALSE)</f>
        <v>Bong Acrílico Chico Manzana Mordida</v>
      </c>
      <c r="D16" s="59">
        <f>VLOOKUP(ProdDesc[[#This Row],[Codigo]],Stock[],3,FALSE)</f>
        <v>926</v>
      </c>
      <c r="E16" s="60">
        <v>1</v>
      </c>
      <c r="F16" s="61" t="s">
        <v>1135</v>
      </c>
      <c r="G16" s="62" t="s">
        <v>1137</v>
      </c>
    </row>
    <row r="17" spans="2:7" ht="15" customHeight="1">
      <c r="B17" s="58">
        <v>534</v>
      </c>
      <c r="C17" s="57" t="str">
        <f>VLOOKUP(ProdDesc[[#This Row],[Codigo]],Stock[],2,FALSE)</f>
        <v>Bong Chico Acrílico Redondo</v>
      </c>
      <c r="D17" s="59">
        <f>VLOOKUP(ProdDesc[[#This Row],[Codigo]],Stock[],3,FALSE)</f>
        <v>1150</v>
      </c>
      <c r="E17" s="60">
        <v>1</v>
      </c>
      <c r="F17" s="61" t="s">
        <v>1135</v>
      </c>
      <c r="G17" s="62" t="s">
        <v>1137</v>
      </c>
    </row>
    <row r="18" spans="2:7" ht="15" customHeight="1">
      <c r="B18" s="58">
        <v>604</v>
      </c>
      <c r="C18" s="57" t="str">
        <f>VLOOKUP(ProdDesc[[#This Row],[Codigo]],Stock[],2,FALSE)</f>
        <v>Kit de Fertilizantes POT</v>
      </c>
      <c r="D18" s="59">
        <f>VLOOKUP(ProdDesc[[#This Row],[Codigo]],Stock[],3,FALSE)</f>
        <v>1665</v>
      </c>
      <c r="E18" s="60">
        <v>1</v>
      </c>
      <c r="F18" s="61" t="s">
        <v>1135</v>
      </c>
      <c r="G18" s="62" t="s">
        <v>1137</v>
      </c>
    </row>
    <row r="19" spans="2:7" ht="15" customHeight="1">
      <c r="B19" s="58">
        <v>135</v>
      </c>
      <c r="C19" s="57" t="str">
        <f>VLOOKUP(ProdDesc[[#This Row],[Codigo]],Stock[],2,FALSE)</f>
        <v>Bandeja Motivos Varios</v>
      </c>
      <c r="D19" s="59">
        <f>VLOOKUP(ProdDesc[[#This Row],[Codigo]],Stock[],3,FALSE)</f>
        <v>1047</v>
      </c>
      <c r="E19" s="60">
        <v>1</v>
      </c>
      <c r="F19" s="61" t="s">
        <v>1135</v>
      </c>
      <c r="G19" s="62" t="s">
        <v>1137</v>
      </c>
    </row>
    <row r="20" spans="2:7" ht="15" customHeight="1">
      <c r="B20" s="58">
        <v>556</v>
      </c>
      <c r="C20" s="57" t="str">
        <f>VLOOKUP(ProdDesc[[#This Row],[Codigo]],Stock[],2,FALSE)</f>
        <v>Frasco Weed Chico</v>
      </c>
      <c r="D20" s="59">
        <f>VLOOKUP(ProdDesc[[#This Row],[Codigo]],Stock[],3,FALSE)</f>
        <v>200</v>
      </c>
      <c r="E20" s="60">
        <v>1</v>
      </c>
      <c r="F20" s="61" t="s">
        <v>1135</v>
      </c>
      <c r="G20" s="62" t="s">
        <v>1137</v>
      </c>
    </row>
    <row r="21" spans="2:7" ht="15" customHeight="1">
      <c r="B21" s="58">
        <v>557</v>
      </c>
      <c r="C21" s="57" t="str">
        <f>VLOOKUP(ProdDesc[[#This Row],[Codigo]],Stock[],2,FALSE)</f>
        <v>Frasco Weed Mediano</v>
      </c>
      <c r="D21" s="59">
        <f>VLOOKUP(ProdDesc[[#This Row],[Codigo]],Stock[],3,FALSE)</f>
        <v>300</v>
      </c>
      <c r="E21" s="60">
        <v>1</v>
      </c>
      <c r="F21" s="61" t="s">
        <v>1135</v>
      </c>
      <c r="G21" s="62" t="s">
        <v>1137</v>
      </c>
    </row>
    <row r="22" spans="2:7" ht="15" customHeight="1">
      <c r="B22" s="58">
        <v>142</v>
      </c>
      <c r="C22" s="57" t="str">
        <f>VLOOKUP(ProdDesc[[#This Row],[Codigo]],Stock[],2,FALSE)</f>
        <v>Cenicero Motivos Varios</v>
      </c>
      <c r="D22" s="59">
        <f>VLOOKUP(ProdDesc[[#This Row],[Codigo]],Stock[],3,FALSE)</f>
        <v>215</v>
      </c>
      <c r="E22" s="60">
        <v>1</v>
      </c>
      <c r="F22" s="61" t="s">
        <v>1135</v>
      </c>
      <c r="G22" s="62" t="s">
        <v>1137</v>
      </c>
    </row>
    <row r="23" spans="2:7" ht="15" customHeight="1">
      <c r="B23" s="58">
        <v>423</v>
      </c>
      <c r="C23" s="57" t="str">
        <f>VLOOKUP(ProdDesc[[#This Row],[Codigo]],Stock[],2,FALSE)</f>
        <v>Picador 420</v>
      </c>
      <c r="D23" s="59">
        <f>VLOOKUP(ProdDesc[[#This Row],[Codigo]],Stock[],3,FALSE)</f>
        <v>870</v>
      </c>
      <c r="E23" s="60">
        <v>1</v>
      </c>
      <c r="F23" s="61" t="s">
        <v>1135</v>
      </c>
      <c r="G23" s="62" t="s">
        <v>1137</v>
      </c>
    </row>
    <row r="24" spans="2:7" ht="15" customHeight="1">
      <c r="B24" s="58">
        <v>481</v>
      </c>
      <c r="C24" s="57" t="str">
        <f>VLOOKUP(ProdDesc[[#This Row],[Codigo]],Stock[],2,FALSE)</f>
        <v>Pipa Atomic Aluminio</v>
      </c>
      <c r="D24" s="59">
        <f>VLOOKUP(ProdDesc[[#This Row],[Codigo]],Stock[],3,FALSE)</f>
        <v>540</v>
      </c>
      <c r="E24" s="60">
        <v>1</v>
      </c>
      <c r="F24" s="61" t="s">
        <v>1135</v>
      </c>
      <c r="G24" s="62" t="s">
        <v>1137</v>
      </c>
    </row>
    <row r="25" spans="2:7" ht="15" customHeight="1">
      <c r="B25" s="58">
        <v>155</v>
      </c>
      <c r="C25" s="57" t="str">
        <f>VLOOKUP(ProdDesc[[#This Row],[Codigo]],Stock[],2,FALSE)</f>
        <v>Pipa Madera</v>
      </c>
      <c r="D25" s="59">
        <f>VLOOKUP(ProdDesc[[#This Row],[Codigo]],Stock[],3,FALSE)</f>
        <v>450</v>
      </c>
      <c r="E25" s="60">
        <v>1</v>
      </c>
      <c r="F25" s="61" t="s">
        <v>1135</v>
      </c>
      <c r="G25" s="62" t="s">
        <v>1137</v>
      </c>
    </row>
    <row r="26" spans="2:7" ht="15" customHeight="1">
      <c r="B26" s="58">
        <v>38</v>
      </c>
      <c r="C26" s="57" t="str">
        <f>VLOOKUP(ProdDesc[[#This Row],[Codigo]],Stock[],2,FALSE)</f>
        <v>VAMP Guano de murcielago Flora</v>
      </c>
      <c r="D26" s="59">
        <f>VLOOKUP(ProdDesc[[#This Row],[Codigo]],Stock[],3,FALSE)</f>
        <v>510</v>
      </c>
      <c r="E26" s="60">
        <v>1</v>
      </c>
      <c r="F26" s="61" t="s">
        <v>1135</v>
      </c>
      <c r="G26" s="62" t="s">
        <v>1137</v>
      </c>
    </row>
    <row r="27" spans="2:7" ht="15" customHeight="1">
      <c r="B27" s="58">
        <v>37</v>
      </c>
      <c r="C27" s="57" t="str">
        <f>VLOOKUP(ProdDesc[[#This Row],[Codigo]],Stock[],2,FALSE)</f>
        <v>VAMP Guano de murcielago Vegetativo</v>
      </c>
      <c r="D27" s="59">
        <f>VLOOKUP(ProdDesc[[#This Row],[Codigo]],Stock[],3,FALSE)</f>
        <v>510</v>
      </c>
      <c r="E27" s="60">
        <v>1</v>
      </c>
      <c r="F27" s="61" t="s">
        <v>1135</v>
      </c>
      <c r="G27" s="62" t="s">
        <v>1136</v>
      </c>
    </row>
    <row r="28" spans="2:7" ht="15" customHeight="1">
      <c r="B28" s="58">
        <v>929</v>
      </c>
      <c r="C28" s="57" t="str">
        <f>VLOOKUP(ProdDesc[[#This Row],[Codigo]],Stock[],2,FALSE)</f>
        <v>RAW Humidifying Stone</v>
      </c>
      <c r="D28" s="59">
        <f>VLOOKUP(ProdDesc[[#This Row],[Codigo]],Stock[],3,FALSE)</f>
        <v>442</v>
      </c>
      <c r="E28" s="60">
        <v>1</v>
      </c>
      <c r="F28" s="61" t="s">
        <v>1131</v>
      </c>
      <c r="G28" s="62" t="s">
        <v>629</v>
      </c>
    </row>
    <row r="29" spans="2:7" ht="15" customHeight="1">
      <c r="B29" s="58">
        <v>885</v>
      </c>
      <c r="C29" s="57" t="str">
        <f>VLOOKUP(ProdDesc[[#This Row],[Codigo]],Stock[],2,FALSE)</f>
        <v>Sedas RAW Black Doble 1/4</v>
      </c>
      <c r="D29" s="59">
        <f>VLOOKUP(ProdDesc[[#This Row],[Codigo]],Stock[],3,FALSE)</f>
        <v>423</v>
      </c>
      <c r="E29" s="60">
        <v>1</v>
      </c>
      <c r="F29" s="61" t="s">
        <v>1131</v>
      </c>
      <c r="G29" s="62" t="s">
        <v>629</v>
      </c>
    </row>
    <row r="30" spans="2:7" ht="15" customHeight="1">
      <c r="B30" s="58">
        <v>58</v>
      </c>
      <c r="C30" s="57" t="str">
        <f>VLOOKUP(ProdDesc[[#This Row],[Codigo]],Stock[],2,FALSE)</f>
        <v xml:space="preserve">Encendedor Clipper </v>
      </c>
      <c r="D30" s="59">
        <f>VLOOKUP(ProdDesc[[#This Row],[Codigo]],Stock[],3,FALSE)</f>
        <v>378</v>
      </c>
      <c r="E30" s="60">
        <v>1</v>
      </c>
      <c r="F30" s="61" t="s">
        <v>1131</v>
      </c>
      <c r="G30" s="62" t="s">
        <v>629</v>
      </c>
    </row>
    <row r="31" spans="2:7" ht="15" customHeight="1">
      <c r="B31" s="58">
        <v>754</v>
      </c>
      <c r="C31" s="57" t="str">
        <f>VLOOKUP(ProdDesc[[#This Row],[Codigo]],Stock[],2,FALSE)</f>
        <v>Tabaco Moro Virginia Blend</v>
      </c>
      <c r="D31" s="59">
        <f>VLOOKUP(ProdDesc[[#This Row],[Codigo]],Stock[],3,FALSE)</f>
        <v>425</v>
      </c>
      <c r="E31" s="60">
        <v>2</v>
      </c>
      <c r="F31" s="61" t="s">
        <v>1131</v>
      </c>
      <c r="G31" s="62" t="s">
        <v>1132</v>
      </c>
    </row>
    <row r="32" spans="2:7" ht="15" customHeight="1">
      <c r="B32" s="58">
        <v>354</v>
      </c>
      <c r="C32" s="57" t="str">
        <f>VLOOKUP(ProdDesc[[#This Row],[Codigo]],Stock[],2,FALSE)</f>
        <v xml:space="preserve">ocb ultimate </v>
      </c>
      <c r="D32" s="59">
        <f>VLOOKUP(ProdDesc[[#This Row],[Codigo]],Stock[],3,FALSE)</f>
        <v>165</v>
      </c>
      <c r="E32" s="60">
        <v>1</v>
      </c>
      <c r="F32" s="61" t="s">
        <v>803</v>
      </c>
      <c r="G32" s="62" t="s">
        <v>722</v>
      </c>
    </row>
    <row r="33" spans="2:7" ht="15" customHeight="1">
      <c r="B33" s="58">
        <v>120</v>
      </c>
      <c r="C33" s="57" t="str">
        <f>VLOOKUP(ProdDesc[[#This Row],[Codigo]],Stock[],2,FALSE)</f>
        <v>Tabaco Van Kiff Vainilla</v>
      </c>
      <c r="D33" s="59">
        <f>VLOOKUP(ProdDesc[[#This Row],[Codigo]],Stock[],3,FALSE)</f>
        <v>580</v>
      </c>
      <c r="E33" s="60">
        <v>1</v>
      </c>
      <c r="F33" s="61" t="s">
        <v>803</v>
      </c>
      <c r="G33" s="62" t="s">
        <v>629</v>
      </c>
    </row>
    <row r="34" spans="2:7" ht="15" customHeight="1">
      <c r="B34" s="58">
        <v>107</v>
      </c>
      <c r="C34" s="57" t="str">
        <f>VLOOKUP(ProdDesc[[#This Row],[Codigo]],Stock[],2,FALSE)</f>
        <v>Filtros GIZEH biodegradable</v>
      </c>
      <c r="D34" s="59">
        <f>VLOOKUP(ProdDesc[[#This Row],[Codigo]],Stock[],3,FALSE)</f>
        <v>280</v>
      </c>
      <c r="E34" s="60">
        <v>1</v>
      </c>
      <c r="F34" s="61" t="s">
        <v>803</v>
      </c>
      <c r="G34" s="62" t="s">
        <v>629</v>
      </c>
    </row>
    <row r="35" spans="2:7" ht="15" customHeight="1">
      <c r="B35" s="58">
        <v>470</v>
      </c>
      <c r="C35" s="57" t="str">
        <f>VLOOKUP(ProdDesc[[#This Row],[Codigo]],Stock[],2,FALSE)</f>
        <v>Araña Roja Green Leaf 100ml</v>
      </c>
      <c r="D35" s="59">
        <f>VLOOKUP(ProdDesc[[#This Row],[Codigo]],Stock[],3,FALSE)</f>
        <v>904</v>
      </c>
      <c r="E35" s="60">
        <v>1</v>
      </c>
      <c r="F35" s="61" t="s">
        <v>800</v>
      </c>
      <c r="G35" s="62" t="s">
        <v>590</v>
      </c>
    </row>
    <row r="36" spans="2:7" ht="15" customHeight="1">
      <c r="B36" s="58">
        <v>37</v>
      </c>
      <c r="C36" s="57" t="str">
        <f>VLOOKUP(ProdDesc[[#This Row],[Codigo]],Stock[],2,FALSE)</f>
        <v>VAMP Guano de murcielago Vegetativo</v>
      </c>
      <c r="D36" s="59">
        <f>VLOOKUP(ProdDesc[[#This Row],[Codigo]],Stock[],3,FALSE)</f>
        <v>510</v>
      </c>
      <c r="E36" s="60">
        <v>1</v>
      </c>
      <c r="F36" s="61" t="s">
        <v>800</v>
      </c>
      <c r="G36" s="62" t="s">
        <v>590</v>
      </c>
    </row>
    <row r="37" spans="2:7" ht="15" customHeight="1">
      <c r="B37" s="58">
        <v>36</v>
      </c>
      <c r="C37" s="57" t="str">
        <f>VLOOKUP(ProdDesc[[#This Row],[Codigo]],Stock[],2,FALSE)</f>
        <v>VAMP Supermelaza</v>
      </c>
      <c r="D37" s="59">
        <f>VLOOKUP(ProdDesc[[#This Row],[Codigo]],Stock[],3,FALSE)</f>
        <v>908</v>
      </c>
      <c r="E37" s="60">
        <v>1</v>
      </c>
      <c r="F37" s="61" t="s">
        <v>800</v>
      </c>
      <c r="G37" s="62" t="s">
        <v>590</v>
      </c>
    </row>
    <row r="38" spans="2:7" ht="15" customHeight="1">
      <c r="B38" s="58">
        <v>77</v>
      </c>
      <c r="C38" s="57" t="str">
        <f>VLOOKUP(ProdDesc[[#This Row],[Codigo]],Stock[],2,FALSE)</f>
        <v>Sedas OCB 1/4 Organic  Bamboo</v>
      </c>
      <c r="D38" s="59">
        <f>VLOOKUP(ProdDesc[[#This Row],[Codigo]],Stock[],3,FALSE)</f>
        <v>165</v>
      </c>
      <c r="E38" s="60">
        <v>1</v>
      </c>
      <c r="F38" s="61" t="s">
        <v>800</v>
      </c>
      <c r="G38" s="62" t="s">
        <v>590</v>
      </c>
    </row>
    <row r="39" spans="2:7" ht="15" customHeight="1">
      <c r="B39" s="58">
        <v>107</v>
      </c>
      <c r="C39" s="57" t="str">
        <f>VLOOKUP(ProdDesc[[#This Row],[Codigo]],Stock[],2,FALSE)</f>
        <v>Filtros GIZEH biodegradable</v>
      </c>
      <c r="D39" s="59">
        <f>VLOOKUP(ProdDesc[[#This Row],[Codigo]],Stock[],3,FALSE)</f>
        <v>280</v>
      </c>
      <c r="E39" s="60">
        <v>1</v>
      </c>
      <c r="F39" s="61" t="s">
        <v>800</v>
      </c>
      <c r="G39" s="62" t="s">
        <v>590</v>
      </c>
    </row>
    <row r="40" spans="2:7" ht="15" customHeight="1">
      <c r="B40" s="58">
        <v>620</v>
      </c>
      <c r="C40" s="57" t="str">
        <f>VLOOKUP(ProdDesc[[#This Row],[Codigo]],Stock[],2,FALSE)</f>
        <v>Tabaco Van Haasen Nativo</v>
      </c>
      <c r="D40" s="59">
        <f>VLOOKUP(ProdDesc[[#This Row],[Codigo]],Stock[],3,FALSE)</f>
        <v>630</v>
      </c>
      <c r="E40" s="60">
        <v>1</v>
      </c>
      <c r="F40" s="61" t="s">
        <v>800</v>
      </c>
      <c r="G40" s="62" t="s">
        <v>614</v>
      </c>
    </row>
    <row r="41" spans="2:7" ht="15" customHeight="1">
      <c r="B41" s="58">
        <v>120</v>
      </c>
      <c r="C41" s="57" t="str">
        <f>VLOOKUP(ProdDesc[[#This Row],[Codigo]],Stock[],2,FALSE)</f>
        <v>Tabaco Van Kiff Vainilla</v>
      </c>
      <c r="D41" s="59">
        <f>VLOOKUP(ProdDesc[[#This Row],[Codigo]],Stock[],3,FALSE)</f>
        <v>580</v>
      </c>
      <c r="E41" s="60">
        <v>1</v>
      </c>
      <c r="F41" s="61" t="s">
        <v>798</v>
      </c>
      <c r="G41" s="62" t="s">
        <v>629</v>
      </c>
    </row>
    <row r="42" spans="2:7" ht="15" customHeight="1">
      <c r="B42" s="58">
        <v>620</v>
      </c>
      <c r="C42" s="57" t="str">
        <f>VLOOKUP(ProdDesc[[#This Row],[Codigo]],Stock[],2,FALSE)</f>
        <v>Tabaco Van Haasen Nativo</v>
      </c>
      <c r="D42" s="59">
        <f>VLOOKUP(ProdDesc[[#This Row],[Codigo]],Stock[],3,FALSE)</f>
        <v>630</v>
      </c>
      <c r="E42" s="60">
        <v>1</v>
      </c>
      <c r="F42" s="61" t="s">
        <v>796</v>
      </c>
      <c r="G42" s="62" t="s">
        <v>614</v>
      </c>
    </row>
    <row r="43" spans="2:7" ht="15" customHeight="1">
      <c r="B43" s="58">
        <v>77</v>
      </c>
      <c r="C43" s="57" t="str">
        <f>VLOOKUP(ProdDesc[[#This Row],[Codigo]],Stock[],2,FALSE)</f>
        <v>Sedas OCB 1/4 Organic  Bamboo</v>
      </c>
      <c r="D43" s="59">
        <f>VLOOKUP(ProdDesc[[#This Row],[Codigo]],Stock[],3,FALSE)</f>
        <v>165</v>
      </c>
      <c r="E43" s="60">
        <v>2</v>
      </c>
      <c r="F43" s="61" t="s">
        <v>795</v>
      </c>
      <c r="G43" s="62" t="s">
        <v>722</v>
      </c>
    </row>
    <row r="44" spans="2:7" ht="15" customHeight="1">
      <c r="B44" s="58">
        <v>107</v>
      </c>
      <c r="C44" s="57" t="str">
        <f>VLOOKUP(ProdDesc[[#This Row],[Codigo]],Stock[],2,FALSE)</f>
        <v>Filtros GIZEH biodegradable</v>
      </c>
      <c r="D44" s="59">
        <f>VLOOKUP(ProdDesc[[#This Row],[Codigo]],Stock[],3,FALSE)</f>
        <v>280</v>
      </c>
      <c r="E44" s="60">
        <v>2</v>
      </c>
      <c r="F44" s="61" t="s">
        <v>795</v>
      </c>
      <c r="G44" s="62" t="s">
        <v>722</v>
      </c>
    </row>
    <row r="45" spans="2:7" ht="15" customHeight="1">
      <c r="B45" s="58">
        <v>120</v>
      </c>
      <c r="C45" s="57" t="str">
        <f>VLOOKUP(ProdDesc[[#This Row],[Codigo]],Stock[],2,FALSE)</f>
        <v>Tabaco Van Kiff Vainilla</v>
      </c>
      <c r="D45" s="59">
        <f>VLOOKUP(ProdDesc[[#This Row],[Codigo]],Stock[],3,FALSE)</f>
        <v>580</v>
      </c>
      <c r="E45" s="60">
        <v>2</v>
      </c>
      <c r="F45" s="61" t="s">
        <v>795</v>
      </c>
      <c r="G45" s="62" t="s">
        <v>722</v>
      </c>
    </row>
    <row r="46" spans="2:7" ht="15" customHeight="1">
      <c r="B46" s="48">
        <v>120</v>
      </c>
      <c r="C46" s="35" t="str">
        <f>VLOOKUP(ProdDesc[[#This Row],[Codigo]],Stock[],2,FALSE)</f>
        <v>Tabaco Van Kiff Vainilla</v>
      </c>
      <c r="D46" s="49">
        <f>VLOOKUP(ProdDesc[[#This Row],[Codigo]],Stock[],3,FALSE)</f>
        <v>580</v>
      </c>
      <c r="E46" s="46">
        <v>2</v>
      </c>
      <c r="F46" s="50" t="s">
        <v>793</v>
      </c>
      <c r="G46" s="47" t="s">
        <v>740</v>
      </c>
    </row>
    <row r="47" spans="2:7" ht="15" customHeight="1">
      <c r="B47" s="52">
        <v>620</v>
      </c>
      <c r="C47" s="32" t="str">
        <f>VLOOKUP(ProdDesc[[#This Row],[Codigo]],Stock[],2,FALSE)</f>
        <v>Tabaco Van Haasen Nativo</v>
      </c>
      <c r="D47" s="53">
        <f>VLOOKUP(ProdDesc[[#This Row],[Codigo]],Stock[],3,FALSE)</f>
        <v>630</v>
      </c>
      <c r="E47" s="54">
        <v>1</v>
      </c>
      <c r="F47" s="55" t="s">
        <v>785</v>
      </c>
      <c r="G47" s="56" t="s">
        <v>629</v>
      </c>
    </row>
    <row r="48" spans="2:7" ht="15" customHeight="1">
      <c r="B48" s="52">
        <v>262</v>
      </c>
      <c r="C48" s="32" t="str">
        <f>VLOOKUP(ProdDesc[[#This Row],[Codigo]],Stock[],2,FALSE)</f>
        <v>Secador Buen Consejo 4 pisos</v>
      </c>
      <c r="D48" s="53">
        <f>VLOOKUP(ProdDesc[[#This Row],[Codigo]],Stock[],3,FALSE)</f>
        <v>3400</v>
      </c>
      <c r="E48" s="54">
        <v>1</v>
      </c>
      <c r="F48" s="55" t="s">
        <v>785</v>
      </c>
      <c r="G48" s="56" t="s">
        <v>614</v>
      </c>
    </row>
    <row r="49" spans="2:7" ht="15" customHeight="1">
      <c r="B49" s="52">
        <v>586</v>
      </c>
      <c r="C49" s="32" t="str">
        <f>VLOOKUP(ProdDesc[[#This Row],[Codigo]],Stock[],2,FALSE)</f>
        <v>Filtros Gizeh x100 6mm</v>
      </c>
      <c r="D49" s="53">
        <f>VLOOKUP(ProdDesc[[#This Row],[Codigo]],Stock[],3,FALSE)</f>
        <v>190</v>
      </c>
      <c r="E49" s="54">
        <v>1</v>
      </c>
      <c r="F49" s="55" t="s">
        <v>784</v>
      </c>
      <c r="G49" s="56" t="s">
        <v>629</v>
      </c>
    </row>
    <row r="50" spans="2:7" ht="15" customHeight="1">
      <c r="B50" s="52">
        <v>67</v>
      </c>
      <c r="C50" s="32" t="str">
        <f>VLOOKUP(ProdDesc[[#This Row],[Codigo]],Stock[],2,FALSE)</f>
        <v>Sedas Blunt Rey 1/4 organic</v>
      </c>
      <c r="D50" s="53">
        <f>VLOOKUP(ProdDesc[[#This Row],[Codigo]],Stock[],3,FALSE)</f>
        <v>109</v>
      </c>
      <c r="E50" s="54">
        <v>1</v>
      </c>
      <c r="F50" s="55" t="s">
        <v>783</v>
      </c>
      <c r="G50" s="56" t="s">
        <v>629</v>
      </c>
    </row>
    <row r="51" spans="2:7" ht="15" customHeight="1">
      <c r="B51" s="52">
        <v>441</v>
      </c>
      <c r="C51" s="32" t="str">
        <f>VLOOKUP(ProdDesc[[#This Row],[Codigo]],Stock[],2,FALSE)</f>
        <v xml:space="preserve">Bio Proyect Ph + 125ml </v>
      </c>
      <c r="D51" s="53">
        <f>VLOOKUP(ProdDesc[[#This Row],[Codigo]],Stock[],3,FALSE)</f>
        <v>631</v>
      </c>
      <c r="E51" s="54">
        <v>1</v>
      </c>
      <c r="F51" s="55" t="s">
        <v>782</v>
      </c>
      <c r="G51" s="56" t="s">
        <v>614</v>
      </c>
    </row>
    <row r="52" spans="2:7" ht="15" customHeight="1">
      <c r="B52" s="52">
        <v>456</v>
      </c>
      <c r="C52" s="32" t="str">
        <f>VLOOKUP(ProdDesc[[#This Row],[Codigo]],Stock[],2,FALSE)</f>
        <v>Macetas Sopladas 3L</v>
      </c>
      <c r="D52" s="53">
        <f>VLOOKUP(ProdDesc[[#This Row],[Codigo]],Stock[],3,FALSE)</f>
        <v>58</v>
      </c>
      <c r="E52" s="54">
        <v>8</v>
      </c>
      <c r="F52" s="55" t="s">
        <v>782</v>
      </c>
      <c r="G52" s="56" t="s">
        <v>614</v>
      </c>
    </row>
    <row r="53" spans="2:7" ht="15" customHeight="1">
      <c r="B53" s="48">
        <v>12</v>
      </c>
      <c r="C53" s="35" t="str">
        <f>VLOOKUP(ProdDesc[[#This Row],[Codigo]],Stock[],2,FALSE)</f>
        <v>Maca Brew 500cc</v>
      </c>
      <c r="D53" s="49">
        <f>VLOOKUP(ProdDesc[[#This Row],[Codigo]],Stock[],3,FALSE)</f>
        <v>470</v>
      </c>
      <c r="E53" s="46">
        <v>1</v>
      </c>
      <c r="F53" s="50" t="s">
        <v>767</v>
      </c>
      <c r="G53" s="47" t="s">
        <v>722</v>
      </c>
    </row>
    <row r="54" spans="2:7" ht="15" customHeight="1">
      <c r="B54" s="48">
        <v>36</v>
      </c>
      <c r="C54" s="35" t="str">
        <f>VLOOKUP(ProdDesc[[#This Row],[Codigo]],Stock[],2,FALSE)</f>
        <v>VAMP Supermelaza</v>
      </c>
      <c r="D54" s="49">
        <f>VLOOKUP(ProdDesc[[#This Row],[Codigo]],Stock[],3,FALSE)</f>
        <v>908</v>
      </c>
      <c r="E54" s="46">
        <v>1</v>
      </c>
      <c r="F54" s="50" t="s">
        <v>767</v>
      </c>
      <c r="G54" s="47" t="s">
        <v>590</v>
      </c>
    </row>
    <row r="55" spans="2:7" ht="15" customHeight="1">
      <c r="B55" s="48">
        <v>119</v>
      </c>
      <c r="C55" s="35" t="str">
        <f>VLOOKUP(ProdDesc[[#This Row],[Codigo]],Stock[],2,FALSE)</f>
        <v>Tabaco Van Kiff Chocolate</v>
      </c>
      <c r="D55" s="49">
        <f>VLOOKUP(ProdDesc[[#This Row],[Codigo]],Stock[],3,FALSE)</f>
        <v>580</v>
      </c>
      <c r="E55" s="46">
        <v>1</v>
      </c>
      <c r="F55" s="50" t="s">
        <v>767</v>
      </c>
      <c r="G55" s="47" t="s">
        <v>722</v>
      </c>
    </row>
    <row r="56" spans="2:7" ht="15" customHeight="1">
      <c r="B56" s="48">
        <v>51</v>
      </c>
      <c r="C56" s="35" t="str">
        <f>VLOOKUP(ProdDesc[[#This Row],[Codigo]],Stock[],2,FALSE)</f>
        <v>Landiner Turba 10l</v>
      </c>
      <c r="D56" s="49">
        <f>VLOOKUP(ProdDesc[[#This Row],[Codigo]],Stock[],3,FALSE)</f>
        <v>845</v>
      </c>
      <c r="E56" s="46">
        <v>1</v>
      </c>
      <c r="F56" s="50" t="s">
        <v>767</v>
      </c>
      <c r="G56" s="47" t="s">
        <v>722</v>
      </c>
    </row>
    <row r="57" spans="2:7" ht="15" customHeight="1">
      <c r="B57" s="48">
        <v>608</v>
      </c>
      <c r="C57" s="35" t="str">
        <f>VLOOKUP(ProdDesc[[#This Row],[Codigo]],Stock[],2,FALSE)</f>
        <v>Perlita 10L</v>
      </c>
      <c r="D57" s="49">
        <f>VLOOKUP(ProdDesc[[#This Row],[Codigo]],Stock[],3,FALSE)</f>
        <v>430</v>
      </c>
      <c r="E57" s="46">
        <v>2</v>
      </c>
      <c r="F57" s="50" t="s">
        <v>767</v>
      </c>
      <c r="G57" s="47" t="s">
        <v>614</v>
      </c>
    </row>
    <row r="58" spans="2:7" ht="15" customHeight="1">
      <c r="B58" s="48">
        <v>52</v>
      </c>
      <c r="C58" s="35" t="str">
        <f>VLOOKUP(ProdDesc[[#This Row],[Codigo]],Stock[],2,FALSE)</f>
        <v>Sustrato Perlita</v>
      </c>
      <c r="D58" s="49">
        <f>VLOOKUP(ProdDesc[[#This Row],[Codigo]],Stock[],3,FALSE)</f>
        <v>400</v>
      </c>
      <c r="E58" s="46">
        <v>6</v>
      </c>
      <c r="F58" s="50" t="s">
        <v>767</v>
      </c>
      <c r="G58" s="47" t="s">
        <v>614</v>
      </c>
    </row>
    <row r="59" spans="2:7" ht="15" customHeight="1">
      <c r="B59" s="48">
        <v>199</v>
      </c>
      <c r="C59" s="35" t="str">
        <f>VLOOKUP(ProdDesc[[#This Row],[Codigo]],Stock[],2,FALSE)</f>
        <v>POWER TREBOL</v>
      </c>
      <c r="D59" s="49">
        <f>VLOOKUP(ProdDesc[[#This Row],[Codigo]],Stock[],3,FALSE)</f>
        <v>140</v>
      </c>
      <c r="E59" s="46">
        <v>1</v>
      </c>
      <c r="F59" s="50" t="s">
        <v>767</v>
      </c>
      <c r="G59" s="47" t="s">
        <v>740</v>
      </c>
    </row>
    <row r="60" spans="2:7" ht="15" customHeight="1">
      <c r="B60" s="48">
        <v>355</v>
      </c>
      <c r="C60" s="35" t="str">
        <f>VLOOKUP(ProdDesc[[#This Row],[Codigo]],Stock[],2,FALSE)</f>
        <v xml:space="preserve">ocb white </v>
      </c>
      <c r="D60" s="49">
        <f>VLOOKUP(ProdDesc[[#This Row],[Codigo]],Stock[],3,FALSE)</f>
        <v>115</v>
      </c>
      <c r="E60" s="46">
        <v>1</v>
      </c>
      <c r="F60" s="50" t="s">
        <v>767</v>
      </c>
      <c r="G60" s="47" t="s">
        <v>740</v>
      </c>
    </row>
    <row r="61" spans="2:7" ht="15" customHeight="1">
      <c r="B61" s="48">
        <v>120</v>
      </c>
      <c r="C61" s="35" t="str">
        <f>VLOOKUP(ProdDesc[[#This Row],[Codigo]],Stock[],2,FALSE)</f>
        <v>Tabaco Van Kiff Vainilla</v>
      </c>
      <c r="D61" s="49">
        <f>VLOOKUP(ProdDesc[[#This Row],[Codigo]],Stock[],3,FALSE)</f>
        <v>580</v>
      </c>
      <c r="E61" s="46">
        <v>1</v>
      </c>
      <c r="F61" s="50" t="s">
        <v>767</v>
      </c>
      <c r="G61" s="47" t="s">
        <v>740</v>
      </c>
    </row>
    <row r="62" spans="2:7" ht="15" customHeight="1">
      <c r="B62" s="48">
        <v>52</v>
      </c>
      <c r="C62" s="35" t="str">
        <f>VLOOKUP(ProdDesc[[#This Row],[Codigo]],Stock[],2,FALSE)</f>
        <v>Sustrato Perlita</v>
      </c>
      <c r="D62" s="49">
        <f>VLOOKUP(ProdDesc[[#This Row],[Codigo]],Stock[],3,FALSE)</f>
        <v>400</v>
      </c>
      <c r="E62" s="46">
        <v>1</v>
      </c>
      <c r="F62" s="50" t="s">
        <v>767</v>
      </c>
      <c r="G62" s="47" t="s">
        <v>740</v>
      </c>
    </row>
    <row r="63" spans="2:7" ht="15" customHeight="1">
      <c r="B63" s="48">
        <v>67</v>
      </c>
      <c r="C63" s="35" t="str">
        <f>VLOOKUP(ProdDesc[[#This Row],[Codigo]],Stock[],2,FALSE)</f>
        <v>Sedas Blunt Rey 1/4 organic</v>
      </c>
      <c r="D63" s="49">
        <f>VLOOKUP(ProdDesc[[#This Row],[Codigo]],Stock[],3,FALSE)</f>
        <v>109</v>
      </c>
      <c r="E63" s="46">
        <v>1</v>
      </c>
      <c r="F63" s="50" t="s">
        <v>767</v>
      </c>
      <c r="G63" s="47" t="s">
        <v>629</v>
      </c>
    </row>
    <row r="64" spans="2:7" ht="15" customHeight="1">
      <c r="B64" s="48">
        <v>604</v>
      </c>
      <c r="C64" s="35" t="str">
        <f>VLOOKUP(ProdDesc[[#This Row],[Codigo]],Stock[],2,FALSE)</f>
        <v>Kit de Fertilizantes POT</v>
      </c>
      <c r="D64" s="49">
        <f>VLOOKUP(ProdDesc[[#This Row],[Codigo]],Stock[],3,FALSE)</f>
        <v>1665</v>
      </c>
      <c r="E64" s="46">
        <v>1</v>
      </c>
      <c r="F64" s="50" t="s">
        <v>757</v>
      </c>
      <c r="G64" s="47" t="s">
        <v>765</v>
      </c>
    </row>
    <row r="65" spans="2:7" ht="15" customHeight="1">
      <c r="B65" s="48">
        <v>36</v>
      </c>
      <c r="C65" s="35" t="str">
        <f>VLOOKUP(ProdDesc[[#This Row],[Codigo]],Stock[],2,FALSE)</f>
        <v>VAMP Supermelaza</v>
      </c>
      <c r="D65" s="49">
        <f>VLOOKUP(ProdDesc[[#This Row],[Codigo]],Stock[],3,FALSE)</f>
        <v>908</v>
      </c>
      <c r="E65" s="46">
        <v>1</v>
      </c>
      <c r="F65" s="50" t="s">
        <v>755</v>
      </c>
      <c r="G65" s="47" t="s">
        <v>629</v>
      </c>
    </row>
    <row r="66" spans="2:7" ht="15" customHeight="1">
      <c r="B66" s="48">
        <v>575</v>
      </c>
      <c r="C66" s="35" t="str">
        <f>VLOOKUP(ProdDesc[[#This Row],[Codigo]],Stock[],2,FALSE)</f>
        <v>4 en 1 100ml Green Leaf Insumos</v>
      </c>
      <c r="D66" s="49">
        <f>VLOOKUP(ProdDesc[[#This Row],[Codigo]],Stock[],3,FALSE)</f>
        <v>498</v>
      </c>
      <c r="E66" s="46">
        <v>1</v>
      </c>
      <c r="F66" s="50" t="s">
        <v>755</v>
      </c>
      <c r="G66" s="47" t="s">
        <v>629</v>
      </c>
    </row>
    <row r="67" spans="2:7" ht="15" customHeight="1">
      <c r="B67" s="48">
        <v>52</v>
      </c>
      <c r="C67" s="35" t="str">
        <f>VLOOKUP(ProdDesc[[#This Row],[Codigo]],Stock[],2,FALSE)</f>
        <v>Sustrato Perlita</v>
      </c>
      <c r="D67" s="49">
        <f>VLOOKUP(ProdDesc[[#This Row],[Codigo]],Stock[],3,FALSE)</f>
        <v>400</v>
      </c>
      <c r="E67" s="46">
        <v>6</v>
      </c>
      <c r="F67" s="50" t="s">
        <v>751</v>
      </c>
      <c r="G67" s="47" t="s">
        <v>722</v>
      </c>
    </row>
    <row r="68" spans="2:7" ht="15" customHeight="1">
      <c r="B68" s="48">
        <v>36</v>
      </c>
      <c r="C68" s="35" t="str">
        <f>VLOOKUP(ProdDesc[[#This Row],[Codigo]],Stock[],2,FALSE)</f>
        <v>VAMP Supermelaza</v>
      </c>
      <c r="D68" s="49">
        <f>VLOOKUP(ProdDesc[[#This Row],[Codigo]],Stock[],3,FALSE)</f>
        <v>908</v>
      </c>
      <c r="E68" s="46">
        <v>2</v>
      </c>
      <c r="F68" s="50" t="s">
        <v>751</v>
      </c>
      <c r="G68" s="47" t="s">
        <v>722</v>
      </c>
    </row>
    <row r="69" spans="2:7" ht="15" customHeight="1">
      <c r="B69" s="48">
        <v>12</v>
      </c>
      <c r="C69" s="35" t="str">
        <f>VLOOKUP(ProdDesc[[#This Row],[Codigo]],Stock[],2,FALSE)</f>
        <v>Maca Brew 500cc</v>
      </c>
      <c r="D69" s="49">
        <f>VLOOKUP(ProdDesc[[#This Row],[Codigo]],Stock[],3,FALSE)</f>
        <v>470</v>
      </c>
      <c r="E69" s="46">
        <v>1</v>
      </c>
      <c r="F69" s="50" t="s">
        <v>751</v>
      </c>
      <c r="G69" s="47" t="s">
        <v>614</v>
      </c>
    </row>
    <row r="70" spans="2:7" ht="15" customHeight="1">
      <c r="B70" s="48">
        <v>38</v>
      </c>
      <c r="C70" s="35" t="str">
        <f>VLOOKUP(ProdDesc[[#This Row],[Codigo]],Stock[],2,FALSE)</f>
        <v>VAMP Guano de murcielago Flora</v>
      </c>
      <c r="D70" s="49">
        <f>VLOOKUP(ProdDesc[[#This Row],[Codigo]],Stock[],3,FALSE)</f>
        <v>510</v>
      </c>
      <c r="E70" s="46">
        <v>2</v>
      </c>
      <c r="F70" s="50" t="s">
        <v>751</v>
      </c>
      <c r="G70" s="47" t="s">
        <v>722</v>
      </c>
    </row>
    <row r="71" spans="2:7" ht="15" customHeight="1">
      <c r="B71" s="48">
        <v>448</v>
      </c>
      <c r="C71" s="35" t="str">
        <f>VLOOKUP(ProdDesc[[#This Row],[Codigo]],Stock[],2,FALSE)</f>
        <v>Tree Mix F 500ml</v>
      </c>
      <c r="D71" s="49">
        <f>VLOOKUP(ProdDesc[[#This Row],[Codigo]],Stock[],3,FALSE)</f>
        <v>1320</v>
      </c>
      <c r="E71" s="46">
        <v>1</v>
      </c>
      <c r="F71" s="50" t="s">
        <v>751</v>
      </c>
      <c r="G71" s="47" t="s">
        <v>754</v>
      </c>
    </row>
    <row r="72" spans="2:7" ht="15" customHeight="1">
      <c r="B72" s="48">
        <v>529</v>
      </c>
      <c r="C72" s="35" t="str">
        <f>VLOOKUP(ProdDesc[[#This Row],[Codigo]],Stock[],2,FALSE)</f>
        <v>Sauver XL</v>
      </c>
      <c r="D72" s="49">
        <f>VLOOKUP(ProdDesc[[#This Row],[Codigo]],Stock[],3,FALSE)</f>
        <v>65</v>
      </c>
      <c r="E72" s="46">
        <v>1</v>
      </c>
      <c r="F72" s="50" t="s">
        <v>751</v>
      </c>
      <c r="G72" s="47" t="s">
        <v>520</v>
      </c>
    </row>
    <row r="73" spans="2:7" ht="15" customHeight="1">
      <c r="B73" s="48">
        <v>44</v>
      </c>
      <c r="C73" s="35" t="str">
        <f>VLOOKUP(ProdDesc[[#This Row],[Codigo]],Stock[],2,FALSE)</f>
        <v>VAMP sustrato Mágico 10l</v>
      </c>
      <c r="D73" s="49">
        <f>VLOOKUP(ProdDesc[[#This Row],[Codigo]],Stock[],3,FALSE)</f>
        <v>250</v>
      </c>
      <c r="E73" s="46">
        <v>1</v>
      </c>
      <c r="F73" s="50" t="s">
        <v>751</v>
      </c>
      <c r="G73" s="47" t="s">
        <v>753</v>
      </c>
    </row>
    <row r="74" spans="2:7" ht="15" customHeight="1">
      <c r="B74" s="48">
        <v>58</v>
      </c>
      <c r="C74" s="35" t="str">
        <f>VLOOKUP(ProdDesc[[#This Row],[Codigo]],Stock[],2,FALSE)</f>
        <v xml:space="preserve">Encendedor Clipper </v>
      </c>
      <c r="D74" s="49">
        <f>VLOOKUP(ProdDesc[[#This Row],[Codigo]],Stock[],3,FALSE)</f>
        <v>378</v>
      </c>
      <c r="E74" s="46">
        <v>1</v>
      </c>
      <c r="F74" s="50" t="s">
        <v>751</v>
      </c>
      <c r="G74" s="47" t="s">
        <v>590</v>
      </c>
    </row>
    <row r="75" spans="2:7" ht="15" customHeight="1">
      <c r="B75" s="48">
        <v>119</v>
      </c>
      <c r="C75" s="35" t="str">
        <f>VLOOKUP(ProdDesc[[#This Row],[Codigo]],Stock[],2,FALSE)</f>
        <v>Tabaco Van Kiff Chocolate</v>
      </c>
      <c r="D75" s="49">
        <f>VLOOKUP(ProdDesc[[#This Row],[Codigo]],Stock[],3,FALSE)</f>
        <v>580</v>
      </c>
      <c r="E75" s="46">
        <v>1</v>
      </c>
      <c r="F75" s="50" t="s">
        <v>751</v>
      </c>
      <c r="G75" s="47" t="s">
        <v>629</v>
      </c>
    </row>
    <row r="76" spans="2:7" ht="15" customHeight="1">
      <c r="B76" s="48">
        <v>33</v>
      </c>
      <c r="C76" s="35" t="str">
        <f>VLOOKUP(ProdDesc[[#This Row],[Codigo]],Stock[],2,FALSE)</f>
        <v>TreeMIX N 200ml</v>
      </c>
      <c r="D76" s="49">
        <f>VLOOKUP(ProdDesc[[#This Row],[Codigo]],Stock[],3,FALSE)</f>
        <v>650</v>
      </c>
      <c r="E76" s="46">
        <v>1</v>
      </c>
      <c r="F76" s="50" t="s">
        <v>751</v>
      </c>
      <c r="G76" s="47" t="s">
        <v>629</v>
      </c>
    </row>
    <row r="77" spans="2:7" ht="15" customHeight="1">
      <c r="B77" s="48">
        <v>30</v>
      </c>
      <c r="C77" s="35" t="str">
        <f>VLOOKUP(ProdDesc[[#This Row],[Codigo]],Stock[],2,FALSE)</f>
        <v>TreeMIX PRO 200ml</v>
      </c>
      <c r="D77" s="49">
        <f>VLOOKUP(ProdDesc[[#This Row],[Codigo]],Stock[],3,FALSE)</f>
        <v>700</v>
      </c>
      <c r="E77" s="46">
        <v>1</v>
      </c>
      <c r="F77" s="50" t="s">
        <v>751</v>
      </c>
      <c r="G77" s="47" t="s">
        <v>629</v>
      </c>
    </row>
    <row r="78" spans="2:7" ht="15" customHeight="1">
      <c r="B78" s="48">
        <v>569</v>
      </c>
      <c r="C78" s="35" t="str">
        <f>VLOOKUP(ProdDesc[[#This Row],[Codigo]],Stock[],2,FALSE)</f>
        <v>Namaste Shanti 100ml</v>
      </c>
      <c r="D78" s="49">
        <f>VLOOKUP(ProdDesc[[#This Row],[Codigo]],Stock[],3,FALSE)</f>
        <v>932</v>
      </c>
      <c r="E78" s="46">
        <v>1</v>
      </c>
      <c r="F78" s="50" t="s">
        <v>751</v>
      </c>
      <c r="G78" s="47" t="s">
        <v>629</v>
      </c>
    </row>
    <row r="79" spans="2:7" ht="15" customHeight="1">
      <c r="B79" s="48">
        <v>586</v>
      </c>
      <c r="C79" s="35" t="str">
        <f>VLOOKUP(ProdDesc[[#This Row],[Codigo]],Stock[],2,FALSE)</f>
        <v>Filtros Gizeh x100 6mm</v>
      </c>
      <c r="D79" s="49">
        <f>VLOOKUP(ProdDesc[[#This Row],[Codigo]],Stock[],3,FALSE)</f>
        <v>190</v>
      </c>
      <c r="E79" s="46">
        <v>1</v>
      </c>
      <c r="F79" s="50" t="s">
        <v>751</v>
      </c>
      <c r="G79" s="47" t="s">
        <v>753</v>
      </c>
    </row>
    <row r="80" spans="2:7" ht="15" customHeight="1">
      <c r="B80" s="48">
        <v>303</v>
      </c>
      <c r="C80" s="35" t="str">
        <f>VLOOKUP(ProdDesc[[#This Row],[Codigo]],Stock[],2,FALSE)</f>
        <v>Gas Butano Universal</v>
      </c>
      <c r="D80" s="49">
        <f>VLOOKUP(ProdDesc[[#This Row],[Codigo]],Stock[],3,FALSE)</f>
        <v>540</v>
      </c>
      <c r="E80" s="46">
        <v>1</v>
      </c>
      <c r="F80" s="50" t="s">
        <v>751</v>
      </c>
      <c r="G80" s="47" t="s">
        <v>752</v>
      </c>
    </row>
    <row r="81" spans="2:7" ht="15" customHeight="1">
      <c r="B81" s="48">
        <v>64</v>
      </c>
      <c r="C81" s="35" t="str">
        <f>VLOOKUP(ProdDesc[[#This Row],[Codigo]],Stock[],2,FALSE)</f>
        <v>Sedas Lion Rolling Circus Kz alfalfa</v>
      </c>
      <c r="D81" s="49">
        <f>VLOOKUP(ProdDesc[[#This Row],[Codigo]],Stock[],3,FALSE)</f>
        <v>259</v>
      </c>
      <c r="E81" s="46">
        <v>1</v>
      </c>
      <c r="F81" s="50" t="s">
        <v>751</v>
      </c>
      <c r="G81" s="47" t="s">
        <v>752</v>
      </c>
    </row>
    <row r="82" spans="2:7" ht="15" customHeight="1">
      <c r="B82" s="48">
        <v>421</v>
      </c>
      <c r="C82" s="35" t="str">
        <f>VLOOKUP(ProdDesc[[#This Row],[Codigo]],Stock[],2,FALSE)</f>
        <v>Porta porros 420</v>
      </c>
      <c r="D82" s="49">
        <f>VLOOKUP(ProdDesc[[#This Row],[Codigo]],Stock[],3,FALSE)</f>
        <v>73</v>
      </c>
      <c r="E82" s="46">
        <v>2</v>
      </c>
      <c r="F82" s="50" t="s">
        <v>750</v>
      </c>
      <c r="G82" s="47" t="s">
        <v>520</v>
      </c>
    </row>
    <row r="83" spans="2:7" ht="15" customHeight="1">
      <c r="B83" s="48">
        <v>56</v>
      </c>
      <c r="C83" s="35" t="str">
        <f>VLOOKUP(ProdDesc[[#This Row],[Codigo]],Stock[],2,FALSE)</f>
        <v>Power Buffer PH7</v>
      </c>
      <c r="D83" s="49">
        <f>VLOOKUP(ProdDesc[[#This Row],[Codigo]],Stock[],3,FALSE)</f>
        <v>310</v>
      </c>
      <c r="E83" s="46">
        <v>1</v>
      </c>
      <c r="F83" s="50" t="s">
        <v>750</v>
      </c>
      <c r="G83" s="47" t="s">
        <v>629</v>
      </c>
    </row>
    <row r="84" spans="2:7" ht="15" customHeight="1">
      <c r="B84" s="48">
        <v>57</v>
      </c>
      <c r="C84" s="35" t="str">
        <f>VLOOKUP(ProdDesc[[#This Row],[Codigo]],Stock[],2,FALSE)</f>
        <v>Power Buffer PH4</v>
      </c>
      <c r="D84" s="49">
        <f>VLOOKUP(ProdDesc[[#This Row],[Codigo]],Stock[],3,FALSE)</f>
        <v>310</v>
      </c>
      <c r="E84" s="46">
        <v>1</v>
      </c>
      <c r="F84" s="50" t="s">
        <v>750</v>
      </c>
      <c r="G84" s="47" t="s">
        <v>629</v>
      </c>
    </row>
    <row r="85" spans="2:7" ht="15" customHeight="1">
      <c r="B85" s="48">
        <v>441</v>
      </c>
      <c r="C85" s="35" t="str">
        <f>VLOOKUP(ProdDesc[[#This Row],[Codigo]],Stock[],2,FALSE)</f>
        <v xml:space="preserve">Bio Proyect Ph + 125ml </v>
      </c>
      <c r="D85" s="49">
        <f>VLOOKUP(ProdDesc[[#This Row],[Codigo]],Stock[],3,FALSE)</f>
        <v>631</v>
      </c>
      <c r="E85" s="46">
        <v>1</v>
      </c>
      <c r="F85" s="50" t="s">
        <v>750</v>
      </c>
      <c r="G85" s="47" t="s">
        <v>629</v>
      </c>
    </row>
    <row r="86" spans="2:7" ht="15" customHeight="1">
      <c r="B86" s="48">
        <v>605</v>
      </c>
      <c r="C86" s="35" t="str">
        <f>VLOOKUP(ProdDesc[[#This Row],[Codigo]],Stock[],2,FALSE)</f>
        <v>Namaste Ph- 100ml</v>
      </c>
      <c r="D86" s="49">
        <f>VLOOKUP(ProdDesc[[#This Row],[Codigo]],Stock[],3,FALSE)</f>
        <v>412</v>
      </c>
      <c r="E86" s="46">
        <v>1</v>
      </c>
      <c r="F86" s="50" t="s">
        <v>750</v>
      </c>
      <c r="G86" s="47" t="s">
        <v>629</v>
      </c>
    </row>
    <row r="87" spans="2:7" ht="15" customHeight="1">
      <c r="B87" s="48">
        <v>120</v>
      </c>
      <c r="C87" s="35" t="str">
        <f>VLOOKUP(ProdDesc[[#This Row],[Codigo]],Stock[],2,FALSE)</f>
        <v>Tabaco Van Kiff Vainilla</v>
      </c>
      <c r="D87" s="49">
        <f>VLOOKUP(ProdDesc[[#This Row],[Codigo]],Stock[],3,FALSE)</f>
        <v>580</v>
      </c>
      <c r="E87" s="46">
        <v>1</v>
      </c>
      <c r="F87" s="50" t="s">
        <v>750</v>
      </c>
      <c r="G87" s="47" t="s">
        <v>740</v>
      </c>
    </row>
    <row r="88" spans="2:7" ht="15" customHeight="1">
      <c r="B88" s="48">
        <v>586</v>
      </c>
      <c r="C88" s="35" t="str">
        <f>VLOOKUP(ProdDesc[[#This Row],[Codigo]],Stock[],2,FALSE)</f>
        <v>Filtros Gizeh x100 6mm</v>
      </c>
      <c r="D88" s="49">
        <f>VLOOKUP(ProdDesc[[#This Row],[Codigo]],Stock[],3,FALSE)</f>
        <v>190</v>
      </c>
      <c r="E88" s="46">
        <v>1</v>
      </c>
      <c r="F88" s="50" t="s">
        <v>750</v>
      </c>
      <c r="G88" s="47" t="s">
        <v>740</v>
      </c>
    </row>
    <row r="89" spans="2:7" ht="15" customHeight="1">
      <c r="B89" s="48">
        <v>119</v>
      </c>
      <c r="C89" s="35" t="str">
        <f>VLOOKUP(ProdDesc[[#This Row],[Codigo]],Stock[],2,FALSE)</f>
        <v>Tabaco Van Kiff Chocolate</v>
      </c>
      <c r="D89" s="49">
        <f>VLOOKUP(ProdDesc[[#This Row],[Codigo]],Stock[],3,FALSE)</f>
        <v>580</v>
      </c>
      <c r="E89" s="46">
        <v>4</v>
      </c>
      <c r="F89" s="50" t="s">
        <v>750</v>
      </c>
      <c r="G89" s="47" t="s">
        <v>590</v>
      </c>
    </row>
    <row r="90" spans="2:7" ht="15" customHeight="1">
      <c r="B90" s="48">
        <v>63</v>
      </c>
      <c r="C90" s="35" t="str">
        <f>VLOOKUP(ProdDesc[[#This Row],[Codigo]],Stock[],2,FALSE)</f>
        <v>Sedas Lion Rolling Circus 1/4 alfalfa</v>
      </c>
      <c r="D90" s="49">
        <f>VLOOKUP(ProdDesc[[#This Row],[Codigo]],Stock[],3,FALSE)</f>
        <v>150</v>
      </c>
      <c r="E90" s="46">
        <v>1</v>
      </c>
      <c r="F90" s="50" t="s">
        <v>750</v>
      </c>
      <c r="G90" s="47" t="s">
        <v>590</v>
      </c>
    </row>
    <row r="91" spans="2:7" ht="15" customHeight="1">
      <c r="B91" s="48">
        <v>77</v>
      </c>
      <c r="C91" s="35" t="str">
        <f>VLOOKUP(ProdDesc[[#This Row],[Codigo]],Stock[],2,FALSE)</f>
        <v>Sedas OCB 1/4 Organic  Bamboo</v>
      </c>
      <c r="D91" s="49">
        <f>VLOOKUP(ProdDesc[[#This Row],[Codigo]],Stock[],3,FALSE)</f>
        <v>165</v>
      </c>
      <c r="E91" s="46">
        <v>1</v>
      </c>
      <c r="F91" s="50" t="s">
        <v>743</v>
      </c>
      <c r="G91" s="47" t="s">
        <v>629</v>
      </c>
    </row>
    <row r="92" spans="2:7" ht="15" customHeight="1">
      <c r="B92" s="48">
        <v>529</v>
      </c>
      <c r="C92" s="35" t="str">
        <f>VLOOKUP(ProdDesc[[#This Row],[Codigo]],Stock[],2,FALSE)</f>
        <v>Sauver XL</v>
      </c>
      <c r="D92" s="49">
        <f>VLOOKUP(ProdDesc[[#This Row],[Codigo]],Stock[],3,FALSE)</f>
        <v>65</v>
      </c>
      <c r="E92" s="46">
        <v>2</v>
      </c>
      <c r="F92" s="50" t="s">
        <v>743</v>
      </c>
      <c r="G92" s="47" t="s">
        <v>520</v>
      </c>
    </row>
    <row r="93" spans="2:7" ht="15" customHeight="1">
      <c r="B93" s="48">
        <v>120</v>
      </c>
      <c r="C93" s="35" t="str">
        <f>VLOOKUP(ProdDesc[[#This Row],[Codigo]],Stock[],2,FALSE)</f>
        <v>Tabaco Van Kiff Vainilla</v>
      </c>
      <c r="D93" s="49">
        <f>VLOOKUP(ProdDesc[[#This Row],[Codigo]],Stock[],3,FALSE)</f>
        <v>580</v>
      </c>
      <c r="E93" s="46">
        <v>1</v>
      </c>
      <c r="F93" s="50" t="s">
        <v>739</v>
      </c>
      <c r="G93" s="47" t="s">
        <v>722</v>
      </c>
    </row>
    <row r="94" spans="2:7" ht="15" customHeight="1">
      <c r="B94" s="48">
        <v>120</v>
      </c>
      <c r="C94" s="35" t="str">
        <f>VLOOKUP(ProdDesc[[#This Row],[Codigo]],Stock[],2,FALSE)</f>
        <v>Tabaco Van Kiff Vainilla</v>
      </c>
      <c r="D94" s="49">
        <f>VLOOKUP(ProdDesc[[#This Row],[Codigo]],Stock[],3,FALSE)</f>
        <v>580</v>
      </c>
      <c r="E94" s="46">
        <v>1</v>
      </c>
      <c r="F94" s="50" t="s">
        <v>739</v>
      </c>
      <c r="G94" s="47" t="s">
        <v>740</v>
      </c>
    </row>
    <row r="95" spans="2:7" ht="15" customHeight="1">
      <c r="B95" s="48">
        <v>107</v>
      </c>
      <c r="C95" s="35" t="str">
        <f>VLOOKUP(ProdDesc[[#This Row],[Codigo]],Stock[],2,FALSE)</f>
        <v>Filtros GIZEH biodegradable</v>
      </c>
      <c r="D95" s="49">
        <f>VLOOKUP(ProdDesc[[#This Row],[Codigo]],Stock[],3,FALSE)</f>
        <v>280</v>
      </c>
      <c r="E95" s="46">
        <v>1</v>
      </c>
      <c r="F95" s="50" t="s">
        <v>738</v>
      </c>
      <c r="G95" s="47" t="s">
        <v>629</v>
      </c>
    </row>
    <row r="96" spans="2:7" ht="15" customHeight="1">
      <c r="B96" s="48">
        <v>117</v>
      </c>
      <c r="C96" s="35" t="str">
        <f>VLOOKUP(ProdDesc[[#This Row],[Codigo]],Stock[],2,FALSE)</f>
        <v>Tabaco Van Kiff Natural</v>
      </c>
      <c r="D96" s="49">
        <f>VLOOKUP(ProdDesc[[#This Row],[Codigo]],Stock[],3,FALSE)</f>
        <v>580</v>
      </c>
      <c r="E96" s="46">
        <v>1</v>
      </c>
      <c r="F96" s="50" t="s">
        <v>738</v>
      </c>
      <c r="G96" s="47" t="s">
        <v>629</v>
      </c>
    </row>
    <row r="97" spans="2:7" ht="15" customHeight="1">
      <c r="B97" s="48">
        <v>576</v>
      </c>
      <c r="C97" s="35" t="str">
        <f>VLOOKUP(ProdDesc[[#This Row],[Codigo]],Stock[],2,FALSE)</f>
        <v>4 en 1 250ml Green Leaf Insumos</v>
      </c>
      <c r="D97" s="49">
        <f>VLOOKUP(ProdDesc[[#This Row],[Codigo]],Stock[],3,FALSE)</f>
        <v>1179</v>
      </c>
      <c r="E97" s="46">
        <v>1</v>
      </c>
      <c r="F97" s="50" t="s">
        <v>738</v>
      </c>
      <c r="G97" s="47" t="s">
        <v>590</v>
      </c>
    </row>
    <row r="98" spans="2:7" ht="15" customHeight="1">
      <c r="B98" s="48">
        <v>107</v>
      </c>
      <c r="C98" s="35" t="str">
        <f>VLOOKUP(ProdDesc[[#This Row],[Codigo]],Stock[],2,FALSE)</f>
        <v>Filtros GIZEH biodegradable</v>
      </c>
      <c r="D98" s="49">
        <f>VLOOKUP(ProdDesc[[#This Row],[Codigo]],Stock[],3,FALSE)</f>
        <v>280</v>
      </c>
      <c r="E98" s="46">
        <v>1</v>
      </c>
      <c r="F98" s="50" t="s">
        <v>736</v>
      </c>
      <c r="G98" s="47" t="s">
        <v>590</v>
      </c>
    </row>
    <row r="99" spans="2:7" ht="15" customHeight="1">
      <c r="B99" s="48">
        <v>593</v>
      </c>
      <c r="C99" s="35" t="str">
        <f>VLOOKUP(ProdDesc[[#This Row],[Codigo]],Stock[],2,FALSE)</f>
        <v>OCB Cañamo Organico</v>
      </c>
      <c r="D99" s="49">
        <f>VLOOKUP(ProdDesc[[#This Row],[Codigo]],Stock[],3,FALSE)</f>
        <v>165</v>
      </c>
      <c r="E99" s="46">
        <v>1</v>
      </c>
      <c r="F99" s="50" t="s">
        <v>736</v>
      </c>
      <c r="G99" s="47" t="s">
        <v>590</v>
      </c>
    </row>
    <row r="100" spans="2:7" ht="15" customHeight="1">
      <c r="B100" s="48">
        <v>117</v>
      </c>
      <c r="C100" s="35" t="str">
        <f>VLOOKUP(ProdDesc[[#This Row],[Codigo]],Stock[],2,FALSE)</f>
        <v>Tabaco Van Kiff Natural</v>
      </c>
      <c r="D100" s="49">
        <f>VLOOKUP(ProdDesc[[#This Row],[Codigo]],Stock[],3,FALSE)</f>
        <v>580</v>
      </c>
      <c r="E100" s="46">
        <v>1</v>
      </c>
      <c r="F100" s="50" t="s">
        <v>736</v>
      </c>
      <c r="G100" s="47" t="s">
        <v>590</v>
      </c>
    </row>
    <row r="101" spans="2:7" ht="15" customHeight="1">
      <c r="B101" s="48">
        <v>72</v>
      </c>
      <c r="C101" s="35" t="str">
        <f>VLOOKUP(ProdDesc[[#This Row],[Codigo]],Stock[],2,FALSE)</f>
        <v>Sedas Blunt Rey 1/4 celulosa Verde</v>
      </c>
      <c r="D101" s="49">
        <f>VLOOKUP(ProdDesc[[#This Row],[Codigo]],Stock[],3,FALSE)</f>
        <v>135</v>
      </c>
      <c r="E101" s="46">
        <v>1</v>
      </c>
      <c r="F101" s="50" t="s">
        <v>736</v>
      </c>
      <c r="G101" s="47" t="s">
        <v>520</v>
      </c>
    </row>
    <row r="102" spans="2:7" ht="15" customHeight="1">
      <c r="B102" s="48">
        <v>297</v>
      </c>
      <c r="C102" s="35" t="str">
        <f>VLOOKUP(ProdDesc[[#This Row],[Codigo]],Stock[],2,FALSE)</f>
        <v>Dabber #2</v>
      </c>
      <c r="D102" s="49">
        <f>VLOOKUP(ProdDesc[[#This Row],[Codigo]],Stock[],3,FALSE)</f>
        <v>1200</v>
      </c>
      <c r="E102" s="46">
        <v>1</v>
      </c>
      <c r="F102" s="50" t="s">
        <v>732</v>
      </c>
      <c r="G102" s="47" t="s">
        <v>590</v>
      </c>
    </row>
    <row r="103" spans="2:7" ht="15" customHeight="1">
      <c r="B103" s="48">
        <v>149</v>
      </c>
      <c r="C103" s="35" t="str">
        <f>VLOOKUP(ProdDesc[[#This Row],[Codigo]],Stock[],2,FALSE)</f>
        <v>Sauver 1/4</v>
      </c>
      <c r="D103" s="49">
        <f>VLOOKUP(ProdDesc[[#This Row],[Codigo]],Stock[],3,FALSE)</f>
        <v>75</v>
      </c>
      <c r="E103" s="46">
        <v>1</v>
      </c>
      <c r="F103" s="50" t="s">
        <v>730</v>
      </c>
      <c r="G103" s="47" t="s">
        <v>520</v>
      </c>
    </row>
    <row r="104" spans="2:7" ht="15" customHeight="1">
      <c r="B104" s="48">
        <v>529</v>
      </c>
      <c r="C104" s="35" t="str">
        <f>VLOOKUP(ProdDesc[[#This Row],[Codigo]],Stock[],2,FALSE)</f>
        <v>Sauver XL</v>
      </c>
      <c r="D104" s="49">
        <f>VLOOKUP(ProdDesc[[#This Row],[Codigo]],Stock[],3,FALSE)</f>
        <v>65</v>
      </c>
      <c r="E104" s="46">
        <v>1</v>
      </c>
      <c r="F104" s="50" t="s">
        <v>730</v>
      </c>
      <c r="G104" s="47" t="s">
        <v>520</v>
      </c>
    </row>
    <row r="105" spans="2:7" ht="15" customHeight="1">
      <c r="B105" s="48">
        <v>293</v>
      </c>
      <c r="C105" s="35" t="str">
        <f>VLOOKUP(ProdDesc[[#This Row],[Codigo]],Stock[],2,FALSE)</f>
        <v>Mallas para prensa 90 micras</v>
      </c>
      <c r="D105" s="49">
        <f>VLOOKUP(ProdDesc[[#This Row],[Codigo]],Stock[],3,FALSE)</f>
        <v>144</v>
      </c>
      <c r="E105" s="46">
        <v>2</v>
      </c>
      <c r="F105" s="50" t="s">
        <v>730</v>
      </c>
      <c r="G105" s="47" t="s">
        <v>731</v>
      </c>
    </row>
    <row r="106" spans="2:7" ht="15" customHeight="1">
      <c r="B106" s="48">
        <v>120</v>
      </c>
      <c r="C106" s="35" t="str">
        <f>VLOOKUP(ProdDesc[[#This Row],[Codigo]],Stock[],2,FALSE)</f>
        <v>Tabaco Van Kiff Vainilla</v>
      </c>
      <c r="D106" s="49">
        <f>VLOOKUP(ProdDesc[[#This Row],[Codigo]],Stock[],3,FALSE)</f>
        <v>580</v>
      </c>
      <c r="E106" s="46">
        <v>1</v>
      </c>
      <c r="F106" s="50" t="s">
        <v>725</v>
      </c>
      <c r="G106" s="47" t="s">
        <v>729</v>
      </c>
    </row>
    <row r="107" spans="2:7" ht="15" customHeight="1">
      <c r="B107" s="48">
        <v>58</v>
      </c>
      <c r="C107" s="35" t="str">
        <f>VLOOKUP(ProdDesc[[#This Row],[Codigo]],Stock[],2,FALSE)</f>
        <v xml:space="preserve">Encendedor Clipper </v>
      </c>
      <c r="D107" s="49">
        <f>VLOOKUP(ProdDesc[[#This Row],[Codigo]],Stock[],3,FALSE)</f>
        <v>378</v>
      </c>
      <c r="E107" s="46">
        <v>1</v>
      </c>
      <c r="F107" s="50" t="s">
        <v>725</v>
      </c>
      <c r="G107" s="47" t="s">
        <v>722</v>
      </c>
    </row>
    <row r="108" spans="2:7" ht="15" customHeight="1">
      <c r="B108" s="48">
        <v>67</v>
      </c>
      <c r="C108" s="35" t="str">
        <f>VLOOKUP(ProdDesc[[#This Row],[Codigo]],Stock[],2,FALSE)</f>
        <v>Sedas Blunt Rey 1/4 organic</v>
      </c>
      <c r="D108" s="49">
        <f>VLOOKUP(ProdDesc[[#This Row],[Codigo]],Stock[],3,FALSE)</f>
        <v>109</v>
      </c>
      <c r="E108" s="46">
        <v>1</v>
      </c>
      <c r="F108" s="50" t="s">
        <v>721</v>
      </c>
      <c r="G108" s="47" t="s">
        <v>629</v>
      </c>
    </row>
    <row r="109" spans="2:7" ht="15" customHeight="1">
      <c r="B109" s="48">
        <v>442</v>
      </c>
      <c r="C109" s="35" t="str">
        <f>VLOOKUP(ProdDesc[[#This Row],[Codigo]],Stock[],2,FALSE)</f>
        <v>Tree mix Pro 1L</v>
      </c>
      <c r="D109" s="49">
        <f>VLOOKUP(ProdDesc[[#This Row],[Codigo]],Stock[],3,FALSE)</f>
        <v>2310</v>
      </c>
      <c r="E109" s="46">
        <v>1</v>
      </c>
      <c r="F109" s="50" t="s">
        <v>721</v>
      </c>
      <c r="G109" s="47" t="s">
        <v>590</v>
      </c>
    </row>
    <row r="110" spans="2:7" ht="15" customHeight="1">
      <c r="B110" s="48">
        <v>117</v>
      </c>
      <c r="C110" s="35" t="str">
        <f>VLOOKUP(ProdDesc[[#This Row],[Codigo]],Stock[],2,FALSE)</f>
        <v>Tabaco Van Kiff Natural</v>
      </c>
      <c r="D110" s="49">
        <f>VLOOKUP(ProdDesc[[#This Row],[Codigo]],Stock[],3,FALSE)</f>
        <v>580</v>
      </c>
      <c r="E110" s="46">
        <v>1</v>
      </c>
      <c r="F110" s="50" t="s">
        <v>721</v>
      </c>
      <c r="G110" s="47" t="s">
        <v>614</v>
      </c>
    </row>
    <row r="111" spans="2:7" ht="15" customHeight="1">
      <c r="B111" s="48">
        <v>76</v>
      </c>
      <c r="C111" s="35" t="str">
        <f>VLOOKUP(ProdDesc[[#This Row],[Codigo]],Stock[],2,FALSE)</f>
        <v>Sedas OCB 1/4 Virgin Papers</v>
      </c>
      <c r="D111" s="49">
        <f>VLOOKUP(ProdDesc[[#This Row],[Codigo]],Stock[],3,FALSE)</f>
        <v>165</v>
      </c>
      <c r="E111" s="46">
        <v>1</v>
      </c>
      <c r="F111" s="50" t="s">
        <v>721</v>
      </c>
      <c r="G111" s="47" t="s">
        <v>614</v>
      </c>
    </row>
    <row r="112" spans="2:7" ht="15" customHeight="1">
      <c r="B112" s="48">
        <v>12</v>
      </c>
      <c r="C112" s="35" t="str">
        <f>VLOOKUP(ProdDesc[[#This Row],[Codigo]],Stock[],2,FALSE)</f>
        <v>Maca Brew 500cc</v>
      </c>
      <c r="D112" s="49">
        <f>VLOOKUP(ProdDesc[[#This Row],[Codigo]],Stock[],3,FALSE)</f>
        <v>470</v>
      </c>
      <c r="E112" s="46">
        <v>1</v>
      </c>
      <c r="F112" s="50" t="s">
        <v>721</v>
      </c>
      <c r="G112" s="47" t="s">
        <v>722</v>
      </c>
    </row>
    <row r="113" spans="2:7" ht="15" customHeight="1">
      <c r="B113" s="48">
        <v>36</v>
      </c>
      <c r="C113" s="35" t="str">
        <f>VLOOKUP(ProdDesc[[#This Row],[Codigo]],Stock[],2,FALSE)</f>
        <v>VAMP Supermelaza</v>
      </c>
      <c r="D113" s="49">
        <f>VLOOKUP(ProdDesc[[#This Row],[Codigo]],Stock[],3,FALSE)</f>
        <v>908</v>
      </c>
      <c r="E113" s="46">
        <v>1</v>
      </c>
      <c r="F113" s="50" t="s">
        <v>721</v>
      </c>
      <c r="G113" s="47" t="s">
        <v>722</v>
      </c>
    </row>
    <row r="114" spans="2:7" ht="15" customHeight="1">
      <c r="B114" s="48">
        <v>38</v>
      </c>
      <c r="C114" s="35" t="str">
        <f>VLOOKUP(ProdDesc[[#This Row],[Codigo]],Stock[],2,FALSE)</f>
        <v>VAMP Guano de murcielago Flora</v>
      </c>
      <c r="D114" s="49">
        <f>VLOOKUP(ProdDesc[[#This Row],[Codigo]],Stock[],3,FALSE)</f>
        <v>510</v>
      </c>
      <c r="E114" s="46">
        <v>1</v>
      </c>
      <c r="F114" s="50" t="s">
        <v>721</v>
      </c>
      <c r="G114" s="47" t="s">
        <v>590</v>
      </c>
    </row>
    <row r="115" spans="2:7" ht="15" customHeight="1">
      <c r="B115" s="48">
        <v>107</v>
      </c>
      <c r="C115" s="35" t="str">
        <f>VLOOKUP(ProdDesc[[#This Row],[Codigo]],Stock[],2,FALSE)</f>
        <v>Filtros GIZEH biodegradable</v>
      </c>
      <c r="D115" s="49">
        <f>VLOOKUP(ProdDesc[[#This Row],[Codigo]],Stock[],3,FALSE)</f>
        <v>280</v>
      </c>
      <c r="E115" s="46">
        <v>1</v>
      </c>
      <c r="F115" s="50" t="s">
        <v>721</v>
      </c>
      <c r="G115" s="47" t="s">
        <v>629</v>
      </c>
    </row>
    <row r="116" spans="2:7" ht="15" customHeight="1">
      <c r="B116" s="48">
        <v>117</v>
      </c>
      <c r="C116" s="35" t="str">
        <f>VLOOKUP(ProdDesc[[#This Row],[Codigo]],Stock[],2,FALSE)</f>
        <v>Tabaco Van Kiff Natural</v>
      </c>
      <c r="D116" s="49">
        <f>VLOOKUP(ProdDesc[[#This Row],[Codigo]],Stock[],3,FALSE)</f>
        <v>580</v>
      </c>
      <c r="E116" s="46">
        <v>1</v>
      </c>
      <c r="F116" s="50" t="s">
        <v>721</v>
      </c>
      <c r="G116" s="47" t="s">
        <v>629</v>
      </c>
    </row>
    <row r="117" spans="2:7" ht="15" customHeight="1">
      <c r="B117" s="48">
        <v>149</v>
      </c>
      <c r="C117" s="35" t="str">
        <f>VLOOKUP(ProdDesc[[#This Row],[Codigo]],Stock[],2,FALSE)</f>
        <v>Sauver 1/4</v>
      </c>
      <c r="D117" s="49">
        <f>VLOOKUP(ProdDesc[[#This Row],[Codigo]],Stock[],3,FALSE)</f>
        <v>75</v>
      </c>
      <c r="E117" s="46">
        <v>1</v>
      </c>
      <c r="F117" s="50" t="s">
        <v>714</v>
      </c>
      <c r="G117" s="47" t="s">
        <v>520</v>
      </c>
    </row>
    <row r="118" spans="2:7" ht="15" customHeight="1">
      <c r="B118" s="48">
        <v>55</v>
      </c>
      <c r="C118" s="35" t="str">
        <f>VLOOKUP(ProdDesc[[#This Row],[Codigo]],Stock[],2,FALSE)</f>
        <v>Power PH-</v>
      </c>
      <c r="D118" s="49">
        <f>VLOOKUP(ProdDesc[[#This Row],[Codigo]],Stock[],3,FALSE)</f>
        <v>400</v>
      </c>
      <c r="E118" s="46">
        <v>1</v>
      </c>
      <c r="F118" s="50" t="s">
        <v>711</v>
      </c>
      <c r="G118" s="47" t="s">
        <v>590</v>
      </c>
    </row>
    <row r="119" spans="2:7" ht="15" customHeight="1">
      <c r="B119" s="48">
        <v>56</v>
      </c>
      <c r="C119" s="35" t="str">
        <f>VLOOKUP(ProdDesc[[#This Row],[Codigo]],Stock[],2,FALSE)</f>
        <v>Power Buffer PH7</v>
      </c>
      <c r="D119" s="49">
        <f>VLOOKUP(ProdDesc[[#This Row],[Codigo]],Stock[],3,FALSE)</f>
        <v>310</v>
      </c>
      <c r="E119" s="46">
        <v>2</v>
      </c>
      <c r="F119" s="50" t="s">
        <v>711</v>
      </c>
      <c r="G119" s="47" t="s">
        <v>590</v>
      </c>
    </row>
    <row r="120" spans="2:7" ht="15" customHeight="1">
      <c r="B120" s="48">
        <v>57</v>
      </c>
      <c r="C120" s="35" t="str">
        <f>VLOOKUP(ProdDesc[[#This Row],[Codigo]],Stock[],2,FALSE)</f>
        <v>Power Buffer PH4</v>
      </c>
      <c r="D120" s="49">
        <f>VLOOKUP(ProdDesc[[#This Row],[Codigo]],Stock[],3,FALSE)</f>
        <v>310</v>
      </c>
      <c r="E120" s="46">
        <v>1</v>
      </c>
      <c r="F120" s="50" t="s">
        <v>711</v>
      </c>
      <c r="G120" s="47" t="s">
        <v>590</v>
      </c>
    </row>
    <row r="121" spans="2:7" ht="15" customHeight="1">
      <c r="B121" s="48">
        <v>54</v>
      </c>
      <c r="C121" s="35" t="str">
        <f>VLOOKUP(ProdDesc[[#This Row],[Codigo]],Stock[],2,FALSE)</f>
        <v>Power Cleaning H2O</v>
      </c>
      <c r="D121" s="49">
        <f>VLOOKUP(ProdDesc[[#This Row],[Codigo]],Stock[],3,FALSE)</f>
        <v>380</v>
      </c>
      <c r="E121" s="46">
        <v>1</v>
      </c>
      <c r="F121" s="50" t="s">
        <v>711</v>
      </c>
      <c r="G121" s="47" t="s">
        <v>590</v>
      </c>
    </row>
    <row r="122" spans="2:7" ht="15" customHeight="1">
      <c r="B122" s="48">
        <v>441</v>
      </c>
      <c r="C122" s="35" t="str">
        <f>VLOOKUP(ProdDesc[[#This Row],[Codigo]],Stock[],2,FALSE)</f>
        <v xml:space="preserve">Bio Proyect Ph + 125ml </v>
      </c>
      <c r="D122" s="49">
        <f>VLOOKUP(ProdDesc[[#This Row],[Codigo]],Stock[],3,FALSE)</f>
        <v>631</v>
      </c>
      <c r="E122" s="46">
        <v>1</v>
      </c>
      <c r="F122" s="50" t="s">
        <v>711</v>
      </c>
      <c r="G122" s="47" t="s">
        <v>590</v>
      </c>
    </row>
    <row r="123" spans="2:7" ht="15" customHeight="1">
      <c r="B123" s="48">
        <v>281</v>
      </c>
      <c r="C123" s="35" t="str">
        <f>VLOOKUP(ProdDesc[[#This Row],[Codigo]],Stock[],2,FALSE)</f>
        <v>Macetas Sopladas N12</v>
      </c>
      <c r="D123" s="49">
        <f>VLOOKUP(ProdDesc[[#This Row],[Codigo]],Stock[],3,FALSE)</f>
        <v>21</v>
      </c>
      <c r="E123" s="46">
        <v>9</v>
      </c>
      <c r="F123" s="50" t="s">
        <v>711</v>
      </c>
      <c r="G123" s="47" t="s">
        <v>712</v>
      </c>
    </row>
    <row r="124" spans="2:7" ht="15" customHeight="1">
      <c r="B124" s="48">
        <v>478</v>
      </c>
      <c r="C124" s="35" t="str">
        <f>VLOOKUP(ProdDesc[[#This Row],[Codigo]],Stock[],2,FALSE)</f>
        <v>Namaste Oro Negro 100ml</v>
      </c>
      <c r="D124" s="49">
        <f>VLOOKUP(ProdDesc[[#This Row],[Codigo]],Stock[],3,FALSE)</f>
        <v>515</v>
      </c>
      <c r="E124" s="46">
        <v>1</v>
      </c>
      <c r="F124" s="50" t="s">
        <v>633</v>
      </c>
      <c r="G124" s="47" t="s">
        <v>629</v>
      </c>
    </row>
    <row r="125" spans="2:7" ht="15" customHeight="1">
      <c r="B125" s="48">
        <v>77</v>
      </c>
      <c r="C125" s="35" t="str">
        <f>VLOOKUP(ProdDesc[[#This Row],[Codigo]],Stock[],2,FALSE)</f>
        <v>Sedas OCB 1/4 Organic  Bamboo</v>
      </c>
      <c r="D125" s="49">
        <f>VLOOKUP(ProdDesc[[#This Row],[Codigo]],Stock[],3,FALSE)</f>
        <v>165</v>
      </c>
      <c r="E125" s="46">
        <v>1</v>
      </c>
      <c r="F125" s="50" t="s">
        <v>627</v>
      </c>
      <c r="G125" s="47" t="s">
        <v>590</v>
      </c>
    </row>
    <row r="126" spans="2:7" ht="15" customHeight="1">
      <c r="B126" s="48">
        <v>361</v>
      </c>
      <c r="C126" s="35" t="str">
        <f>VLOOKUP(ProdDesc[[#This Row],[Codigo]],Stock[],2,FALSE)</f>
        <v xml:space="preserve">filtros gizhe slim 6mm </v>
      </c>
      <c r="D126" s="49">
        <f>VLOOKUP(ProdDesc[[#This Row],[Codigo]],Stock[],3,FALSE)</f>
        <v>175</v>
      </c>
      <c r="E126" s="46">
        <v>1</v>
      </c>
      <c r="F126" s="51">
        <v>44963</v>
      </c>
      <c r="G126" s="47" t="s">
        <v>590</v>
      </c>
    </row>
    <row r="127" spans="2:7" ht="15" customHeight="1">
      <c r="B127" s="48">
        <v>529</v>
      </c>
      <c r="C127" s="35" t="str">
        <f>VLOOKUP(ProdDesc[[#This Row],[Codigo]],Stock[],2,FALSE)</f>
        <v>Sauver XL</v>
      </c>
      <c r="D127" s="49">
        <f>VLOOKUP(ProdDesc[[#This Row],[Codigo]],Stock[],3,FALSE)</f>
        <v>65</v>
      </c>
      <c r="E127" s="46">
        <v>1</v>
      </c>
      <c r="F127" s="50" t="s">
        <v>627</v>
      </c>
      <c r="G127" s="47" t="s">
        <v>632</v>
      </c>
    </row>
    <row r="128" spans="2:7" ht="15" customHeight="1">
      <c r="B128" s="48">
        <v>261</v>
      </c>
      <c r="C128" s="35" t="str">
        <f>VLOOKUP(ProdDesc[[#This Row],[Codigo]],Stock[],2,FALSE)</f>
        <v xml:space="preserve">pilas </v>
      </c>
      <c r="D128" s="49">
        <f>VLOOKUP(ProdDesc[[#This Row],[Codigo]],Stock[],3,FALSE)</f>
        <v>29</v>
      </c>
      <c r="E128" s="46">
        <v>4</v>
      </c>
      <c r="F128" s="50" t="s">
        <v>630</v>
      </c>
      <c r="G128" s="47" t="s">
        <v>629</v>
      </c>
    </row>
    <row r="129" spans="2:7" ht="15" customHeight="1">
      <c r="B129" s="48">
        <v>52</v>
      </c>
      <c r="C129" s="35" t="str">
        <f>VLOOKUP(ProdDesc[[#This Row],[Codigo]],Stock[],2,FALSE)</f>
        <v>Sustrato Perlita</v>
      </c>
      <c r="D129" s="49">
        <f>VLOOKUP(ProdDesc[[#This Row],[Codigo]],Stock[],3,FALSE)</f>
        <v>400</v>
      </c>
      <c r="E129" s="46">
        <v>8</v>
      </c>
      <c r="F129" s="50" t="s">
        <v>630</v>
      </c>
      <c r="G129" s="47" t="s">
        <v>629</v>
      </c>
    </row>
    <row r="130" spans="2:7" ht="15" customHeight="1">
      <c r="B130" s="48">
        <v>39</v>
      </c>
      <c r="C130" s="35" t="str">
        <f>VLOOKUP(ProdDesc[[#This Row],[Codigo]],Stock[],2,FALSE)</f>
        <v>VAMP hechizo BOOM</v>
      </c>
      <c r="D130" s="49">
        <f>VLOOKUP(ProdDesc[[#This Row],[Codigo]],Stock[],3,FALSE)</f>
        <v>600</v>
      </c>
      <c r="E130" s="46">
        <v>1</v>
      </c>
      <c r="F130" s="50" t="s">
        <v>630</v>
      </c>
      <c r="G130" s="47" t="s">
        <v>631</v>
      </c>
    </row>
    <row r="131" spans="2:7" ht="15" customHeight="1">
      <c r="B131" s="48">
        <v>43</v>
      </c>
      <c r="C131" s="35" t="str">
        <f>VLOOKUP(ProdDesc[[#This Row],[Codigo]],Stock[],2,FALSE)</f>
        <v>VAMP Arcilla Volcanica</v>
      </c>
      <c r="D131" s="49">
        <f>VLOOKUP(ProdDesc[[#This Row],[Codigo]],Stock[],3,FALSE)</f>
        <v>458</v>
      </c>
      <c r="E131" s="46">
        <v>2</v>
      </c>
      <c r="F131" s="50" t="s">
        <v>630</v>
      </c>
      <c r="G131" s="47" t="s">
        <v>631</v>
      </c>
    </row>
    <row r="132" spans="2:7" ht="15" customHeight="1">
      <c r="B132" s="48">
        <v>4</v>
      </c>
      <c r="C132" s="35" t="str">
        <f>VLOOKUP(ProdDesc[[#This Row],[Codigo]],Stock[],2,FALSE)</f>
        <v>CropSecret 250ml Booster Potion</v>
      </c>
      <c r="D132" s="49">
        <f>VLOOKUP(ProdDesc[[#This Row],[Codigo]],Stock[],3,FALSE)</f>
        <v>836</v>
      </c>
      <c r="E132" s="46">
        <v>1</v>
      </c>
      <c r="F132" s="50" t="s">
        <v>630</v>
      </c>
      <c r="G132" s="47" t="s">
        <v>631</v>
      </c>
    </row>
    <row r="133" spans="2:7" ht="15" customHeight="1">
      <c r="B133" s="48">
        <v>36</v>
      </c>
      <c r="C133" s="35" t="str">
        <f>VLOOKUP(ProdDesc[[#This Row],[Codigo]],Stock[],2,FALSE)</f>
        <v>VAMP Supermelaza</v>
      </c>
      <c r="D133" s="49">
        <f>VLOOKUP(ProdDesc[[#This Row],[Codigo]],Stock[],3,FALSE)</f>
        <v>908</v>
      </c>
      <c r="E133" s="46">
        <v>1</v>
      </c>
      <c r="F133" s="50" t="s">
        <v>630</v>
      </c>
      <c r="G133" s="47" t="s">
        <v>631</v>
      </c>
    </row>
    <row r="134" spans="2:7" ht="15" customHeight="1">
      <c r="B134" s="48">
        <v>30</v>
      </c>
      <c r="C134" s="35" t="str">
        <f>VLOOKUP(ProdDesc[[#This Row],[Codigo]],Stock[],2,FALSE)</f>
        <v>TreeMIX PRO 200ml</v>
      </c>
      <c r="D134" s="49">
        <f>VLOOKUP(ProdDesc[[#This Row],[Codigo]],Stock[],3,FALSE)</f>
        <v>700</v>
      </c>
      <c r="E134" s="46">
        <v>1</v>
      </c>
      <c r="F134" s="50" t="s">
        <v>630</v>
      </c>
      <c r="G134" s="47" t="s">
        <v>631</v>
      </c>
    </row>
    <row r="135" spans="2:7" ht="15" customHeight="1">
      <c r="B135" s="48">
        <v>185</v>
      </c>
      <c r="C135" s="35" t="str">
        <f>VLOOKUP(ProdDesc[[#This Row],[Codigo]],Stock[],2,FALSE)</f>
        <v>Medidor de PH</v>
      </c>
      <c r="D135" s="49">
        <f>VLOOKUP(ProdDesc[[#This Row],[Codigo]],Stock[],3,FALSE)</f>
        <v>2000</v>
      </c>
      <c r="E135" s="46">
        <v>1</v>
      </c>
      <c r="F135" s="50" t="s">
        <v>621</v>
      </c>
      <c r="G135" s="47" t="s">
        <v>629</v>
      </c>
    </row>
    <row r="136" spans="2:7" ht="15" customHeight="1">
      <c r="B136" s="48">
        <v>120</v>
      </c>
      <c r="C136" s="35" t="str">
        <f>VLOOKUP(ProdDesc[[#This Row],[Codigo]],Stock[],2,FALSE)</f>
        <v>Tabaco Van Kiff Vainilla</v>
      </c>
      <c r="D136" s="49">
        <f>VLOOKUP(ProdDesc[[#This Row],[Codigo]],Stock[],3,FALSE)</f>
        <v>580</v>
      </c>
      <c r="E136" s="46">
        <v>1</v>
      </c>
      <c r="F136" s="50" t="s">
        <v>627</v>
      </c>
      <c r="G136" s="47" t="s">
        <v>629</v>
      </c>
    </row>
    <row r="137" spans="2:7" ht="15" customHeight="1">
      <c r="B137" s="48">
        <v>563</v>
      </c>
      <c r="C137" s="35" t="str">
        <f>VLOOKUP(ProdDesc[[#This Row],[Codigo]],Stock[],2,FALSE)</f>
        <v>Bong D&amp;K Vidrio Recto</v>
      </c>
      <c r="D137" s="49">
        <f>VLOOKUP(ProdDesc[[#This Row],[Codigo]],Stock[],3,FALSE)</f>
        <v>3991</v>
      </c>
      <c r="E137" s="46">
        <v>1</v>
      </c>
      <c r="F137" s="50" t="s">
        <v>627</v>
      </c>
      <c r="G137" s="47" t="s">
        <v>628</v>
      </c>
    </row>
    <row r="138" spans="2:7" ht="15" customHeight="1">
      <c r="B138" s="48">
        <v>63</v>
      </c>
      <c r="C138" s="35" t="str">
        <f>VLOOKUP(ProdDesc[[#This Row],[Codigo]],Stock[],2,FALSE)</f>
        <v>Sedas Lion Rolling Circus 1/4 alfalfa</v>
      </c>
      <c r="D138" s="49">
        <f>VLOOKUP(ProdDesc[[#This Row],[Codigo]],Stock[],3,FALSE)</f>
        <v>150</v>
      </c>
      <c r="E138" s="46">
        <v>2</v>
      </c>
      <c r="F138" s="50" t="s">
        <v>621</v>
      </c>
      <c r="G138" s="47" t="s">
        <v>625</v>
      </c>
    </row>
    <row r="139" spans="2:7" ht="15" customHeight="1">
      <c r="B139" s="48">
        <v>107</v>
      </c>
      <c r="C139" s="35" t="str">
        <f>VLOOKUP(ProdDesc[[#This Row],[Codigo]],Stock[],2,FALSE)</f>
        <v>Filtros GIZEH biodegradable</v>
      </c>
      <c r="D139" s="49">
        <f>VLOOKUP(ProdDesc[[#This Row],[Codigo]],Stock[],3,FALSE)</f>
        <v>280</v>
      </c>
      <c r="E139" s="46">
        <v>1</v>
      </c>
      <c r="F139" s="50" t="s">
        <v>621</v>
      </c>
      <c r="G139" s="47" t="s">
        <v>624</v>
      </c>
    </row>
    <row r="140" spans="2:7" ht="15" customHeight="1">
      <c r="B140" s="48">
        <v>93</v>
      </c>
      <c r="C140" s="35" t="str">
        <f>VLOOKUP(ProdDesc[[#This Row],[Codigo]],Stock[],2,FALSE)</f>
        <v>Sedas ROK 1/4 celulosa</v>
      </c>
      <c r="D140" s="49">
        <f>VLOOKUP(ProdDesc[[#This Row],[Codigo]],Stock[],3,FALSE)</f>
        <v>111</v>
      </c>
      <c r="E140" s="46">
        <v>1</v>
      </c>
      <c r="F140" s="50" t="s">
        <v>621</v>
      </c>
      <c r="G140" s="47" t="s">
        <v>623</v>
      </c>
    </row>
    <row r="141" spans="2:7" ht="15" customHeight="1">
      <c r="B141" s="48">
        <v>293</v>
      </c>
      <c r="C141" s="35" t="str">
        <f>VLOOKUP(ProdDesc[[#This Row],[Codigo]],Stock[],2,FALSE)</f>
        <v>Mallas para prensa 90 micras</v>
      </c>
      <c r="D141" s="49">
        <f>VLOOKUP(ProdDesc[[#This Row],[Codigo]],Stock[],3,FALSE)</f>
        <v>144</v>
      </c>
      <c r="E141" s="46">
        <v>2</v>
      </c>
      <c r="F141" s="50" t="s">
        <v>621</v>
      </c>
      <c r="G141" s="47" t="s">
        <v>622</v>
      </c>
    </row>
    <row r="142" spans="2:7" ht="15" customHeight="1">
      <c r="B142" s="48">
        <v>68</v>
      </c>
      <c r="C142" s="35" t="str">
        <f>VLOOKUP(ProdDesc[[#This Row],[Codigo]],Stock[],2,FALSE)</f>
        <v>Sedas Blunt Rey Kz celulosa Orange</v>
      </c>
      <c r="D142" s="49">
        <f>VLOOKUP(ProdDesc[[#This Row],[Codigo]],Stock[],3,FALSE)</f>
        <v>167</v>
      </c>
      <c r="E142" s="46">
        <v>1</v>
      </c>
      <c r="F142" s="50" t="s">
        <v>610</v>
      </c>
      <c r="G142" s="47" t="s">
        <v>520</v>
      </c>
    </row>
    <row r="143" spans="2:7" ht="15" customHeight="1">
      <c r="B143" s="48">
        <v>117</v>
      </c>
      <c r="C143" s="35" t="str">
        <f>VLOOKUP(ProdDesc[[#This Row],[Codigo]],Stock[],2,FALSE)</f>
        <v>Tabaco Van Kiff Natural</v>
      </c>
      <c r="D143" s="49">
        <f>VLOOKUP(ProdDesc[[#This Row],[Codigo]],Stock[],3,FALSE)</f>
        <v>580</v>
      </c>
      <c r="E143" s="46">
        <v>2</v>
      </c>
      <c r="F143" s="50" t="s">
        <v>610</v>
      </c>
      <c r="G143" s="47" t="s">
        <v>615</v>
      </c>
    </row>
    <row r="144" spans="2:7" ht="15" customHeight="1">
      <c r="B144" s="48">
        <v>451</v>
      </c>
      <c r="C144" s="35" t="str">
        <f>VLOOKUP(ProdDesc[[#This Row],[Codigo]],Stock[],2,FALSE)</f>
        <v>Vermiculita</v>
      </c>
      <c r="D144" s="49">
        <f>VLOOKUP(ProdDesc[[#This Row],[Codigo]],Stock[],3,FALSE)</f>
        <v>844</v>
      </c>
      <c r="E144" s="46">
        <v>1</v>
      </c>
      <c r="F144" s="50" t="s">
        <v>613</v>
      </c>
      <c r="G144" s="47" t="s">
        <v>614</v>
      </c>
    </row>
    <row r="145" spans="2:7" ht="15" customHeight="1">
      <c r="B145" s="48">
        <v>68</v>
      </c>
      <c r="C145" s="35" t="str">
        <f>VLOOKUP(ProdDesc[[#This Row],[Codigo]],Stock[],2,FALSE)</f>
        <v>Sedas Blunt Rey Kz celulosa Orange</v>
      </c>
      <c r="D145" s="49">
        <f>VLOOKUP(ProdDesc[[#This Row],[Codigo]],Stock[],3,FALSE)</f>
        <v>167</v>
      </c>
      <c r="E145" s="46">
        <v>1</v>
      </c>
      <c r="F145" s="50" t="s">
        <v>610</v>
      </c>
      <c r="G145" s="47" t="s">
        <v>520</v>
      </c>
    </row>
    <row r="146" spans="2:7" ht="15" customHeight="1">
      <c r="B146" s="48">
        <v>39</v>
      </c>
      <c r="C146" s="35" t="str">
        <f>VLOOKUP(ProdDesc[[#This Row],[Codigo]],Stock[],2,FALSE)</f>
        <v>VAMP hechizo BOOM</v>
      </c>
      <c r="D146" s="49">
        <f>VLOOKUP(ProdDesc[[#This Row],[Codigo]],Stock[],3,FALSE)</f>
        <v>600</v>
      </c>
      <c r="E146" s="46">
        <v>1</v>
      </c>
      <c r="F146" s="50" t="s">
        <v>598</v>
      </c>
      <c r="G146" s="47" t="s">
        <v>603</v>
      </c>
    </row>
    <row r="147" spans="2:7" ht="15" customHeight="1">
      <c r="B147" s="48">
        <v>490</v>
      </c>
      <c r="C147" s="35" t="str">
        <f>VLOOKUP(ProdDesc[[#This Row],[Codigo]],Stock[],2,FALSE)</f>
        <v>Maceta Geotextil Pochita 40L</v>
      </c>
      <c r="D147" s="49">
        <f>VLOOKUP(ProdDesc[[#This Row],[Codigo]],Stock[],3,FALSE)</f>
        <v>540</v>
      </c>
      <c r="E147" s="46">
        <v>1</v>
      </c>
      <c r="F147" s="50" t="s">
        <v>598</v>
      </c>
      <c r="G147" s="47" t="s">
        <v>601</v>
      </c>
    </row>
    <row r="148" spans="2:7" ht="15" customHeight="1">
      <c r="B148" s="48">
        <v>52</v>
      </c>
      <c r="C148" s="35" t="str">
        <f>VLOOKUP(ProdDesc[[#This Row],[Codigo]],Stock[],2,FALSE)</f>
        <v>Sustrato Perlita</v>
      </c>
      <c r="D148" s="49">
        <f>VLOOKUP(ProdDesc[[#This Row],[Codigo]],Stock[],3,FALSE)</f>
        <v>400</v>
      </c>
      <c r="E148" s="46">
        <v>3</v>
      </c>
      <c r="F148" s="50" t="s">
        <v>598</v>
      </c>
      <c r="G148" s="47" t="s">
        <v>600</v>
      </c>
    </row>
    <row r="149" spans="2:7" ht="15" customHeight="1">
      <c r="B149" s="48">
        <v>63</v>
      </c>
      <c r="C149" s="35" t="str">
        <f>VLOOKUP(ProdDesc[[#This Row],[Codigo]],Stock[],2,FALSE)</f>
        <v>Sedas Lion Rolling Circus 1/4 alfalfa</v>
      </c>
      <c r="D149" s="49">
        <f>VLOOKUP(ProdDesc[[#This Row],[Codigo]],Stock[],3,FALSE)</f>
        <v>150</v>
      </c>
      <c r="E149" s="46">
        <v>1</v>
      </c>
      <c r="F149" s="50" t="s">
        <v>595</v>
      </c>
      <c r="G149" s="47" t="s">
        <v>599</v>
      </c>
    </row>
    <row r="150" spans="2:7" ht="15" customHeight="1">
      <c r="B150" s="48">
        <v>455</v>
      </c>
      <c r="C150" s="35" t="str">
        <f>VLOOKUP(ProdDesc[[#This Row],[Codigo]],Stock[],2,FALSE)</f>
        <v>Melaza 100% natural</v>
      </c>
      <c r="D150" s="49">
        <f>VLOOKUP(ProdDesc[[#This Row],[Codigo]],Stock[],3,FALSE)</f>
        <v>340</v>
      </c>
      <c r="E150" s="46">
        <v>1</v>
      </c>
      <c r="F150" s="50" t="s">
        <v>595</v>
      </c>
      <c r="G150" s="47" t="s">
        <v>596</v>
      </c>
    </row>
    <row r="151" spans="2:7" ht="15" customHeight="1">
      <c r="B151" s="48">
        <v>78</v>
      </c>
      <c r="C151" s="35" t="str">
        <f>VLOOKUP(ProdDesc[[#This Row],[Codigo]],Stock[],2,FALSE)</f>
        <v xml:space="preserve"> Sedas LION Kz Ultra fina</v>
      </c>
      <c r="D151" s="49">
        <f>VLOOKUP(ProdDesc[[#This Row],[Codigo]],Stock[],3,FALSE)</f>
        <v>65</v>
      </c>
      <c r="E151" s="46" t="s">
        <v>517</v>
      </c>
      <c r="F151" s="50" t="s">
        <v>595</v>
      </c>
      <c r="G151" s="47" t="s">
        <v>596</v>
      </c>
    </row>
    <row r="152" spans="2:7" ht="15" customHeight="1">
      <c r="B152" s="48">
        <v>551</v>
      </c>
      <c r="C152" s="35" t="str">
        <f>VLOOKUP(ProdDesc[[#This Row],[Codigo]],Stock[],2,FALSE)</f>
        <v>Lata Cuadrada Smoke Weed Everiday</v>
      </c>
      <c r="D152" s="49">
        <f>VLOOKUP(ProdDesc[[#This Row],[Codigo]],Stock[],3,FALSE)</f>
        <v>200</v>
      </c>
      <c r="E152" s="46">
        <v>1</v>
      </c>
      <c r="F152" s="50" t="s">
        <v>595</v>
      </c>
      <c r="G152" s="47" t="s">
        <v>596</v>
      </c>
    </row>
    <row r="153" spans="2:7" ht="15" customHeight="1">
      <c r="B153" s="48">
        <v>564</v>
      </c>
      <c r="C153" s="35" t="str">
        <f>VLOOKUP(ProdDesc[[#This Row],[Codigo]],Stock[],2,FALSE)</f>
        <v>Picador Zeus 3p Plastico</v>
      </c>
      <c r="D153" s="49">
        <f>VLOOKUP(ProdDesc[[#This Row],[Codigo]],Stock[],3,FALSE)</f>
        <v>460</v>
      </c>
      <c r="E153" s="46" t="s">
        <v>517</v>
      </c>
      <c r="F153" s="50" t="s">
        <v>595</v>
      </c>
      <c r="G153" s="47" t="s">
        <v>596</v>
      </c>
    </row>
    <row r="154" spans="2:7" ht="15" customHeight="1">
      <c r="B154" s="48">
        <v>149</v>
      </c>
      <c r="C154" s="35" t="str">
        <f>VLOOKUP(ProdDesc[[#This Row],[Codigo]],Stock[],2,FALSE)</f>
        <v>Sauver 1/4</v>
      </c>
      <c r="D154" s="49">
        <f>VLOOKUP(ProdDesc[[#This Row],[Codigo]],Stock[],3,FALSE)</f>
        <v>75</v>
      </c>
      <c r="E154" s="46">
        <v>2</v>
      </c>
      <c r="F154" s="50" t="s">
        <v>595</v>
      </c>
      <c r="G154" s="47" t="s">
        <v>596</v>
      </c>
    </row>
    <row r="155" spans="2:7" ht="15" customHeight="1">
      <c r="B155" s="48">
        <v>37</v>
      </c>
      <c r="C155" s="35" t="str">
        <f>VLOOKUP(ProdDesc[[#This Row],[Codigo]],Stock[],2,FALSE)</f>
        <v>VAMP Guano de murcielago Vegetativo</v>
      </c>
      <c r="D155" s="49">
        <f>VLOOKUP(ProdDesc[[#This Row],[Codigo]],Stock[],3,FALSE)</f>
        <v>510</v>
      </c>
      <c r="E155" s="46">
        <v>2</v>
      </c>
      <c r="F155" s="50" t="s">
        <v>595</v>
      </c>
      <c r="G155" s="47" t="s">
        <v>596</v>
      </c>
    </row>
    <row r="156" spans="2:7" ht="15" customHeight="1">
      <c r="B156" s="48">
        <v>38</v>
      </c>
      <c r="C156" s="35" t="str">
        <f>VLOOKUP(ProdDesc[[#This Row],[Codigo]],Stock[],2,FALSE)</f>
        <v>VAMP Guano de murcielago Flora</v>
      </c>
      <c r="D156" s="49">
        <f>VLOOKUP(ProdDesc[[#This Row],[Codigo]],Stock[],3,FALSE)</f>
        <v>510</v>
      </c>
      <c r="E156" s="46">
        <v>2</v>
      </c>
      <c r="F156" s="50" t="s">
        <v>595</v>
      </c>
      <c r="G156" s="47" t="s">
        <v>596</v>
      </c>
    </row>
    <row r="157" spans="2:7" ht="15" customHeight="1">
      <c r="B157" s="48">
        <v>77</v>
      </c>
      <c r="C157" s="35" t="str">
        <f>VLOOKUP(ProdDesc[[#This Row],[Codigo]],Stock[],2,FALSE)</f>
        <v>Sedas OCB 1/4 Organic  Bamboo</v>
      </c>
      <c r="D157" s="49">
        <f>VLOOKUP(ProdDesc[[#This Row],[Codigo]],Stock[],3,FALSE)</f>
        <v>165</v>
      </c>
      <c r="E157" s="46">
        <v>1</v>
      </c>
      <c r="F157" s="50" t="s">
        <v>594</v>
      </c>
      <c r="G157" s="47" t="s">
        <v>590</v>
      </c>
    </row>
    <row r="158" spans="2:7" ht="15" customHeight="1">
      <c r="B158" s="48">
        <v>117</v>
      </c>
      <c r="C158" s="35" t="str">
        <f>VLOOKUP(ProdDesc[[#This Row],[Codigo]],Stock[],2,FALSE)</f>
        <v>Tabaco Van Kiff Natural</v>
      </c>
      <c r="D158" s="49">
        <f>VLOOKUP(ProdDesc[[#This Row],[Codigo]],Stock[],3,FALSE)</f>
        <v>580</v>
      </c>
      <c r="E158" s="46">
        <v>1</v>
      </c>
      <c r="F158" s="50" t="s">
        <v>594</v>
      </c>
      <c r="G158" s="47" t="s">
        <v>590</v>
      </c>
    </row>
    <row r="159" spans="2:7" ht="15" customHeight="1">
      <c r="B159" s="48">
        <v>199</v>
      </c>
      <c r="C159" s="35" t="str">
        <f>VLOOKUP(ProdDesc[[#This Row],[Codigo]],Stock[],2,FALSE)</f>
        <v>POWER TREBOL</v>
      </c>
      <c r="D159" s="49">
        <f>VLOOKUP(ProdDesc[[#This Row],[Codigo]],Stock[],3,FALSE)</f>
        <v>140</v>
      </c>
      <c r="E159" s="46">
        <v>4</v>
      </c>
      <c r="F159" s="50" t="s">
        <v>592</v>
      </c>
      <c r="G159" s="47" t="s">
        <v>590</v>
      </c>
    </row>
    <row r="160" spans="2:7" ht="15" customHeight="1">
      <c r="B160" s="48">
        <v>244</v>
      </c>
      <c r="C160" s="35" t="str">
        <f>VLOOKUP(ProdDesc[[#This Row],[Codigo]],Stock[],2,FALSE)</f>
        <v>Bandeja de Almacidos 50</v>
      </c>
      <c r="D160" s="49">
        <f>VLOOKUP(ProdDesc[[#This Row],[Codigo]],Stock[],3,FALSE)</f>
        <v>198</v>
      </c>
      <c r="E160" s="46">
        <v>2</v>
      </c>
      <c r="F160" s="50" t="s">
        <v>592</v>
      </c>
      <c r="G160" s="47" t="s">
        <v>590</v>
      </c>
    </row>
    <row r="161" spans="2:7" ht="15" customHeight="1">
      <c r="B161" s="48">
        <v>451</v>
      </c>
      <c r="C161" s="35" t="str">
        <f>VLOOKUP(ProdDesc[[#This Row],[Codigo]],Stock[],2,FALSE)</f>
        <v>Vermiculita</v>
      </c>
      <c r="D161" s="49">
        <f>VLOOKUP(ProdDesc[[#This Row],[Codigo]],Stock[],3,FALSE)</f>
        <v>844</v>
      </c>
      <c r="E161" s="46">
        <v>1</v>
      </c>
      <c r="F161" s="50" t="s">
        <v>592</v>
      </c>
      <c r="G161" s="47" t="s">
        <v>590</v>
      </c>
    </row>
    <row r="162" spans="2:7" ht="15" customHeight="1">
      <c r="B162" s="48">
        <v>50</v>
      </c>
      <c r="C162" s="35" t="str">
        <f>VLOOKUP(ProdDesc[[#This Row],[Codigo]],Stock[],2,FALSE)</f>
        <v>JIFFY moneda turba</v>
      </c>
      <c r="D162" s="49">
        <f>VLOOKUP(ProdDesc[[#This Row],[Codigo]],Stock[],3,FALSE)</f>
        <v>70</v>
      </c>
      <c r="E162" s="46">
        <v>15</v>
      </c>
      <c r="F162" s="50" t="s">
        <v>592</v>
      </c>
      <c r="G162" s="47" t="s">
        <v>590</v>
      </c>
    </row>
    <row r="163" spans="2:7" ht="15" customHeight="1">
      <c r="B163" s="48">
        <v>51</v>
      </c>
      <c r="C163" s="35" t="str">
        <f>VLOOKUP(ProdDesc[[#This Row],[Codigo]],Stock[],2,FALSE)</f>
        <v>Landiner Turba 10l</v>
      </c>
      <c r="D163" s="49">
        <f>VLOOKUP(ProdDesc[[#This Row],[Codigo]],Stock[],3,FALSE)</f>
        <v>845</v>
      </c>
      <c r="E163" s="46">
        <v>1</v>
      </c>
      <c r="F163" s="50" t="s">
        <v>592</v>
      </c>
      <c r="G163" s="47" t="s">
        <v>590</v>
      </c>
    </row>
    <row r="164" spans="2:7" ht="15" customHeight="1">
      <c r="B164" s="48">
        <v>486</v>
      </c>
      <c r="C164" s="35" t="str">
        <f>VLOOKUP(ProdDesc[[#This Row],[Codigo]],Stock[],2,FALSE)</f>
        <v>Clonaste Namaste 30gr</v>
      </c>
      <c r="D164" s="49">
        <f>VLOOKUP(ProdDesc[[#This Row],[Codigo]],Stock[],3,FALSE)</f>
        <v>1054</v>
      </c>
      <c r="E164" s="46">
        <v>1</v>
      </c>
      <c r="F164" s="50" t="s">
        <v>592</v>
      </c>
      <c r="G164" s="47" t="s">
        <v>590</v>
      </c>
    </row>
    <row r="165" spans="2:7" ht="15" customHeight="1">
      <c r="B165" s="48">
        <v>63</v>
      </c>
      <c r="C165" s="35" t="str">
        <f>VLOOKUP(ProdDesc[[#This Row],[Codigo]],Stock[],2,FALSE)</f>
        <v>Sedas Lion Rolling Circus 1/4 alfalfa</v>
      </c>
      <c r="D165" s="49">
        <f>VLOOKUP(ProdDesc[[#This Row],[Codigo]],Stock[],3,FALSE)</f>
        <v>150</v>
      </c>
      <c r="E165" s="46">
        <v>1</v>
      </c>
      <c r="F165" s="51">
        <v>44951</v>
      </c>
      <c r="G165" s="47" t="s">
        <v>590</v>
      </c>
    </row>
    <row r="166" spans="2:7" ht="15" customHeight="1">
      <c r="B166" s="48">
        <v>63</v>
      </c>
      <c r="C166" s="35" t="str">
        <f>VLOOKUP(ProdDesc[[#This Row],[Codigo]],Stock[],2,FALSE)</f>
        <v>Sedas Lion Rolling Circus 1/4 alfalfa</v>
      </c>
      <c r="D166" s="49">
        <f>VLOOKUP(ProdDesc[[#This Row],[Codigo]],Stock[],3,FALSE)</f>
        <v>150</v>
      </c>
      <c r="E166" s="46">
        <v>1</v>
      </c>
      <c r="F166" s="50" t="s">
        <v>587</v>
      </c>
      <c r="G166" s="47" t="s">
        <v>588</v>
      </c>
    </row>
    <row r="167" spans="2:7" ht="15" customHeight="1">
      <c r="B167" s="48">
        <v>117</v>
      </c>
      <c r="C167" s="35" t="str">
        <f>VLOOKUP(ProdDesc[[#This Row],[Codigo]],Stock[],2,FALSE)</f>
        <v>Tabaco Van Kiff Natural</v>
      </c>
      <c r="D167" s="49">
        <f>VLOOKUP(ProdDesc[[#This Row],[Codigo]],Stock[],3,FALSE)</f>
        <v>580</v>
      </c>
      <c r="E167" s="46">
        <v>1</v>
      </c>
      <c r="F167" s="50" t="s">
        <v>579</v>
      </c>
      <c r="G167" s="47" t="s">
        <v>505</v>
      </c>
    </row>
    <row r="168" spans="2:7" ht="15" customHeight="1">
      <c r="B168" s="48">
        <v>564</v>
      </c>
      <c r="C168" s="35" t="str">
        <f>VLOOKUP(ProdDesc[[#This Row],[Codigo]],Stock[],2,FALSE)</f>
        <v>Picador Zeus 3p Plastico</v>
      </c>
      <c r="D168" s="49">
        <f>VLOOKUP(ProdDesc[[#This Row],[Codigo]],Stock[],3,FALSE)</f>
        <v>460</v>
      </c>
      <c r="E168" s="46">
        <v>1</v>
      </c>
      <c r="F168" s="50" t="s">
        <v>579</v>
      </c>
      <c r="G168" s="47" t="s">
        <v>582</v>
      </c>
    </row>
    <row r="169" spans="2:7" ht="15" customHeight="1">
      <c r="B169" s="48">
        <v>529</v>
      </c>
      <c r="C169" s="35" t="str">
        <f>VLOOKUP(ProdDesc[[#This Row],[Codigo]],Stock[],2,FALSE)</f>
        <v>Sauver XL</v>
      </c>
      <c r="D169" s="49">
        <f>VLOOKUP(ProdDesc[[#This Row],[Codigo]],Stock[],3,FALSE)</f>
        <v>65</v>
      </c>
      <c r="E169" s="46">
        <v>1</v>
      </c>
      <c r="F169" s="50" t="s">
        <v>579</v>
      </c>
      <c r="G169" s="47" t="s">
        <v>581</v>
      </c>
    </row>
    <row r="170" spans="2:7" ht="15" customHeight="1">
      <c r="B170" s="48">
        <v>106</v>
      </c>
      <c r="C170" s="35" t="str">
        <f>VLOOKUP(ProdDesc[[#This Row],[Codigo]],Stock[],2,FALSE)</f>
        <v xml:space="preserve"> Blunt Wrap Blueberry</v>
      </c>
      <c r="D170" s="49">
        <f>VLOOKUP(ProdDesc[[#This Row],[Codigo]],Stock[],3,FALSE)</f>
        <v>225</v>
      </c>
      <c r="E170" s="46">
        <v>1</v>
      </c>
      <c r="F170" s="50" t="s">
        <v>579</v>
      </c>
      <c r="G170" s="47" t="s">
        <v>580</v>
      </c>
    </row>
    <row r="171" spans="2:7" ht="15" customHeight="1">
      <c r="B171" s="48">
        <v>307</v>
      </c>
      <c r="C171" s="35" t="str">
        <f>VLOOKUP(ProdDesc[[#This Row],[Codigo]],Stock[],2,FALSE)</f>
        <v>Tuqueros</v>
      </c>
      <c r="D171" s="49">
        <f>VLOOKUP(ProdDesc[[#This Row],[Codigo]],Stock[],3,FALSE)</f>
        <v>12</v>
      </c>
      <c r="E171" s="46">
        <v>5</v>
      </c>
      <c r="F171" s="50" t="s">
        <v>575</v>
      </c>
      <c r="G171" s="47" t="s">
        <v>520</v>
      </c>
    </row>
    <row r="172" spans="2:7" ht="15" customHeight="1">
      <c r="B172" s="48">
        <v>77</v>
      </c>
      <c r="C172" s="35" t="str">
        <f>VLOOKUP(ProdDesc[[#This Row],[Codigo]],Stock[],2,FALSE)</f>
        <v>Sedas OCB 1/4 Organic  Bamboo</v>
      </c>
      <c r="D172" s="49">
        <f>VLOOKUP(ProdDesc[[#This Row],[Codigo]],Stock[],3,FALSE)</f>
        <v>165</v>
      </c>
      <c r="E172" s="46">
        <v>1</v>
      </c>
      <c r="F172" s="50" t="s">
        <v>575</v>
      </c>
      <c r="G172" s="47" t="s">
        <v>578</v>
      </c>
    </row>
    <row r="173" spans="2:7" ht="15" customHeight="1">
      <c r="B173" s="48">
        <v>187</v>
      </c>
      <c r="C173" s="35" t="str">
        <f>VLOOKUP(ProdDesc[[#This Row],[Codigo]],Stock[],2,FALSE)</f>
        <v>Termohidrógeno</v>
      </c>
      <c r="D173" s="49">
        <f>VLOOKUP(ProdDesc[[#This Row],[Codigo]],Stock[],3,FALSE)</f>
        <v>2000</v>
      </c>
      <c r="E173" s="46">
        <v>1</v>
      </c>
      <c r="F173" s="50" t="s">
        <v>563</v>
      </c>
      <c r="G173" s="47" t="s">
        <v>564</v>
      </c>
    </row>
    <row r="174" spans="2:7" ht="15" customHeight="1">
      <c r="B174" s="48">
        <v>521</v>
      </c>
      <c r="C174" s="35" t="str">
        <f>VLOOKUP(ProdDesc[[#This Row],[Codigo]],Stock[],2,FALSE)</f>
        <v>Pipa de Semilla Tigre</v>
      </c>
      <c r="D174" s="49">
        <f>VLOOKUP(ProdDesc[[#This Row],[Codigo]],Stock[],3,FALSE)</f>
        <v>1500</v>
      </c>
      <c r="E174" s="46">
        <v>1</v>
      </c>
      <c r="F174" s="50" t="s">
        <v>558</v>
      </c>
      <c r="G174" s="47" t="s">
        <v>560</v>
      </c>
    </row>
    <row r="175" spans="2:7" ht="15" customHeight="1">
      <c r="B175" s="48">
        <v>52</v>
      </c>
      <c r="C175" s="35" t="str">
        <f>VLOOKUP(ProdDesc[[#This Row],[Codigo]],Stock[],2,FALSE)</f>
        <v>Sustrato Perlita</v>
      </c>
      <c r="D175" s="49">
        <f>VLOOKUP(ProdDesc[[#This Row],[Codigo]],Stock[],3,FALSE)</f>
        <v>400</v>
      </c>
      <c r="E175" s="46">
        <v>6</v>
      </c>
      <c r="F175" s="50" t="s">
        <v>558</v>
      </c>
      <c r="G175" s="47" t="s">
        <v>559</v>
      </c>
    </row>
    <row r="176" spans="2:7" ht="15" customHeight="1">
      <c r="B176" s="48">
        <v>489</v>
      </c>
      <c r="C176" s="35" t="str">
        <f>VLOOKUP(ProdDesc[[#This Row],[Codigo]],Stock[],2,FALSE)</f>
        <v>Maceta Geotextil Pochita 12,5L</v>
      </c>
      <c r="D176" s="49">
        <f>VLOOKUP(ProdDesc[[#This Row],[Codigo]],Stock[],3,FALSE)</f>
        <v>325</v>
      </c>
      <c r="E176" s="46">
        <v>1</v>
      </c>
      <c r="F176" s="50" t="s">
        <v>551</v>
      </c>
      <c r="G176" s="47" t="s">
        <v>555</v>
      </c>
    </row>
    <row r="177" spans="2:7" ht="15" customHeight="1">
      <c r="B177" s="48">
        <v>52</v>
      </c>
      <c r="C177" s="35" t="str">
        <f>VLOOKUP(ProdDesc[[#This Row],[Codigo]],Stock[],2,FALSE)</f>
        <v>Sustrato Perlita</v>
      </c>
      <c r="D177" s="49">
        <f>VLOOKUP(ProdDesc[[#This Row],[Codigo]],Stock[],3,FALSE)</f>
        <v>400</v>
      </c>
      <c r="E177" s="46">
        <v>2</v>
      </c>
      <c r="F177" s="50" t="s">
        <v>551</v>
      </c>
      <c r="G177" s="47" t="s">
        <v>555</v>
      </c>
    </row>
    <row r="178" spans="2:7" ht="15" customHeight="1">
      <c r="B178" s="48">
        <v>120</v>
      </c>
      <c r="C178" s="35" t="str">
        <f>VLOOKUP(ProdDesc[[#This Row],[Codigo]],Stock[],2,FALSE)</f>
        <v>Tabaco Van Kiff Vainilla</v>
      </c>
      <c r="D178" s="49">
        <f>VLOOKUP(ProdDesc[[#This Row],[Codigo]],Stock[],3,FALSE)</f>
        <v>580</v>
      </c>
      <c r="E178" s="46">
        <v>1</v>
      </c>
      <c r="F178" s="50" t="s">
        <v>551</v>
      </c>
      <c r="G178" s="47" t="s">
        <v>553</v>
      </c>
    </row>
    <row r="179" spans="2:7" ht="15" customHeight="1">
      <c r="B179" s="48">
        <v>354</v>
      </c>
      <c r="C179" s="35" t="str">
        <f>VLOOKUP(ProdDesc[[#This Row],[Codigo]],Stock[],2,FALSE)</f>
        <v xml:space="preserve">ocb ultimate </v>
      </c>
      <c r="D179" s="49">
        <f>VLOOKUP(ProdDesc[[#This Row],[Codigo]],Stock[],3,FALSE)</f>
        <v>165</v>
      </c>
      <c r="E179" s="46">
        <v>1</v>
      </c>
      <c r="F179" s="50" t="s">
        <v>551</v>
      </c>
      <c r="G179" s="47" t="s">
        <v>521</v>
      </c>
    </row>
    <row r="180" spans="2:7" ht="15" customHeight="1">
      <c r="B180" s="48">
        <v>58</v>
      </c>
      <c r="C180" s="35" t="str">
        <f>VLOOKUP(ProdDesc[[#This Row],[Codigo]],Stock[],2,FALSE)</f>
        <v xml:space="preserve">Encendedor Clipper </v>
      </c>
      <c r="D180" s="49">
        <f>VLOOKUP(ProdDesc[[#This Row],[Codigo]],Stock[],3,FALSE)</f>
        <v>378</v>
      </c>
      <c r="E180" s="46">
        <v>1</v>
      </c>
      <c r="F180" s="50" t="s">
        <v>551</v>
      </c>
      <c r="G180" s="47" t="s">
        <v>552</v>
      </c>
    </row>
    <row r="181" spans="2:7" ht="15" customHeight="1">
      <c r="B181" s="48">
        <v>421</v>
      </c>
      <c r="C181" s="35" t="str">
        <f>VLOOKUP(ProdDesc[[#This Row],[Codigo]],Stock[],2,FALSE)</f>
        <v>Porta porros 420</v>
      </c>
      <c r="D181" s="49">
        <f>VLOOKUP(ProdDesc[[#This Row],[Codigo]],Stock[],3,FALSE)</f>
        <v>73</v>
      </c>
      <c r="E181" s="46">
        <v>1</v>
      </c>
      <c r="F181" s="50" t="s">
        <v>551</v>
      </c>
      <c r="G181" s="47" t="s">
        <v>520</v>
      </c>
    </row>
    <row r="182" spans="2:7" ht="15" customHeight="1">
      <c r="B182" s="48">
        <v>502</v>
      </c>
      <c r="C182" s="35" t="str">
        <f>VLOOKUP(ProdDesc[[#This Row],[Codigo]],Stock[],2,FALSE)</f>
        <v xml:space="preserve">Clipper Raw </v>
      </c>
      <c r="D182" s="49">
        <f>VLOOKUP(ProdDesc[[#This Row],[Codigo]],Stock[],3,FALSE)</f>
        <v>276</v>
      </c>
      <c r="E182" s="46">
        <v>1</v>
      </c>
      <c r="F182" s="50" t="s">
        <v>503</v>
      </c>
      <c r="G182" s="47" t="s">
        <v>523</v>
      </c>
    </row>
    <row r="183" spans="2:7" ht="15" customHeight="1">
      <c r="B183" s="48">
        <v>63</v>
      </c>
      <c r="C183" s="35" t="str">
        <f>VLOOKUP(ProdDesc[[#This Row],[Codigo]],Stock[],2,FALSE)</f>
        <v>Sedas Lion Rolling Circus 1/4 alfalfa</v>
      </c>
      <c r="D183" s="49">
        <f>VLOOKUP(ProdDesc[[#This Row],[Codigo]],Stock[],3,FALSE)</f>
        <v>150</v>
      </c>
      <c r="E183" s="46">
        <v>1</v>
      </c>
      <c r="F183" s="51">
        <v>44936</v>
      </c>
      <c r="G183" s="47" t="s">
        <v>521</v>
      </c>
    </row>
    <row r="184" spans="2:7" ht="15" customHeight="1">
      <c r="B184" s="48">
        <v>120</v>
      </c>
      <c r="C184" s="35" t="str">
        <f>VLOOKUP(ProdDesc[[#This Row],[Codigo]],Stock[],2,FALSE)</f>
        <v>Tabaco Van Kiff Vainilla</v>
      </c>
      <c r="D184" s="49">
        <f>VLOOKUP(ProdDesc[[#This Row],[Codigo]],Stock[],3,FALSE)</f>
        <v>580</v>
      </c>
      <c r="E184" s="46">
        <v>2</v>
      </c>
      <c r="F184" s="50" t="s">
        <v>496</v>
      </c>
      <c r="G184" s="47" t="s">
        <v>521</v>
      </c>
    </row>
    <row r="185" spans="2:7" ht="15" customHeight="1">
      <c r="B185" s="48">
        <v>76</v>
      </c>
      <c r="C185" s="35" t="str">
        <f>VLOOKUP(ProdDesc[[#This Row],[Codigo]],Stock[],2,FALSE)</f>
        <v>Sedas OCB 1/4 Virgin Papers</v>
      </c>
      <c r="D185" s="49">
        <f>VLOOKUP(ProdDesc[[#This Row],[Codigo]],Stock[],3,FALSE)</f>
        <v>165</v>
      </c>
      <c r="E185" s="46">
        <v>1</v>
      </c>
      <c r="F185" s="50" t="s">
        <v>518</v>
      </c>
      <c r="G185" s="47" t="s">
        <v>522</v>
      </c>
    </row>
    <row r="186" spans="2:7" ht="15" customHeight="1">
      <c r="B186" s="48">
        <v>149</v>
      </c>
      <c r="C186" s="35" t="str">
        <f>VLOOKUP(ProdDesc[[#This Row],[Codigo]],Stock[],2,FALSE)</f>
        <v>Sauver 1/4</v>
      </c>
      <c r="D186" s="49">
        <f>VLOOKUP(ProdDesc[[#This Row],[Codigo]],Stock[],3,FALSE)</f>
        <v>75</v>
      </c>
      <c r="E186" s="46">
        <v>1</v>
      </c>
      <c r="F186" s="51">
        <v>44936</v>
      </c>
      <c r="G186" s="47" t="s">
        <v>520</v>
      </c>
    </row>
    <row r="187" spans="2:7" ht="15" customHeight="1">
      <c r="B187" s="48">
        <v>63</v>
      </c>
      <c r="C187" s="35" t="str">
        <f>VLOOKUP(ProdDesc[[#This Row],[Codigo]],Stock[],2,FALSE)</f>
        <v>Sedas Lion Rolling Circus 1/4 alfalfa</v>
      </c>
      <c r="D187" s="49">
        <f>VLOOKUP(ProdDesc[[#This Row],[Codigo]],Stock[],3,FALSE)</f>
        <v>150</v>
      </c>
      <c r="E187" s="46">
        <v>1</v>
      </c>
      <c r="F187" s="51">
        <v>44933</v>
      </c>
      <c r="G187" s="47" t="s">
        <v>521</v>
      </c>
    </row>
    <row r="188" spans="2:7" ht="15" customHeight="1">
      <c r="B188" s="48">
        <v>472</v>
      </c>
      <c r="C188" s="35" t="str">
        <f>VLOOKUP(ProdDesc[[#This Row],[Codigo]],Stock[],2,FALSE)</f>
        <v>Eztabilizador 15g 62% keep it Fresh</v>
      </c>
      <c r="D188" s="49">
        <f>VLOOKUP(ProdDesc[[#This Row],[Codigo]],Stock[],3,FALSE)</f>
        <v>1084</v>
      </c>
      <c r="E188" s="46">
        <v>1</v>
      </c>
      <c r="F188" s="51">
        <v>44931</v>
      </c>
      <c r="G188" s="47" t="s">
        <v>521</v>
      </c>
    </row>
    <row r="189" spans="2:7" ht="15" customHeight="1">
      <c r="B189" s="48">
        <v>149</v>
      </c>
      <c r="C189" s="35" t="str">
        <f>VLOOKUP(ProdDesc[[#This Row],[Codigo]],Stock[],2,FALSE)</f>
        <v>Sauver 1/4</v>
      </c>
      <c r="D189" s="49">
        <f>VLOOKUP(ProdDesc[[#This Row],[Codigo]],Stock[],3,FALSE)</f>
        <v>75</v>
      </c>
      <c r="E189" s="46">
        <v>2</v>
      </c>
      <c r="F189" s="51">
        <v>44931</v>
      </c>
      <c r="G189" s="47" t="s">
        <v>520</v>
      </c>
    </row>
    <row r="190" spans="2:7" ht="15" customHeight="1">
      <c r="B190" s="48">
        <v>63</v>
      </c>
      <c r="C190" s="35" t="str">
        <f>VLOOKUP(ProdDesc[[#This Row],[Codigo]],Stock[],2,FALSE)</f>
        <v>Sedas Lion Rolling Circus 1/4 alfalfa</v>
      </c>
      <c r="D190" s="49">
        <f>VLOOKUP(ProdDesc[[#This Row],[Codigo]],Stock[],3,FALSE)</f>
        <v>150</v>
      </c>
      <c r="E190" s="46">
        <v>1</v>
      </c>
      <c r="F190" s="50" t="s">
        <v>519</v>
      </c>
      <c r="G190" s="47" t="s">
        <v>505</v>
      </c>
    </row>
    <row r="191" spans="2:7" ht="15" customHeight="1">
      <c r="B191" s="48">
        <v>149</v>
      </c>
      <c r="C191" s="35" t="str">
        <f>VLOOKUP(ProdDesc[[#This Row],[Codigo]],Stock[],2,FALSE)</f>
        <v>Sauver 1/4</v>
      </c>
      <c r="D191" s="49">
        <f>VLOOKUP(ProdDesc[[#This Row],[Codigo]],Stock[],3,FALSE)</f>
        <v>75</v>
      </c>
      <c r="E191" s="46">
        <v>1</v>
      </c>
      <c r="F191" s="50" t="s">
        <v>503</v>
      </c>
      <c r="G191" s="47" t="s">
        <v>505</v>
      </c>
    </row>
    <row r="192" spans="2:7" ht="15" customHeight="1">
      <c r="B192" s="48">
        <v>186</v>
      </c>
      <c r="C192" s="35" t="str">
        <f>VLOOKUP(ProdDesc[[#This Row],[Codigo]],Stock[],2,FALSE)</f>
        <v>Medidor de Electroconductividad</v>
      </c>
      <c r="D192" s="49">
        <f>VLOOKUP(ProdDesc[[#This Row],[Codigo]],Stock[],3,FALSE)</f>
        <v>879</v>
      </c>
      <c r="E192" s="46">
        <v>1</v>
      </c>
      <c r="F192" s="51">
        <v>44928</v>
      </c>
      <c r="G192" s="47" t="s">
        <v>499</v>
      </c>
    </row>
    <row r="193" spans="7:7" ht="15" customHeight="1">
      <c r="G193" s="26"/>
    </row>
    <row r="194" spans="7:7" ht="15" customHeight="1"/>
    <row r="195" spans="7:7" ht="15" customHeight="1"/>
    <row r="196" spans="7:7" ht="15" customHeight="1"/>
    <row r="197" spans="7:7" ht="15" customHeight="1"/>
    <row r="198" spans="7:7" ht="15" customHeight="1"/>
    <row r="199" spans="7:7" ht="15" customHeight="1"/>
    <row r="200" spans="7:7" ht="15" customHeight="1"/>
    <row r="201" spans="7:7" ht="15" customHeight="1"/>
    <row r="202" spans="7:7" ht="15" customHeight="1"/>
    <row r="203" spans="7:7" ht="15" customHeight="1"/>
    <row r="204" spans="7:7" ht="15" customHeight="1"/>
    <row r="205" spans="7:7" ht="15" customHeight="1"/>
    <row r="206" spans="7:7" ht="15" customHeight="1"/>
    <row r="207" spans="7:7" ht="15" customHeight="1"/>
    <row r="208" spans="7:7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</sheetData>
  <mergeCells count="1">
    <mergeCell ref="B2:G2"/>
  </mergeCells>
  <pageMargins left="0.7" right="0.7" top="0.75" bottom="0.75" header="0.3" footer="0.3"/>
  <pageSetup orientation="portrait" r:id="rId1"/>
  <ignoredErrors>
    <ignoredError sqref="E151 E153" numberStoredAsText="1"/>
  </ignoredError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P35"/>
  <sheetViews>
    <sheetView showGridLines="0" showRowColHeaders="0" workbookViewId="0">
      <selection activeCell="F4" sqref="F4"/>
    </sheetView>
  </sheetViews>
  <sheetFormatPr baseColWidth="10" defaultRowHeight="15"/>
  <cols>
    <col min="1" max="1" width="4.42578125" style="16" customWidth="1"/>
    <col min="2" max="2" width="21.85546875" customWidth="1"/>
    <col min="3" max="3" width="25" customWidth="1"/>
    <col min="4" max="4" width="30.42578125" customWidth="1"/>
    <col min="5" max="5" width="29.42578125" customWidth="1"/>
    <col min="6" max="6" width="25.85546875" style="16" customWidth="1"/>
    <col min="7" max="7" width="23.7109375" style="16" customWidth="1"/>
    <col min="8" max="8" width="26" style="16" customWidth="1"/>
    <col min="9" max="13" width="11.42578125" style="16"/>
  </cols>
  <sheetData>
    <row r="1" spans="2:16" s="16" customFormat="1" ht="95.25" customHeight="1"/>
    <row r="2" spans="2:16" ht="69" customHeight="1">
      <c r="B2" s="74" t="s">
        <v>763</v>
      </c>
      <c r="C2" s="74"/>
      <c r="D2" s="74"/>
      <c r="E2" s="74"/>
      <c r="F2" s="74"/>
      <c r="G2" s="74"/>
      <c r="H2" s="74"/>
    </row>
    <row r="3" spans="2:16">
      <c r="B3" t="s">
        <v>819</v>
      </c>
      <c r="C3" t="s">
        <v>818</v>
      </c>
      <c r="D3" t="s">
        <v>761</v>
      </c>
      <c r="E3" t="s">
        <v>816</v>
      </c>
      <c r="F3" t="s">
        <v>817</v>
      </c>
      <c r="G3" t="s">
        <v>815</v>
      </c>
      <c r="H3" t="s">
        <v>820</v>
      </c>
      <c r="N3" s="16"/>
      <c r="O3" s="16"/>
      <c r="P3" s="16"/>
    </row>
    <row r="4" spans="2:16">
      <c r="B4" s="7">
        <f>SUM(Stock[Inversion])</f>
        <v>1106062</v>
      </c>
      <c r="C4" s="7">
        <f>SUM(Stock[Inversion Venta])</f>
        <v>2392700</v>
      </c>
      <c r="D4">
        <f>Stock[[#This Row],[Codigo]]</f>
        <v>930</v>
      </c>
      <c r="E4">
        <f>SUM(Stock[Stock Deposito])</f>
        <v>3709</v>
      </c>
      <c r="F4" s="7">
        <f>SUM(Stock[Inversion Cultivate])</f>
        <v>1171865</v>
      </c>
      <c r="G4" s="7">
        <f>SUM(Stock[Ganancia Cultivate])</f>
        <v>2394800</v>
      </c>
      <c r="H4">
        <f>SUM(Stock[Stock Cultivate])</f>
        <v>2178</v>
      </c>
      <c r="N4" s="16"/>
      <c r="O4" s="16"/>
      <c r="P4" s="16"/>
    </row>
    <row r="5" spans="2:16" s="16" customFormat="1"/>
    <row r="6" spans="2:16" s="16" customFormat="1"/>
    <row r="7" spans="2:16" s="16" customFormat="1"/>
    <row r="8" spans="2:16" s="16" customFormat="1"/>
    <row r="9" spans="2:16" s="16" customFormat="1"/>
    <row r="10" spans="2:16" s="16" customFormat="1"/>
    <row r="11" spans="2:16" s="16" customFormat="1"/>
    <row r="12" spans="2:16" s="16" customFormat="1"/>
    <row r="13" spans="2:16" s="16" customFormat="1"/>
    <row r="14" spans="2:16" s="16" customFormat="1"/>
    <row r="15" spans="2:16" s="16" customFormat="1"/>
    <row r="16" spans="2:16" s="16" customFormat="1"/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</sheetData>
  <mergeCells count="1">
    <mergeCell ref="B2:H2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CA490-81D3-460A-9E49-670B197A93EA}">
  <sheetPr codeName="Hoja10"/>
  <dimension ref="A1:Q1030"/>
  <sheetViews>
    <sheetView showGridLines="0" showRowColHeaders="0" workbookViewId="0">
      <selection activeCell="E4" sqref="E4"/>
    </sheetView>
  </sheetViews>
  <sheetFormatPr baseColWidth="10" defaultRowHeight="15"/>
  <cols>
    <col min="1" max="1" width="11.42578125" style="16"/>
    <col min="2" max="2" width="32" customWidth="1"/>
    <col min="3" max="3" width="37.7109375" customWidth="1"/>
    <col min="4" max="4" width="23" customWidth="1"/>
    <col min="5" max="5" width="19.42578125" customWidth="1"/>
    <col min="6" max="6" width="17.140625" customWidth="1"/>
    <col min="7" max="7" width="20.5703125" customWidth="1"/>
    <col min="8" max="17" width="11.42578125" style="16"/>
  </cols>
  <sheetData>
    <row r="1" spans="2:7" s="16" customFormat="1" ht="104.25" customHeight="1"/>
    <row r="2" spans="2:7" ht="67.5">
      <c r="B2" s="75" t="s">
        <v>809</v>
      </c>
      <c r="C2" s="76"/>
      <c r="D2" s="76"/>
      <c r="E2" s="76"/>
      <c r="F2" s="76"/>
      <c r="G2" s="76"/>
    </row>
    <row r="3" spans="2:7">
      <c r="B3" t="s">
        <v>0</v>
      </c>
      <c r="C3" t="s">
        <v>1</v>
      </c>
      <c r="D3" t="s">
        <v>810</v>
      </c>
      <c r="E3" t="s">
        <v>90</v>
      </c>
      <c r="F3" t="s">
        <v>89</v>
      </c>
      <c r="G3" t="s">
        <v>97</v>
      </c>
    </row>
    <row r="4" spans="2:7">
      <c r="B4" t="s">
        <v>1140</v>
      </c>
      <c r="C4" t="str">
        <f>VLOOKUP(Tabla9[[#This Row],[Codigo]],Stock[#Data],2,FALSE)</f>
        <v>Timer Zurich</v>
      </c>
      <c r="D4" s="63">
        <f>VLOOKUP(Tabla9[[#This Row],[Codigo]],Stock[#Data],3,FALSE)</f>
        <v>2398</v>
      </c>
      <c r="E4">
        <v>265</v>
      </c>
      <c r="F4">
        <v>6</v>
      </c>
      <c r="G4" s="63">
        <f>Tabla9[[#This Row],[Precio Compra]]*Tabla9[[#This Row],[Cantidad]]</f>
        <v>14388</v>
      </c>
    </row>
    <row r="5" spans="2:7">
      <c r="B5" t="s">
        <v>1140</v>
      </c>
      <c r="C5" t="str">
        <f>VLOOKUP(Tabla9[[#This Row],[Codigo]],Stock[#Data],2,FALSE)</f>
        <v>Power Buffer PH7</v>
      </c>
      <c r="D5" s="63">
        <f>VLOOKUP(Tabla9[[#This Row],[Codigo]],Stock[#Data],3,FALSE)</f>
        <v>310</v>
      </c>
      <c r="E5">
        <v>56</v>
      </c>
      <c r="F5">
        <v>1</v>
      </c>
      <c r="G5" s="63">
        <f>Tabla9[[#This Row],[Precio Compra]]*Tabla9[[#This Row],[Cantidad]]</f>
        <v>310</v>
      </c>
    </row>
    <row r="6" spans="2:7">
      <c r="B6" t="s">
        <v>1140</v>
      </c>
      <c r="C6" t="str">
        <f>VLOOKUP(Tabla9[[#This Row],[Codigo]],Stock[#Data],2,FALSE)</f>
        <v>Sedas Smoking x 300</v>
      </c>
      <c r="D6" s="63">
        <f>VLOOKUP(Tabla9[[#This Row],[Codigo]],Stock[#Data],3,FALSE)</f>
        <v>223</v>
      </c>
      <c r="E6">
        <v>83</v>
      </c>
      <c r="F6">
        <v>1</v>
      </c>
      <c r="G6" s="63">
        <f>Tabla9[[#This Row],[Precio Compra]]*Tabla9[[#This Row],[Cantidad]]</f>
        <v>223</v>
      </c>
    </row>
    <row r="7" spans="2:7">
      <c r="B7" t="s">
        <v>1140</v>
      </c>
      <c r="C7" t="str">
        <f>VLOOKUP(Tabla9[[#This Row],[Codigo]],Stock[#Data],2,FALSE)</f>
        <v>Sedas PRISMA 1/4 Blue</v>
      </c>
      <c r="D7" s="63">
        <f>VLOOKUP(Tabla9[[#This Row],[Codigo]],Stock[#Data],3,FALSE)</f>
        <v>100</v>
      </c>
      <c r="E7">
        <v>91</v>
      </c>
      <c r="F7">
        <v>1</v>
      </c>
      <c r="G7" s="63">
        <f>Tabla9[[#This Row],[Precio Compra]]*Tabla9[[#This Row],[Cantidad]]</f>
        <v>100</v>
      </c>
    </row>
    <row r="8" spans="2:7">
      <c r="B8" t="s">
        <v>1140</v>
      </c>
      <c r="C8" t="str">
        <f>VLOOKUP(Tabla9[[#This Row],[Codigo]],Stock[#Data],2,FALSE)</f>
        <v>Bandeja ZEUS 18x7 con tapa</v>
      </c>
      <c r="D8" s="63">
        <f>VLOOKUP(Tabla9[[#This Row],[Codigo]],Stock[#Data],3,FALSE)</f>
        <v>816</v>
      </c>
      <c r="E8">
        <v>137</v>
      </c>
      <c r="F8">
        <v>1</v>
      </c>
      <c r="G8" s="63">
        <f>Tabla9[[#This Row],[Precio Compra]]*Tabla9[[#This Row],[Cantidad]]</f>
        <v>816</v>
      </c>
    </row>
    <row r="9" spans="2:7">
      <c r="B9" t="s">
        <v>1140</v>
      </c>
      <c r="C9" t="str">
        <f>VLOOKUP(Tabla9[[#This Row],[Codigo]],Stock[#Data],2,FALSE)</f>
        <v>Termohidrógeno</v>
      </c>
      <c r="D9" s="63">
        <f>VLOOKUP(Tabla9[[#This Row],[Codigo]],Stock[#Data],3,FALSE)</f>
        <v>2000</v>
      </c>
      <c r="E9">
        <v>187</v>
      </c>
      <c r="F9">
        <v>10</v>
      </c>
      <c r="G9" s="63">
        <f>Tabla9[[#This Row],[Precio Compra]]*Tabla9[[#This Row],[Cantidad]]</f>
        <v>20000</v>
      </c>
    </row>
    <row r="10" spans="2:7">
      <c r="B10" t="s">
        <v>1140</v>
      </c>
      <c r="C10" t="str">
        <f>VLOOKUP(Tabla9[[#This Row],[Codigo]],Stock[#Data],2,FALSE)</f>
        <v>Cortahilo</v>
      </c>
      <c r="D10" s="63">
        <f>VLOOKUP(Tabla9[[#This Row],[Codigo]],Stock[#Data],3,FALSE)</f>
        <v>214</v>
      </c>
      <c r="E10">
        <v>311</v>
      </c>
      <c r="F10">
        <v>2</v>
      </c>
      <c r="G10" s="63">
        <f>Tabla9[[#This Row],[Precio Compra]]*Tabla9[[#This Row],[Cantidad]]</f>
        <v>428</v>
      </c>
    </row>
    <row r="11" spans="2:7">
      <c r="B11" t="s">
        <v>1135</v>
      </c>
      <c r="C11" t="str">
        <f>VLOOKUP(Tabla9[[#This Row],[Codigo]],Stock[#Data],2,FALSE)</f>
        <v>Cigarrera</v>
      </c>
      <c r="D11" s="63">
        <f>VLOOKUP(Tabla9[[#This Row],[Codigo]],Stock[#Data],3,FALSE)</f>
        <v>1699</v>
      </c>
      <c r="E11">
        <v>428</v>
      </c>
      <c r="F11">
        <v>1</v>
      </c>
      <c r="G11" s="63">
        <f>Tabla9[[#This Row],[Precio Compra]]*Tabla9[[#This Row],[Cantidad]]</f>
        <v>1699</v>
      </c>
    </row>
    <row r="12" spans="2:7">
      <c r="B12" t="s">
        <v>1135</v>
      </c>
      <c r="C12" t="str">
        <f>VLOOKUP(Tabla9[[#This Row],[Codigo]],Stock[#Data],2,FALSE)</f>
        <v>Tree Mix  Candy 200ml</v>
      </c>
      <c r="D12" s="63">
        <f>VLOOKUP(Tabla9[[#This Row],[Codigo]],Stock[#Data],3,FALSE)</f>
        <v>520</v>
      </c>
      <c r="E12">
        <v>450</v>
      </c>
      <c r="F12">
        <v>1</v>
      </c>
      <c r="G12" s="63">
        <f>Tabla9[[#This Row],[Precio Compra]]*Tabla9[[#This Row],[Cantidad]]</f>
        <v>520</v>
      </c>
    </row>
    <row r="13" spans="2:7">
      <c r="B13" t="s">
        <v>1135</v>
      </c>
      <c r="C13" t="str">
        <f>VLOOKUP(Tabla9[[#This Row],[Codigo]],Stock[#Data],2,FALSE)</f>
        <v>Bandeja 3 Rayos Chica</v>
      </c>
      <c r="D13" s="63">
        <f>VLOOKUP(Tabla9[[#This Row],[Codigo]],Stock[#Data],3,FALSE)</f>
        <v>1210</v>
      </c>
      <c r="E13">
        <v>473</v>
      </c>
      <c r="F13">
        <v>3</v>
      </c>
      <c r="G13" s="63">
        <f>Tabla9[[#This Row],[Precio Compra]]*Tabla9[[#This Row],[Cantidad]]</f>
        <v>3630</v>
      </c>
    </row>
    <row r="14" spans="2:7">
      <c r="B14" t="s">
        <v>1135</v>
      </c>
      <c r="C14" t="str">
        <f>VLOOKUP(Tabla9[[#This Row],[Codigo]],Stock[#Data],2,FALSE)</f>
        <v xml:space="preserve">Polea Santa Planta 5kg </v>
      </c>
      <c r="D14" s="63">
        <f>VLOOKUP(Tabla9[[#This Row],[Codigo]],Stock[#Data],3,FALSE)</f>
        <v>1375</v>
      </c>
      <c r="E14">
        <v>510</v>
      </c>
      <c r="F14">
        <v>1</v>
      </c>
      <c r="G14" s="63">
        <f>Tabla9[[#This Row],[Precio Compra]]*Tabla9[[#This Row],[Cantidad]]</f>
        <v>1375</v>
      </c>
    </row>
    <row r="15" spans="2:7">
      <c r="B15" t="s">
        <v>1127</v>
      </c>
      <c r="C15" t="str">
        <f>VLOOKUP(Tabla9[[#This Row],[Codigo]],Stock[#Data],2,FALSE)</f>
        <v>Tabaco Moro Virginia Blend</v>
      </c>
      <c r="D15" s="63">
        <f>VLOOKUP(Tabla9[[#This Row],[Codigo]],Stock[#Data],3,FALSE)</f>
        <v>425</v>
      </c>
      <c r="E15">
        <v>754</v>
      </c>
      <c r="F15">
        <v>2</v>
      </c>
      <c r="G15" s="63">
        <f>Tabla9[[#This Row],[Precio Compra]]*Tabla9[[#This Row],[Cantidad]]</f>
        <v>850</v>
      </c>
    </row>
    <row r="16" spans="2:7">
      <c r="B16" t="s">
        <v>1127</v>
      </c>
      <c r="C16" t="str">
        <f>VLOOKUP(Tabla9[[#This Row],[Codigo]],Stock[#Data],2,FALSE)</f>
        <v>Tabaco Moro Dark Blend</v>
      </c>
      <c r="D16" s="63">
        <f>VLOOKUP(Tabla9[[#This Row],[Codigo]],Stock[#Data],3,FALSE)</f>
        <v>425</v>
      </c>
      <c r="E16">
        <v>753</v>
      </c>
      <c r="F16">
        <v>2</v>
      </c>
      <c r="G16" s="63">
        <f>Tabla9[[#This Row],[Precio Compra]]*Tabla9[[#This Row],[Cantidad]]</f>
        <v>850</v>
      </c>
    </row>
    <row r="17" spans="2:7">
      <c r="B17" t="s">
        <v>1127</v>
      </c>
      <c r="C17" t="str">
        <f>VLOOKUP(Tabla9[[#This Row],[Codigo]],Stock[#Data],2,FALSE)</f>
        <v>Tabaco Moro Mango</v>
      </c>
      <c r="D17" s="63">
        <f>VLOOKUP(Tabla9[[#This Row],[Codigo]],Stock[#Data],3,FALSE)</f>
        <v>525</v>
      </c>
      <c r="E17">
        <v>366</v>
      </c>
      <c r="F17">
        <v>5</v>
      </c>
      <c r="G17" s="63">
        <f>Tabla9[[#This Row],[Precio Compra]]*Tabla9[[#This Row],[Cantidad]]</f>
        <v>2625</v>
      </c>
    </row>
    <row r="18" spans="2:7">
      <c r="B18" t="s">
        <v>1127</v>
      </c>
      <c r="C18" t="str">
        <f>VLOOKUP(Tabla9[[#This Row],[Codigo]],Stock[#Data],2,FALSE)</f>
        <v>Tabaco Argento Chocolate</v>
      </c>
      <c r="D18" s="63">
        <f>VLOOKUP(Tabla9[[#This Row],[Codigo]],Stock[#Data],3,FALSE)</f>
        <v>425</v>
      </c>
      <c r="E18">
        <v>756</v>
      </c>
      <c r="F18">
        <v>6</v>
      </c>
      <c r="G18" s="63">
        <f>Tabla9[[#This Row],[Precio Compra]]*Tabla9[[#This Row],[Cantidad]]</f>
        <v>2550</v>
      </c>
    </row>
    <row r="19" spans="2:7">
      <c r="B19" t="s">
        <v>1127</v>
      </c>
      <c r="C19" t="str">
        <f>VLOOKUP(Tabla9[[#This Row],[Codigo]],Stock[#Data],2,FALSE)</f>
        <v xml:space="preserve">Tabaco Las Hojas Natural </v>
      </c>
      <c r="D19" s="63">
        <f>VLOOKUP(Tabla9[[#This Row],[Codigo]],Stock[#Data],3,FALSE)</f>
        <v>350</v>
      </c>
      <c r="E19">
        <v>748</v>
      </c>
      <c r="F19">
        <v>7</v>
      </c>
      <c r="G19" s="63">
        <f>Tabla9[[#This Row],[Precio Compra]]*Tabla9[[#This Row],[Cantidad]]</f>
        <v>2450</v>
      </c>
    </row>
    <row r="20" spans="2:7">
      <c r="B20" t="s">
        <v>1127</v>
      </c>
      <c r="C20" t="str">
        <f>VLOOKUP(Tabla9[[#This Row],[Codigo]],Stock[#Data],2,FALSE)</f>
        <v>Tabaco Las Hojas Chocolate</v>
      </c>
      <c r="D20" s="63">
        <f>VLOOKUP(Tabla9[[#This Row],[Codigo]],Stock[#Data],3,FALSE)</f>
        <v>350</v>
      </c>
      <c r="E20">
        <v>749</v>
      </c>
      <c r="F20">
        <v>5</v>
      </c>
      <c r="G20" s="63">
        <f>Tabla9[[#This Row],[Precio Compra]]*Tabla9[[#This Row],[Cantidad]]</f>
        <v>1750</v>
      </c>
    </row>
    <row r="21" spans="2:7">
      <c r="B21" t="s">
        <v>1127</v>
      </c>
      <c r="C21" t="str">
        <f>VLOOKUP(Tabla9[[#This Row],[Codigo]],Stock[#Data],2,FALSE)</f>
        <v xml:space="preserve">Tabaco Las Hojas Vainilla </v>
      </c>
      <c r="D21" s="63">
        <f>VLOOKUP(Tabla9[[#This Row],[Codigo]],Stock[#Data],3,FALSE)</f>
        <v>350</v>
      </c>
      <c r="E21">
        <v>750</v>
      </c>
      <c r="F21">
        <v>2</v>
      </c>
      <c r="G21" s="63">
        <f>Tabla9[[#This Row],[Precio Compra]]*Tabla9[[#This Row],[Cantidad]]</f>
        <v>700</v>
      </c>
    </row>
    <row r="22" spans="2:7">
      <c r="B22" t="s">
        <v>1127</v>
      </c>
      <c r="C22" t="str">
        <f>VLOOKUP(Tabla9[[#This Row],[Codigo]],Stock[#Data],2,FALSE)</f>
        <v>Maceta Cultivate 20l</v>
      </c>
      <c r="D22" s="63">
        <f>VLOOKUP(Tabla9[[#This Row],[Codigo]],Stock[#Data],3,FALSE)</f>
        <v>370</v>
      </c>
      <c r="E22">
        <v>816</v>
      </c>
      <c r="F22">
        <v>2</v>
      </c>
      <c r="G22" s="63">
        <f>Tabla9[[#This Row],[Precio Compra]]*Tabla9[[#This Row],[Cantidad]]</f>
        <v>740</v>
      </c>
    </row>
    <row r="23" spans="2:7">
      <c r="B23" t="s">
        <v>1127</v>
      </c>
      <c r="C23" t="str">
        <f>VLOOKUP(Tabla9[[#This Row],[Codigo]],Stock[#Data],2,FALSE)</f>
        <v>Maceta Cultivate 5l</v>
      </c>
      <c r="D23" s="63">
        <f>VLOOKUP(Tabla9[[#This Row],[Codigo]],Stock[#Data],3,FALSE)</f>
        <v>200</v>
      </c>
      <c r="E23">
        <v>814</v>
      </c>
      <c r="F23">
        <v>4</v>
      </c>
      <c r="G23" s="63">
        <f>Tabla9[[#This Row],[Precio Compra]]*Tabla9[[#This Row],[Cantidad]]</f>
        <v>800</v>
      </c>
    </row>
    <row r="24" spans="2:7">
      <c r="B24" t="s">
        <v>1127</v>
      </c>
      <c r="C24" t="str">
        <f>VLOOKUP(Tabla9[[#This Row],[Codigo]],Stock[#Data],2,FALSE)</f>
        <v>Maceta Cultivate 10l</v>
      </c>
      <c r="D24" s="63">
        <f>VLOOKUP(Tabla9[[#This Row],[Codigo]],Stock[#Data],3,FALSE)</f>
        <v>220</v>
      </c>
      <c r="E24">
        <v>815</v>
      </c>
      <c r="F24">
        <v>3</v>
      </c>
      <c r="G24" s="63">
        <f>Tabla9[[#This Row],[Precio Compra]]*Tabla9[[#This Row],[Cantidad]]</f>
        <v>660</v>
      </c>
    </row>
    <row r="25" spans="2:7">
      <c r="B25" t="s">
        <v>1127</v>
      </c>
      <c r="C25" t="str">
        <f>VLOOKUP(Tabla9[[#This Row],[Codigo]],Stock[#Data],2,FALSE)</f>
        <v>Maceta  Cultivate 60l</v>
      </c>
      <c r="D25" s="63">
        <f>VLOOKUP(Tabla9[[#This Row],[Codigo]],Stock[#Data],3,FALSE)</f>
        <v>580</v>
      </c>
      <c r="E25">
        <v>812</v>
      </c>
      <c r="F25">
        <v>21</v>
      </c>
      <c r="G25" s="63">
        <f>Tabla9[[#This Row],[Precio Compra]]*Tabla9[[#This Row],[Cantidad]]</f>
        <v>12180</v>
      </c>
    </row>
    <row r="26" spans="2:7">
      <c r="B26" t="s">
        <v>1127</v>
      </c>
      <c r="C26" t="str">
        <f>VLOOKUP(Tabla9[[#This Row],[Codigo]],Stock[#Data],2,FALSE)</f>
        <v xml:space="preserve">Indian 1l Monkey </v>
      </c>
      <c r="D26" s="63">
        <f>VLOOKUP(Tabla9[[#This Row],[Codigo]],Stock[#Data],3,FALSE)</f>
        <v>1200</v>
      </c>
      <c r="E26">
        <v>718</v>
      </c>
      <c r="F26">
        <v>1</v>
      </c>
      <c r="G26" s="63">
        <f>Tabla9[[#This Row],[Precio Compra]]*Tabla9[[#This Row],[Cantidad]]</f>
        <v>1200</v>
      </c>
    </row>
    <row r="27" spans="2:7">
      <c r="B27" t="s">
        <v>1127</v>
      </c>
      <c r="C27" t="str">
        <f>VLOOKUP(Tabla9[[#This Row],[Codigo]],Stock[#Data],2,FALSE)</f>
        <v>Flowers 1l Monkey</v>
      </c>
      <c r="D27" s="63">
        <f>VLOOKUP(Tabla9[[#This Row],[Codigo]],Stock[#Data],3,FALSE)</f>
        <v>1200</v>
      </c>
      <c r="E27">
        <v>717</v>
      </c>
      <c r="F27">
        <v>6</v>
      </c>
      <c r="G27" s="63">
        <f>Tabla9[[#This Row],[Precio Compra]]*Tabla9[[#This Row],[Cantidad]]</f>
        <v>7200</v>
      </c>
    </row>
    <row r="28" spans="2:7">
      <c r="B28" t="s">
        <v>1127</v>
      </c>
      <c r="C28" t="str">
        <f>VLOOKUP(Tabla9[[#This Row],[Codigo]],Stock[#Data],2,FALSE)</f>
        <v>Kong 1l Monkey</v>
      </c>
      <c r="D28" s="63">
        <f>VLOOKUP(Tabla9[[#This Row],[Codigo]],Stock[#Data],3,FALSE)</f>
        <v>120</v>
      </c>
      <c r="E28">
        <v>716</v>
      </c>
      <c r="F28">
        <v>6</v>
      </c>
      <c r="G28" s="63">
        <f>Tabla9[[#This Row],[Precio Compra]]*Tabla9[[#This Row],[Cantidad]]</f>
        <v>720</v>
      </c>
    </row>
    <row r="29" spans="2:7">
      <c r="B29" t="s">
        <v>1127</v>
      </c>
      <c r="C29" t="str">
        <f>VLOOKUP(Tabla9[[#This Row],[Codigo]],Stock[#Data],2,FALSE)</f>
        <v>Kawsay Bloom 500ml</v>
      </c>
      <c r="D29" s="63">
        <f>VLOOKUP(Tabla9[[#This Row],[Codigo]],Stock[#Data],3,FALSE)</f>
        <v>2300</v>
      </c>
      <c r="E29">
        <v>630</v>
      </c>
      <c r="F29">
        <v>1</v>
      </c>
      <c r="G29" s="63">
        <f>Tabla9[[#This Row],[Precio Compra]]*Tabla9[[#This Row],[Cantidad]]</f>
        <v>2300</v>
      </c>
    </row>
    <row r="30" spans="2:7">
      <c r="B30" t="s">
        <v>1127</v>
      </c>
      <c r="C30" t="str">
        <f>VLOOKUP(Tabla9[[#This Row],[Codigo]],Stock[#Data],2,FALSE)</f>
        <v>Kawsay Vege 500ml</v>
      </c>
      <c r="D30" s="63">
        <f>VLOOKUP(Tabla9[[#This Row],[Codigo]],Stock[#Data],3,FALSE)</f>
        <v>2300</v>
      </c>
      <c r="E30">
        <v>629</v>
      </c>
      <c r="F30">
        <v>3</v>
      </c>
      <c r="G30" s="63">
        <f>Tabla9[[#This Row],[Precio Compra]]*Tabla9[[#This Row],[Cantidad]]</f>
        <v>6900</v>
      </c>
    </row>
    <row r="31" spans="2:7">
      <c r="B31" t="s">
        <v>1127</v>
      </c>
      <c r="C31" t="str">
        <f>VLOOKUP(Tabla9[[#This Row],[Codigo]],Stock[#Data],2,FALSE)</f>
        <v>Kawsay Base B 500ml</v>
      </c>
      <c r="D31" s="63">
        <f>VLOOKUP(Tabla9[[#This Row],[Codigo]],Stock[#Data],3,FALSE)</f>
        <v>2000</v>
      </c>
      <c r="E31">
        <v>627</v>
      </c>
      <c r="F31">
        <v>1</v>
      </c>
      <c r="G31" s="63">
        <f>Tabla9[[#This Row],[Precio Compra]]*Tabla9[[#This Row],[Cantidad]]</f>
        <v>2000</v>
      </c>
    </row>
    <row r="32" spans="2:7">
      <c r="B32" t="s">
        <v>1127</v>
      </c>
      <c r="C32" t="str">
        <f>VLOOKUP(Tabla9[[#This Row],[Codigo]],Stock[#Data],2,FALSE)</f>
        <v xml:space="preserve">Kawsay Base A 500ml </v>
      </c>
      <c r="D32" s="63">
        <f>VLOOKUP(Tabla9[[#This Row],[Codigo]],Stock[#Data],3,FALSE)</f>
        <v>2000</v>
      </c>
      <c r="E32">
        <v>628</v>
      </c>
      <c r="F32">
        <v>1</v>
      </c>
      <c r="G32" s="63">
        <f>Tabla9[[#This Row],[Precio Compra]]*Tabla9[[#This Row],[Cantidad]]</f>
        <v>2000</v>
      </c>
    </row>
    <row r="33" spans="2:7">
      <c r="B33" t="s">
        <v>1127</v>
      </c>
      <c r="C33" t="str">
        <f>VLOOKUP(Tabla9[[#This Row],[Codigo]],Stock[#Data],2,FALSE)</f>
        <v xml:space="preserve">Kawsay Base B 1l </v>
      </c>
      <c r="D33" s="63">
        <f>VLOOKUP(Tabla9[[#This Row],[Codigo]],Stock[#Data],3,FALSE)</f>
        <v>3750</v>
      </c>
      <c r="E33">
        <v>631</v>
      </c>
      <c r="F33">
        <v>1</v>
      </c>
      <c r="G33" s="63">
        <f>Tabla9[[#This Row],[Precio Compra]]*Tabla9[[#This Row],[Cantidad]]</f>
        <v>3750</v>
      </c>
    </row>
    <row r="34" spans="2:7">
      <c r="B34" t="s">
        <v>1127</v>
      </c>
      <c r="C34" t="str">
        <f>VLOOKUP(Tabla9[[#This Row],[Codigo]],Stock[#Data],2,FALSE)</f>
        <v xml:space="preserve">Kawsay Base A 1l </v>
      </c>
      <c r="D34" s="63">
        <f>VLOOKUP(Tabla9[[#This Row],[Codigo]],Stock[#Data],3,FALSE)</f>
        <v>3750</v>
      </c>
      <c r="E34">
        <v>632</v>
      </c>
      <c r="F34">
        <v>1</v>
      </c>
      <c r="G34" s="63">
        <f>Tabla9[[#This Row],[Precio Compra]]*Tabla9[[#This Row],[Cantidad]]</f>
        <v>3750</v>
      </c>
    </row>
    <row r="35" spans="2:7">
      <c r="B35" t="s">
        <v>1127</v>
      </c>
      <c r="C35" t="str">
        <f>VLOOKUP(Tabla9[[#This Row],[Codigo]],Stock[#Data],2,FALSE)</f>
        <v>Kawsay Bloom 1l</v>
      </c>
      <c r="D35" s="63">
        <f>VLOOKUP(Tabla9[[#This Row],[Codigo]],Stock[#Data],3,FALSE)</f>
        <v>4200</v>
      </c>
      <c r="E35">
        <v>633</v>
      </c>
      <c r="F35">
        <v>1</v>
      </c>
      <c r="G35" s="63">
        <f>Tabla9[[#This Row],[Precio Compra]]*Tabla9[[#This Row],[Cantidad]]</f>
        <v>4200</v>
      </c>
    </row>
    <row r="36" spans="2:7">
      <c r="B36" t="s">
        <v>1127</v>
      </c>
      <c r="C36" t="str">
        <f>VLOOKUP(Tabla9[[#This Row],[Codigo]],Stock[#Data],2,FALSE)</f>
        <v>Kawsay Vege 1l</v>
      </c>
      <c r="D36" s="63">
        <f>VLOOKUP(Tabla9[[#This Row],[Codigo]],Stock[#Data],3,FALSE)</f>
        <v>4200</v>
      </c>
      <c r="E36">
        <v>634</v>
      </c>
      <c r="F36">
        <v>2</v>
      </c>
      <c r="G36" s="63">
        <f>Tabla9[[#This Row],[Precio Compra]]*Tabla9[[#This Row],[Cantidad]]</f>
        <v>8400</v>
      </c>
    </row>
    <row r="37" spans="2:7">
      <c r="B37" t="s">
        <v>1127</v>
      </c>
      <c r="C37" t="str">
        <f>VLOOKUP(Tabla9[[#This Row],[Codigo]],Stock[#Data],2,FALSE)</f>
        <v>Kawsay Silicio 1l</v>
      </c>
      <c r="D37" s="63">
        <f>VLOOKUP(Tabla9[[#This Row],[Codigo]],Stock[#Data],3,FALSE)</f>
        <v>3800</v>
      </c>
      <c r="E37">
        <v>635</v>
      </c>
      <c r="F37">
        <v>4</v>
      </c>
      <c r="G37" s="63">
        <f>Tabla9[[#This Row],[Precio Compra]]*Tabla9[[#This Row],[Cantidad]]</f>
        <v>15200</v>
      </c>
    </row>
    <row r="38" spans="2:7">
      <c r="B38" t="s">
        <v>1127</v>
      </c>
      <c r="C38" t="str">
        <f>VLOOKUP(Tabla9[[#This Row],[Codigo]],Stock[#Data],2,FALSE)</f>
        <v>Tierra de Diatomeas 200cc Green Leaf</v>
      </c>
      <c r="D38" s="63">
        <f>VLOOKUP(Tabla9[[#This Row],[Codigo]],Stock[#Data],3,FALSE)</f>
        <v>380</v>
      </c>
      <c r="E38">
        <v>667</v>
      </c>
      <c r="F38">
        <v>1</v>
      </c>
      <c r="G38" s="63">
        <f>Tabla9[[#This Row],[Precio Compra]]*Tabla9[[#This Row],[Cantidad]]</f>
        <v>380</v>
      </c>
    </row>
    <row r="39" spans="2:7">
      <c r="B39" t="s">
        <v>1127</v>
      </c>
      <c r="C39" t="str">
        <f>VLOOKUP(Tabla9[[#This Row],[Codigo]],Stock[#Data],2,FALSE)</f>
        <v>Coco B 1l Top Crop</v>
      </c>
      <c r="D39" s="63">
        <f>VLOOKUP(Tabla9[[#This Row],[Codigo]],Stock[#Data],3,FALSE)</f>
        <v>1920</v>
      </c>
      <c r="E39">
        <v>690</v>
      </c>
      <c r="F39">
        <v>3</v>
      </c>
      <c r="G39" s="63">
        <f>Tabla9[[#This Row],[Precio Compra]]*Tabla9[[#This Row],[Cantidad]]</f>
        <v>5760</v>
      </c>
    </row>
    <row r="40" spans="2:7">
      <c r="B40" t="s">
        <v>1127</v>
      </c>
      <c r="C40" t="str">
        <f>VLOOKUP(Tabla9[[#This Row],[Codigo]],Stock[#Data],2,FALSE)</f>
        <v>Coco A 1l Top Crop</v>
      </c>
      <c r="D40" s="63">
        <f>VLOOKUP(Tabla9[[#This Row],[Codigo]],Stock[#Data],3,FALSE)</f>
        <v>1920</v>
      </c>
      <c r="E40">
        <v>689</v>
      </c>
      <c r="F40">
        <v>2</v>
      </c>
      <c r="G40" s="63">
        <f>Tabla9[[#This Row],[Precio Compra]]*Tabla9[[#This Row],[Cantidad]]</f>
        <v>3840</v>
      </c>
    </row>
    <row r="41" spans="2:7">
      <c r="B41" t="s">
        <v>1127</v>
      </c>
      <c r="C41" t="str">
        <f>VLOOKUP(Tabla9[[#This Row],[Codigo]],Stock[#Data],2,FALSE)</f>
        <v>Bloom 1l Top Crop</v>
      </c>
      <c r="D41" s="63">
        <f>VLOOKUP(Tabla9[[#This Row],[Codigo]],Stock[#Data],3,FALSE)</f>
        <v>3250</v>
      </c>
      <c r="E41">
        <v>694</v>
      </c>
      <c r="F41">
        <v>7</v>
      </c>
      <c r="G41" s="63">
        <f>Tabla9[[#This Row],[Precio Compra]]*Tabla9[[#This Row],[Cantidad]]</f>
        <v>22750</v>
      </c>
    </row>
    <row r="42" spans="2:7">
      <c r="B42" t="s">
        <v>1127</v>
      </c>
      <c r="C42" t="str">
        <f>VLOOKUP(Tabla9[[#This Row],[Codigo]],Stock[#Data],2,FALSE)</f>
        <v>Auto 1l Top Crop</v>
      </c>
      <c r="D42" s="63">
        <f>VLOOKUP(Tabla9[[#This Row],[Codigo]],Stock[#Data],3,FALSE)</f>
        <v>4680</v>
      </c>
      <c r="E42">
        <v>693</v>
      </c>
      <c r="F42">
        <v>2</v>
      </c>
      <c r="G42" s="63">
        <f>Tabla9[[#This Row],[Precio Compra]]*Tabla9[[#This Row],[Cantidad]]</f>
        <v>9360</v>
      </c>
    </row>
    <row r="43" spans="2:7">
      <c r="B43" t="s">
        <v>1127</v>
      </c>
      <c r="C43" t="str">
        <f>VLOOKUP(Tabla9[[#This Row],[Codigo]],Stock[#Data],2,FALSE)</f>
        <v>Wash 1l Top Crop</v>
      </c>
      <c r="D43" s="63">
        <f>VLOOKUP(Tabla9[[#This Row],[Codigo]],Stock[#Data],3,FALSE)</f>
        <v>2100</v>
      </c>
      <c r="E43">
        <v>692</v>
      </c>
      <c r="F43">
        <v>2</v>
      </c>
      <c r="G43" s="63">
        <f>Tabla9[[#This Row],[Precio Compra]]*Tabla9[[#This Row],[Cantidad]]</f>
        <v>4200</v>
      </c>
    </row>
    <row r="44" spans="2:7">
      <c r="B44" t="s">
        <v>1127</v>
      </c>
      <c r="C44" t="str">
        <f>VLOOKUP(Tabla9[[#This Row],[Codigo]],Stock[#Data],2,FALSE)</f>
        <v>Candy 1l Top Crop</v>
      </c>
      <c r="D44" s="63">
        <f>VLOOKUP(Tabla9[[#This Row],[Codigo]],Stock[#Data],3,FALSE)</f>
        <v>3240</v>
      </c>
      <c r="E44">
        <v>691</v>
      </c>
      <c r="F44">
        <v>3</v>
      </c>
      <c r="G44" s="63">
        <f>Tabla9[[#This Row],[Precio Compra]]*Tabla9[[#This Row],[Cantidad]]</f>
        <v>9720</v>
      </c>
    </row>
    <row r="45" spans="2:7">
      <c r="B45" t="s">
        <v>1127</v>
      </c>
      <c r="C45" t="str">
        <f>VLOOKUP(Tabla9[[#This Row],[Codigo]],Stock[#Data],2,FALSE)</f>
        <v>Barrier 250ml Top Crop</v>
      </c>
      <c r="D45" s="63">
        <f>VLOOKUP(Tabla9[[#This Row],[Codigo]],Stock[#Data],3,FALSE)</f>
        <v>1200</v>
      </c>
      <c r="E45">
        <v>688</v>
      </c>
      <c r="F45">
        <v>4</v>
      </c>
      <c r="G45" s="63">
        <f>Tabla9[[#This Row],[Precio Compra]]*Tabla9[[#This Row],[Cantidad]]</f>
        <v>4800</v>
      </c>
    </row>
    <row r="46" spans="2:7">
      <c r="B46" t="s">
        <v>1127</v>
      </c>
      <c r="C46" t="str">
        <f>VLOOKUP(Tabla9[[#This Row],[Codigo]],Stock[#Data],2,FALSE)</f>
        <v>Top Crop Auto 250ml</v>
      </c>
      <c r="D46" s="63">
        <f>VLOOKUP(Tabla9[[#This Row],[Codigo]],Stock[#Data],3,FALSE)</f>
        <v>1560</v>
      </c>
      <c r="E46">
        <v>685</v>
      </c>
      <c r="F46">
        <v>3</v>
      </c>
      <c r="G46" s="63">
        <f>Tabla9[[#This Row],[Precio Compra]]*Tabla9[[#This Row],[Cantidad]]</f>
        <v>4680</v>
      </c>
    </row>
    <row r="47" spans="2:7">
      <c r="B47" t="s">
        <v>1127</v>
      </c>
      <c r="C47" t="str">
        <f>VLOOKUP(Tabla9[[#This Row],[Codigo]],Stock[#Data],2,FALSE)</f>
        <v>Big One 250ml Top Crop</v>
      </c>
      <c r="D47" s="63">
        <f>VLOOKUP(Tabla9[[#This Row],[Codigo]],Stock[#Data],3,FALSE)</f>
        <v>3000</v>
      </c>
      <c r="E47">
        <v>687</v>
      </c>
      <c r="F47">
        <v>3</v>
      </c>
      <c r="G47" s="63">
        <f>Tabla9[[#This Row],[Precio Compra]]*Tabla9[[#This Row],[Cantidad]]</f>
        <v>9000</v>
      </c>
    </row>
    <row r="48" spans="2:7">
      <c r="B48" t="s">
        <v>1127</v>
      </c>
      <c r="C48" t="str">
        <f>VLOOKUP(Tabla9[[#This Row],[Codigo]],Stock[#Data],2,FALSE)</f>
        <v>Green Explosion 250ml Top Crop</v>
      </c>
      <c r="D48" s="63">
        <f>VLOOKUP(Tabla9[[#This Row],[Codigo]],Stock[#Data],3,FALSE)</f>
        <v>1710</v>
      </c>
      <c r="E48">
        <v>735</v>
      </c>
      <c r="F48">
        <v>2</v>
      </c>
      <c r="G48" s="63">
        <f>Tabla9[[#This Row],[Precio Compra]]*Tabla9[[#This Row],[Cantidad]]</f>
        <v>3420</v>
      </c>
    </row>
    <row r="49" spans="2:7">
      <c r="B49" t="s">
        <v>1127</v>
      </c>
      <c r="C49" t="str">
        <f>VLOOKUP(Tabla9[[#This Row],[Codigo]],Stock[#Data],2,FALSE)</f>
        <v>Coco A 250ml Top Crop</v>
      </c>
      <c r="D49" s="63">
        <f>VLOOKUP(Tabla9[[#This Row],[Codigo]],Stock[#Data],3,FALSE)</f>
        <v>180</v>
      </c>
      <c r="E49">
        <v>912</v>
      </c>
      <c r="F49">
        <v>6</v>
      </c>
      <c r="G49" s="63">
        <f>Tabla9[[#This Row],[Precio Compra]]*Tabla9[[#This Row],[Cantidad]]</f>
        <v>1080</v>
      </c>
    </row>
    <row r="50" spans="2:7">
      <c r="B50" t="s">
        <v>1127</v>
      </c>
      <c r="C50" t="str">
        <f>VLOOKUP(Tabla9[[#This Row],[Codigo]],Stock[#Data],2,FALSE)</f>
        <v>Coco B 250ml Top Crop</v>
      </c>
      <c r="D50" s="63">
        <f>VLOOKUP(Tabla9[[#This Row],[Codigo]],Stock[#Data],3,FALSE)</f>
        <v>180</v>
      </c>
      <c r="E50">
        <v>826</v>
      </c>
      <c r="F50">
        <v>4</v>
      </c>
      <c r="G50" s="63">
        <f>Tabla9[[#This Row],[Precio Compra]]*Tabla9[[#This Row],[Cantidad]]</f>
        <v>720</v>
      </c>
    </row>
    <row r="51" spans="2:7">
      <c r="B51" t="s">
        <v>1127</v>
      </c>
      <c r="C51" t="str">
        <f>VLOOKUP(Tabla9[[#This Row],[Codigo]],Stock[#Data],2,FALSE)</f>
        <v>Deeper Underground 250ml Top Crop</v>
      </c>
      <c r="D51" s="63">
        <f>VLOOKUP(Tabla9[[#This Row],[Codigo]],Stock[#Data],3,FALSE)</f>
        <v>1500</v>
      </c>
      <c r="E51">
        <v>686</v>
      </c>
      <c r="F51">
        <v>6</v>
      </c>
      <c r="G51" s="63">
        <f>Tabla9[[#This Row],[Precio Compra]]*Tabla9[[#This Row],[Cantidad]]</f>
        <v>9000</v>
      </c>
    </row>
    <row r="52" spans="2:7">
      <c r="B52" t="s">
        <v>1130</v>
      </c>
      <c r="C52" t="str">
        <f>VLOOKUP(Tabla9[[#This Row],[Codigo]],Stock[#Data],2,FALSE)</f>
        <v>Big One 100ml Top Crop</v>
      </c>
      <c r="D52" s="63">
        <f>VLOOKUP(Tabla9[[#This Row],[Codigo]],Stock[#Data],3,FALSE)</f>
        <v>1800</v>
      </c>
      <c r="E52">
        <v>915</v>
      </c>
      <c r="F52">
        <v>2</v>
      </c>
      <c r="G52" s="63">
        <f>Tabla9[[#This Row],[Precio Compra]]*Tabla9[[#This Row],[Cantidad]]</f>
        <v>3600</v>
      </c>
    </row>
    <row r="53" spans="2:7">
      <c r="B53" t="s">
        <v>1127</v>
      </c>
      <c r="C53" t="str">
        <f>VLOOKUP(Tabla9[[#This Row],[Codigo]],Stock[#Data],2,FALSE)</f>
        <v>Green Explosion 100ml Top Crop</v>
      </c>
      <c r="D53" s="63">
        <f>VLOOKUP(Tabla9[[#This Row],[Codigo]],Stock[#Data],3,FALSE)</f>
        <v>1405</v>
      </c>
      <c r="E53">
        <v>914</v>
      </c>
      <c r="F53">
        <v>4</v>
      </c>
      <c r="G53" s="63">
        <f>Tabla9[[#This Row],[Precio Compra]]*Tabla9[[#This Row],[Cantidad]]</f>
        <v>5620</v>
      </c>
    </row>
    <row r="54" spans="2:7">
      <c r="B54" t="s">
        <v>1127</v>
      </c>
      <c r="C54" t="str">
        <f>VLOOKUP(Tabla9[[#This Row],[Codigo]],Stock[#Data],2,FALSE)</f>
        <v>Top Bud 100ml Top Crop</v>
      </c>
      <c r="D54" s="63">
        <f>VLOOKUP(Tabla9[[#This Row],[Codigo]],Stock[#Data],3,FALSE)</f>
        <v>2003</v>
      </c>
      <c r="E54">
        <v>916</v>
      </c>
      <c r="F54">
        <v>2</v>
      </c>
      <c r="G54" s="63">
        <f>Tabla9[[#This Row],[Precio Compra]]*Tabla9[[#This Row],[Cantidad]]</f>
        <v>4006</v>
      </c>
    </row>
    <row r="55" spans="2:7">
      <c r="B55" t="s">
        <v>1127</v>
      </c>
      <c r="C55" t="str">
        <f>VLOOKUP(Tabla9[[#This Row],[Codigo]],Stock[#Data],2,FALSE)</f>
        <v>Barrier 100ml Top Crop</v>
      </c>
      <c r="D55" s="63">
        <f>VLOOKUP(Tabla9[[#This Row],[Codigo]],Stock[#Data],3,FALSE)</f>
        <v>600</v>
      </c>
      <c r="E55">
        <v>913</v>
      </c>
      <c r="F55">
        <v>7</v>
      </c>
      <c r="G55" s="63">
        <f>Tabla9[[#This Row],[Precio Compra]]*Tabla9[[#This Row],[Cantidad]]</f>
        <v>4200</v>
      </c>
    </row>
    <row r="56" spans="2:7">
      <c r="B56" t="s">
        <v>1127</v>
      </c>
      <c r="C56" t="str">
        <f>VLOOKUP(Tabla9[[#This Row],[Codigo]],Stock[#Data],2,FALSE)</f>
        <v>Cyclone 50cc Top Crop</v>
      </c>
      <c r="D56" s="63">
        <f>VLOOKUP(Tabla9[[#This Row],[Codigo]],Stock[#Data],3,FALSE)</f>
        <v>1500</v>
      </c>
      <c r="E56">
        <v>917</v>
      </c>
      <c r="F56">
        <v>2</v>
      </c>
      <c r="G56" s="63">
        <f>Tabla9[[#This Row],[Precio Compra]]*Tabla9[[#This Row],[Cantidad]]</f>
        <v>3000</v>
      </c>
    </row>
    <row r="57" spans="2:7">
      <c r="B57" t="s">
        <v>1127</v>
      </c>
      <c r="C57" t="str">
        <f>VLOOKUP(Tabla9[[#This Row],[Codigo]],Stock[#Data],2,FALSE)</f>
        <v>Bandeja Zeus Cañamo</v>
      </c>
      <c r="D57" s="63">
        <f>VLOOKUP(Tabla9[[#This Row],[Codigo]],Stock[#Data],3,FALSE)</f>
        <v>719</v>
      </c>
      <c r="E57">
        <v>850</v>
      </c>
      <c r="F57">
        <v>1</v>
      </c>
      <c r="G57" s="63">
        <f>Tabla9[[#This Row],[Precio Compra]]*Tabla9[[#This Row],[Cantidad]]</f>
        <v>719</v>
      </c>
    </row>
    <row r="58" spans="2:7">
      <c r="B58" t="s">
        <v>1127</v>
      </c>
      <c r="C58" t="str">
        <f>VLOOKUP(Tabla9[[#This Row],[Codigo]],Stock[#Data],2,FALSE)</f>
        <v>Portasahumerios Artesanal</v>
      </c>
      <c r="D58" s="63">
        <f>VLOOKUP(Tabla9[[#This Row],[Codigo]],Stock[#Data],3,FALSE)</f>
        <v>200</v>
      </c>
      <c r="E58">
        <v>858</v>
      </c>
      <c r="F58">
        <v>2</v>
      </c>
      <c r="G58" s="63">
        <f>Tabla9[[#This Row],[Precio Compra]]*Tabla9[[#This Row],[Cantidad]]</f>
        <v>400</v>
      </c>
    </row>
    <row r="59" spans="2:7">
      <c r="B59" t="s">
        <v>1127</v>
      </c>
      <c r="C59" t="str">
        <f>VLOOKUP(Tabla9[[#This Row],[Codigo]],Stock[#Data],2,FALSE)</f>
        <v>Juego de Poker</v>
      </c>
      <c r="D59" s="63">
        <f>VLOOKUP(Tabla9[[#This Row],[Codigo]],Stock[#Data],3,FALSE)</f>
        <v>8000</v>
      </c>
      <c r="E59">
        <v>865</v>
      </c>
      <c r="F59">
        <v>1</v>
      </c>
      <c r="G59" s="63">
        <f>Tabla9[[#This Row],[Precio Compra]]*Tabla9[[#This Row],[Cantidad]]</f>
        <v>8000</v>
      </c>
    </row>
    <row r="60" spans="2:7">
      <c r="B60" t="s">
        <v>1127</v>
      </c>
      <c r="C60" t="str">
        <f>VLOOKUP(Tabla9[[#This Row],[Codigo]],Stock[#Data],2,FALSE)</f>
        <v>Mazo de Cartas Argentas</v>
      </c>
      <c r="D60" s="63">
        <f>VLOOKUP(Tabla9[[#This Row],[Codigo]],Stock[#Data],3,FALSE)</f>
        <v>1511</v>
      </c>
      <c r="E60">
        <v>860</v>
      </c>
      <c r="F60">
        <v>1</v>
      </c>
      <c r="G60" s="63">
        <f>Tabla9[[#This Row],[Precio Compra]]*Tabla9[[#This Row],[Cantidad]]</f>
        <v>1511</v>
      </c>
    </row>
    <row r="61" spans="2:7">
      <c r="B61" t="s">
        <v>1127</v>
      </c>
      <c r="C61" t="str">
        <f>VLOOKUP(Tabla9[[#This Row],[Codigo]],Stock[#Data],2,FALSE)</f>
        <v>Canamama Aceite para Pelo</v>
      </c>
      <c r="D61" s="63">
        <f>VLOOKUP(Tabla9[[#This Row],[Codigo]],Stock[#Data],3,FALSE)</f>
        <v>700</v>
      </c>
      <c r="E61">
        <v>790</v>
      </c>
      <c r="F61">
        <v>1</v>
      </c>
      <c r="G61" s="63">
        <f>Tabla9[[#This Row],[Precio Compra]]*Tabla9[[#This Row],[Cantidad]]</f>
        <v>700</v>
      </c>
    </row>
    <row r="62" spans="2:7">
      <c r="B62" t="s">
        <v>1127</v>
      </c>
      <c r="C62" t="str">
        <f>VLOOKUP(Tabla9[[#This Row],[Codigo]],Stock[#Data],2,FALSE)</f>
        <v>Canamama Aceite para Barba 30ml</v>
      </c>
      <c r="D62" s="63">
        <f>VLOOKUP(Tabla9[[#This Row],[Codigo]],Stock[#Data],3,FALSE)</f>
        <v>550</v>
      </c>
      <c r="E62">
        <v>787</v>
      </c>
      <c r="F62">
        <v>1</v>
      </c>
      <c r="G62" s="63">
        <f>Tabla9[[#This Row],[Precio Compra]]*Tabla9[[#This Row],[Cantidad]]</f>
        <v>550</v>
      </c>
    </row>
    <row r="63" spans="2:7">
      <c r="B63" t="s">
        <v>1127</v>
      </c>
      <c r="C63" t="str">
        <f>VLOOKUP(Tabla9[[#This Row],[Codigo]],Stock[#Data],2,FALSE)</f>
        <v>Contenedor Tight XL</v>
      </c>
      <c r="D63" s="63">
        <f>VLOOKUP(Tabla9[[#This Row],[Codigo]],Stock[#Data],3,FALSE)</f>
        <v>2200</v>
      </c>
      <c r="E63">
        <v>881</v>
      </c>
      <c r="F63">
        <v>1</v>
      </c>
      <c r="G63" s="63">
        <f>Tabla9[[#This Row],[Precio Compra]]*Tabla9[[#This Row],[Cantidad]]</f>
        <v>2200</v>
      </c>
    </row>
    <row r="64" spans="2:7">
      <c r="B64" t="s">
        <v>1127</v>
      </c>
      <c r="C64" t="str">
        <f>VLOOKUP(Tabla9[[#This Row],[Codigo]],Stock[#Data],2,FALSE)</f>
        <v>Contenedor Tight Mediano</v>
      </c>
      <c r="D64" s="63">
        <f>VLOOKUP(Tabla9[[#This Row],[Codigo]],Stock[#Data],3,FALSE)</f>
        <v>1500</v>
      </c>
      <c r="E64">
        <v>882</v>
      </c>
      <c r="F64">
        <v>1</v>
      </c>
      <c r="G64" s="63">
        <f>Tabla9[[#This Row],[Precio Compra]]*Tabla9[[#This Row],[Cantidad]]</f>
        <v>1500</v>
      </c>
    </row>
    <row r="65" spans="2:7">
      <c r="B65" t="s">
        <v>1127</v>
      </c>
      <c r="C65" t="str">
        <f>VLOOKUP(Tabla9[[#This Row],[Codigo]],Stock[#Data],2,FALSE)</f>
        <v>Contenedor Grower Grande</v>
      </c>
      <c r="D65" s="63">
        <f>VLOOKUP(Tabla9[[#This Row],[Codigo]],Stock[#Data],3,FALSE)</f>
        <v>1000</v>
      </c>
      <c r="E65">
        <v>880</v>
      </c>
      <c r="F65">
        <v>2</v>
      </c>
      <c r="G65" s="63">
        <f>Tabla9[[#This Row],[Precio Compra]]*Tabla9[[#This Row],[Cantidad]]</f>
        <v>2000</v>
      </c>
    </row>
    <row r="66" spans="2:7">
      <c r="B66" t="s">
        <v>1127</v>
      </c>
      <c r="C66" t="str">
        <f>VLOOKUP(Tabla9[[#This Row],[Codigo]],Stock[#Data],2,FALSE)</f>
        <v>Mazo de Cartas con eso no se jode</v>
      </c>
      <c r="D66" s="63">
        <f>VLOOKUP(Tabla9[[#This Row],[Codigo]],Stock[#Data],3,FALSE)</f>
        <v>2520</v>
      </c>
      <c r="E66">
        <v>862</v>
      </c>
      <c r="F66">
        <v>2</v>
      </c>
      <c r="G66" s="63">
        <f>Tabla9[[#This Row],[Precio Compra]]*Tabla9[[#This Row],[Cantidad]]</f>
        <v>5040</v>
      </c>
    </row>
    <row r="67" spans="2:7">
      <c r="B67" t="s">
        <v>1127</v>
      </c>
      <c r="C67" t="str">
        <f>VLOOKUP(Tabla9[[#This Row],[Codigo]],Stock[#Data],2,FALSE)</f>
        <v>Rape Samuel Gawith</v>
      </c>
      <c r="D67" s="63">
        <f>VLOOKUP(Tabla9[[#This Row],[Codigo]],Stock[#Data],3,FALSE)</f>
        <v>300</v>
      </c>
      <c r="E67">
        <v>908</v>
      </c>
      <c r="F67">
        <v>12</v>
      </c>
      <c r="G67" s="63">
        <f>Tabla9[[#This Row],[Precio Compra]]*Tabla9[[#This Row],[Cantidad]]</f>
        <v>3600</v>
      </c>
    </row>
    <row r="68" spans="2:7">
      <c r="B68" t="s">
        <v>1127</v>
      </c>
      <c r="C68" t="str">
        <f>VLOOKUP(Tabla9[[#This Row],[Codigo]],Stock[#Data],2,FALSE)</f>
        <v>Filtro de Olor 4"</v>
      </c>
      <c r="D68" s="63">
        <f>VLOOKUP(Tabla9[[#This Row],[Codigo]],Stock[#Data],3,FALSE)</f>
        <v>3000</v>
      </c>
      <c r="E68">
        <v>822</v>
      </c>
      <c r="F68">
        <v>1</v>
      </c>
      <c r="G68" s="63">
        <f>Tabla9[[#This Row],[Precio Compra]]*Tabla9[[#This Row],[Cantidad]]</f>
        <v>3000</v>
      </c>
    </row>
    <row r="69" spans="2:7">
      <c r="B69" t="s">
        <v>1127</v>
      </c>
      <c r="C69" t="str">
        <f>VLOOKUP(Tabla9[[#This Row],[Codigo]],Stock[#Data],2,FALSE)</f>
        <v>Destapador Schon</v>
      </c>
      <c r="D69" s="63">
        <f>VLOOKUP(Tabla9[[#This Row],[Codigo]],Stock[#Data],3,FALSE)</f>
        <v>1700</v>
      </c>
      <c r="E69">
        <v>859</v>
      </c>
      <c r="F69">
        <v>2</v>
      </c>
      <c r="G69" s="63">
        <f>Tabla9[[#This Row],[Precio Compra]]*Tabla9[[#This Row],[Cantidad]]</f>
        <v>3400</v>
      </c>
    </row>
    <row r="70" spans="2:7">
      <c r="B70" t="s">
        <v>1127</v>
      </c>
      <c r="C70" t="str">
        <f>VLOOKUP(Tabla9[[#This Row],[Codigo]],Stock[#Data],2,FALSE)</f>
        <v>Cenicero Montecristo Habanos</v>
      </c>
      <c r="D70" s="63">
        <f>VLOOKUP(Tabla9[[#This Row],[Codigo]],Stock[#Data],3,FALSE)</f>
        <v>500</v>
      </c>
      <c r="E70">
        <v>840</v>
      </c>
      <c r="F70">
        <v>2</v>
      </c>
      <c r="G70" s="63">
        <f>Tabla9[[#This Row],[Precio Compra]]*Tabla9[[#This Row],[Cantidad]]</f>
        <v>1000</v>
      </c>
    </row>
    <row r="71" spans="2:7">
      <c r="B71" t="s">
        <v>1127</v>
      </c>
      <c r="C71" t="str">
        <f>VLOOKUP(Tabla9[[#This Row],[Codigo]],Stock[#Data],2,FALSE)</f>
        <v>Bandeja RAW Bamboo</v>
      </c>
      <c r="D71" s="63">
        <f>VLOOKUP(Tabla9[[#This Row],[Codigo]],Stock[#Data],3,FALSE)</f>
        <v>9000</v>
      </c>
      <c r="E71">
        <v>851</v>
      </c>
      <c r="F71">
        <v>1</v>
      </c>
      <c r="G71" s="63">
        <f>Tabla9[[#This Row],[Precio Compra]]*Tabla9[[#This Row],[Cantidad]]</f>
        <v>9000</v>
      </c>
    </row>
    <row r="72" spans="2:7">
      <c r="B72" t="s">
        <v>1127</v>
      </c>
      <c r="C72" t="str">
        <f>VLOOKUP(Tabla9[[#This Row],[Codigo]],Stock[#Data],2,FALSE)</f>
        <v>Bandeja RAW chica</v>
      </c>
      <c r="D72" s="63">
        <f>VLOOKUP(Tabla9[[#This Row],[Codigo]],Stock[#Data],3,FALSE)</f>
        <v>1847</v>
      </c>
      <c r="E72">
        <v>129</v>
      </c>
      <c r="F72">
        <v>1</v>
      </c>
      <c r="G72" s="63">
        <f>Tabla9[[#This Row],[Precio Compra]]*Tabla9[[#This Row],[Cantidad]]</f>
        <v>1847</v>
      </c>
    </row>
    <row r="73" spans="2:7">
      <c r="B73" t="s">
        <v>1127</v>
      </c>
      <c r="C73" t="str">
        <f>VLOOKUP(Tabla9[[#This Row],[Codigo]],Stock[#Data],2,FALSE)</f>
        <v>Bandeja Bull Dog Chica</v>
      </c>
      <c r="D73" s="63">
        <f>VLOOKUP(Tabla9[[#This Row],[Codigo]],Stock[#Data],3,FALSE)</f>
        <v>500</v>
      </c>
      <c r="E73">
        <v>852</v>
      </c>
      <c r="F73">
        <v>1</v>
      </c>
      <c r="G73" s="63">
        <f>Tabla9[[#This Row],[Precio Compra]]*Tabla9[[#This Row],[Cantidad]]</f>
        <v>500</v>
      </c>
    </row>
    <row r="74" spans="2:7">
      <c r="B74" t="s">
        <v>1127</v>
      </c>
      <c r="C74" t="str">
        <f>VLOOKUP(Tabla9[[#This Row],[Codigo]],Stock[#Data],2,FALSE)</f>
        <v>Bandeja Motivos Varios</v>
      </c>
      <c r="D74" s="63">
        <f>VLOOKUP(Tabla9[[#This Row],[Codigo]],Stock[#Data],3,FALSE)</f>
        <v>1047</v>
      </c>
      <c r="E74">
        <v>135</v>
      </c>
      <c r="F74">
        <v>1</v>
      </c>
      <c r="G74" s="63">
        <f>Tabla9[[#This Row],[Precio Compra]]*Tabla9[[#This Row],[Cantidad]]</f>
        <v>1047</v>
      </c>
    </row>
    <row r="75" spans="2:7">
      <c r="B75" t="s">
        <v>1127</v>
      </c>
      <c r="C75" t="str">
        <f>VLOOKUP(Tabla9[[#This Row],[Codigo]],Stock[#Data],2,FALSE)</f>
        <v>Bandeja Lion Rolling Circus Chica</v>
      </c>
      <c r="D75" s="63">
        <f>VLOOKUP(Tabla9[[#This Row],[Codigo]],Stock[#Data],3,FALSE)</f>
        <v>1612</v>
      </c>
      <c r="E75">
        <v>854</v>
      </c>
      <c r="F75">
        <v>4</v>
      </c>
      <c r="G75" s="63">
        <f>Tabla9[[#This Row],[Precio Compra]]*Tabla9[[#This Row],[Cantidad]]</f>
        <v>6448</v>
      </c>
    </row>
    <row r="76" spans="2:7">
      <c r="B76" t="s">
        <v>1127</v>
      </c>
      <c r="C76" t="str">
        <f>VLOOKUP(Tabla9[[#This Row],[Codigo]],Stock[#Data],2,FALSE)</f>
        <v>Bandeja RAW chica</v>
      </c>
      <c r="D76" s="63">
        <f>VLOOKUP(Tabla9[[#This Row],[Codigo]],Stock[#Data],3,FALSE)</f>
        <v>1847</v>
      </c>
      <c r="E76">
        <v>129</v>
      </c>
      <c r="F76">
        <v>1</v>
      </c>
      <c r="G76" s="63">
        <f>Tabla9[[#This Row],[Precio Compra]]*Tabla9[[#This Row],[Cantidad]]</f>
        <v>1847</v>
      </c>
    </row>
    <row r="77" spans="2:7">
      <c r="B77" t="s">
        <v>1127</v>
      </c>
      <c r="C77" t="str">
        <f>VLOOKUP(Tabla9[[#This Row],[Codigo]],Stock[#Data],2,FALSE)</f>
        <v>Bandeja RAW grande</v>
      </c>
      <c r="D77" s="63">
        <f>VLOOKUP(Tabla9[[#This Row],[Codigo]],Stock[#Data],3,FALSE)</f>
        <v>2915</v>
      </c>
      <c r="E77">
        <v>130</v>
      </c>
      <c r="F77">
        <v>1</v>
      </c>
      <c r="G77" s="63">
        <f>Tabla9[[#This Row],[Precio Compra]]*Tabla9[[#This Row],[Cantidad]]</f>
        <v>2915</v>
      </c>
    </row>
    <row r="78" spans="2:7">
      <c r="B78" t="s">
        <v>1127</v>
      </c>
      <c r="C78" t="str">
        <f>VLOOKUP(Tabla9[[#This Row],[Codigo]],Stock[#Data],2,FALSE)</f>
        <v>Bandeja Gizeh Chica</v>
      </c>
      <c r="D78" s="63">
        <f>VLOOKUP(Tabla9[[#This Row],[Codigo]],Stock[#Data],3,FALSE)</f>
        <v>700</v>
      </c>
      <c r="E78">
        <v>855</v>
      </c>
      <c r="F78">
        <v>2</v>
      </c>
      <c r="G78" s="63">
        <f>Tabla9[[#This Row],[Precio Compra]]*Tabla9[[#This Row],[Cantidad]]</f>
        <v>1400</v>
      </c>
    </row>
    <row r="79" spans="2:7">
      <c r="B79" t="s">
        <v>1127</v>
      </c>
      <c r="C79" t="str">
        <f>VLOOKUP(Tabla9[[#This Row],[Codigo]],Stock[#Data],2,FALSE)</f>
        <v>Bandeja Gizeh Mediana</v>
      </c>
      <c r="D79" s="63">
        <f>VLOOKUP(Tabla9[[#This Row],[Codigo]],Stock[#Data],3,FALSE)</f>
        <v>900</v>
      </c>
      <c r="E79">
        <v>856</v>
      </c>
      <c r="F79">
        <v>2</v>
      </c>
      <c r="G79" s="63">
        <f>Tabla9[[#This Row],[Precio Compra]]*Tabla9[[#This Row],[Cantidad]]</f>
        <v>1800</v>
      </c>
    </row>
    <row r="80" spans="2:7">
      <c r="B80" t="s">
        <v>1127</v>
      </c>
      <c r="C80" t="str">
        <f>VLOOKUP(Tabla9[[#This Row],[Codigo]],Stock[#Data],2,FALSE)</f>
        <v>Bandeja Bull Dog Mediana</v>
      </c>
      <c r="D80" s="63">
        <f>VLOOKUP(Tabla9[[#This Row],[Codigo]],Stock[#Data],3,FALSE)</f>
        <v>700</v>
      </c>
      <c r="E80">
        <v>853</v>
      </c>
      <c r="F80">
        <v>2</v>
      </c>
      <c r="G80" s="63">
        <f>Tabla9[[#This Row],[Precio Compra]]*Tabla9[[#This Row],[Cantidad]]</f>
        <v>1400</v>
      </c>
    </row>
    <row r="81" spans="2:7">
      <c r="B81" t="s">
        <v>1127</v>
      </c>
      <c r="C81" t="str">
        <f>VLOOKUP(Tabla9[[#This Row],[Codigo]],Stock[#Data],2,FALSE)</f>
        <v>Bandeja Lion Rollin Mediana</v>
      </c>
      <c r="D81" s="63">
        <f>VLOOKUP(Tabla9[[#This Row],[Codigo]],Stock[#Data],3,FALSE)</f>
        <v>1898</v>
      </c>
      <c r="E81">
        <v>389</v>
      </c>
      <c r="F81">
        <v>1</v>
      </c>
      <c r="G81" s="63">
        <f>Tabla9[[#This Row],[Precio Compra]]*Tabla9[[#This Row],[Cantidad]]</f>
        <v>1898</v>
      </c>
    </row>
    <row r="82" spans="2:7">
      <c r="B82" t="s">
        <v>1127</v>
      </c>
      <c r="C82" t="str">
        <f>VLOOKUP(Tabla9[[#This Row],[Codigo]],Stock[#Data],2,FALSE)</f>
        <v>Bandeja Elements XL</v>
      </c>
      <c r="D82" s="63">
        <f>VLOOKUP(Tabla9[[#This Row],[Codigo]],Stock[#Data],3,FALSE)</f>
        <v>2200</v>
      </c>
      <c r="E82">
        <v>857</v>
      </c>
      <c r="F82">
        <v>1</v>
      </c>
      <c r="G82" s="63">
        <f>Tabla9[[#This Row],[Precio Compra]]*Tabla9[[#This Row],[Cantidad]]</f>
        <v>2200</v>
      </c>
    </row>
    <row r="83" spans="2:7">
      <c r="B83" t="s">
        <v>1127</v>
      </c>
      <c r="C83" t="str">
        <f>VLOOKUP(Tabla9[[#This Row],[Codigo]],Stock[#Data],2,FALSE)</f>
        <v>Armador RAW Six Shooter</v>
      </c>
      <c r="D83" s="63">
        <f>VLOOKUP(Tabla9[[#This Row],[Codigo]],Stock[#Data],3,FALSE)</f>
        <v>3500</v>
      </c>
      <c r="E83">
        <v>848</v>
      </c>
      <c r="F83">
        <v>1</v>
      </c>
      <c r="G83" s="63">
        <f>Tabla9[[#This Row],[Precio Compra]]*Tabla9[[#This Row],[Cantidad]]</f>
        <v>3500</v>
      </c>
    </row>
    <row r="84" spans="2:7">
      <c r="B84" t="s">
        <v>1127</v>
      </c>
      <c r="C84" t="str">
        <f>VLOOKUP(Tabla9[[#This Row],[Codigo]],Stock[#Data],2,FALSE)</f>
        <v>Conos Bull Dog Reefer 1/4</v>
      </c>
      <c r="D84" s="63">
        <f>VLOOKUP(Tabla9[[#This Row],[Codigo]],Stock[#Data],3,FALSE)</f>
        <v>300</v>
      </c>
      <c r="E84">
        <v>906</v>
      </c>
      <c r="F84">
        <v>24</v>
      </c>
      <c r="G84" s="63">
        <f>Tabla9[[#This Row],[Precio Compra]]*Tabla9[[#This Row],[Cantidad]]</f>
        <v>7200</v>
      </c>
    </row>
    <row r="85" spans="2:7">
      <c r="B85" t="s">
        <v>1127</v>
      </c>
      <c r="C85" t="str">
        <f>VLOOKUP(Tabla9[[#This Row],[Codigo]],Stock[#Data],2,FALSE)</f>
        <v>Armador RAW Kz</v>
      </c>
      <c r="D85" s="63">
        <f>VLOOKUP(Tabla9[[#This Row],[Codigo]],Stock[#Data],3,FALSE)</f>
        <v>1176</v>
      </c>
      <c r="E85">
        <v>847</v>
      </c>
      <c r="F85">
        <v>2</v>
      </c>
      <c r="G85" s="63">
        <f>Tabla9[[#This Row],[Precio Compra]]*Tabla9[[#This Row],[Cantidad]]</f>
        <v>2352</v>
      </c>
    </row>
    <row r="86" spans="2:7">
      <c r="B86" t="s">
        <v>1127</v>
      </c>
      <c r="C86" t="str">
        <f>VLOOKUP(Tabla9[[#This Row],[Codigo]],Stock[#Data],2,FALSE)</f>
        <v>Lata Cigarrera RAW</v>
      </c>
      <c r="D86" s="63">
        <f>VLOOKUP(Tabla9[[#This Row],[Codigo]],Stock[#Data],3,FALSE)</f>
        <v>1252</v>
      </c>
      <c r="E86">
        <v>552</v>
      </c>
      <c r="F86">
        <v>1</v>
      </c>
      <c r="G86" s="63">
        <f>Tabla9[[#This Row],[Precio Compra]]*Tabla9[[#This Row],[Cantidad]]</f>
        <v>1252</v>
      </c>
    </row>
    <row r="87" spans="2:7">
      <c r="B87" t="s">
        <v>1127</v>
      </c>
      <c r="C87" t="str">
        <f>VLOOKUP(Tabla9[[#This Row],[Codigo]],Stock[#Data],2,FALSE)</f>
        <v>Recipiente de Silicona</v>
      </c>
      <c r="D87" s="63">
        <f>VLOOKUP(Tabla9[[#This Row],[Codigo]],Stock[#Data],3,FALSE)</f>
        <v>383</v>
      </c>
      <c r="E87">
        <v>547</v>
      </c>
      <c r="F87">
        <v>4</v>
      </c>
      <c r="G87" s="63">
        <f>Tabla9[[#This Row],[Precio Compra]]*Tabla9[[#This Row],[Cantidad]]</f>
        <v>1532</v>
      </c>
    </row>
    <row r="88" spans="2:7">
      <c r="B88" t="s">
        <v>1127</v>
      </c>
      <c r="C88" t="str">
        <f>VLOOKUP(Tabla9[[#This Row],[Codigo]],Stock[#Data],2,FALSE)</f>
        <v>Armador Lion Rolling Circus Ks</v>
      </c>
      <c r="D88" s="63">
        <f>VLOOKUP(Tabla9[[#This Row],[Codigo]],Stock[#Data],3,FALSE)</f>
        <v>1032</v>
      </c>
      <c r="E88">
        <v>849</v>
      </c>
      <c r="F88">
        <v>6</v>
      </c>
      <c r="G88" s="63">
        <f>Tabla9[[#This Row],[Precio Compra]]*Tabla9[[#This Row],[Cantidad]]</f>
        <v>6192</v>
      </c>
    </row>
    <row r="89" spans="2:7">
      <c r="B89" t="s">
        <v>1127</v>
      </c>
      <c r="C89" t="str">
        <f>VLOOKUP(Tabla9[[#This Row],[Codigo]],Stock[#Data],2,FALSE)</f>
        <v>Lata Casino</v>
      </c>
      <c r="D89" s="63">
        <f>VLOOKUP(Tabla9[[#This Row],[Codigo]],Stock[#Data],3,FALSE)</f>
        <v>200</v>
      </c>
      <c r="E89">
        <v>836</v>
      </c>
      <c r="F89">
        <v>1</v>
      </c>
      <c r="G89" s="63">
        <f>Tabla9[[#This Row],[Precio Compra]]*Tabla9[[#This Row],[Cantidad]]</f>
        <v>200</v>
      </c>
    </row>
    <row r="90" spans="2:7">
      <c r="B90" t="s">
        <v>1127</v>
      </c>
      <c r="C90" t="str">
        <f>VLOOKUP(Tabla9[[#This Row],[Codigo]],Stock[#Data],2,FALSE)</f>
        <v>Lata 3D</v>
      </c>
      <c r="D90" s="63">
        <f>VLOOKUP(Tabla9[[#This Row],[Codigo]],Stock[#Data],3,FALSE)</f>
        <v>200</v>
      </c>
      <c r="E90">
        <v>838</v>
      </c>
      <c r="F90">
        <v>1</v>
      </c>
      <c r="G90" s="63">
        <f>Tabla9[[#This Row],[Precio Compra]]*Tabla9[[#This Row],[Cantidad]]</f>
        <v>200</v>
      </c>
    </row>
    <row r="91" spans="2:7">
      <c r="B91" t="s">
        <v>1127</v>
      </c>
      <c r="C91" t="str">
        <f>VLOOKUP(Tabla9[[#This Row],[Codigo]],Stock[#Data],2,FALSE)</f>
        <v>Lata Monedero</v>
      </c>
      <c r="D91" s="63">
        <f>VLOOKUP(Tabla9[[#This Row],[Codigo]],Stock[#Data],3,FALSE)</f>
        <v>350</v>
      </c>
      <c r="E91">
        <v>837</v>
      </c>
      <c r="F91">
        <v>2</v>
      </c>
      <c r="G91" s="63">
        <f>Tabla9[[#This Row],[Precio Compra]]*Tabla9[[#This Row],[Cantidad]]</f>
        <v>700</v>
      </c>
    </row>
    <row r="92" spans="2:7">
      <c r="B92" t="s">
        <v>1127</v>
      </c>
      <c r="C92" t="str">
        <f>VLOOKUP(Tabla9[[#This Row],[Codigo]],Stock[#Data],2,FALSE)</f>
        <v>Lata+Picador 420</v>
      </c>
      <c r="D92" s="63">
        <f>VLOOKUP(Tabla9[[#This Row],[Codigo]],Stock[#Data],3,FALSE)</f>
        <v>600</v>
      </c>
      <c r="E92">
        <v>559</v>
      </c>
      <c r="F92">
        <v>1</v>
      </c>
      <c r="G92" s="63">
        <f>Tabla9[[#This Row],[Precio Compra]]*Tabla9[[#This Row],[Cantidad]]</f>
        <v>600</v>
      </c>
    </row>
    <row r="93" spans="2:7">
      <c r="B93" t="s">
        <v>1127</v>
      </c>
      <c r="C93" t="str">
        <f>VLOOKUP(Tabla9[[#This Row],[Codigo]],Stock[#Data],2,FALSE)</f>
        <v>Porta porros 420</v>
      </c>
      <c r="D93" s="63">
        <f>VLOOKUP(Tabla9[[#This Row],[Codigo]],Stock[#Data],3,FALSE)</f>
        <v>73</v>
      </c>
      <c r="E93">
        <v>421</v>
      </c>
      <c r="F93">
        <v>12</v>
      </c>
      <c r="G93" s="63">
        <f>Tabla9[[#This Row],[Precio Compra]]*Tabla9[[#This Row],[Cantidad]]</f>
        <v>876</v>
      </c>
    </row>
    <row r="94" spans="2:7">
      <c r="B94" t="s">
        <v>1127</v>
      </c>
      <c r="C94" t="str">
        <f>VLOOKUP(Tabla9[[#This Row],[Codigo]],Stock[#Data],2,FALSE)</f>
        <v>Sauver XL</v>
      </c>
      <c r="D94" s="63">
        <f>VLOOKUP(Tabla9[[#This Row],[Codigo]],Stock[#Data],3,FALSE)</f>
        <v>65</v>
      </c>
      <c r="E94">
        <v>529</v>
      </c>
      <c r="F94">
        <v>15</v>
      </c>
      <c r="G94" s="63">
        <f>Tabla9[[#This Row],[Precio Compra]]*Tabla9[[#This Row],[Cantidad]]</f>
        <v>975</v>
      </c>
    </row>
    <row r="95" spans="2:7">
      <c r="B95" t="s">
        <v>1127</v>
      </c>
      <c r="C95" t="str">
        <f>VLOOKUP(Tabla9[[#This Row],[Codigo]],Stock[#Data],2,FALSE)</f>
        <v xml:space="preserve">Conos RAW 1/4 </v>
      </c>
      <c r="D95" s="63">
        <f>VLOOKUP(Tabla9[[#This Row],[Codigo]],Stock[#Data],3,FALSE)</f>
        <v>667</v>
      </c>
      <c r="E95">
        <v>905</v>
      </c>
      <c r="F95">
        <v>26</v>
      </c>
      <c r="G95" s="63">
        <f>Tabla9[[#This Row],[Precio Compra]]*Tabla9[[#This Row],[Cantidad]]</f>
        <v>17342</v>
      </c>
    </row>
    <row r="96" spans="2:7">
      <c r="B96" t="s">
        <v>1127</v>
      </c>
      <c r="C96" t="str">
        <f>VLOOKUP(Tabla9[[#This Row],[Codigo]],Stock[#Data],2,FALSE)</f>
        <v>Sedas Lion Rolling Circus 420</v>
      </c>
      <c r="D96" s="63">
        <f>VLOOKUP(Tabla9[[#This Row],[Codigo]],Stock[#Data],3,FALSE)</f>
        <v>910</v>
      </c>
      <c r="E96">
        <v>883</v>
      </c>
      <c r="F96">
        <v>12</v>
      </c>
      <c r="G96" s="63">
        <f>Tabla9[[#This Row],[Precio Compra]]*Tabla9[[#This Row],[Cantidad]]</f>
        <v>10920</v>
      </c>
    </row>
    <row r="97" spans="2:7">
      <c r="B97" t="s">
        <v>1127</v>
      </c>
      <c r="C97" t="str">
        <f>VLOOKUP(Tabla9[[#This Row],[Codigo]],Stock[#Data],2,FALSE)</f>
        <v>Sedas Cartel Slim Ks</v>
      </c>
      <c r="D97" s="63">
        <f>VLOOKUP(Tabla9[[#This Row],[Codigo]],Stock[#Data],3,FALSE)</f>
        <v>100</v>
      </c>
      <c r="E97">
        <v>891</v>
      </c>
      <c r="F97">
        <v>48</v>
      </c>
      <c r="G97" s="63">
        <f>Tabla9[[#This Row],[Precio Compra]]*Tabla9[[#This Row],[Cantidad]]</f>
        <v>4800</v>
      </c>
    </row>
    <row r="98" spans="2:7">
      <c r="B98" t="s">
        <v>1127</v>
      </c>
      <c r="C98" t="str">
        <f>VLOOKUP(Tabla9[[#This Row],[Codigo]],Stock[#Data],2,FALSE)</f>
        <v>Sedas ROK 1/4 celulosa</v>
      </c>
      <c r="D98" s="63">
        <f>VLOOKUP(Tabla9[[#This Row],[Codigo]],Stock[#Data],3,FALSE)</f>
        <v>111</v>
      </c>
      <c r="E98">
        <v>93</v>
      </c>
      <c r="F98">
        <v>20</v>
      </c>
      <c r="G98" s="63">
        <f>Tabla9[[#This Row],[Precio Compra]]*Tabla9[[#This Row],[Cantidad]]</f>
        <v>2220</v>
      </c>
    </row>
    <row r="99" spans="2:7">
      <c r="B99" t="s">
        <v>1127</v>
      </c>
      <c r="C99" t="str">
        <f>VLOOKUP(Tabla9[[#This Row],[Codigo]],Stock[#Data],2,FALSE)</f>
        <v>Sedas Lion Rolling Circus 1/4 celulosa</v>
      </c>
      <c r="D99" s="63">
        <f>VLOOKUP(Tabla9[[#This Row],[Codigo]],Stock[#Data],3,FALSE)</f>
        <v>348</v>
      </c>
      <c r="E99">
        <v>65</v>
      </c>
      <c r="F99">
        <v>18</v>
      </c>
      <c r="G99" s="63">
        <f>Tabla9[[#This Row],[Precio Compra]]*Tabla9[[#This Row],[Cantidad]]</f>
        <v>6264</v>
      </c>
    </row>
    <row r="100" spans="2:7">
      <c r="B100" t="s">
        <v>1123</v>
      </c>
      <c r="C100" t="str">
        <f>VLOOKUP(Tabla9[[#This Row],[Codigo]],Stock[#Data],2,FALSE)</f>
        <v>RAW Humidifying Stone</v>
      </c>
      <c r="D100" s="63">
        <f>VLOOKUP(Tabla9[[#This Row],[Codigo]],Stock[#Data],3,FALSE)</f>
        <v>442</v>
      </c>
      <c r="E100">
        <v>929</v>
      </c>
      <c r="F100">
        <v>10</v>
      </c>
      <c r="G100" s="63">
        <f>Tabla9[[#This Row],[Precio Compra]]*Tabla9[[#This Row],[Cantidad]]</f>
        <v>4420</v>
      </c>
    </row>
    <row r="101" spans="2:7">
      <c r="B101" t="s">
        <v>1123</v>
      </c>
      <c r="C101" t="str">
        <f>VLOOKUP(Tabla9[[#This Row],[Codigo]],Stock[#Data],2,FALSE)</f>
        <v>Sedas Elements Artesano Ks</v>
      </c>
      <c r="D101" s="63">
        <f>VLOOKUP(Tabla9[[#This Row],[Codigo]],Stock[#Data],3,FALSE)</f>
        <v>1028</v>
      </c>
      <c r="E101">
        <v>894</v>
      </c>
      <c r="F101">
        <v>12</v>
      </c>
      <c r="G101" s="63">
        <f>Tabla9[[#This Row],[Precio Compra]]*Tabla9[[#This Row],[Cantidad]]</f>
        <v>12336</v>
      </c>
    </row>
    <row r="102" spans="2:7">
      <c r="B102" t="s">
        <v>1123</v>
      </c>
      <c r="C102" t="str">
        <f>VLOOKUP(Tabla9[[#This Row],[Codigo]],Stock[#Data],2,FALSE)</f>
        <v>Sedas RAW Connoisseur 1/4</v>
      </c>
      <c r="D102" s="63">
        <f>VLOOKUP(Tabla9[[#This Row],[Codigo]],Stock[#Data],3,FALSE)</f>
        <v>677</v>
      </c>
      <c r="E102">
        <v>927</v>
      </c>
      <c r="F102">
        <v>23</v>
      </c>
      <c r="G102" s="63">
        <f>Tabla9[[#This Row],[Precio Compra]]*Tabla9[[#This Row],[Cantidad]]</f>
        <v>15571</v>
      </c>
    </row>
    <row r="103" spans="2:7">
      <c r="B103" t="s">
        <v>1123</v>
      </c>
      <c r="C103" t="str">
        <f>VLOOKUP(Tabla9[[#This Row],[Codigo]],Stock[#Data],2,FALSE)</f>
        <v>Sedas RAW Black Doble 1/4</v>
      </c>
      <c r="D103" s="63">
        <f>VLOOKUP(Tabla9[[#This Row],[Codigo]],Stock[#Data],3,FALSE)</f>
        <v>423</v>
      </c>
      <c r="E103">
        <v>885</v>
      </c>
      <c r="F103">
        <v>25</v>
      </c>
      <c r="G103" s="63">
        <f>Tabla9[[#This Row],[Precio Compra]]*Tabla9[[#This Row],[Cantidad]]</f>
        <v>10575</v>
      </c>
    </row>
    <row r="104" spans="2:7">
      <c r="B104" t="s">
        <v>1123</v>
      </c>
      <c r="C104" t="str">
        <f>VLOOKUP(Tabla9[[#This Row],[Codigo]],Stock[#Data],2,FALSE)</f>
        <v>Sedas Rizla Natura Ks</v>
      </c>
      <c r="D104" s="63">
        <f>VLOOKUP(Tabla9[[#This Row],[Codigo]],Stock[#Data],3,FALSE)</f>
        <v>100</v>
      </c>
      <c r="E104">
        <v>900</v>
      </c>
      <c r="F104">
        <v>20</v>
      </c>
      <c r="G104" s="63">
        <f>Tabla9[[#This Row],[Precio Compra]]*Tabla9[[#This Row],[Cantidad]]</f>
        <v>2000</v>
      </c>
    </row>
    <row r="105" spans="2:7">
      <c r="B105" t="s">
        <v>1123</v>
      </c>
      <c r="C105" t="str">
        <f>VLOOKUP(Tabla9[[#This Row],[Codigo]],Stock[#Data],2,FALSE)</f>
        <v>Sedas Elements 1/4 Magnetic</v>
      </c>
      <c r="D105" s="63">
        <f>VLOOKUP(Tabla9[[#This Row],[Codigo]],Stock[#Data],3,FALSE)</f>
        <v>213</v>
      </c>
      <c r="E105">
        <v>928</v>
      </c>
      <c r="F105">
        <v>25</v>
      </c>
      <c r="G105" s="63">
        <f>Tabla9[[#This Row],[Precio Compra]]*Tabla9[[#This Row],[Cantidad]]</f>
        <v>5325</v>
      </c>
    </row>
    <row r="106" spans="2:7">
      <c r="B106" t="s">
        <v>1123</v>
      </c>
      <c r="C106" t="str">
        <f>VLOOKUP(Tabla9[[#This Row],[Codigo]],Stock[#Data],2,FALSE)</f>
        <v>Tips Zeus Large</v>
      </c>
      <c r="D106" s="63">
        <f>VLOOKUP(Tabla9[[#This Row],[Codigo]],Stock[#Data],3,FALSE)</f>
        <v>81</v>
      </c>
      <c r="E106">
        <v>901</v>
      </c>
      <c r="F106">
        <v>50</v>
      </c>
      <c r="G106" s="63">
        <f>Tabla9[[#This Row],[Precio Compra]]*Tabla9[[#This Row],[Cantidad]]</f>
        <v>4050</v>
      </c>
    </row>
    <row r="107" spans="2:7">
      <c r="B107" t="s">
        <v>1123</v>
      </c>
      <c r="C107" t="str">
        <f>VLOOKUP(Tabla9[[#This Row],[Codigo]],Stock[#Data],2,FALSE)</f>
        <v>Sedas Gizeh 1/4 Pure</v>
      </c>
      <c r="D107" s="63">
        <f>VLOOKUP(Tabla9[[#This Row],[Codigo]],Stock[#Data],3,FALSE)</f>
        <v>99</v>
      </c>
      <c r="E107">
        <v>888</v>
      </c>
      <c r="F107">
        <v>20</v>
      </c>
      <c r="G107" s="63">
        <f>Tabla9[[#This Row],[Precio Compra]]*Tabla9[[#This Row],[Cantidad]]</f>
        <v>1980</v>
      </c>
    </row>
    <row r="108" spans="2:7">
      <c r="B108" t="s">
        <v>1101</v>
      </c>
      <c r="C108" t="str">
        <f>VLOOKUP(Tabla9[[#This Row],[Codigo]],Stock[#Data],2,FALSE)</f>
        <v>Bong Tornasolado</v>
      </c>
      <c r="D108" s="63">
        <f>VLOOKUP(Tabla9[[#This Row],[Codigo]],Stock[#Data],3,FALSE)</f>
        <v>3644</v>
      </c>
      <c r="E108">
        <v>926</v>
      </c>
      <c r="F108">
        <v>1</v>
      </c>
      <c r="G108" s="63">
        <f>Tabla9[[#This Row],[Precio Compra]]*Tabla9[[#This Row],[Cantidad]]</f>
        <v>3644</v>
      </c>
    </row>
    <row r="109" spans="2:7">
      <c r="B109" t="s">
        <v>1101</v>
      </c>
      <c r="C109" t="str">
        <f>VLOOKUP(Tabla9[[#This Row],[Codigo]],Stock[#Data],2,FALSE)</f>
        <v>Bandeja Metal Ovalada</v>
      </c>
      <c r="D109" s="63">
        <f>VLOOKUP(Tabla9[[#This Row],[Codigo]],Stock[#Data],3,FALSE)</f>
        <v>960</v>
      </c>
      <c r="E109">
        <v>925</v>
      </c>
      <c r="F109">
        <v>1</v>
      </c>
      <c r="G109" s="63">
        <f>Tabla9[[#This Row],[Precio Compra]]*Tabla9[[#This Row],[Cantidad]]</f>
        <v>960</v>
      </c>
    </row>
    <row r="110" spans="2:7">
      <c r="B110" t="s">
        <v>1101</v>
      </c>
      <c r="C110" t="str">
        <f>VLOOKUP(Tabla9[[#This Row],[Codigo]],Stock[#Data],2,FALSE)</f>
        <v xml:space="preserve">Picador Zeus Cañamo </v>
      </c>
      <c r="D110" s="63">
        <f>VLOOKUP(Tabla9[[#This Row],[Codigo]],Stock[#Data],3,FALSE)</f>
        <v>531</v>
      </c>
      <c r="E110">
        <v>924</v>
      </c>
      <c r="F110">
        <v>1</v>
      </c>
      <c r="G110" s="63">
        <f>Tabla9[[#This Row],[Precio Compra]]*Tabla9[[#This Row],[Cantidad]]</f>
        <v>531</v>
      </c>
    </row>
    <row r="111" spans="2:7">
      <c r="B111" t="s">
        <v>1101</v>
      </c>
      <c r="C111" t="str">
        <f>VLOOKUP(Tabla9[[#This Row],[Codigo]],Stock[#Data],2,FALSE)</f>
        <v>Tabaco Van Kiff Chocolate</v>
      </c>
      <c r="D111" s="63">
        <f>VLOOKUP(Tabla9[[#This Row],[Codigo]],Stock[#Data],3,FALSE)</f>
        <v>580</v>
      </c>
      <c r="E111">
        <v>119</v>
      </c>
      <c r="F111">
        <v>5</v>
      </c>
      <c r="G111" s="63">
        <f>Tabla9[[#This Row],[Precio Compra]]*Tabla9[[#This Row],[Cantidad]]</f>
        <v>2900</v>
      </c>
    </row>
    <row r="112" spans="2:7">
      <c r="B112" t="s">
        <v>1101</v>
      </c>
      <c r="C112" t="str">
        <f>VLOOKUP(Tabla9[[#This Row],[Codigo]],Stock[#Data],2,FALSE)</f>
        <v>Tabaco Van Kiff Vainilla</v>
      </c>
      <c r="D112" s="63">
        <f>VLOOKUP(Tabla9[[#This Row],[Codigo]],Stock[#Data],3,FALSE)</f>
        <v>580</v>
      </c>
      <c r="E112">
        <v>120</v>
      </c>
      <c r="F112">
        <v>5</v>
      </c>
      <c r="G112" s="63">
        <f>Tabla9[[#This Row],[Precio Compra]]*Tabla9[[#This Row],[Cantidad]]</f>
        <v>2900</v>
      </c>
    </row>
    <row r="113" spans="2:7">
      <c r="B113" t="s">
        <v>1101</v>
      </c>
      <c r="C113" t="str">
        <f>VLOOKUP(Tabla9[[#This Row],[Codigo]],Stock[#Data],2,FALSE)</f>
        <v>Tabaco Van Kiff Natural</v>
      </c>
      <c r="D113" s="63">
        <f>VLOOKUP(Tabla9[[#This Row],[Codigo]],Stock[#Data],3,FALSE)</f>
        <v>580</v>
      </c>
      <c r="E113">
        <v>117</v>
      </c>
      <c r="F113">
        <v>5</v>
      </c>
      <c r="G113" s="63">
        <f>Tabla9[[#This Row],[Precio Compra]]*Tabla9[[#This Row],[Cantidad]]</f>
        <v>2900</v>
      </c>
    </row>
    <row r="114" spans="2:7">
      <c r="B114" t="s">
        <v>1101</v>
      </c>
      <c r="C114" t="str">
        <f>VLOOKUP(Tabla9[[#This Row],[Codigo]],Stock[#Data],2,FALSE)</f>
        <v>Turbina Bate</v>
      </c>
      <c r="D114" s="63">
        <f>VLOOKUP(Tabla9[[#This Row],[Codigo]],Stock[#Data],3,FALSE)</f>
        <v>1237</v>
      </c>
      <c r="E114">
        <v>165</v>
      </c>
      <c r="F114">
        <v>4</v>
      </c>
      <c r="G114" s="63">
        <f>Tabla9[[#This Row],[Precio Compra]]*Tabla9[[#This Row],[Cantidad]]</f>
        <v>4948</v>
      </c>
    </row>
    <row r="115" spans="2:7">
      <c r="B115" t="s">
        <v>1101</v>
      </c>
      <c r="C115" t="str">
        <f>VLOOKUP(Tabla9[[#This Row],[Codigo]],Stock[#Data],2,FALSE)</f>
        <v>Turbina Zeppelin Metal</v>
      </c>
      <c r="D115" s="63">
        <f>VLOOKUP(Tabla9[[#This Row],[Codigo]],Stock[#Data],3,FALSE)</f>
        <v>1237</v>
      </c>
      <c r="E115">
        <v>923</v>
      </c>
      <c r="F115">
        <v>3</v>
      </c>
      <c r="G115" s="63">
        <f>Tabla9[[#This Row],[Precio Compra]]*Tabla9[[#This Row],[Cantidad]]</f>
        <v>3711</v>
      </c>
    </row>
    <row r="116" spans="2:7">
      <c r="B116" t="s">
        <v>1101</v>
      </c>
      <c r="C116" t="str">
        <f>VLOOKUP(Tabla9[[#This Row],[Codigo]],Stock[#Data],2,FALSE)</f>
        <v>Picador Bull Dog Acrilico Transparente 3p</v>
      </c>
      <c r="D116" s="63">
        <f>VLOOKUP(Tabla9[[#This Row],[Codigo]],Stock[#Data],3,FALSE)</f>
        <v>1124</v>
      </c>
      <c r="E116">
        <v>922</v>
      </c>
      <c r="F116">
        <v>3</v>
      </c>
      <c r="G116" s="63">
        <f>Tabla9[[#This Row],[Precio Compra]]*Tabla9[[#This Row],[Cantidad]]</f>
        <v>3372</v>
      </c>
    </row>
    <row r="117" spans="2:7">
      <c r="B117" t="s">
        <v>1101</v>
      </c>
      <c r="C117" t="str">
        <f>VLOOKUP(Tabla9[[#This Row],[Codigo]],Stock[#Data],2,FALSE)</f>
        <v>Lupa x60 Sin Broche</v>
      </c>
      <c r="D117" s="63">
        <f>VLOOKUP(Tabla9[[#This Row],[Codigo]],Stock[#Data],3,FALSE)</f>
        <v>1904</v>
      </c>
      <c r="E117">
        <v>921</v>
      </c>
      <c r="F117">
        <v>3</v>
      </c>
      <c r="G117" s="63">
        <f>Tabla9[[#This Row],[Precio Compra]]*Tabla9[[#This Row],[Cantidad]]</f>
        <v>5712</v>
      </c>
    </row>
    <row r="118" spans="2:7">
      <c r="B118" t="s">
        <v>1101</v>
      </c>
      <c r="C118" t="str">
        <f>VLOOKUP(Tabla9[[#This Row],[Codigo]],Stock[#Data],2,FALSE)</f>
        <v xml:space="preserve">Encendedor Clipper </v>
      </c>
      <c r="D118" s="63">
        <f>VLOOKUP(Tabla9[[#This Row],[Codigo]],Stock[#Data],3,FALSE)</f>
        <v>378</v>
      </c>
      <c r="E118">
        <v>58</v>
      </c>
      <c r="F118">
        <v>24</v>
      </c>
      <c r="G118" s="63">
        <f>Tabla9[[#This Row],[Precio Compra]]*Tabla9[[#This Row],[Cantidad]]</f>
        <v>9072</v>
      </c>
    </row>
    <row r="119" spans="2:7">
      <c r="B119" t="s">
        <v>1101</v>
      </c>
      <c r="C119" t="str">
        <f>VLOOKUP(Tabla9[[#This Row],[Codigo]],Stock[#Data],2,FALSE)</f>
        <v>Pipa D&amp;K Metal Con Tapa</v>
      </c>
      <c r="D119" s="63">
        <f>VLOOKUP(Tabla9[[#This Row],[Codigo]],Stock[#Data],3,FALSE)</f>
        <v>1379</v>
      </c>
      <c r="E119">
        <v>920</v>
      </c>
      <c r="F119">
        <v>2</v>
      </c>
      <c r="G119" s="63">
        <f>Tabla9[[#This Row],[Precio Compra]]*Tabla9[[#This Row],[Cantidad]]</f>
        <v>2758</v>
      </c>
    </row>
    <row r="120" spans="2:7">
      <c r="B120" t="s">
        <v>1101</v>
      </c>
      <c r="C120" t="str">
        <f>VLOOKUP(Tabla9[[#This Row],[Codigo]],Stock[#Data],2,FALSE)</f>
        <v>Cenicero STAMPS Metal Grande</v>
      </c>
      <c r="D120" s="63">
        <f>VLOOKUP(Tabla9[[#This Row],[Codigo]],Stock[#Data],3,FALSE)</f>
        <v>714</v>
      </c>
      <c r="E120">
        <v>919</v>
      </c>
      <c r="F120">
        <v>1</v>
      </c>
      <c r="G120" s="63">
        <f>Tabla9[[#This Row],[Precio Compra]]*Tabla9[[#This Row],[Cantidad]]</f>
        <v>714</v>
      </c>
    </row>
    <row r="121" spans="2:7">
      <c r="B121" t="s">
        <v>1101</v>
      </c>
      <c r="C121" t="str">
        <f>VLOOKUP(Tabla9[[#This Row],[Codigo]],Stock[#Data],2,FALSE)</f>
        <v>Cortahilo</v>
      </c>
      <c r="D121" s="63">
        <f>VLOOKUP(Tabla9[[#This Row],[Codigo]],Stock[#Data],3,FALSE)</f>
        <v>214</v>
      </c>
      <c r="E121">
        <v>311</v>
      </c>
      <c r="F121">
        <v>10</v>
      </c>
      <c r="G121" s="63">
        <f>Tabla9[[#This Row],[Precio Compra]]*Tabla9[[#This Row],[Cantidad]]</f>
        <v>2140</v>
      </c>
    </row>
    <row r="122" spans="2:7">
      <c r="B122" t="s">
        <v>821</v>
      </c>
      <c r="C122" t="str">
        <f>VLOOKUP(Tabla9[[#This Row],[Codigo]],Stock[#Data],2,FALSE)</f>
        <v>CropSecret 250ml Full Roots</v>
      </c>
      <c r="D122" s="63">
        <f>VLOOKUP(Tabla9[[#This Row],[Codigo]],Stock[#Data],3,FALSE)</f>
        <v>836</v>
      </c>
      <c r="E122">
        <v>1</v>
      </c>
      <c r="F122">
        <v>4</v>
      </c>
      <c r="G122" s="63">
        <f>Tabla9[[#This Row],[Precio Compra]]*Tabla9[[#This Row],[Cantidad]]</f>
        <v>3344</v>
      </c>
    </row>
    <row r="123" spans="2:7">
      <c r="B123" t="s">
        <v>821</v>
      </c>
      <c r="C123" t="str">
        <f>VLOOKUP(Tabla9[[#This Row],[Codigo]],Stock[#Data],2,FALSE)</f>
        <v>CropSecret 250ml Green Session</v>
      </c>
      <c r="D123" s="63">
        <f>VLOOKUP(Tabla9[[#This Row],[Codigo]],Stock[#Data],3,FALSE)</f>
        <v>836</v>
      </c>
      <c r="E123">
        <v>2</v>
      </c>
      <c r="F123">
        <v>8</v>
      </c>
      <c r="G123" s="63">
        <f>Tabla9[[#This Row],[Precio Compra]]*Tabla9[[#This Row],[Cantidad]]</f>
        <v>6688</v>
      </c>
    </row>
    <row r="124" spans="2:7">
      <c r="B124" t="s">
        <v>821</v>
      </c>
      <c r="C124" t="str">
        <f>VLOOKUP(Tabla9[[#This Row],[Codigo]],Stock[#Data],2,FALSE)</f>
        <v>CropSecret 250ml Automatic Crop</v>
      </c>
      <c r="D124" s="63">
        <f>VLOOKUP(Tabla9[[#This Row],[Codigo]],Stock[#Data],3,FALSE)</f>
        <v>1094</v>
      </c>
      <c r="E124">
        <v>3</v>
      </c>
      <c r="F124">
        <v>6</v>
      </c>
      <c r="G124" s="63">
        <f>Tabla9[[#This Row],[Precio Compra]]*Tabla9[[#This Row],[Cantidad]]</f>
        <v>6564</v>
      </c>
    </row>
    <row r="125" spans="2:7">
      <c r="B125" t="s">
        <v>821</v>
      </c>
      <c r="C125" t="str">
        <f>VLOOKUP(Tabla9[[#This Row],[Codigo]],Stock[#Data],2,FALSE)</f>
        <v>CropSecret 250ml Booster Potion</v>
      </c>
      <c r="D125" s="63">
        <f>VLOOKUP(Tabla9[[#This Row],[Codigo]],Stock[#Data],3,FALSE)</f>
        <v>836</v>
      </c>
      <c r="E125">
        <v>4</v>
      </c>
      <c r="F125">
        <v>10</v>
      </c>
      <c r="G125" s="63">
        <f>Tabla9[[#This Row],[Precio Compra]]*Tabla9[[#This Row],[Cantidad]]</f>
        <v>8360</v>
      </c>
    </row>
    <row r="126" spans="2:7">
      <c r="B126" t="s">
        <v>821</v>
      </c>
      <c r="C126" t="str">
        <f>VLOOKUP(Tabla9[[#This Row],[Codigo]],Stock[#Data],2,FALSE)</f>
        <v>CropSecret 250ml Candy Maker</v>
      </c>
      <c r="D126" s="63">
        <f>VLOOKUP(Tabla9[[#This Row],[Codigo]],Stock[#Data],3,FALSE)</f>
        <v>707</v>
      </c>
      <c r="E126">
        <v>5</v>
      </c>
      <c r="F126">
        <v>8</v>
      </c>
      <c r="G126" s="63">
        <f>Tabla9[[#This Row],[Precio Compra]]*Tabla9[[#This Row],[Cantidad]]</f>
        <v>5656</v>
      </c>
    </row>
    <row r="127" spans="2:7">
      <c r="B127" t="s">
        <v>821</v>
      </c>
      <c r="C127" t="str">
        <f>VLOOKUP(Tabla9[[#This Row],[Codigo]],Stock[#Data],2,FALSE)</f>
        <v>CropSecret 250ml Floral Session</v>
      </c>
      <c r="D127" s="63">
        <f>VLOOKUP(Tabla9[[#This Row],[Codigo]],Stock[#Data],3,FALSE)</f>
        <v>836</v>
      </c>
      <c r="E127">
        <v>6</v>
      </c>
      <c r="F127">
        <v>15</v>
      </c>
      <c r="G127" s="63">
        <f>Tabla9[[#This Row],[Precio Compra]]*Tabla9[[#This Row],[Cantidad]]</f>
        <v>12540</v>
      </c>
    </row>
    <row r="128" spans="2:7">
      <c r="B128" t="s">
        <v>821</v>
      </c>
      <c r="C128" t="str">
        <f>VLOOKUP(Tabla9[[#This Row],[Codigo]],Stock[#Data],2,FALSE)</f>
        <v>CropSecret Kit Automáticas</v>
      </c>
      <c r="D128" s="63">
        <f>VLOOKUP(Tabla9[[#This Row],[Codigo]],Stock[#Data],3,FALSE)</f>
        <v>1759</v>
      </c>
      <c r="E128">
        <v>7</v>
      </c>
      <c r="F128">
        <v>3</v>
      </c>
      <c r="G128" s="63">
        <f>Tabla9[[#This Row],[Precio Compra]]*Tabla9[[#This Row],[Cantidad]]</f>
        <v>5277</v>
      </c>
    </row>
    <row r="129" spans="2:7">
      <c r="B129" t="s">
        <v>821</v>
      </c>
      <c r="C129" t="str">
        <f>VLOOKUP(Tabla9[[#This Row],[Codigo]],Stock[#Data],2,FALSE)</f>
        <v xml:space="preserve">CropSecret Kit Fotoperiódicas </v>
      </c>
      <c r="D129" s="63">
        <f>VLOOKUP(Tabla9[[#This Row],[Codigo]],Stock[#Data],3,FALSE)</f>
        <v>2136</v>
      </c>
      <c r="E129">
        <v>8</v>
      </c>
      <c r="F129">
        <v>3</v>
      </c>
      <c r="G129" s="63">
        <f>Tabla9[[#This Row],[Precio Compra]]*Tabla9[[#This Row],[Cantidad]]</f>
        <v>6408</v>
      </c>
    </row>
    <row r="130" spans="2:7">
      <c r="B130" t="s">
        <v>821</v>
      </c>
      <c r="C130" t="str">
        <f>VLOOKUP(Tabla9[[#This Row],[Codigo]],Stock[#Data],2,FALSE)</f>
        <v>Top Crop Top Bloom</v>
      </c>
      <c r="D130" s="63">
        <f>VLOOKUP(Tabla9[[#This Row],[Codigo]],Stock[#Data],3,FALSE)</f>
        <v>1082</v>
      </c>
      <c r="E130">
        <v>9</v>
      </c>
      <c r="F130">
        <v>1</v>
      </c>
      <c r="G130" s="63">
        <f>Tabla9[[#This Row],[Precio Compra]]*Tabla9[[#This Row],[Cantidad]]</f>
        <v>1082</v>
      </c>
    </row>
    <row r="131" spans="2:7">
      <c r="B131" t="s">
        <v>821</v>
      </c>
      <c r="C131" t="str">
        <f>VLOOKUP(Tabla9[[#This Row],[Codigo]],Stock[#Data],2,FALSE)</f>
        <v>Melaza Respeta mi 4:20 250cc</v>
      </c>
      <c r="D131" s="63">
        <f>VLOOKUP(Tabla9[[#This Row],[Codigo]],Stock[#Data],3,FALSE)</f>
        <v>437</v>
      </c>
      <c r="E131">
        <v>10</v>
      </c>
      <c r="F131">
        <v>3</v>
      </c>
      <c r="G131" s="63">
        <f>Tabla9[[#This Row],[Precio Compra]]*Tabla9[[#This Row],[Cantidad]]</f>
        <v>1311</v>
      </c>
    </row>
    <row r="132" spans="2:7">
      <c r="B132" t="s">
        <v>821</v>
      </c>
      <c r="C132" t="str">
        <f>VLOOKUP(Tabla9[[#This Row],[Codigo]],Stock[#Data],2,FALSE)</f>
        <v>Bio Brew</v>
      </c>
      <c r="D132" s="63">
        <f>VLOOKUP(Tabla9[[#This Row],[Codigo]],Stock[#Data],3,FALSE)</f>
        <v>530</v>
      </c>
      <c r="E132">
        <v>11</v>
      </c>
      <c r="F132">
        <v>4</v>
      </c>
      <c r="G132" s="63">
        <f>Tabla9[[#This Row],[Precio Compra]]*Tabla9[[#This Row],[Cantidad]]</f>
        <v>2120</v>
      </c>
    </row>
    <row r="133" spans="2:7">
      <c r="B133" t="s">
        <v>821</v>
      </c>
      <c r="C133" t="str">
        <f>VLOOKUP(Tabla9[[#This Row],[Codigo]],Stock[#Data],2,FALSE)</f>
        <v>Maca Brew 500cc</v>
      </c>
      <c r="D133" s="63">
        <f>VLOOKUP(Tabla9[[#This Row],[Codigo]],Stock[#Data],3,FALSE)</f>
        <v>470</v>
      </c>
      <c r="E133">
        <v>12</v>
      </c>
      <c r="F133">
        <v>17</v>
      </c>
      <c r="G133" s="63">
        <f>Tabla9[[#This Row],[Precio Compra]]*Tabla9[[#This Row],[Cantidad]]</f>
        <v>7990</v>
      </c>
    </row>
    <row r="134" spans="2:7">
      <c r="B134" t="s">
        <v>821</v>
      </c>
      <c r="C134" t="str">
        <f>VLOOKUP(Tabla9[[#This Row],[Codigo]],Stock[#Data],2,FALSE)</f>
        <v>SKOG Zeta</v>
      </c>
      <c r="D134" s="63">
        <f>VLOOKUP(Tabla9[[#This Row],[Codigo]],Stock[#Data],3,FALSE)</f>
        <v>405</v>
      </c>
      <c r="E134">
        <v>13</v>
      </c>
      <c r="F134">
        <v>20</v>
      </c>
      <c r="G134" s="63">
        <f>Tabla9[[#This Row],[Precio Compra]]*Tabla9[[#This Row],[Cantidad]]</f>
        <v>8100</v>
      </c>
    </row>
    <row r="135" spans="2:7">
      <c r="B135" t="s">
        <v>821</v>
      </c>
      <c r="C135" t="str">
        <f>VLOOKUP(Tabla9[[#This Row],[Codigo]],Stock[#Data],2,FALSE)</f>
        <v>SKOG Ema</v>
      </c>
      <c r="D135" s="63">
        <f>VLOOKUP(Tabla9[[#This Row],[Codigo]],Stock[#Data],3,FALSE)</f>
        <v>405</v>
      </c>
      <c r="E135">
        <v>14</v>
      </c>
      <c r="F135">
        <v>2</v>
      </c>
      <c r="G135" s="63">
        <f>Tabla9[[#This Row],[Precio Compra]]*Tabla9[[#This Row],[Cantidad]]</f>
        <v>810</v>
      </c>
    </row>
    <row r="136" spans="2:7">
      <c r="B136" t="s">
        <v>821</v>
      </c>
      <c r="C136" t="str">
        <f>VLOOKUP(Tabla9[[#This Row],[Codigo]],Stock[#Data],2,FALSE)</f>
        <v>SKOG King Clon</v>
      </c>
      <c r="D136" s="63">
        <f>VLOOKUP(Tabla9[[#This Row],[Codigo]],Stock[#Data],3,FALSE)</f>
        <v>485</v>
      </c>
      <c r="E136">
        <v>15</v>
      </c>
      <c r="F136">
        <v>15</v>
      </c>
      <c r="G136" s="63">
        <f>Tabla9[[#This Row],[Precio Compra]]*Tabla9[[#This Row],[Cantidad]]</f>
        <v>7275</v>
      </c>
    </row>
    <row r="137" spans="2:7">
      <c r="B137" t="s">
        <v>821</v>
      </c>
      <c r="C137" t="str">
        <f>VLOOKUP(Tabla9[[#This Row],[Codigo]],Stock[#Data],2,FALSE)</f>
        <v>Organic Life gel enraizante</v>
      </c>
      <c r="D137" s="63">
        <f>VLOOKUP(Tabla9[[#This Row],[Codigo]],Stock[#Data],3,FALSE)</f>
        <v>425</v>
      </c>
      <c r="E137">
        <v>16</v>
      </c>
      <c r="F137">
        <v>2</v>
      </c>
      <c r="G137" s="63">
        <f>Tabla9[[#This Row],[Precio Compra]]*Tabla9[[#This Row],[Cantidad]]</f>
        <v>850</v>
      </c>
    </row>
    <row r="138" spans="2:7">
      <c r="B138" t="s">
        <v>821</v>
      </c>
      <c r="C138" t="str">
        <f>VLOOKUP(Tabla9[[#This Row],[Codigo]],Stock[#Data],2,FALSE)</f>
        <v>Organic Life jabón potásico</v>
      </c>
      <c r="D138" s="63">
        <f>VLOOKUP(Tabla9[[#This Row],[Codigo]],Stock[#Data],3,FALSE)</f>
        <v>240</v>
      </c>
      <c r="E138">
        <v>18</v>
      </c>
      <c r="F138">
        <v>20</v>
      </c>
      <c r="G138" s="63">
        <f>Tabla9[[#This Row],[Precio Compra]]*Tabla9[[#This Row],[Cantidad]]</f>
        <v>4800</v>
      </c>
    </row>
    <row r="139" spans="2:7">
      <c r="B139" t="s">
        <v>821</v>
      </c>
      <c r="C139" t="str">
        <f>VLOOKUP(Tabla9[[#This Row],[Codigo]],Stock[#Data],2,FALSE)</f>
        <v>Organic Life Silicio</v>
      </c>
      <c r="D139" s="63">
        <f>VLOOKUP(Tabla9[[#This Row],[Codigo]],Stock[#Data],3,FALSE)</f>
        <v>435</v>
      </c>
      <c r="E139">
        <v>19</v>
      </c>
      <c r="F139">
        <v>9</v>
      </c>
      <c r="G139" s="63">
        <f>Tabla9[[#This Row],[Precio Compra]]*Tabla9[[#This Row],[Cantidad]]</f>
        <v>3915</v>
      </c>
    </row>
    <row r="140" spans="2:7">
      <c r="B140" t="s">
        <v>821</v>
      </c>
      <c r="C140" t="str">
        <f>VLOOKUP(Tabla9[[#This Row],[Codigo]],Stock[#Data],2,FALSE)</f>
        <v>Nostress aceite de neem</v>
      </c>
      <c r="D140" s="63">
        <f>VLOOKUP(Tabla9[[#This Row],[Codigo]],Stock[#Data],3,FALSE)</f>
        <v>430</v>
      </c>
      <c r="E140">
        <v>20</v>
      </c>
      <c r="F140">
        <v>9</v>
      </c>
      <c r="G140" s="63">
        <f>Tabla9[[#This Row],[Precio Compra]]*Tabla9[[#This Row],[Cantidad]]</f>
        <v>3870</v>
      </c>
    </row>
    <row r="141" spans="2:7">
      <c r="B141" t="s">
        <v>821</v>
      </c>
      <c r="C141" t="str">
        <f>VLOOKUP(Tabla9[[#This Row],[Codigo]],Stock[#Data],2,FALSE)</f>
        <v>TreeMIX A 45ml</v>
      </c>
      <c r="D141" s="63">
        <f>VLOOKUP(Tabla9[[#This Row],[Codigo]],Stock[#Data],3,FALSE)</f>
        <v>260</v>
      </c>
      <c r="E141">
        <v>21</v>
      </c>
      <c r="F141">
        <v>27</v>
      </c>
      <c r="G141" s="63">
        <f>Tabla9[[#This Row],[Precio Compra]]*Tabla9[[#This Row],[Cantidad]]</f>
        <v>7020</v>
      </c>
    </row>
    <row r="142" spans="2:7">
      <c r="B142" t="s">
        <v>821</v>
      </c>
      <c r="C142" t="str">
        <f>VLOOKUP(Tabla9[[#This Row],[Codigo]],Stock[#Data],2,FALSE)</f>
        <v>TreeMIX F 45ml</v>
      </c>
      <c r="D142" s="63">
        <f>VLOOKUP(Tabla9[[#This Row],[Codigo]],Stock[#Data],3,FALSE)</f>
        <v>275</v>
      </c>
      <c r="E142">
        <v>22</v>
      </c>
      <c r="F142">
        <v>14</v>
      </c>
      <c r="G142" s="63">
        <f>Tabla9[[#This Row],[Precio Compra]]*Tabla9[[#This Row],[Cantidad]]</f>
        <v>3850</v>
      </c>
    </row>
    <row r="143" spans="2:7">
      <c r="B143" t="s">
        <v>821</v>
      </c>
      <c r="C143" t="str">
        <f>VLOOKUP(Tabla9[[#This Row],[Codigo]],Stock[#Data],2,FALSE)</f>
        <v>TreeMIX N 45ml</v>
      </c>
      <c r="D143" s="63">
        <f>VLOOKUP(Tabla9[[#This Row],[Codigo]],Stock[#Data],3,FALSE)</f>
        <v>260</v>
      </c>
      <c r="E143">
        <v>23</v>
      </c>
      <c r="F143">
        <v>16</v>
      </c>
      <c r="G143" s="63">
        <f>Tabla9[[#This Row],[Precio Compra]]*Tabla9[[#This Row],[Cantidad]]</f>
        <v>4160</v>
      </c>
    </row>
    <row r="144" spans="2:7">
      <c r="B144" t="s">
        <v>821</v>
      </c>
      <c r="C144" t="str">
        <f>VLOOKUP(Tabla9[[#This Row],[Codigo]],Stock[#Data],2,FALSE)</f>
        <v>TreeMIX ZYM 45ml</v>
      </c>
      <c r="D144" s="63">
        <f>VLOOKUP(Tabla9[[#This Row],[Codigo]],Stock[#Data],3,FALSE)</f>
        <v>840</v>
      </c>
      <c r="E144">
        <v>24</v>
      </c>
      <c r="F144">
        <v>4</v>
      </c>
      <c r="G144" s="63">
        <f>Tabla9[[#This Row],[Precio Compra]]*Tabla9[[#This Row],[Cantidad]]</f>
        <v>3360</v>
      </c>
    </row>
    <row r="145" spans="2:7">
      <c r="B145" t="s">
        <v>821</v>
      </c>
      <c r="C145" t="str">
        <f>VLOOKUP(Tabla9[[#This Row],[Codigo]],Stock[#Data],2,FALSE)</f>
        <v>TreeMIX PRO 45ml</v>
      </c>
      <c r="D145" s="63">
        <f>VLOOKUP(Tabla9[[#This Row],[Codigo]],Stock[#Data],3,FALSE)</f>
        <v>345</v>
      </c>
      <c r="E145">
        <v>25</v>
      </c>
      <c r="F145">
        <v>12</v>
      </c>
      <c r="G145" s="63">
        <f>Tabla9[[#This Row],[Precio Compra]]*Tabla9[[#This Row],[Cantidad]]</f>
        <v>4140</v>
      </c>
    </row>
    <row r="146" spans="2:7">
      <c r="B146" t="s">
        <v>821</v>
      </c>
      <c r="C146" t="str">
        <f>VLOOKUP(Tabla9[[#This Row],[Codigo]],Stock[#Data],2,FALSE)</f>
        <v>TreeMIX CANDY 45 ml</v>
      </c>
      <c r="D146" s="63">
        <f>VLOOKUP(Tabla9[[#This Row],[Codigo]],Stock[#Data],3,FALSE)</f>
        <v>220</v>
      </c>
      <c r="E146">
        <v>26</v>
      </c>
      <c r="F146">
        <v>24</v>
      </c>
      <c r="G146" s="63">
        <f>Tabla9[[#This Row],[Precio Compra]]*Tabla9[[#This Row],[Cantidad]]</f>
        <v>5280</v>
      </c>
    </row>
    <row r="147" spans="2:7">
      <c r="B147" t="s">
        <v>821</v>
      </c>
      <c r="C147" t="str">
        <f>VLOOKUP(Tabla9[[#This Row],[Codigo]],Stock[#Data],2,FALSE)</f>
        <v>TreeMIX KILL MIX 45ml</v>
      </c>
      <c r="D147" s="63">
        <f>VLOOKUP(Tabla9[[#This Row],[Codigo]],Stock[#Data],3,FALSE)</f>
        <v>320</v>
      </c>
      <c r="E147">
        <v>27</v>
      </c>
      <c r="F147">
        <v>18</v>
      </c>
      <c r="G147" s="63">
        <f>Tabla9[[#This Row],[Precio Compra]]*Tabla9[[#This Row],[Cantidad]]</f>
        <v>5760</v>
      </c>
    </row>
    <row r="148" spans="2:7">
      <c r="B148" t="s">
        <v>821</v>
      </c>
      <c r="C148" t="str">
        <f>VLOOKUP(Tabla9[[#This Row],[Codigo]],Stock[#Data],2,FALSE)</f>
        <v>TreeMIX KILL BTI 45 ml</v>
      </c>
      <c r="D148" s="63">
        <f>VLOOKUP(Tabla9[[#This Row],[Codigo]],Stock[#Data],3,FALSE)</f>
        <v>420</v>
      </c>
      <c r="E148">
        <v>28</v>
      </c>
      <c r="F148">
        <v>2</v>
      </c>
      <c r="G148" s="63">
        <f>Tabla9[[#This Row],[Precio Compra]]*Tabla9[[#This Row],[Cantidad]]</f>
        <v>840</v>
      </c>
    </row>
    <row r="149" spans="2:7">
      <c r="B149" t="s">
        <v>821</v>
      </c>
      <c r="C149" t="str">
        <f>VLOOKUP(Tabla9[[#This Row],[Codigo]],Stock[#Data],2,FALSE)</f>
        <v>TreeMIX A 1l</v>
      </c>
      <c r="D149" s="63">
        <f>VLOOKUP(Tabla9[[#This Row],[Codigo]],Stock[#Data],3,FALSE)</f>
        <v>2530</v>
      </c>
      <c r="E149">
        <v>29</v>
      </c>
      <c r="F149">
        <v>2</v>
      </c>
      <c r="G149" s="63">
        <f>Tabla9[[#This Row],[Precio Compra]]*Tabla9[[#This Row],[Cantidad]]</f>
        <v>5060</v>
      </c>
    </row>
    <row r="150" spans="2:7">
      <c r="B150" t="s">
        <v>821</v>
      </c>
      <c r="C150" t="str">
        <f>VLOOKUP(Tabla9[[#This Row],[Codigo]],Stock[#Data],2,FALSE)</f>
        <v>TreeMIX PRO 200ml</v>
      </c>
      <c r="D150" s="63">
        <f>VLOOKUP(Tabla9[[#This Row],[Codigo]],Stock[#Data],3,FALSE)</f>
        <v>700</v>
      </c>
      <c r="E150">
        <v>30</v>
      </c>
      <c r="F150">
        <v>12</v>
      </c>
      <c r="G150" s="63">
        <f>Tabla9[[#This Row],[Precio Compra]]*Tabla9[[#This Row],[Cantidad]]</f>
        <v>8400</v>
      </c>
    </row>
    <row r="151" spans="2:7">
      <c r="B151" t="s">
        <v>821</v>
      </c>
      <c r="C151" t="str">
        <f>VLOOKUP(Tabla9[[#This Row],[Codigo]],Stock[#Data],2,FALSE)</f>
        <v>TreeMIX A 200ml</v>
      </c>
      <c r="D151" s="63">
        <f>VLOOKUP(Tabla9[[#This Row],[Codigo]],Stock[#Data],3,FALSE)</f>
        <v>700</v>
      </c>
      <c r="E151">
        <v>31</v>
      </c>
      <c r="F151">
        <v>13</v>
      </c>
      <c r="G151" s="63">
        <f>Tabla9[[#This Row],[Precio Compra]]*Tabla9[[#This Row],[Cantidad]]</f>
        <v>9100</v>
      </c>
    </row>
    <row r="152" spans="2:7">
      <c r="B152" t="s">
        <v>821</v>
      </c>
      <c r="C152" t="str">
        <f>VLOOKUP(Tabla9[[#This Row],[Codigo]],Stock[#Data],2,FALSE)</f>
        <v>TreeMIX F 200ml</v>
      </c>
      <c r="D152" s="63">
        <f>VLOOKUP(Tabla9[[#This Row],[Codigo]],Stock[#Data],3,FALSE)</f>
        <v>715</v>
      </c>
      <c r="E152">
        <v>32</v>
      </c>
      <c r="F152">
        <v>5</v>
      </c>
      <c r="G152" s="63">
        <f>Tabla9[[#This Row],[Precio Compra]]*Tabla9[[#This Row],[Cantidad]]</f>
        <v>3575</v>
      </c>
    </row>
    <row r="153" spans="2:7">
      <c r="B153" t="s">
        <v>821</v>
      </c>
      <c r="C153" t="str">
        <f>VLOOKUP(Tabla9[[#This Row],[Codigo]],Stock[#Data],2,FALSE)</f>
        <v>TreeMIX N 200ml</v>
      </c>
      <c r="D153" s="63">
        <f>VLOOKUP(Tabla9[[#This Row],[Codigo]],Stock[#Data],3,FALSE)</f>
        <v>650</v>
      </c>
      <c r="E153">
        <v>33</v>
      </c>
      <c r="F153">
        <v>9</v>
      </c>
      <c r="G153" s="63">
        <f>Tabla9[[#This Row],[Precio Compra]]*Tabla9[[#This Row],[Cantidad]]</f>
        <v>5850</v>
      </c>
    </row>
    <row r="154" spans="2:7">
      <c r="B154" t="s">
        <v>821</v>
      </c>
      <c r="C154" t="str">
        <f>VLOOKUP(Tabla9[[#This Row],[Codigo]],Stock[#Data],2,FALSE)</f>
        <v>TreeMIX ZYM 200ml</v>
      </c>
      <c r="D154" s="63">
        <f>VLOOKUP(Tabla9[[#This Row],[Codigo]],Stock[#Data],3,FALSE)</f>
        <v>2020</v>
      </c>
      <c r="E154">
        <v>34</v>
      </c>
      <c r="F154">
        <v>1</v>
      </c>
      <c r="G154" s="63">
        <f>Tabla9[[#This Row],[Precio Compra]]*Tabla9[[#This Row],[Cantidad]]</f>
        <v>2020</v>
      </c>
    </row>
    <row r="155" spans="2:7">
      <c r="B155" t="s">
        <v>821</v>
      </c>
      <c r="C155" t="str">
        <f>VLOOKUP(Tabla9[[#This Row],[Codigo]],Stock[#Data],2,FALSE)</f>
        <v>TreeMIX KILL MIX 200ml</v>
      </c>
      <c r="D155" s="63">
        <f>VLOOKUP(Tabla9[[#This Row],[Codigo]],Stock[#Data],3,FALSE)</f>
        <v>715</v>
      </c>
      <c r="E155">
        <v>35</v>
      </c>
      <c r="F155">
        <v>5</v>
      </c>
      <c r="G155" s="63">
        <f>Tabla9[[#This Row],[Precio Compra]]*Tabla9[[#This Row],[Cantidad]]</f>
        <v>3575</v>
      </c>
    </row>
    <row r="156" spans="2:7">
      <c r="B156" t="s">
        <v>821</v>
      </c>
      <c r="C156" t="str">
        <f>VLOOKUP(Tabla9[[#This Row],[Codigo]],Stock[#Data],2,FALSE)</f>
        <v>VAMP Supermelaza</v>
      </c>
      <c r="D156" s="63">
        <f>VLOOKUP(Tabla9[[#This Row],[Codigo]],Stock[#Data],3,FALSE)</f>
        <v>908</v>
      </c>
      <c r="E156">
        <v>36</v>
      </c>
      <c r="F156">
        <v>46</v>
      </c>
      <c r="G156" s="63">
        <f>Tabla9[[#This Row],[Precio Compra]]*Tabla9[[#This Row],[Cantidad]]</f>
        <v>41768</v>
      </c>
    </row>
    <row r="157" spans="2:7">
      <c r="B157" t="s">
        <v>821</v>
      </c>
      <c r="C157" t="str">
        <f>VLOOKUP(Tabla9[[#This Row],[Codigo]],Stock[#Data],2,FALSE)</f>
        <v>VAMP Guano de murcielago Vegetativo</v>
      </c>
      <c r="D157" s="63">
        <f>VLOOKUP(Tabla9[[#This Row],[Codigo]],Stock[#Data],3,FALSE)</f>
        <v>510</v>
      </c>
      <c r="E157">
        <v>37</v>
      </c>
      <c r="F157">
        <v>34</v>
      </c>
      <c r="G157" s="63">
        <f>Tabla9[[#This Row],[Precio Compra]]*Tabla9[[#This Row],[Cantidad]]</f>
        <v>17340</v>
      </c>
    </row>
    <row r="158" spans="2:7">
      <c r="B158" t="s">
        <v>821</v>
      </c>
      <c r="C158" t="str">
        <f>VLOOKUP(Tabla9[[#This Row],[Codigo]],Stock[#Data],2,FALSE)</f>
        <v>VAMP Guano de murcielago Flora</v>
      </c>
      <c r="D158" s="63">
        <f>VLOOKUP(Tabla9[[#This Row],[Codigo]],Stock[#Data],3,FALSE)</f>
        <v>510</v>
      </c>
      <c r="E158">
        <v>38</v>
      </c>
      <c r="F158">
        <v>41</v>
      </c>
      <c r="G158" s="63">
        <f>Tabla9[[#This Row],[Precio Compra]]*Tabla9[[#This Row],[Cantidad]]</f>
        <v>20910</v>
      </c>
    </row>
    <row r="159" spans="2:7">
      <c r="B159" t="s">
        <v>821</v>
      </c>
      <c r="C159" t="str">
        <f>VLOOKUP(Tabla9[[#This Row],[Codigo]],Stock[#Data],2,FALSE)</f>
        <v>VAMP hechizo BOOM</v>
      </c>
      <c r="D159" s="63">
        <f>VLOOKUP(Tabla9[[#This Row],[Codigo]],Stock[#Data],3,FALSE)</f>
        <v>600</v>
      </c>
      <c r="E159">
        <v>39</v>
      </c>
      <c r="F159">
        <v>8</v>
      </c>
      <c r="G159" s="63">
        <f>Tabla9[[#This Row],[Precio Compra]]*Tabla9[[#This Row],[Cantidad]]</f>
        <v>4800</v>
      </c>
    </row>
    <row r="160" spans="2:7">
      <c r="B160" t="s">
        <v>821</v>
      </c>
      <c r="C160" t="str">
        <f>VLOOKUP(Tabla9[[#This Row],[Codigo]],Stock[#Data],2,FALSE)</f>
        <v>VAMP hechizo BLOOM</v>
      </c>
      <c r="D160" s="63">
        <f>VLOOKUP(Tabla9[[#This Row],[Codigo]],Stock[#Data],3,FALSE)</f>
        <v>600</v>
      </c>
      <c r="E160">
        <v>40</v>
      </c>
      <c r="F160">
        <v>8</v>
      </c>
      <c r="G160" s="63">
        <f>Tabla9[[#This Row],[Precio Compra]]*Tabla9[[#This Row],[Cantidad]]</f>
        <v>4800</v>
      </c>
    </row>
    <row r="161" spans="2:7">
      <c r="B161" t="s">
        <v>821</v>
      </c>
      <c r="C161" t="str">
        <f>VLOOKUP(Tabla9[[#This Row],[Codigo]],Stock[#Data],2,FALSE)</f>
        <v>VAMP Pocion IMPKBLE</v>
      </c>
      <c r="D161" s="63">
        <f>VLOOKUP(Tabla9[[#This Row],[Codigo]],Stock[#Data],3,FALSE)</f>
        <v>795</v>
      </c>
      <c r="E161">
        <v>41</v>
      </c>
      <c r="F161">
        <v>9</v>
      </c>
      <c r="G161" s="63">
        <f>Tabla9[[#This Row],[Precio Compra]]*Tabla9[[#This Row],[Cantidad]]</f>
        <v>7155</v>
      </c>
    </row>
    <row r="162" spans="2:7">
      <c r="B162" t="s">
        <v>821</v>
      </c>
      <c r="C162" t="str">
        <f>VLOOKUP(Tabla9[[#This Row],[Codigo]],Stock[#Data],2,FALSE)</f>
        <v>VAMP Pocion INFERNAL</v>
      </c>
      <c r="D162" s="63">
        <f>VLOOKUP(Tabla9[[#This Row],[Codigo]],Stock[#Data],3,FALSE)</f>
        <v>795</v>
      </c>
      <c r="E162">
        <v>42</v>
      </c>
      <c r="F162">
        <v>3</v>
      </c>
      <c r="G162" s="63">
        <f>Tabla9[[#This Row],[Precio Compra]]*Tabla9[[#This Row],[Cantidad]]</f>
        <v>2385</v>
      </c>
    </row>
    <row r="163" spans="2:7">
      <c r="B163" t="s">
        <v>821</v>
      </c>
      <c r="C163" t="str">
        <f>VLOOKUP(Tabla9[[#This Row],[Codigo]],Stock[#Data],2,FALSE)</f>
        <v>VAMP Arcilla Volcanica</v>
      </c>
      <c r="D163" s="63">
        <f>VLOOKUP(Tabla9[[#This Row],[Codigo]],Stock[#Data],3,FALSE)</f>
        <v>458</v>
      </c>
      <c r="E163">
        <v>43</v>
      </c>
      <c r="F163">
        <v>3</v>
      </c>
      <c r="G163" s="63">
        <f>Tabla9[[#This Row],[Precio Compra]]*Tabla9[[#This Row],[Cantidad]]</f>
        <v>1374</v>
      </c>
    </row>
    <row r="164" spans="2:7">
      <c r="B164" t="s">
        <v>821</v>
      </c>
      <c r="C164" t="str">
        <f>VLOOKUP(Tabla9[[#This Row],[Codigo]],Stock[#Data],2,FALSE)</f>
        <v>VAMP sustrato Mágico 10l</v>
      </c>
      <c r="D164" s="63">
        <f>VLOOKUP(Tabla9[[#This Row],[Codigo]],Stock[#Data],3,FALSE)</f>
        <v>250</v>
      </c>
      <c r="E164">
        <v>44</v>
      </c>
      <c r="F164">
        <v>5</v>
      </c>
      <c r="G164" s="63">
        <f>Tabla9[[#This Row],[Precio Compra]]*Tabla9[[#This Row],[Cantidad]]</f>
        <v>1250</v>
      </c>
    </row>
    <row r="165" spans="2:7">
      <c r="B165" t="s">
        <v>821</v>
      </c>
      <c r="C165" t="str">
        <f>VLOOKUP(Tabla9[[#This Row],[Codigo]],Stock[#Data],2,FALSE)</f>
        <v>BioEnergy Trichodermas</v>
      </c>
      <c r="D165" s="63">
        <f>VLOOKUP(Tabla9[[#This Row],[Codigo]],Stock[#Data],3,FALSE)</f>
        <v>350</v>
      </c>
      <c r="E165">
        <v>47</v>
      </c>
      <c r="F165">
        <v>5</v>
      </c>
      <c r="G165" s="63">
        <f>Tabla9[[#This Row],[Precio Compra]]*Tabla9[[#This Row],[Cantidad]]</f>
        <v>1750</v>
      </c>
    </row>
    <row r="166" spans="2:7">
      <c r="B166" t="s">
        <v>821</v>
      </c>
      <c r="C166" t="str">
        <f>VLOOKUP(Tabla9[[#This Row],[Codigo]],Stock[#Data],2,FALSE)</f>
        <v>Landiner humus de lombríz 5l</v>
      </c>
      <c r="D166" s="63">
        <f>VLOOKUP(Tabla9[[#This Row],[Codigo]],Stock[#Data],3,FALSE)</f>
        <v>416</v>
      </c>
      <c r="E166">
        <v>49</v>
      </c>
      <c r="F166">
        <v>5</v>
      </c>
      <c r="G166" s="63">
        <f>Tabla9[[#This Row],[Precio Compra]]*Tabla9[[#This Row],[Cantidad]]</f>
        <v>2080</v>
      </c>
    </row>
    <row r="167" spans="2:7">
      <c r="B167" t="s">
        <v>821</v>
      </c>
      <c r="C167" t="str">
        <f>VLOOKUP(Tabla9[[#This Row],[Codigo]],Stock[#Data],2,FALSE)</f>
        <v>JIFFY moneda turba</v>
      </c>
      <c r="D167" s="63">
        <f>VLOOKUP(Tabla9[[#This Row],[Codigo]],Stock[#Data],3,FALSE)</f>
        <v>70</v>
      </c>
      <c r="E167">
        <v>50</v>
      </c>
      <c r="F167">
        <v>54</v>
      </c>
      <c r="G167" s="63">
        <f>Tabla9[[#This Row],[Precio Compra]]*Tabla9[[#This Row],[Cantidad]]</f>
        <v>3780</v>
      </c>
    </row>
    <row r="168" spans="2:7">
      <c r="B168" t="s">
        <v>821</v>
      </c>
      <c r="C168" t="str">
        <f>VLOOKUP(Tabla9[[#This Row],[Codigo]],Stock[#Data],2,FALSE)</f>
        <v>Landiner Turba 10l</v>
      </c>
      <c r="D168" s="63">
        <f>VLOOKUP(Tabla9[[#This Row],[Codigo]],Stock[#Data],3,FALSE)</f>
        <v>845</v>
      </c>
      <c r="E168">
        <v>51</v>
      </c>
      <c r="F168">
        <v>6</v>
      </c>
      <c r="G168" s="63">
        <f>Tabla9[[#This Row],[Precio Compra]]*Tabla9[[#This Row],[Cantidad]]</f>
        <v>5070</v>
      </c>
    </row>
    <row r="169" spans="2:7">
      <c r="B169" t="s">
        <v>821</v>
      </c>
      <c r="C169" t="str">
        <f>VLOOKUP(Tabla9[[#This Row],[Codigo]],Stock[#Data],2,FALSE)</f>
        <v>Sustrato Perlita</v>
      </c>
      <c r="D169" s="63">
        <f>VLOOKUP(Tabla9[[#This Row],[Codigo]],Stock[#Data],3,FALSE)</f>
        <v>400</v>
      </c>
      <c r="E169">
        <v>52</v>
      </c>
      <c r="F169">
        <v>226</v>
      </c>
      <c r="G169" s="63">
        <f>Tabla9[[#This Row],[Precio Compra]]*Tabla9[[#This Row],[Cantidad]]</f>
        <v>90400</v>
      </c>
    </row>
    <row r="170" spans="2:7">
      <c r="B170" t="s">
        <v>821</v>
      </c>
      <c r="C170" t="str">
        <f>VLOOKUP(Tabla9[[#This Row],[Codigo]],Stock[#Data],2,FALSE)</f>
        <v>Power Cleaning H2O</v>
      </c>
      <c r="D170" s="63">
        <f>VLOOKUP(Tabla9[[#This Row],[Codigo]],Stock[#Data],3,FALSE)</f>
        <v>380</v>
      </c>
      <c r="E170">
        <v>54</v>
      </c>
      <c r="F170">
        <v>5</v>
      </c>
      <c r="G170" s="63">
        <f>Tabla9[[#This Row],[Precio Compra]]*Tabla9[[#This Row],[Cantidad]]</f>
        <v>1900</v>
      </c>
    </row>
    <row r="171" spans="2:7">
      <c r="B171" t="s">
        <v>821</v>
      </c>
      <c r="C171" t="str">
        <f>VLOOKUP(Tabla9[[#This Row],[Codigo]],Stock[#Data],2,FALSE)</f>
        <v>Power PH-</v>
      </c>
      <c r="D171" s="63">
        <f>VLOOKUP(Tabla9[[#This Row],[Codigo]],Stock[#Data],3,FALSE)</f>
        <v>400</v>
      </c>
      <c r="E171">
        <v>55</v>
      </c>
      <c r="F171">
        <v>11</v>
      </c>
      <c r="G171" s="63">
        <f>Tabla9[[#This Row],[Precio Compra]]*Tabla9[[#This Row],[Cantidad]]</f>
        <v>4400</v>
      </c>
    </row>
    <row r="172" spans="2:7">
      <c r="B172" t="s">
        <v>821</v>
      </c>
      <c r="C172" t="str">
        <f>VLOOKUP(Tabla9[[#This Row],[Codigo]],Stock[#Data],2,FALSE)</f>
        <v>Power Buffer PH7</v>
      </c>
      <c r="D172" s="63">
        <f>VLOOKUP(Tabla9[[#This Row],[Codigo]],Stock[#Data],3,FALSE)</f>
        <v>310</v>
      </c>
      <c r="E172">
        <v>56</v>
      </c>
      <c r="F172">
        <v>8</v>
      </c>
      <c r="G172" s="63">
        <f>Tabla9[[#This Row],[Precio Compra]]*Tabla9[[#This Row],[Cantidad]]</f>
        <v>2480</v>
      </c>
    </row>
    <row r="173" spans="2:7">
      <c r="B173" t="s">
        <v>821</v>
      </c>
      <c r="C173" t="str">
        <f>VLOOKUP(Tabla9[[#This Row],[Codigo]],Stock[#Data],2,FALSE)</f>
        <v>Power Buffer PH4</v>
      </c>
      <c r="D173" s="63">
        <f>VLOOKUP(Tabla9[[#This Row],[Codigo]],Stock[#Data],3,FALSE)</f>
        <v>310</v>
      </c>
      <c r="E173">
        <v>57</v>
      </c>
      <c r="F173">
        <v>8</v>
      </c>
      <c r="G173" s="63">
        <f>Tabla9[[#This Row],[Precio Compra]]*Tabla9[[#This Row],[Cantidad]]</f>
        <v>2480</v>
      </c>
    </row>
    <row r="174" spans="2:7">
      <c r="B174" t="s">
        <v>821</v>
      </c>
      <c r="C174" t="str">
        <f>VLOOKUP(Tabla9[[#This Row],[Codigo]],Stock[#Data],2,FALSE)</f>
        <v xml:space="preserve">Encendedor Clipper </v>
      </c>
      <c r="D174" s="63">
        <f>VLOOKUP(Tabla9[[#This Row],[Codigo]],Stock[#Data],3,FALSE)</f>
        <v>378</v>
      </c>
      <c r="E174">
        <v>58</v>
      </c>
      <c r="F174">
        <v>54</v>
      </c>
      <c r="G174" s="63">
        <f>Tabla9[[#This Row],[Precio Compra]]*Tabla9[[#This Row],[Cantidad]]</f>
        <v>20412</v>
      </c>
    </row>
    <row r="175" spans="2:7">
      <c r="B175" t="s">
        <v>821</v>
      </c>
      <c r="C175" t="str">
        <f>VLOOKUP(Tabla9[[#This Row],[Codigo]],Stock[#Data],2,FALSE)</f>
        <v xml:space="preserve">Encendedor OCB </v>
      </c>
      <c r="D175" s="63">
        <f>VLOOKUP(Tabla9[[#This Row],[Codigo]],Stock[#Data],3,FALSE)</f>
        <v>481</v>
      </c>
      <c r="E175">
        <v>61</v>
      </c>
      <c r="F175">
        <v>1</v>
      </c>
      <c r="G175" s="63">
        <f>Tabla9[[#This Row],[Precio Compra]]*Tabla9[[#This Row],[Cantidad]]</f>
        <v>481</v>
      </c>
    </row>
    <row r="176" spans="2:7">
      <c r="B176" t="s">
        <v>821</v>
      </c>
      <c r="C176" t="str">
        <f>VLOOKUP(Tabla9[[#This Row],[Codigo]],Stock[#Data],2,FALSE)</f>
        <v>Encendedor Candela soplete</v>
      </c>
      <c r="D176" s="63">
        <f>VLOOKUP(Tabla9[[#This Row],[Codigo]],Stock[#Data],3,FALSE)</f>
        <v>1060</v>
      </c>
      <c r="E176">
        <v>62</v>
      </c>
      <c r="F176">
        <v>6</v>
      </c>
      <c r="G176" s="63">
        <f>Tabla9[[#This Row],[Precio Compra]]*Tabla9[[#This Row],[Cantidad]]</f>
        <v>6360</v>
      </c>
    </row>
    <row r="177" spans="2:7">
      <c r="B177" t="s">
        <v>821</v>
      </c>
      <c r="C177" t="str">
        <f>VLOOKUP(Tabla9[[#This Row],[Codigo]],Stock[#Data],2,FALSE)</f>
        <v>Sedas Lion Rolling Circus 1/4 alfalfa</v>
      </c>
      <c r="D177" s="63">
        <f>VLOOKUP(Tabla9[[#This Row],[Codigo]],Stock[#Data],3,FALSE)</f>
        <v>150</v>
      </c>
      <c r="E177">
        <v>63</v>
      </c>
      <c r="F177">
        <v>42</v>
      </c>
      <c r="G177" s="63">
        <f>Tabla9[[#This Row],[Precio Compra]]*Tabla9[[#This Row],[Cantidad]]</f>
        <v>6300</v>
      </c>
    </row>
    <row r="178" spans="2:7">
      <c r="B178" t="s">
        <v>821</v>
      </c>
      <c r="C178" t="str">
        <f>VLOOKUP(Tabla9[[#This Row],[Codigo]],Stock[#Data],2,FALSE)</f>
        <v>Sedas Lion Rolling Circus Kz alfalfa</v>
      </c>
      <c r="D178" s="63">
        <f>VLOOKUP(Tabla9[[#This Row],[Codigo]],Stock[#Data],3,FALSE)</f>
        <v>259</v>
      </c>
      <c r="E178">
        <v>64</v>
      </c>
      <c r="F178">
        <v>38</v>
      </c>
      <c r="G178" s="63">
        <f>Tabla9[[#This Row],[Precio Compra]]*Tabla9[[#This Row],[Cantidad]]</f>
        <v>9842</v>
      </c>
    </row>
    <row r="179" spans="2:7">
      <c r="B179" t="s">
        <v>821</v>
      </c>
      <c r="C179" t="str">
        <f>VLOOKUP(Tabla9[[#This Row],[Codigo]],Stock[#Data],2,FALSE)</f>
        <v>Sedas Lion Rolling Circus 1/4 celulosa</v>
      </c>
      <c r="D179" s="63">
        <f>VLOOKUP(Tabla9[[#This Row],[Codigo]],Stock[#Data],3,FALSE)</f>
        <v>348</v>
      </c>
      <c r="E179">
        <v>65</v>
      </c>
      <c r="F179">
        <v>7</v>
      </c>
      <c r="G179" s="63">
        <f>Tabla9[[#This Row],[Precio Compra]]*Tabla9[[#This Row],[Cantidad]]</f>
        <v>2436</v>
      </c>
    </row>
    <row r="180" spans="2:7">
      <c r="B180" t="s">
        <v>821</v>
      </c>
      <c r="C180" t="str">
        <f>VLOOKUP(Tabla9[[#This Row],[Codigo]],Stock[#Data],2,FALSE)</f>
        <v>Sedas Lion Rolling Circus 1/4 saborizada Menta</v>
      </c>
      <c r="D180" s="63">
        <f>VLOOKUP(Tabla9[[#This Row],[Codigo]],Stock[#Data],3,FALSE)</f>
        <v>217</v>
      </c>
      <c r="E180">
        <v>66</v>
      </c>
      <c r="F180">
        <v>10</v>
      </c>
      <c r="G180" s="63">
        <f>Tabla9[[#This Row],[Precio Compra]]*Tabla9[[#This Row],[Cantidad]]</f>
        <v>2170</v>
      </c>
    </row>
    <row r="181" spans="2:7">
      <c r="B181" t="s">
        <v>821</v>
      </c>
      <c r="C181" t="str">
        <f>VLOOKUP(Tabla9[[#This Row],[Codigo]],Stock[#Data],2,FALSE)</f>
        <v>Sedas Blunt Rey 1/4 organic</v>
      </c>
      <c r="D181" s="63">
        <f>VLOOKUP(Tabla9[[#This Row],[Codigo]],Stock[#Data],3,FALSE)</f>
        <v>109</v>
      </c>
      <c r="E181">
        <v>67</v>
      </c>
      <c r="F181">
        <v>51</v>
      </c>
      <c r="G181" s="63">
        <f>Tabla9[[#This Row],[Precio Compra]]*Tabla9[[#This Row],[Cantidad]]</f>
        <v>5559</v>
      </c>
    </row>
    <row r="182" spans="2:7">
      <c r="B182" t="s">
        <v>821</v>
      </c>
      <c r="C182" t="str">
        <f>VLOOKUP(Tabla9[[#This Row],[Codigo]],Stock[#Data],2,FALSE)</f>
        <v>Sedas Blunt Rey Kz celulosa Orange</v>
      </c>
      <c r="D182" s="63">
        <f>VLOOKUP(Tabla9[[#This Row],[Codigo]],Stock[#Data],3,FALSE)</f>
        <v>167</v>
      </c>
      <c r="E182">
        <v>68</v>
      </c>
      <c r="F182">
        <v>29</v>
      </c>
      <c r="G182" s="63">
        <f>Tabla9[[#This Row],[Precio Compra]]*Tabla9[[#This Row],[Cantidad]]</f>
        <v>4843</v>
      </c>
    </row>
    <row r="183" spans="2:7">
      <c r="B183" t="s">
        <v>821</v>
      </c>
      <c r="C183" t="str">
        <f>VLOOKUP(Tabla9[[#This Row],[Codigo]],Stock[#Data],2,FALSE)</f>
        <v>Sedas Blunt Rey Kz celulosa Verde</v>
      </c>
      <c r="D183" s="63">
        <f>VLOOKUP(Tabla9[[#This Row],[Codigo]],Stock[#Data],3,FALSE)</f>
        <v>163</v>
      </c>
      <c r="E183">
        <v>70</v>
      </c>
      <c r="F183">
        <v>20</v>
      </c>
      <c r="G183" s="63">
        <f>Tabla9[[#This Row],[Precio Compra]]*Tabla9[[#This Row],[Cantidad]]</f>
        <v>3260</v>
      </c>
    </row>
    <row r="184" spans="2:7">
      <c r="B184" t="s">
        <v>821</v>
      </c>
      <c r="C184" t="str">
        <f>VLOOKUP(Tabla9[[#This Row],[Codigo]],Stock[#Data],2,FALSE)</f>
        <v>Sedas Blunt Rey 1/4 celulosa Orange</v>
      </c>
      <c r="D184" s="63">
        <f>VLOOKUP(Tabla9[[#This Row],[Codigo]],Stock[#Data],3,FALSE)</f>
        <v>143</v>
      </c>
      <c r="E184">
        <v>71</v>
      </c>
      <c r="F184">
        <v>35</v>
      </c>
      <c r="G184" s="63">
        <f>Tabla9[[#This Row],[Precio Compra]]*Tabla9[[#This Row],[Cantidad]]</f>
        <v>5005</v>
      </c>
    </row>
    <row r="185" spans="2:7">
      <c r="B185" t="s">
        <v>821</v>
      </c>
      <c r="C185" t="str">
        <f>VLOOKUP(Tabla9[[#This Row],[Codigo]],Stock[#Data],2,FALSE)</f>
        <v>Sedas Blunt Rey 1/4 celulosa Verde</v>
      </c>
      <c r="D185" s="63">
        <f>VLOOKUP(Tabla9[[#This Row],[Codigo]],Stock[#Data],3,FALSE)</f>
        <v>135</v>
      </c>
      <c r="E185">
        <v>72</v>
      </c>
      <c r="F185">
        <v>16</v>
      </c>
      <c r="G185" s="63">
        <f>Tabla9[[#This Row],[Precio Compra]]*Tabla9[[#This Row],[Cantidad]]</f>
        <v>2160</v>
      </c>
    </row>
    <row r="186" spans="2:7">
      <c r="B186" t="s">
        <v>821</v>
      </c>
      <c r="C186" t="str">
        <f>VLOOKUP(Tabla9[[#This Row],[Codigo]],Stock[#Data],2,FALSE)</f>
        <v>Sedas Blunt Rey 1/4 saborizadas Durazno</v>
      </c>
      <c r="D186" s="63">
        <f>VLOOKUP(Tabla9[[#This Row],[Codigo]],Stock[#Data],3,FALSE)</f>
        <v>126</v>
      </c>
      <c r="E186">
        <v>73</v>
      </c>
      <c r="F186">
        <v>12</v>
      </c>
      <c r="G186" s="63">
        <f>Tabla9[[#This Row],[Precio Compra]]*Tabla9[[#This Row],[Cantidad]]</f>
        <v>1512</v>
      </c>
    </row>
    <row r="187" spans="2:7">
      <c r="B187" t="s">
        <v>821</v>
      </c>
      <c r="C187" t="str">
        <f>VLOOKUP(Tabla9[[#This Row],[Codigo]],Stock[#Data],2,FALSE)</f>
        <v>Sedas Blunt Rey 1/4 saborizadas Uva</v>
      </c>
      <c r="D187" s="63">
        <f>VLOOKUP(Tabla9[[#This Row],[Codigo]],Stock[#Data],3,FALSE)</f>
        <v>126</v>
      </c>
      <c r="E187">
        <v>74</v>
      </c>
      <c r="F187">
        <v>7</v>
      </c>
      <c r="G187" s="63">
        <f>Tabla9[[#This Row],[Precio Compra]]*Tabla9[[#This Row],[Cantidad]]</f>
        <v>882</v>
      </c>
    </row>
    <row r="188" spans="2:7">
      <c r="B188" t="s">
        <v>821</v>
      </c>
      <c r="C188" t="str">
        <f>VLOOKUP(Tabla9[[#This Row],[Codigo]],Stock[#Data],2,FALSE)</f>
        <v>Sedas STAMPS Kz Organic</v>
      </c>
      <c r="D188" s="63">
        <f>VLOOKUP(Tabla9[[#This Row],[Codigo]],Stock[#Data],3,FALSE)</f>
        <v>93</v>
      </c>
      <c r="E188">
        <v>75</v>
      </c>
      <c r="F188">
        <v>4</v>
      </c>
      <c r="G188" s="63">
        <f>Tabla9[[#This Row],[Precio Compra]]*Tabla9[[#This Row],[Cantidad]]</f>
        <v>372</v>
      </c>
    </row>
    <row r="189" spans="2:7">
      <c r="B189" t="s">
        <v>821</v>
      </c>
      <c r="C189" t="str">
        <f>VLOOKUP(Tabla9[[#This Row],[Codigo]],Stock[#Data],2,FALSE)</f>
        <v>Sedas OCB 1/4 Virgin Papers</v>
      </c>
      <c r="D189" s="63">
        <f>VLOOKUP(Tabla9[[#This Row],[Codigo]],Stock[#Data],3,FALSE)</f>
        <v>165</v>
      </c>
      <c r="E189">
        <v>76</v>
      </c>
      <c r="F189">
        <v>20</v>
      </c>
      <c r="G189" s="63">
        <f>Tabla9[[#This Row],[Precio Compra]]*Tabla9[[#This Row],[Cantidad]]</f>
        <v>3300</v>
      </c>
    </row>
    <row r="190" spans="2:7">
      <c r="B190" t="s">
        <v>821</v>
      </c>
      <c r="C190" t="str">
        <f>VLOOKUP(Tabla9[[#This Row],[Codigo]],Stock[#Data],2,FALSE)</f>
        <v>Sedas OCB 1/4 Organic  Bamboo</v>
      </c>
      <c r="D190" s="63">
        <f>VLOOKUP(Tabla9[[#This Row],[Codigo]],Stock[#Data],3,FALSE)</f>
        <v>165</v>
      </c>
      <c r="E190">
        <v>77</v>
      </c>
      <c r="F190">
        <v>63</v>
      </c>
      <c r="G190" s="63">
        <f>Tabla9[[#This Row],[Precio Compra]]*Tabla9[[#This Row],[Cantidad]]</f>
        <v>10395</v>
      </c>
    </row>
    <row r="191" spans="2:7">
      <c r="B191" t="s">
        <v>821</v>
      </c>
      <c r="C191" t="str">
        <f>VLOOKUP(Tabla9[[#This Row],[Codigo]],Stock[#Data],2,FALSE)</f>
        <v xml:space="preserve"> Sedas LION Kz Ultra fina</v>
      </c>
      <c r="D191" s="63">
        <f>VLOOKUP(Tabla9[[#This Row],[Codigo]],Stock[#Data],3,FALSE)</f>
        <v>65</v>
      </c>
      <c r="E191">
        <v>78</v>
      </c>
      <c r="F191">
        <v>46</v>
      </c>
      <c r="G191" s="63">
        <f>Tabla9[[#This Row],[Precio Compra]]*Tabla9[[#This Row],[Cantidad]]</f>
        <v>2990</v>
      </c>
    </row>
    <row r="192" spans="2:7">
      <c r="B192" t="s">
        <v>821</v>
      </c>
      <c r="C192" t="str">
        <f>VLOOKUP(Tabla9[[#This Row],[Codigo]],Stock[#Data],2,FALSE)</f>
        <v>Sedas RAW 1/4 +tips BROWN</v>
      </c>
      <c r="D192" s="63">
        <f>VLOOKUP(Tabla9[[#This Row],[Codigo]],Stock[#Data],3,FALSE)</f>
        <v>568</v>
      </c>
      <c r="E192">
        <v>80</v>
      </c>
      <c r="F192">
        <v>15</v>
      </c>
      <c r="G192" s="63">
        <f>Tabla9[[#This Row],[Precio Compra]]*Tabla9[[#This Row],[Cantidad]]</f>
        <v>8520</v>
      </c>
    </row>
    <row r="193" spans="2:7">
      <c r="B193" t="s">
        <v>821</v>
      </c>
      <c r="C193" t="str">
        <f>VLOOKUP(Tabla9[[#This Row],[Codigo]],Stock[#Data],2,FALSE)</f>
        <v>Sedas RAW 1/4 +tips BLACK</v>
      </c>
      <c r="D193" s="63">
        <f>VLOOKUP(Tabla9[[#This Row],[Codigo]],Stock[#Data],3,FALSE)</f>
        <v>514</v>
      </c>
      <c r="E193">
        <v>81</v>
      </c>
      <c r="F193">
        <v>2</v>
      </c>
      <c r="G193" s="63">
        <f>Tabla9[[#This Row],[Precio Compra]]*Tabla9[[#This Row],[Cantidad]]</f>
        <v>1028</v>
      </c>
    </row>
    <row r="194" spans="2:7">
      <c r="B194" t="s">
        <v>821</v>
      </c>
      <c r="C194" t="str">
        <f>VLOOKUP(Tabla9[[#This Row],[Codigo]],Stock[#Data],2,FALSE)</f>
        <v>Sedas Smoking x 300</v>
      </c>
      <c r="D194" s="63">
        <f>VLOOKUP(Tabla9[[#This Row],[Codigo]],Stock[#Data],3,FALSE)</f>
        <v>223</v>
      </c>
      <c r="E194">
        <v>83</v>
      </c>
      <c r="F194">
        <v>5</v>
      </c>
      <c r="G194" s="63">
        <f>Tabla9[[#This Row],[Precio Compra]]*Tabla9[[#This Row],[Cantidad]]</f>
        <v>1115</v>
      </c>
    </row>
    <row r="195" spans="2:7">
      <c r="B195" t="s">
        <v>821</v>
      </c>
      <c r="C195" t="str">
        <f>VLOOKUP(Tabla9[[#This Row],[Codigo]],Stock[#Data],2,FALSE)</f>
        <v>Sedas ABADIE x 100</v>
      </c>
      <c r="D195" s="63">
        <f>VLOOKUP(Tabla9[[#This Row],[Codigo]],Stock[#Data],3,FALSE)</f>
        <v>150</v>
      </c>
      <c r="E195">
        <v>84</v>
      </c>
      <c r="F195">
        <v>1</v>
      </c>
      <c r="G195" s="63">
        <f>Tabla9[[#This Row],[Precio Compra]]*Tabla9[[#This Row],[Cantidad]]</f>
        <v>150</v>
      </c>
    </row>
    <row r="196" spans="2:7">
      <c r="B196" t="s">
        <v>821</v>
      </c>
      <c r="C196" t="str">
        <f>VLOOKUP(Tabla9[[#This Row],[Codigo]],Stock[#Data],2,FALSE)</f>
        <v>Sedas GIZEH Kz Pink</v>
      </c>
      <c r="D196" s="63">
        <f>VLOOKUP(Tabla9[[#This Row],[Codigo]],Stock[#Data],3,FALSE)</f>
        <v>298</v>
      </c>
      <c r="E196">
        <v>86</v>
      </c>
      <c r="F196">
        <v>43</v>
      </c>
      <c r="G196" s="63">
        <f>Tabla9[[#This Row],[Precio Compra]]*Tabla9[[#This Row],[Cantidad]]</f>
        <v>12814</v>
      </c>
    </row>
    <row r="197" spans="2:7">
      <c r="B197" t="s">
        <v>821</v>
      </c>
      <c r="C197" t="str">
        <f>VLOOKUP(Tabla9[[#This Row],[Codigo]],Stock[#Data],2,FALSE)</f>
        <v xml:space="preserve">Sedas GIZEH 1/4 +tips </v>
      </c>
      <c r="D197" s="63">
        <f>VLOOKUP(Tabla9[[#This Row],[Codigo]],Stock[#Data],3,FALSE)</f>
        <v>310</v>
      </c>
      <c r="E197">
        <v>87</v>
      </c>
      <c r="F197">
        <v>2</v>
      </c>
      <c r="G197" s="63">
        <f>Tabla9[[#This Row],[Precio Compra]]*Tabla9[[#This Row],[Cantidad]]</f>
        <v>620</v>
      </c>
    </row>
    <row r="198" spans="2:7">
      <c r="B198" t="s">
        <v>821</v>
      </c>
      <c r="C198" t="str">
        <f>VLOOKUP(Tabla9[[#This Row],[Codigo]],Stock[#Data],2,FALSE)</f>
        <v xml:space="preserve">Sedas GIZEH Kz +tips </v>
      </c>
      <c r="D198" s="63">
        <f>VLOOKUP(Tabla9[[#This Row],[Codigo]],Stock[#Data],3,FALSE)</f>
        <v>350</v>
      </c>
      <c r="E198">
        <v>88</v>
      </c>
      <c r="F198">
        <v>4</v>
      </c>
      <c r="G198" s="63">
        <f>Tabla9[[#This Row],[Precio Compra]]*Tabla9[[#This Row],[Cantidad]]</f>
        <v>1400</v>
      </c>
    </row>
    <row r="199" spans="2:7">
      <c r="B199" t="s">
        <v>821</v>
      </c>
      <c r="C199" t="str">
        <f>VLOOKUP(Tabla9[[#This Row],[Codigo]],Stock[#Data],2,FALSE)</f>
        <v>Sedas GIZEH rollo de seda</v>
      </c>
      <c r="D199" s="63">
        <f>VLOOKUP(Tabla9[[#This Row],[Codigo]],Stock[#Data],3,FALSE)</f>
        <v>125</v>
      </c>
      <c r="E199">
        <v>89</v>
      </c>
      <c r="F199">
        <v>2</v>
      </c>
      <c r="G199" s="63">
        <f>Tabla9[[#This Row],[Precio Compra]]*Tabla9[[#This Row],[Cantidad]]</f>
        <v>250</v>
      </c>
    </row>
    <row r="200" spans="2:7">
      <c r="B200" t="s">
        <v>821</v>
      </c>
      <c r="C200" t="str">
        <f>VLOOKUP(Tabla9[[#This Row],[Codigo]],Stock[#Data],2,FALSE)</f>
        <v>Sedas PRISMA 1/4 Purple</v>
      </c>
      <c r="D200" s="63">
        <f>VLOOKUP(Tabla9[[#This Row],[Codigo]],Stock[#Data],3,FALSE)</f>
        <v>100</v>
      </c>
      <c r="E200">
        <v>90</v>
      </c>
      <c r="F200">
        <v>2</v>
      </c>
      <c r="G200" s="63">
        <f>Tabla9[[#This Row],[Precio Compra]]*Tabla9[[#This Row],[Cantidad]]</f>
        <v>200</v>
      </c>
    </row>
    <row r="201" spans="2:7">
      <c r="B201" t="s">
        <v>821</v>
      </c>
      <c r="C201" t="str">
        <f>VLOOKUP(Tabla9[[#This Row],[Codigo]],Stock[#Data],2,FALSE)</f>
        <v>Sedas PRISMA 1/4 Blue</v>
      </c>
      <c r="D201" s="63">
        <f>VLOOKUP(Tabla9[[#This Row],[Codigo]],Stock[#Data],3,FALSE)</f>
        <v>100</v>
      </c>
      <c r="E201">
        <v>91</v>
      </c>
      <c r="F201">
        <v>7</v>
      </c>
      <c r="G201" s="63">
        <f>Tabla9[[#This Row],[Precio Compra]]*Tabla9[[#This Row],[Cantidad]]</f>
        <v>700</v>
      </c>
    </row>
    <row r="202" spans="2:7">
      <c r="B202" t="s">
        <v>821</v>
      </c>
      <c r="C202" t="str">
        <f>VLOOKUP(Tabla9[[#This Row],[Codigo]],Stock[#Data],2,FALSE)</f>
        <v>Sedas PRISMA 1/4 Pink</v>
      </c>
      <c r="D202" s="63">
        <f>VLOOKUP(Tabla9[[#This Row],[Codigo]],Stock[#Data],3,FALSE)</f>
        <v>100</v>
      </c>
      <c r="E202">
        <v>92</v>
      </c>
      <c r="F202">
        <v>7</v>
      </c>
      <c r="G202" s="63">
        <f>Tabla9[[#This Row],[Precio Compra]]*Tabla9[[#This Row],[Cantidad]]</f>
        <v>700</v>
      </c>
    </row>
    <row r="203" spans="2:7">
      <c r="B203" t="s">
        <v>821</v>
      </c>
      <c r="C203" t="str">
        <f>VLOOKUP(Tabla9[[#This Row],[Codigo]],Stock[#Data],2,FALSE)</f>
        <v>Sedas ROK 1/4 celulosa</v>
      </c>
      <c r="D203" s="63">
        <f>VLOOKUP(Tabla9[[#This Row],[Codigo]],Stock[#Data],3,FALSE)</f>
        <v>111</v>
      </c>
      <c r="E203">
        <v>93</v>
      </c>
      <c r="F203">
        <v>2</v>
      </c>
      <c r="G203" s="63">
        <f>Tabla9[[#This Row],[Precio Compra]]*Tabla9[[#This Row],[Cantidad]]</f>
        <v>222</v>
      </c>
    </row>
    <row r="204" spans="2:7">
      <c r="B204" t="s">
        <v>821</v>
      </c>
      <c r="C204" t="str">
        <f>VLOOKUP(Tabla9[[#This Row],[Codigo]],Stock[#Data],2,FALSE)</f>
        <v>Tips OCB Organic</v>
      </c>
      <c r="D204" s="63">
        <f>VLOOKUP(Tabla9[[#This Row],[Codigo]],Stock[#Data],3,FALSE)</f>
        <v>156</v>
      </c>
      <c r="E204">
        <v>95</v>
      </c>
      <c r="F204">
        <v>5</v>
      </c>
      <c r="G204" s="63">
        <f>Tabla9[[#This Row],[Precio Compra]]*Tabla9[[#This Row],[Cantidad]]</f>
        <v>780</v>
      </c>
    </row>
    <row r="205" spans="2:7">
      <c r="B205" t="s">
        <v>821</v>
      </c>
      <c r="C205" t="str">
        <f>VLOOKUP(Tabla9[[#This Row],[Codigo]],Stock[#Data],2,FALSE)</f>
        <v>Tips Rok Organic</v>
      </c>
      <c r="D205" s="63">
        <f>VLOOKUP(Tabla9[[#This Row],[Codigo]],Stock[#Data],3,FALSE)</f>
        <v>50</v>
      </c>
      <c r="E205">
        <v>96</v>
      </c>
      <c r="F205">
        <v>14</v>
      </c>
      <c r="G205" s="63">
        <f>Tabla9[[#This Row],[Precio Compra]]*Tabla9[[#This Row],[Cantidad]]</f>
        <v>700</v>
      </c>
    </row>
    <row r="206" spans="2:7">
      <c r="B206" t="s">
        <v>821</v>
      </c>
      <c r="C206" t="str">
        <f>VLOOKUP(Tabla9[[#This Row],[Codigo]],Stock[#Data],2,FALSE)</f>
        <v>Tips Lion Rolling Circus pre-armados</v>
      </c>
      <c r="D206" s="63">
        <f>VLOOKUP(Tabla9[[#This Row],[Codigo]],Stock[#Data],3,FALSE)</f>
        <v>803</v>
      </c>
      <c r="E206">
        <v>97</v>
      </c>
      <c r="F206">
        <v>7</v>
      </c>
      <c r="G206" s="63">
        <f>Tabla9[[#This Row],[Precio Compra]]*Tabla9[[#This Row],[Cantidad]]</f>
        <v>5621</v>
      </c>
    </row>
    <row r="207" spans="2:7">
      <c r="B207" t="s">
        <v>821</v>
      </c>
      <c r="C207" t="str">
        <f>VLOOKUP(Tabla9[[#This Row],[Codigo]],Stock[#Data],2,FALSE)</f>
        <v>Blunt Lion Rolling Circus Hemp Wraps Tequila</v>
      </c>
      <c r="D207" s="63">
        <f>VLOOKUP(Tabla9[[#This Row],[Codigo]],Stock[#Data],3,FALSE)</f>
        <v>315</v>
      </c>
      <c r="E207">
        <v>98</v>
      </c>
      <c r="F207">
        <v>1</v>
      </c>
      <c r="G207" s="63">
        <f>Tabla9[[#This Row],[Precio Compra]]*Tabla9[[#This Row],[Cantidad]]</f>
        <v>315</v>
      </c>
    </row>
    <row r="208" spans="2:7">
      <c r="B208" t="s">
        <v>821</v>
      </c>
      <c r="C208" t="str">
        <f>VLOOKUP(Tabla9[[#This Row],[Codigo]],Stock[#Data],2,FALSE)</f>
        <v>Blunt Lion Rolling Circus TERPENES GELATO</v>
      </c>
      <c r="D208" s="63">
        <f>VLOOKUP(Tabla9[[#This Row],[Codigo]],Stock[#Data],3,FALSE)</f>
        <v>422</v>
      </c>
      <c r="E208">
        <v>99</v>
      </c>
      <c r="F208">
        <v>23</v>
      </c>
      <c r="G208" s="63">
        <f>Tabla9[[#This Row],[Precio Compra]]*Tabla9[[#This Row],[Cantidad]]</f>
        <v>9706</v>
      </c>
    </row>
    <row r="209" spans="2:7">
      <c r="B209" t="s">
        <v>821</v>
      </c>
      <c r="C209" t="str">
        <f>VLOOKUP(Tabla9[[#This Row],[Codigo]],Stock[#Data],2,FALSE)</f>
        <v xml:space="preserve"> Blunt Wrap Chocolate</v>
      </c>
      <c r="D209" s="63">
        <f>VLOOKUP(Tabla9[[#This Row],[Codigo]],Stock[#Data],3,FALSE)</f>
        <v>225</v>
      </c>
      <c r="E209">
        <v>100</v>
      </c>
      <c r="F209">
        <v>8</v>
      </c>
      <c r="G209" s="63">
        <f>Tabla9[[#This Row],[Precio Compra]]*Tabla9[[#This Row],[Cantidad]]</f>
        <v>1800</v>
      </c>
    </row>
    <row r="210" spans="2:7">
      <c r="B210" t="s">
        <v>821</v>
      </c>
      <c r="C210" t="str">
        <f>VLOOKUP(Tabla9[[#This Row],[Codigo]],Stock[#Data],2,FALSE)</f>
        <v xml:space="preserve"> Blunt Wrap Purple</v>
      </c>
      <c r="D210" s="63">
        <f>VLOOKUP(Tabla9[[#This Row],[Codigo]],Stock[#Data],3,FALSE)</f>
        <v>225</v>
      </c>
      <c r="E210">
        <v>101</v>
      </c>
      <c r="F210">
        <v>12</v>
      </c>
      <c r="G210" s="63">
        <f>Tabla9[[#This Row],[Precio Compra]]*Tabla9[[#This Row],[Cantidad]]</f>
        <v>2700</v>
      </c>
    </row>
    <row r="211" spans="2:7">
      <c r="B211" t="s">
        <v>821</v>
      </c>
      <c r="C211" t="str">
        <f>VLOOKUP(Tabla9[[#This Row],[Codigo]],Stock[#Data],2,FALSE)</f>
        <v xml:space="preserve"> Blunt Wrap Peach</v>
      </c>
      <c r="D211" s="63">
        <f>VLOOKUP(Tabla9[[#This Row],[Codigo]],Stock[#Data],3,FALSE)</f>
        <v>225</v>
      </c>
      <c r="E211">
        <v>102</v>
      </c>
      <c r="F211">
        <v>13</v>
      </c>
      <c r="G211" s="63">
        <f>Tabla9[[#This Row],[Precio Compra]]*Tabla9[[#This Row],[Cantidad]]</f>
        <v>2925</v>
      </c>
    </row>
    <row r="212" spans="2:7">
      <c r="B212" t="s">
        <v>821</v>
      </c>
      <c r="C212" t="str">
        <f>VLOOKUP(Tabla9[[#This Row],[Codigo]],Stock[#Data],2,FALSE)</f>
        <v xml:space="preserve"> Blunt Wrap White Grape</v>
      </c>
      <c r="D212" s="63">
        <f>VLOOKUP(Tabla9[[#This Row],[Codigo]],Stock[#Data],3,FALSE)</f>
        <v>225</v>
      </c>
      <c r="E212">
        <v>103</v>
      </c>
      <c r="F212">
        <v>21</v>
      </c>
      <c r="G212" s="63">
        <f>Tabla9[[#This Row],[Precio Compra]]*Tabla9[[#This Row],[Cantidad]]</f>
        <v>4725</v>
      </c>
    </row>
    <row r="213" spans="2:7">
      <c r="B213" t="s">
        <v>821</v>
      </c>
      <c r="C213" t="str">
        <f>VLOOKUP(Tabla9[[#This Row],[Codigo]],Stock[#Data],2,FALSE)</f>
        <v xml:space="preserve"> Blunt Wrap Blueberry</v>
      </c>
      <c r="D213" s="63">
        <f>VLOOKUP(Tabla9[[#This Row],[Codigo]],Stock[#Data],3,FALSE)</f>
        <v>225</v>
      </c>
      <c r="E213">
        <v>106</v>
      </c>
      <c r="F213">
        <v>3</v>
      </c>
      <c r="G213" s="63">
        <f>Tabla9[[#This Row],[Precio Compra]]*Tabla9[[#This Row],[Cantidad]]</f>
        <v>675</v>
      </c>
    </row>
    <row r="214" spans="2:7">
      <c r="B214" t="s">
        <v>821</v>
      </c>
      <c r="C214" t="str">
        <f>VLOOKUP(Tabla9[[#This Row],[Codigo]],Stock[#Data],2,FALSE)</f>
        <v>Filtros GIZEH biodegradable</v>
      </c>
      <c r="D214" s="63">
        <f>VLOOKUP(Tabla9[[#This Row],[Codigo]],Stock[#Data],3,FALSE)</f>
        <v>280</v>
      </c>
      <c r="E214">
        <v>107</v>
      </c>
      <c r="F214">
        <v>25</v>
      </c>
      <c r="G214" s="63">
        <f>Tabla9[[#This Row],[Precio Compra]]*Tabla9[[#This Row],[Cantidad]]</f>
        <v>7000</v>
      </c>
    </row>
    <row r="215" spans="2:7">
      <c r="B215" t="s">
        <v>821</v>
      </c>
      <c r="C215" t="str">
        <f>VLOOKUP(Tabla9[[#This Row],[Codigo]],Stock[#Data],2,FALSE)</f>
        <v>Papel Rosin Lion Rolling Circus doble silicona</v>
      </c>
      <c r="D215" s="63">
        <f>VLOOKUP(Tabla9[[#This Row],[Codigo]],Stock[#Data],3,FALSE)</f>
        <v>843</v>
      </c>
      <c r="E215">
        <v>109</v>
      </c>
      <c r="F215">
        <v>1</v>
      </c>
      <c r="G215" s="63">
        <f>Tabla9[[#This Row],[Precio Compra]]*Tabla9[[#This Row],[Cantidad]]</f>
        <v>843</v>
      </c>
    </row>
    <row r="216" spans="2:7">
      <c r="B216" t="s">
        <v>821</v>
      </c>
      <c r="C216" t="str">
        <f>VLOOKUP(Tabla9[[#This Row],[Codigo]],Stock[#Data],2,FALSE)</f>
        <v>Papel Rosin Lion Rolling Circus Natural</v>
      </c>
      <c r="D216" s="63">
        <f>VLOOKUP(Tabla9[[#This Row],[Codigo]],Stock[#Data],3,FALSE)</f>
        <v>843</v>
      </c>
      <c r="E216">
        <v>110</v>
      </c>
      <c r="F216">
        <v>3</v>
      </c>
      <c r="G216" s="63">
        <f>Tabla9[[#This Row],[Precio Compra]]*Tabla9[[#This Row],[Cantidad]]</f>
        <v>2529</v>
      </c>
    </row>
    <row r="217" spans="2:7">
      <c r="B217" t="s">
        <v>821</v>
      </c>
      <c r="C217" t="str">
        <f>VLOOKUP(Tabla9[[#This Row],[Codigo]],Stock[#Data],2,FALSE)</f>
        <v>Papel Rosin RAW XL</v>
      </c>
      <c r="D217" s="63">
        <f>VLOOKUP(Tabla9[[#This Row],[Codigo]],Stock[#Data],3,FALSE)</f>
        <v>3273</v>
      </c>
      <c r="E217">
        <v>111</v>
      </c>
      <c r="F217">
        <v>1</v>
      </c>
      <c r="G217" s="63">
        <f>Tabla9[[#This Row],[Precio Compra]]*Tabla9[[#This Row],[Cantidad]]</f>
        <v>3273</v>
      </c>
    </row>
    <row r="218" spans="2:7">
      <c r="B218" t="s">
        <v>821</v>
      </c>
      <c r="C218" t="str">
        <f>VLOOKUP(Tabla9[[#This Row],[Codigo]],Stock[#Data],2,FALSE)</f>
        <v>Tabaco Cerrito</v>
      </c>
      <c r="D218" s="63">
        <f>VLOOKUP(Tabla9[[#This Row],[Codigo]],Stock[#Data],3,FALSE)</f>
        <v>552</v>
      </c>
      <c r="E218">
        <v>112</v>
      </c>
      <c r="F218">
        <v>3</v>
      </c>
      <c r="G218" s="63">
        <f>Tabla9[[#This Row],[Precio Compra]]*Tabla9[[#This Row],[Cantidad]]</f>
        <v>1656</v>
      </c>
    </row>
    <row r="219" spans="2:7">
      <c r="B219" t="s">
        <v>821</v>
      </c>
      <c r="C219" t="str">
        <f>VLOOKUP(Tabla9[[#This Row],[Codigo]],Stock[#Data],2,FALSE)</f>
        <v>Tabaco RED FIELD</v>
      </c>
      <c r="D219" s="63">
        <f>VLOOKUP(Tabla9[[#This Row],[Codigo]],Stock[#Data],3,FALSE)</f>
        <v>525</v>
      </c>
      <c r="E219">
        <v>114</v>
      </c>
      <c r="F219">
        <v>2</v>
      </c>
      <c r="G219" s="63">
        <f>Tabla9[[#This Row],[Precio Compra]]*Tabla9[[#This Row],[Cantidad]]</f>
        <v>1050</v>
      </c>
    </row>
    <row r="220" spans="2:7">
      <c r="B220" t="s">
        <v>821</v>
      </c>
      <c r="C220" t="str">
        <f>VLOOKUP(Tabla9[[#This Row],[Codigo]],Stock[#Data],2,FALSE)</f>
        <v>Tabaco Van Kiff Natural</v>
      </c>
      <c r="D220" s="63">
        <f>VLOOKUP(Tabla9[[#This Row],[Codigo]],Stock[#Data],3,FALSE)</f>
        <v>580</v>
      </c>
      <c r="E220">
        <v>117</v>
      </c>
      <c r="F220">
        <v>26</v>
      </c>
      <c r="G220" s="63">
        <f>Tabla9[[#This Row],[Precio Compra]]*Tabla9[[#This Row],[Cantidad]]</f>
        <v>15080</v>
      </c>
    </row>
    <row r="221" spans="2:7">
      <c r="B221" t="s">
        <v>821</v>
      </c>
      <c r="C221" t="str">
        <f>VLOOKUP(Tabla9[[#This Row],[Codigo]],Stock[#Data],2,FALSE)</f>
        <v>Tabaco Van Kiff Cherry</v>
      </c>
      <c r="D221" s="63">
        <f>VLOOKUP(Tabla9[[#This Row],[Codigo]],Stock[#Data],3,FALSE)</f>
        <v>580</v>
      </c>
      <c r="E221">
        <v>118</v>
      </c>
      <c r="F221">
        <v>6</v>
      </c>
      <c r="G221" s="63">
        <f>Tabla9[[#This Row],[Precio Compra]]*Tabla9[[#This Row],[Cantidad]]</f>
        <v>3480</v>
      </c>
    </row>
    <row r="222" spans="2:7">
      <c r="B222" t="s">
        <v>821</v>
      </c>
      <c r="C222" t="str">
        <f>VLOOKUP(Tabla9[[#This Row],[Codigo]],Stock[#Data],2,FALSE)</f>
        <v>Tabaco Van Kiff Chocolate</v>
      </c>
      <c r="D222" s="63">
        <f>VLOOKUP(Tabla9[[#This Row],[Codigo]],Stock[#Data],3,FALSE)</f>
        <v>580</v>
      </c>
      <c r="E222">
        <v>119</v>
      </c>
      <c r="F222">
        <v>14</v>
      </c>
      <c r="G222" s="63">
        <f>Tabla9[[#This Row],[Precio Compra]]*Tabla9[[#This Row],[Cantidad]]</f>
        <v>8120</v>
      </c>
    </row>
    <row r="223" spans="2:7">
      <c r="B223" t="s">
        <v>821</v>
      </c>
      <c r="C223" t="str">
        <f>VLOOKUP(Tabla9[[#This Row],[Codigo]],Stock[#Data],2,FALSE)</f>
        <v>Tabaco Van Kiff Vainilla</v>
      </c>
      <c r="D223" s="63">
        <f>VLOOKUP(Tabla9[[#This Row],[Codigo]],Stock[#Data],3,FALSE)</f>
        <v>580</v>
      </c>
      <c r="E223">
        <v>120</v>
      </c>
      <c r="F223">
        <v>40</v>
      </c>
      <c r="G223" s="63">
        <f>Tabla9[[#This Row],[Precio Compra]]*Tabla9[[#This Row],[Cantidad]]</f>
        <v>23200</v>
      </c>
    </row>
    <row r="224" spans="2:7">
      <c r="B224" t="s">
        <v>821</v>
      </c>
      <c r="C224" t="str">
        <f>VLOOKUP(Tabla9[[#This Row],[Codigo]],Stock[#Data],2,FALSE)</f>
        <v>Tabaco Adayya naguile</v>
      </c>
      <c r="D224" s="63">
        <f>VLOOKUP(Tabla9[[#This Row],[Codigo]],Stock[#Data],3,FALSE)</f>
        <v>560</v>
      </c>
      <c r="E224">
        <v>121</v>
      </c>
      <c r="F224">
        <v>1</v>
      </c>
      <c r="G224" s="63">
        <f>Tabla9[[#This Row],[Precio Compra]]*Tabla9[[#This Row],[Cantidad]]</f>
        <v>560</v>
      </c>
    </row>
    <row r="225" spans="2:7">
      <c r="B225" t="s">
        <v>821</v>
      </c>
      <c r="C225" t="str">
        <f>VLOOKUP(Tabla9[[#This Row],[Codigo]],Stock[#Data],2,FALSE)</f>
        <v>Tabaco Argento pipa</v>
      </c>
      <c r="D225" s="63">
        <f>VLOOKUP(Tabla9[[#This Row],[Codigo]],Stock[#Data],3,FALSE)</f>
        <v>665</v>
      </c>
      <c r="E225">
        <v>122</v>
      </c>
      <c r="F225">
        <v>2</v>
      </c>
      <c r="G225" s="63">
        <f>Tabla9[[#This Row],[Precio Compra]]*Tabla9[[#This Row],[Cantidad]]</f>
        <v>1330</v>
      </c>
    </row>
    <row r="226" spans="2:7">
      <c r="B226" t="s">
        <v>821</v>
      </c>
      <c r="C226" t="str">
        <f>VLOOKUP(Tabla9[[#This Row],[Codigo]],Stock[#Data],2,FALSE)</f>
        <v xml:space="preserve">Conos $100 Honey Puff </v>
      </c>
      <c r="D226" s="63">
        <f>VLOOKUP(Tabla9[[#This Row],[Codigo]],Stock[#Data],3,FALSE)</f>
        <v>170</v>
      </c>
      <c r="E226">
        <v>123</v>
      </c>
      <c r="F226">
        <v>7</v>
      </c>
      <c r="G226" s="63">
        <f>Tabla9[[#This Row],[Precio Compra]]*Tabla9[[#This Row],[Cantidad]]</f>
        <v>1190</v>
      </c>
    </row>
    <row r="227" spans="2:7">
      <c r="B227" t="s">
        <v>821</v>
      </c>
      <c r="C227" t="str">
        <f>VLOOKUP(Tabla9[[#This Row],[Codigo]],Stock[#Data],2,FALSE)</f>
        <v>Conos RAW x5 Stage RAWKET</v>
      </c>
      <c r="D227" s="63">
        <f>VLOOKUP(Tabla9[[#This Row],[Codigo]],Stock[#Data],3,FALSE)</f>
        <v>779</v>
      </c>
      <c r="E227">
        <v>125</v>
      </c>
      <c r="F227">
        <v>1</v>
      </c>
      <c r="G227" s="63">
        <f>Tabla9[[#This Row],[Precio Compra]]*Tabla9[[#This Row],[Cantidad]]</f>
        <v>779</v>
      </c>
    </row>
    <row r="228" spans="2:7">
      <c r="B228" t="s">
        <v>821</v>
      </c>
      <c r="C228" t="str">
        <f>VLOOKUP(Tabla9[[#This Row],[Codigo]],Stock[#Data],2,FALSE)</f>
        <v>Bandeja RAW grande</v>
      </c>
      <c r="D228" s="63">
        <f>VLOOKUP(Tabla9[[#This Row],[Codigo]],Stock[#Data],3,FALSE)</f>
        <v>2915</v>
      </c>
      <c r="E228">
        <v>130</v>
      </c>
      <c r="F228">
        <v>2</v>
      </c>
      <c r="G228" s="63">
        <f>Tabla9[[#This Row],[Precio Compra]]*Tabla9[[#This Row],[Cantidad]]</f>
        <v>5830</v>
      </c>
    </row>
    <row r="229" spans="2:7">
      <c r="B229" t="s">
        <v>821</v>
      </c>
      <c r="C229" t="str">
        <f>VLOOKUP(Tabla9[[#This Row],[Codigo]],Stock[#Data],2,FALSE)</f>
        <v>Bandeja STAMPS grande</v>
      </c>
      <c r="D229" s="63">
        <f>VLOOKUP(Tabla9[[#This Row],[Codigo]],Stock[#Data],3,FALSE)</f>
        <v>1200</v>
      </c>
      <c r="E229">
        <v>131</v>
      </c>
      <c r="F229">
        <v>1</v>
      </c>
      <c r="G229" s="63">
        <f>Tabla9[[#This Row],[Precio Compra]]*Tabla9[[#This Row],[Cantidad]]</f>
        <v>1200</v>
      </c>
    </row>
    <row r="230" spans="2:7">
      <c r="B230" t="s">
        <v>821</v>
      </c>
      <c r="C230" t="str">
        <f>VLOOKUP(Tabla9[[#This Row],[Codigo]],Stock[#Data],2,FALSE)</f>
        <v xml:space="preserve">Bandeja Silicona </v>
      </c>
      <c r="D230" s="63">
        <f>VLOOKUP(Tabla9[[#This Row],[Codigo]],Stock[#Data],3,FALSE)</f>
        <v>3399</v>
      </c>
      <c r="E230">
        <v>133</v>
      </c>
      <c r="F230">
        <v>2</v>
      </c>
      <c r="G230" s="63">
        <f>Tabla9[[#This Row],[Precio Compra]]*Tabla9[[#This Row],[Cantidad]]</f>
        <v>6798</v>
      </c>
    </row>
    <row r="231" spans="2:7">
      <c r="B231" t="s">
        <v>821</v>
      </c>
      <c r="C231" t="str">
        <f>VLOOKUP(Tabla9[[#This Row],[Codigo]],Stock[#Data],2,FALSE)</f>
        <v>Bandeja Blunt Rey chicas m/v</v>
      </c>
      <c r="D231" s="63">
        <f>VLOOKUP(Tabla9[[#This Row],[Codigo]],Stock[#Data],3,FALSE)</f>
        <v>1047</v>
      </c>
      <c r="E231">
        <v>128</v>
      </c>
      <c r="F231">
        <v>9</v>
      </c>
      <c r="G231" s="63">
        <f>Tabla9[[#This Row],[Precio Compra]]*Tabla9[[#This Row],[Cantidad]]</f>
        <v>9423</v>
      </c>
    </row>
    <row r="232" spans="2:7">
      <c r="B232" t="s">
        <v>821</v>
      </c>
      <c r="C232" t="str">
        <f>VLOOKUP(Tabla9[[#This Row],[Codigo]],Stock[#Data],2,FALSE)</f>
        <v>Bandeja Motivos Varios</v>
      </c>
      <c r="D232" s="63">
        <f>VLOOKUP(Tabla9[[#This Row],[Codigo]],Stock[#Data],3,FALSE)</f>
        <v>1047</v>
      </c>
      <c r="E232">
        <v>135</v>
      </c>
      <c r="F232">
        <v>5</v>
      </c>
      <c r="G232" s="63">
        <f>Tabla9[[#This Row],[Precio Compra]]*Tabla9[[#This Row],[Cantidad]]</f>
        <v>5235</v>
      </c>
    </row>
    <row r="233" spans="2:7">
      <c r="B233" t="s">
        <v>821</v>
      </c>
      <c r="C233" t="str">
        <f>VLOOKUP(Tabla9[[#This Row],[Codigo]],Stock[#Data],2,FALSE)</f>
        <v>Bandeja RAW madera</v>
      </c>
      <c r="D233" s="63">
        <f>VLOOKUP(Tabla9[[#This Row],[Codigo]],Stock[#Data],3,FALSE)</f>
        <v>10000</v>
      </c>
      <c r="E233">
        <v>136</v>
      </c>
      <c r="F233">
        <v>1</v>
      </c>
      <c r="G233" s="63">
        <f>Tabla9[[#This Row],[Precio Compra]]*Tabla9[[#This Row],[Cantidad]]</f>
        <v>10000</v>
      </c>
    </row>
    <row r="234" spans="2:7">
      <c r="B234" t="s">
        <v>821</v>
      </c>
      <c r="C234" t="str">
        <f>VLOOKUP(Tabla9[[#This Row],[Codigo]],Stock[#Data],2,FALSE)</f>
        <v>Cenicero Lion Rolling Circus</v>
      </c>
      <c r="D234" s="63">
        <f>VLOOKUP(Tabla9[[#This Row],[Codigo]],Stock[#Data],3,FALSE)</f>
        <v>494</v>
      </c>
      <c r="E234">
        <v>139</v>
      </c>
      <c r="F234">
        <v>5</v>
      </c>
      <c r="G234" s="63">
        <f>Tabla9[[#This Row],[Precio Compra]]*Tabla9[[#This Row],[Cantidad]]</f>
        <v>2470</v>
      </c>
    </row>
    <row r="235" spans="2:7">
      <c r="B235" t="s">
        <v>821</v>
      </c>
      <c r="C235" t="str">
        <f>VLOOKUP(Tabla9[[#This Row],[Codigo]],Stock[#Data],2,FALSE)</f>
        <v>Cenicero Bull Dog</v>
      </c>
      <c r="D235" s="63">
        <f>VLOOKUP(Tabla9[[#This Row],[Codigo]],Stock[#Data],3,FALSE)</f>
        <v>354</v>
      </c>
      <c r="E235">
        <v>140</v>
      </c>
      <c r="F235">
        <v>2</v>
      </c>
      <c r="G235" s="63">
        <f>Tabla9[[#This Row],[Precio Compra]]*Tabla9[[#This Row],[Cantidad]]</f>
        <v>708</v>
      </c>
    </row>
    <row r="236" spans="2:7">
      <c r="B236" t="s">
        <v>821</v>
      </c>
      <c r="C236" t="str">
        <f>VLOOKUP(Tabla9[[#This Row],[Codigo]],Stock[#Data],2,FALSE)</f>
        <v>Cenicero Calavera Chala</v>
      </c>
      <c r="D236" s="63">
        <f>VLOOKUP(Tabla9[[#This Row],[Codigo]],Stock[#Data],3,FALSE)</f>
        <v>225</v>
      </c>
      <c r="E236">
        <v>141</v>
      </c>
      <c r="F236">
        <v>2</v>
      </c>
      <c r="G236" s="63">
        <f>Tabla9[[#This Row],[Precio Compra]]*Tabla9[[#This Row],[Cantidad]]</f>
        <v>450</v>
      </c>
    </row>
    <row r="237" spans="2:7">
      <c r="B237" t="s">
        <v>821</v>
      </c>
      <c r="C237" t="str">
        <f>VLOOKUP(Tabla9[[#This Row],[Codigo]],Stock[#Data],2,FALSE)</f>
        <v>Cenicero Motivos Varios</v>
      </c>
      <c r="D237" s="63">
        <f>VLOOKUP(Tabla9[[#This Row],[Codigo]],Stock[#Data],3,FALSE)</f>
        <v>215</v>
      </c>
      <c r="E237">
        <v>142</v>
      </c>
      <c r="F237">
        <v>2</v>
      </c>
      <c r="G237" s="63">
        <f>Tabla9[[#This Row],[Precio Compra]]*Tabla9[[#This Row],[Cantidad]]</f>
        <v>430</v>
      </c>
    </row>
    <row r="238" spans="2:7">
      <c r="B238" t="s">
        <v>821</v>
      </c>
      <c r="C238" t="str">
        <f>VLOOKUP(Tabla9[[#This Row],[Codigo]],Stock[#Data],2,FALSE)</f>
        <v>Cenicero Vidrio Chala</v>
      </c>
      <c r="D238" s="63">
        <f>VLOOKUP(Tabla9[[#This Row],[Codigo]],Stock[#Data],3,FALSE)</f>
        <v>692</v>
      </c>
      <c r="E238">
        <v>143</v>
      </c>
      <c r="F238">
        <v>3</v>
      </c>
      <c r="G238" s="63">
        <f>Tabla9[[#This Row],[Precio Compra]]*Tabla9[[#This Row],[Cantidad]]</f>
        <v>2076</v>
      </c>
    </row>
    <row r="239" spans="2:7">
      <c r="B239" t="s">
        <v>821</v>
      </c>
      <c r="C239" t="str">
        <f>VLOOKUP(Tabla9[[#This Row],[Codigo]],Stock[#Data],2,FALSE)</f>
        <v xml:space="preserve">Cenicero STAMS </v>
      </c>
      <c r="D239" s="63">
        <f>VLOOKUP(Tabla9[[#This Row],[Codigo]],Stock[#Data],3,FALSE)</f>
        <v>385</v>
      </c>
      <c r="E239">
        <v>144</v>
      </c>
      <c r="F239">
        <v>2</v>
      </c>
      <c r="G239" s="63">
        <f>Tabla9[[#This Row],[Precio Compra]]*Tabla9[[#This Row],[Cantidad]]</f>
        <v>770</v>
      </c>
    </row>
    <row r="240" spans="2:7">
      <c r="B240" t="s">
        <v>821</v>
      </c>
      <c r="C240" t="str">
        <f>VLOOKUP(Tabla9[[#This Row],[Codigo]],Stock[#Data],2,FALSE)</f>
        <v>Lata Lion Rolling Circus</v>
      </c>
      <c r="D240" s="63">
        <f>VLOOKUP(Tabla9[[#This Row],[Codigo]],Stock[#Data],3,FALSE)</f>
        <v>580</v>
      </c>
      <c r="E240">
        <v>145</v>
      </c>
      <c r="F240">
        <v>8</v>
      </c>
      <c r="G240" s="63">
        <f>Tabla9[[#This Row],[Precio Compra]]*Tabla9[[#This Row],[Cantidad]]</f>
        <v>4640</v>
      </c>
    </row>
    <row r="241" spans="2:7">
      <c r="B241" t="s">
        <v>821</v>
      </c>
      <c r="C241" t="str">
        <f>VLOOKUP(Tabla9[[#This Row],[Codigo]],Stock[#Data],2,FALSE)</f>
        <v xml:space="preserve">Lata Van Häasen </v>
      </c>
      <c r="D241" s="63">
        <f>VLOOKUP(Tabla9[[#This Row],[Codigo]],Stock[#Data],3,FALSE)</f>
        <v>380</v>
      </c>
      <c r="E241">
        <v>147</v>
      </c>
      <c r="F241">
        <v>1</v>
      </c>
      <c r="G241" s="63">
        <f>Tabla9[[#This Row],[Precio Compra]]*Tabla9[[#This Row],[Cantidad]]</f>
        <v>380</v>
      </c>
    </row>
    <row r="242" spans="2:7">
      <c r="B242" t="s">
        <v>821</v>
      </c>
      <c r="C242" t="str">
        <f>VLOOKUP(Tabla9[[#This Row],[Codigo]],Stock[#Data],2,FALSE)</f>
        <v>Sauver 1/4</v>
      </c>
      <c r="D242" s="63">
        <f>VLOOKUP(Tabla9[[#This Row],[Codigo]],Stock[#Data],3,FALSE)</f>
        <v>75</v>
      </c>
      <c r="E242">
        <v>149</v>
      </c>
      <c r="F242">
        <v>31</v>
      </c>
      <c r="G242" s="63">
        <f>Tabla9[[#This Row],[Precio Compra]]*Tabla9[[#This Row],[Cantidad]]</f>
        <v>2325</v>
      </c>
    </row>
    <row r="243" spans="2:7">
      <c r="B243" t="s">
        <v>821</v>
      </c>
      <c r="C243" t="str">
        <f>VLOOKUP(Tabla9[[#This Row],[Codigo]],Stock[#Data],2,FALSE)</f>
        <v>Portaseda RAW 1/4</v>
      </c>
      <c r="D243" s="63">
        <f>VLOOKUP(Tabla9[[#This Row],[Codigo]],Stock[#Data],3,FALSE)</f>
        <v>580</v>
      </c>
      <c r="E243">
        <v>150</v>
      </c>
      <c r="F243">
        <v>5</v>
      </c>
      <c r="G243" s="63">
        <f>Tabla9[[#This Row],[Precio Compra]]*Tabla9[[#This Row],[Cantidad]]</f>
        <v>2900</v>
      </c>
    </row>
    <row r="244" spans="2:7">
      <c r="B244" t="s">
        <v>821</v>
      </c>
      <c r="C244" t="str">
        <f>VLOOKUP(Tabla9[[#This Row],[Codigo]],Stock[#Data],2,FALSE)</f>
        <v xml:space="preserve">Portaseda RAW Kz </v>
      </c>
      <c r="D244" s="63">
        <f>VLOOKUP(Tabla9[[#This Row],[Codigo]],Stock[#Data],3,FALSE)</f>
        <v>1160</v>
      </c>
      <c r="E244">
        <v>151</v>
      </c>
      <c r="F244">
        <v>2</v>
      </c>
      <c r="G244" s="63">
        <f>Tabla9[[#This Row],[Precio Compra]]*Tabla9[[#This Row],[Cantidad]]</f>
        <v>2320</v>
      </c>
    </row>
    <row r="245" spans="2:7">
      <c r="B245" t="s">
        <v>821</v>
      </c>
      <c r="C245" t="str">
        <f>VLOOKUP(Tabla9[[#This Row],[Codigo]],Stock[#Data],2,FALSE)</f>
        <v xml:space="preserve">Tabaquera Tobac </v>
      </c>
      <c r="D245" s="63">
        <f>VLOOKUP(Tabla9[[#This Row],[Codigo]],Stock[#Data],3,FALSE)</f>
        <v>2280</v>
      </c>
      <c r="E245">
        <v>153</v>
      </c>
      <c r="F245">
        <v>1</v>
      </c>
      <c r="G245" s="63">
        <f>Tabla9[[#This Row],[Precio Compra]]*Tabla9[[#This Row],[Cantidad]]</f>
        <v>2280</v>
      </c>
    </row>
    <row r="246" spans="2:7">
      <c r="B246" t="s">
        <v>821</v>
      </c>
      <c r="C246" t="str">
        <f>VLOOKUP(Tabla9[[#This Row],[Codigo]],Stock[#Data],2,FALSE)</f>
        <v>Pipa Madera</v>
      </c>
      <c r="D246" s="63">
        <f>VLOOKUP(Tabla9[[#This Row],[Codigo]],Stock[#Data],3,FALSE)</f>
        <v>450</v>
      </c>
      <c r="E246">
        <v>155</v>
      </c>
      <c r="F246">
        <v>2</v>
      </c>
      <c r="G246" s="63">
        <f>Tabla9[[#This Row],[Precio Compra]]*Tabla9[[#This Row],[Cantidad]]</f>
        <v>900</v>
      </c>
    </row>
    <row r="247" spans="2:7">
      <c r="B247" t="s">
        <v>821</v>
      </c>
      <c r="C247" t="str">
        <f>VLOOKUP(Tabla9[[#This Row],[Codigo]],Stock[#Data],2,FALSE)</f>
        <v>Pipa Vidrio y Silicona</v>
      </c>
      <c r="D247" s="63">
        <f>VLOOKUP(Tabla9[[#This Row],[Codigo]],Stock[#Data],3,FALSE)</f>
        <v>929</v>
      </c>
      <c r="E247">
        <v>156</v>
      </c>
      <c r="F247">
        <v>1</v>
      </c>
      <c r="G247" s="63">
        <f>Tabla9[[#This Row],[Precio Compra]]*Tabla9[[#This Row],[Cantidad]]</f>
        <v>929</v>
      </c>
    </row>
    <row r="248" spans="2:7">
      <c r="B248" t="s">
        <v>821</v>
      </c>
      <c r="C248" t="str">
        <f>VLOOKUP(Tabla9[[#This Row],[Codigo]],Stock[#Data],2,FALSE)</f>
        <v>Pipa Silicona</v>
      </c>
      <c r="D248" s="63">
        <f>VLOOKUP(Tabla9[[#This Row],[Codigo]],Stock[#Data],3,FALSE)</f>
        <v>1895</v>
      </c>
      <c r="E248">
        <v>157</v>
      </c>
      <c r="F248">
        <v>6</v>
      </c>
      <c r="G248" s="63">
        <f>Tabla9[[#This Row],[Precio Compra]]*Tabla9[[#This Row],[Cantidad]]</f>
        <v>11370</v>
      </c>
    </row>
    <row r="249" spans="2:7">
      <c r="B249" t="s">
        <v>821</v>
      </c>
      <c r="C249" t="str">
        <f>VLOOKUP(Tabla9[[#This Row],[Codigo]],Stock[#Data],2,FALSE)</f>
        <v>Pipa India</v>
      </c>
      <c r="D249" s="63">
        <f>VLOOKUP(Tabla9[[#This Row],[Codigo]],Stock[#Data],3,FALSE)</f>
        <v>910</v>
      </c>
      <c r="E249">
        <v>158</v>
      </c>
      <c r="F249">
        <v>6</v>
      </c>
      <c r="G249" s="63">
        <f>Tabla9[[#This Row],[Precio Compra]]*Tabla9[[#This Row],[Cantidad]]</f>
        <v>5460</v>
      </c>
    </row>
    <row r="250" spans="2:7">
      <c r="B250" t="s">
        <v>821</v>
      </c>
      <c r="C250" t="str">
        <f>VLOOKUP(Tabla9[[#This Row],[Codigo]],Stock[#Data],2,FALSE)</f>
        <v>Pipa D&amp;K Calavera</v>
      </c>
      <c r="D250" s="63">
        <f>VLOOKUP(Tabla9[[#This Row],[Codigo]],Stock[#Data],3,FALSE)</f>
        <v>1810</v>
      </c>
      <c r="E250">
        <v>159</v>
      </c>
      <c r="F250">
        <v>1</v>
      </c>
      <c r="G250" s="63">
        <f>Tabla9[[#This Row],[Precio Compra]]*Tabla9[[#This Row],[Cantidad]]</f>
        <v>1810</v>
      </c>
    </row>
    <row r="251" spans="2:7">
      <c r="B251" t="s">
        <v>821</v>
      </c>
      <c r="C251" t="str">
        <f>VLOOKUP(Tabla9[[#This Row],[Codigo]],Stock[#Data],2,FALSE)</f>
        <v>Pipa D&amp;K Chica</v>
      </c>
      <c r="D251" s="63">
        <f>VLOOKUP(Tabla9[[#This Row],[Codigo]],Stock[#Data],3,FALSE)</f>
        <v>1020</v>
      </c>
      <c r="E251">
        <v>160</v>
      </c>
      <c r="F251">
        <v>2</v>
      </c>
      <c r="G251" s="63">
        <f>Tabla9[[#This Row],[Precio Compra]]*Tabla9[[#This Row],[Cantidad]]</f>
        <v>2040</v>
      </c>
    </row>
    <row r="252" spans="2:7">
      <c r="B252" t="s">
        <v>821</v>
      </c>
      <c r="C252" t="str">
        <f>VLOOKUP(Tabla9[[#This Row],[Codigo]],Stock[#Data],2,FALSE)</f>
        <v>Pipa D&amp;K Metal+Picador</v>
      </c>
      <c r="D252" s="63">
        <f>VLOOKUP(Tabla9[[#This Row],[Codigo]],Stock[#Data],3,FALSE)</f>
        <v>830</v>
      </c>
      <c r="E252">
        <v>161</v>
      </c>
      <c r="F252">
        <v>1</v>
      </c>
      <c r="G252" s="63">
        <f>Tabla9[[#This Row],[Precio Compra]]*Tabla9[[#This Row],[Cantidad]]</f>
        <v>830</v>
      </c>
    </row>
    <row r="253" spans="2:7">
      <c r="B253" t="s">
        <v>821</v>
      </c>
      <c r="C253" t="str">
        <f>VLOOKUP(Tabla9[[#This Row],[Codigo]],Stock[#Data],2,FALSE)</f>
        <v>Pipa D&amp;K Flexible</v>
      </c>
      <c r="D253" s="63">
        <f>VLOOKUP(Tabla9[[#This Row],[Codigo]],Stock[#Data],3,FALSE)</f>
        <v>1438</v>
      </c>
      <c r="E253">
        <v>163</v>
      </c>
      <c r="F253">
        <v>1</v>
      </c>
      <c r="G253" s="63">
        <f>Tabla9[[#This Row],[Precio Compra]]*Tabla9[[#This Row],[Cantidad]]</f>
        <v>1438</v>
      </c>
    </row>
    <row r="254" spans="2:7">
      <c r="B254" t="s">
        <v>821</v>
      </c>
      <c r="C254" t="str">
        <f>VLOOKUP(Tabla9[[#This Row],[Codigo]],Stock[#Data],2,FALSE)</f>
        <v>Turbina Pico de Silicona</v>
      </c>
      <c r="D254" s="63">
        <f>VLOOKUP(Tabla9[[#This Row],[Codigo]],Stock[#Data],3,FALSE)</f>
        <v>1076</v>
      </c>
      <c r="E254">
        <v>164</v>
      </c>
      <c r="F254">
        <v>6</v>
      </c>
      <c r="G254" s="63">
        <f>Tabla9[[#This Row],[Precio Compra]]*Tabla9[[#This Row],[Cantidad]]</f>
        <v>6456</v>
      </c>
    </row>
    <row r="255" spans="2:7">
      <c r="B255" t="s">
        <v>821</v>
      </c>
      <c r="C255" t="str">
        <f>VLOOKUP(Tabla9[[#This Row],[Codigo]],Stock[#Data],2,FALSE)</f>
        <v>Turbina D&amp;K Pico de Vidrio</v>
      </c>
      <c r="D255" s="63">
        <f>VLOOKUP(Tabla9[[#This Row],[Codigo]],Stock[#Data],3,FALSE)</f>
        <v>1041</v>
      </c>
      <c r="E255">
        <v>167</v>
      </c>
      <c r="F255">
        <v>1</v>
      </c>
      <c r="G255" s="63">
        <f>Tabla9[[#This Row],[Precio Compra]]*Tabla9[[#This Row],[Cantidad]]</f>
        <v>1041</v>
      </c>
    </row>
    <row r="256" spans="2:7">
      <c r="B256" t="s">
        <v>821</v>
      </c>
      <c r="C256" t="str">
        <f>VLOOKUP(Tabla9[[#This Row],[Codigo]],Stock[#Data],2,FALSE)</f>
        <v>Armador ZEUS Plástico</v>
      </c>
      <c r="D256" s="63">
        <f>VLOOKUP(Tabla9[[#This Row],[Codigo]],Stock[#Data],3,FALSE)</f>
        <v>430</v>
      </c>
      <c r="E256">
        <v>170</v>
      </c>
      <c r="F256">
        <v>4</v>
      </c>
      <c r="G256" s="63">
        <f>Tabla9[[#This Row],[Precio Compra]]*Tabla9[[#This Row],[Cantidad]]</f>
        <v>1720</v>
      </c>
    </row>
    <row r="257" spans="2:7">
      <c r="B257" t="s">
        <v>821</v>
      </c>
      <c r="C257" t="str">
        <f>VLOOKUP(Tabla9[[#This Row],[Codigo]],Stock[#Data],2,FALSE)</f>
        <v>Bong Acrilico chico diseños</v>
      </c>
      <c r="D257" s="63">
        <f>VLOOKUP(Tabla9[[#This Row],[Codigo]],Stock[#Data],3,FALSE)</f>
        <v>1030</v>
      </c>
      <c r="E257">
        <v>172</v>
      </c>
      <c r="F257">
        <v>2</v>
      </c>
      <c r="G257" s="63">
        <f>Tabla9[[#This Row],[Precio Compra]]*Tabla9[[#This Row],[Cantidad]]</f>
        <v>2060</v>
      </c>
    </row>
    <row r="258" spans="2:7">
      <c r="B258" t="s">
        <v>821</v>
      </c>
      <c r="C258" t="str">
        <f>VLOOKUP(Tabla9[[#This Row],[Codigo]],Stock[#Data],2,FALSE)</f>
        <v xml:space="preserve">Bong Calavera pirex </v>
      </c>
      <c r="D258" s="63">
        <f>VLOOKUP(Tabla9[[#This Row],[Codigo]],Stock[#Data],3,FALSE)</f>
        <v>7274</v>
      </c>
      <c r="E258">
        <v>174</v>
      </c>
      <c r="F258">
        <v>1</v>
      </c>
      <c r="G258" s="63">
        <f>Tabla9[[#This Row],[Precio Compra]]*Tabla9[[#This Row],[Cantidad]]</f>
        <v>7274</v>
      </c>
    </row>
    <row r="259" spans="2:7">
      <c r="B259" t="s">
        <v>821</v>
      </c>
      <c r="C259" t="str">
        <f>VLOOKUP(Tabla9[[#This Row],[Codigo]],Stock[#Data],2,FALSE)</f>
        <v>Bong Ceramica</v>
      </c>
      <c r="D259" s="63">
        <f>VLOOKUP(Tabla9[[#This Row],[Codigo]],Stock[#Data],3,FALSE)</f>
        <v>3791</v>
      </c>
      <c r="E259">
        <v>175</v>
      </c>
      <c r="F259">
        <v>3</v>
      </c>
      <c r="G259" s="63">
        <f>Tabla9[[#This Row],[Precio Compra]]*Tabla9[[#This Row],[Cantidad]]</f>
        <v>11373</v>
      </c>
    </row>
    <row r="260" spans="2:7">
      <c r="B260" t="s">
        <v>821</v>
      </c>
      <c r="C260" t="str">
        <f>VLOOKUP(Tabla9[[#This Row],[Codigo]],Stock[#Data],2,FALSE)</f>
        <v>Recipiente Rosin SQUADAFUM Redondo Grande</v>
      </c>
      <c r="D260" s="63">
        <f>VLOOKUP(Tabla9[[#This Row],[Codigo]],Stock[#Data],3,FALSE)</f>
        <v>600</v>
      </c>
      <c r="E260">
        <v>179</v>
      </c>
      <c r="F260">
        <v>5</v>
      </c>
      <c r="G260" s="63">
        <f>Tabla9[[#This Row],[Precio Compra]]*Tabla9[[#This Row],[Cantidad]]</f>
        <v>3000</v>
      </c>
    </row>
    <row r="261" spans="2:7">
      <c r="B261" t="s">
        <v>821</v>
      </c>
      <c r="C261" t="str">
        <f>VLOOKUP(Tabla9[[#This Row],[Codigo]],Stock[#Data],2,FALSE)</f>
        <v>Recipiente Rosin SQUADAFUM Redondo Mediano</v>
      </c>
      <c r="D261" s="63">
        <f>VLOOKUP(Tabla9[[#This Row],[Codigo]],Stock[#Data],3,FALSE)</f>
        <v>270</v>
      </c>
      <c r="E261">
        <v>180</v>
      </c>
      <c r="F261">
        <v>4</v>
      </c>
      <c r="G261" s="63">
        <f>Tabla9[[#This Row],[Precio Compra]]*Tabla9[[#This Row],[Cantidad]]</f>
        <v>1080</v>
      </c>
    </row>
    <row r="262" spans="2:7">
      <c r="B262" t="s">
        <v>821</v>
      </c>
      <c r="C262" t="str">
        <f>VLOOKUP(Tabla9[[#This Row],[Codigo]],Stock[#Data],2,FALSE)</f>
        <v>Recipiente Rosin SQUADAFUM Triangular</v>
      </c>
      <c r="D262" s="63">
        <f>VLOOKUP(Tabla9[[#This Row],[Codigo]],Stock[#Data],3,FALSE)</f>
        <v>542</v>
      </c>
      <c r="E262">
        <v>182</v>
      </c>
      <c r="F262">
        <v>4</v>
      </c>
      <c r="G262" s="63">
        <f>Tabla9[[#This Row],[Precio Compra]]*Tabla9[[#This Row],[Cantidad]]</f>
        <v>2168</v>
      </c>
    </row>
    <row r="263" spans="2:7">
      <c r="B263" t="s">
        <v>821</v>
      </c>
      <c r="C263" t="str">
        <f>VLOOKUP(Tabla9[[#This Row],[Codigo]],Stock[#Data],2,FALSE)</f>
        <v>Distribuidor de Riengo 15x15</v>
      </c>
      <c r="D263" s="63">
        <f>VLOOKUP(Tabla9[[#This Row],[Codigo]],Stock[#Data],3,FALSE)</f>
        <v>390</v>
      </c>
      <c r="E263">
        <v>183</v>
      </c>
      <c r="F263">
        <v>5</v>
      </c>
      <c r="G263" s="63">
        <f>Tabla9[[#This Row],[Precio Compra]]*Tabla9[[#This Row],[Cantidad]]</f>
        <v>1950</v>
      </c>
    </row>
    <row r="264" spans="2:7">
      <c r="B264" t="s">
        <v>821</v>
      </c>
      <c r="C264" t="str">
        <f>VLOOKUP(Tabla9[[#This Row],[Codigo]],Stock[#Data],2,FALSE)</f>
        <v>Distribuidor de Riengo Redondo</v>
      </c>
      <c r="D264" s="63">
        <f>VLOOKUP(Tabla9[[#This Row],[Codigo]],Stock[#Data],3,FALSE)</f>
        <v>390</v>
      </c>
      <c r="E264">
        <v>184</v>
      </c>
      <c r="F264">
        <v>4</v>
      </c>
      <c r="G264" s="63">
        <f>Tabla9[[#This Row],[Precio Compra]]*Tabla9[[#This Row],[Cantidad]]</f>
        <v>1560</v>
      </c>
    </row>
    <row r="265" spans="2:7">
      <c r="B265" t="s">
        <v>821</v>
      </c>
      <c r="C265" t="str">
        <f>VLOOKUP(Tabla9[[#This Row],[Codigo]],Stock[#Data],2,FALSE)</f>
        <v>Medidor de PH</v>
      </c>
      <c r="D265" s="63">
        <f>VLOOKUP(Tabla9[[#This Row],[Codigo]],Stock[#Data],3,FALSE)</f>
        <v>2000</v>
      </c>
      <c r="E265">
        <v>185</v>
      </c>
      <c r="F265">
        <v>6</v>
      </c>
      <c r="G265" s="63">
        <f>Tabla9[[#This Row],[Precio Compra]]*Tabla9[[#This Row],[Cantidad]]</f>
        <v>12000</v>
      </c>
    </row>
    <row r="266" spans="2:7">
      <c r="B266" t="s">
        <v>821</v>
      </c>
      <c r="C266" t="str">
        <f>VLOOKUP(Tabla9[[#This Row],[Codigo]],Stock[#Data],2,FALSE)</f>
        <v>Medidor de Electroconductividad</v>
      </c>
      <c r="D266" s="63">
        <f>VLOOKUP(Tabla9[[#This Row],[Codigo]],Stock[#Data],3,FALSE)</f>
        <v>879</v>
      </c>
      <c r="E266">
        <v>186</v>
      </c>
      <c r="F266">
        <v>4</v>
      </c>
      <c r="G266" s="63">
        <f>Tabla9[[#This Row],[Precio Compra]]*Tabla9[[#This Row],[Cantidad]]</f>
        <v>3516</v>
      </c>
    </row>
    <row r="267" spans="2:7">
      <c r="B267" t="s">
        <v>821</v>
      </c>
      <c r="C267" t="str">
        <f>VLOOKUP(Tabla9[[#This Row],[Codigo]],Stock[#Data],2,FALSE)</f>
        <v>Termohidrógeno</v>
      </c>
      <c r="D267" s="63">
        <f>VLOOKUP(Tabla9[[#This Row],[Codigo]],Stock[#Data],3,FALSE)</f>
        <v>2000</v>
      </c>
      <c r="E267">
        <v>187</v>
      </c>
      <c r="F267">
        <v>3</v>
      </c>
      <c r="G267" s="63">
        <f>Tabla9[[#This Row],[Precio Compra]]*Tabla9[[#This Row],[Cantidad]]</f>
        <v>6000</v>
      </c>
    </row>
    <row r="268" spans="2:7">
      <c r="B268" t="s">
        <v>821</v>
      </c>
      <c r="C268" t="str">
        <f>VLOOKUP(Tabla9[[#This Row],[Codigo]],Stock[#Data],2,FALSE)</f>
        <v>Regulador de Humedad 67g 55%</v>
      </c>
      <c r="D268" s="63">
        <f>VLOOKUP(Tabla9[[#This Row],[Codigo]],Stock[#Data],3,FALSE)</f>
        <v>650</v>
      </c>
      <c r="E268">
        <v>188</v>
      </c>
      <c r="F268">
        <v>2</v>
      </c>
      <c r="G268" s="63">
        <f>Tabla9[[#This Row],[Precio Compra]]*Tabla9[[#This Row],[Cantidad]]</f>
        <v>1300</v>
      </c>
    </row>
    <row r="269" spans="2:7">
      <c r="B269" t="s">
        <v>821</v>
      </c>
      <c r="C269" t="str">
        <f>VLOOKUP(Tabla9[[#This Row],[Codigo]],Stock[#Data],2,FALSE)</f>
        <v xml:space="preserve">Pastilla para pipa ZEUS </v>
      </c>
      <c r="D269" s="63">
        <f>VLOOKUP(Tabla9[[#This Row],[Codigo]],Stock[#Data],3,FALSE)</f>
        <v>261</v>
      </c>
      <c r="E269">
        <v>192</v>
      </c>
      <c r="F269">
        <v>3</v>
      </c>
      <c r="G269" s="63">
        <f>Tabla9[[#This Row],[Precio Compra]]*Tabla9[[#This Row],[Cantidad]]</f>
        <v>783</v>
      </c>
    </row>
    <row r="270" spans="2:7">
      <c r="B270" t="s">
        <v>821</v>
      </c>
      <c r="C270" t="str">
        <f>VLOOKUP(Tabla9[[#This Row],[Codigo]],Stock[#Data],2,FALSE)</f>
        <v>Red de Scrog 60x60</v>
      </c>
      <c r="D270" s="63">
        <f>VLOOKUP(Tabla9[[#This Row],[Codigo]],Stock[#Data],3,FALSE)</f>
        <v>522</v>
      </c>
      <c r="E270">
        <v>193</v>
      </c>
      <c r="F270">
        <v>8</v>
      </c>
      <c r="G270" s="63">
        <f>Tabla9[[#This Row],[Precio Compra]]*Tabla9[[#This Row],[Cantidad]]</f>
        <v>4176</v>
      </c>
    </row>
    <row r="271" spans="2:7">
      <c r="B271" t="s">
        <v>821</v>
      </c>
      <c r="C271" t="str">
        <f>VLOOKUP(Tabla9[[#This Row],[Codigo]],Stock[#Data],2,FALSE)</f>
        <v>Red de Scrog 80x80</v>
      </c>
      <c r="D271" s="63">
        <f>VLOOKUP(Tabla9[[#This Row],[Codigo]],Stock[#Data],3,FALSE)</f>
        <v>540</v>
      </c>
      <c r="E271">
        <v>194</v>
      </c>
      <c r="F271">
        <v>12</v>
      </c>
      <c r="G271" s="63">
        <f>Tabla9[[#This Row],[Precio Compra]]*Tabla9[[#This Row],[Cantidad]]</f>
        <v>6480</v>
      </c>
    </row>
    <row r="272" spans="2:7">
      <c r="B272" t="s">
        <v>821</v>
      </c>
      <c r="C272" t="str">
        <f>VLOOKUP(Tabla9[[#This Row],[Codigo]],Stock[#Data],2,FALSE)</f>
        <v>Red de Scrog 100x100</v>
      </c>
      <c r="D272" s="63">
        <f>VLOOKUP(Tabla9[[#This Row],[Codigo]],Stock[#Data],3,FALSE)</f>
        <v>576</v>
      </c>
      <c r="E272">
        <v>195</v>
      </c>
      <c r="F272">
        <v>13</v>
      </c>
      <c r="G272" s="63">
        <f>Tabla9[[#This Row],[Precio Compra]]*Tabla9[[#This Row],[Cantidad]]</f>
        <v>7488</v>
      </c>
    </row>
    <row r="273" spans="2:7">
      <c r="B273" t="s">
        <v>821</v>
      </c>
      <c r="C273" t="str">
        <f>VLOOKUP(Tabla9[[#This Row],[Codigo]],Stock[#Data],2,FALSE)</f>
        <v>Red de Scrog 120x120</v>
      </c>
      <c r="D273" s="63">
        <f>VLOOKUP(Tabla9[[#This Row],[Codigo]],Stock[#Data],3,FALSE)</f>
        <v>630</v>
      </c>
      <c r="E273">
        <v>196</v>
      </c>
      <c r="F273">
        <v>6</v>
      </c>
      <c r="G273" s="63">
        <f>Tabla9[[#This Row],[Precio Compra]]*Tabla9[[#This Row],[Cantidad]]</f>
        <v>3780</v>
      </c>
    </row>
    <row r="274" spans="2:7">
      <c r="B274" t="s">
        <v>821</v>
      </c>
      <c r="C274" t="str">
        <f>VLOOKUP(Tabla9[[#This Row],[Codigo]],Stock[#Data],2,FALSE)</f>
        <v>Red de Scrog 150x150</v>
      </c>
      <c r="D274" s="63">
        <f>VLOOKUP(Tabla9[[#This Row],[Codigo]],Stock[#Data],3,FALSE)</f>
        <v>654</v>
      </c>
      <c r="E274">
        <v>197</v>
      </c>
      <c r="F274">
        <v>1</v>
      </c>
      <c r="G274" s="63">
        <f>Tabla9[[#This Row],[Precio Compra]]*Tabla9[[#This Row],[Cantidad]]</f>
        <v>654</v>
      </c>
    </row>
    <row r="275" spans="2:7">
      <c r="B275" t="s">
        <v>821</v>
      </c>
      <c r="C275" t="str">
        <f>VLOOKUP(Tabla9[[#This Row],[Codigo]],Stock[#Data],2,FALSE)</f>
        <v>Red de Scrog Cronic Scrog Pot</v>
      </c>
      <c r="D275" s="63">
        <f>VLOOKUP(Tabla9[[#This Row],[Codigo]],Stock[#Data],3,FALSE)</f>
        <v>615</v>
      </c>
      <c r="E275">
        <v>198</v>
      </c>
      <c r="F275">
        <v>1</v>
      </c>
      <c r="G275" s="63">
        <f>Tabla9[[#This Row],[Precio Compra]]*Tabla9[[#This Row],[Cantidad]]</f>
        <v>615</v>
      </c>
    </row>
    <row r="276" spans="2:7">
      <c r="B276" t="s">
        <v>821</v>
      </c>
      <c r="C276" t="str">
        <f>VLOOKUP(Tabla9[[#This Row],[Codigo]],Stock[#Data],2,FALSE)</f>
        <v>POWER TREBOL</v>
      </c>
      <c r="D276" s="63">
        <f>VLOOKUP(Tabla9[[#This Row],[Codigo]],Stock[#Data],3,FALSE)</f>
        <v>140</v>
      </c>
      <c r="E276">
        <v>199</v>
      </c>
      <c r="F276">
        <v>20</v>
      </c>
      <c r="G276" s="63">
        <f>Tabla9[[#This Row],[Precio Compra]]*Tabla9[[#This Row],[Cantidad]]</f>
        <v>2800</v>
      </c>
    </row>
    <row r="277" spans="2:7">
      <c r="B277" t="s">
        <v>821</v>
      </c>
      <c r="C277" t="str">
        <f>VLOOKUP(Tabla9[[#This Row],[Codigo]],Stock[#Data],2,FALSE)</f>
        <v>Piedra para encendedor</v>
      </c>
      <c r="D277" s="63">
        <f>VLOOKUP(Tabla9[[#This Row],[Codigo]],Stock[#Data],3,FALSE)</f>
        <v>223</v>
      </c>
      <c r="E277">
        <v>201</v>
      </c>
      <c r="F277">
        <v>30</v>
      </c>
      <c r="G277" s="63">
        <f>Tabla9[[#This Row],[Precio Compra]]*Tabla9[[#This Row],[Cantidad]]</f>
        <v>6690</v>
      </c>
    </row>
    <row r="278" spans="2:7">
      <c r="B278" t="s">
        <v>821</v>
      </c>
      <c r="C278" t="str">
        <f>VLOOKUP(Tabla9[[#This Row],[Codigo]],Stock[#Data],2,FALSE)</f>
        <v>Juego REFUMANYI</v>
      </c>
      <c r="D278" s="63">
        <f>VLOOKUP(Tabla9[[#This Row],[Codigo]],Stock[#Data],3,FALSE)</f>
        <v>252</v>
      </c>
      <c r="E278">
        <v>202</v>
      </c>
      <c r="F278">
        <v>3</v>
      </c>
      <c r="G278" s="63">
        <f>Tabla9[[#This Row],[Precio Compra]]*Tabla9[[#This Row],[Cantidad]]</f>
        <v>756</v>
      </c>
    </row>
    <row r="279" spans="2:7">
      <c r="B279" t="s">
        <v>821</v>
      </c>
      <c r="C279" t="str">
        <f>VLOOKUP(Tabla9[[#This Row],[Codigo]],Stock[#Data],2,FALSE)</f>
        <v>Juego TKBIÓ</v>
      </c>
      <c r="D279" s="63">
        <f>VLOOKUP(Tabla9[[#This Row],[Codigo]],Stock[#Data],3,FALSE)</f>
        <v>2520</v>
      </c>
      <c r="E279">
        <v>203</v>
      </c>
      <c r="F279">
        <v>3</v>
      </c>
      <c r="G279" s="63">
        <f>Tabla9[[#This Row],[Precio Compra]]*Tabla9[[#This Row],[Cantidad]]</f>
        <v>7560</v>
      </c>
    </row>
    <row r="280" spans="2:7">
      <c r="B280" t="s">
        <v>821</v>
      </c>
      <c r="C280" t="str">
        <f>VLOOKUP(Tabla9[[#This Row],[Codigo]],Stock[#Data],2,FALSE)</f>
        <v>Picador Huevo</v>
      </c>
      <c r="D280" s="63">
        <f>VLOOKUP(Tabla9[[#This Row],[Codigo]],Stock[#Data],3,FALSE)</f>
        <v>5913</v>
      </c>
      <c r="E280">
        <v>208</v>
      </c>
      <c r="F280">
        <v>2</v>
      </c>
      <c r="G280" s="63">
        <f>Tabla9[[#This Row],[Precio Compra]]*Tabla9[[#This Row],[Cantidad]]</f>
        <v>11826</v>
      </c>
    </row>
    <row r="281" spans="2:7">
      <c r="B281" t="s">
        <v>821</v>
      </c>
      <c r="C281" t="str">
        <f>VLOOKUP(Tabla9[[#This Row],[Codigo]],Stock[#Data],2,FALSE)</f>
        <v>Picador Laberinto</v>
      </c>
      <c r="D281" s="63">
        <f>VLOOKUP(Tabla9[[#This Row],[Codigo]],Stock[#Data],3,FALSE)</f>
        <v>3500</v>
      </c>
      <c r="E281">
        <v>210</v>
      </c>
      <c r="F281">
        <v>1</v>
      </c>
      <c r="G281" s="63">
        <f>Tabla9[[#This Row],[Precio Compra]]*Tabla9[[#This Row],[Cantidad]]</f>
        <v>3500</v>
      </c>
    </row>
    <row r="282" spans="2:7">
      <c r="B282" t="s">
        <v>821</v>
      </c>
      <c r="C282" t="str">
        <f>VLOOKUP(Tabla9[[#This Row],[Codigo]],Stock[#Data],2,FALSE)</f>
        <v>Picador Calavera Corona</v>
      </c>
      <c r="D282" s="63">
        <f>VLOOKUP(Tabla9[[#This Row],[Codigo]],Stock[#Data],3,FALSE)</f>
        <v>1574</v>
      </c>
      <c r="E282">
        <v>211</v>
      </c>
      <c r="F282">
        <v>1</v>
      </c>
      <c r="G282" s="63">
        <f>Tabla9[[#This Row],[Precio Compra]]*Tabla9[[#This Row],[Cantidad]]</f>
        <v>1574</v>
      </c>
    </row>
    <row r="283" spans="2:7">
      <c r="B283" t="s">
        <v>821</v>
      </c>
      <c r="C283" t="str">
        <f>VLOOKUP(Tabla9[[#This Row],[Codigo]],Stock[#Data],2,FALSE)</f>
        <v>Picador Barril Inflamable</v>
      </c>
      <c r="D283" s="63">
        <f>VLOOKUP(Tabla9[[#This Row],[Codigo]],Stock[#Data],3,FALSE)</f>
        <v>2229</v>
      </c>
      <c r="E283">
        <v>212</v>
      </c>
      <c r="F283">
        <v>2</v>
      </c>
      <c r="G283" s="63">
        <f>Tabla9[[#This Row],[Precio Compra]]*Tabla9[[#This Row],[Cantidad]]</f>
        <v>4458</v>
      </c>
    </row>
    <row r="284" spans="2:7">
      <c r="B284" t="s">
        <v>821</v>
      </c>
      <c r="C284" t="str">
        <f>VLOOKUP(Tabla9[[#This Row],[Codigo]],Stock[#Data],2,FALSE)</f>
        <v>Picador D&amp;K Calavera Mexicana</v>
      </c>
      <c r="D284" s="63">
        <f>VLOOKUP(Tabla9[[#This Row],[Codigo]],Stock[#Data],3,FALSE)</f>
        <v>1250</v>
      </c>
      <c r="E284">
        <v>215</v>
      </c>
      <c r="F284">
        <v>2</v>
      </c>
      <c r="G284" s="63">
        <f>Tabla9[[#This Row],[Precio Compra]]*Tabla9[[#This Row],[Cantidad]]</f>
        <v>2500</v>
      </c>
    </row>
    <row r="285" spans="2:7">
      <c r="B285" t="s">
        <v>821</v>
      </c>
      <c r="C285" t="str">
        <f>VLOOKUP(Tabla9[[#This Row],[Codigo]],Stock[#Data],2,FALSE)</f>
        <v xml:space="preserve">Picador Star Wars Darth Vader </v>
      </c>
      <c r="D285" s="63">
        <f>VLOOKUP(Tabla9[[#This Row],[Codigo]],Stock[#Data],3,FALSE)</f>
        <v>3445</v>
      </c>
      <c r="E285">
        <v>216</v>
      </c>
      <c r="F285">
        <v>1</v>
      </c>
      <c r="G285" s="63">
        <f>Tabla9[[#This Row],[Precio Compra]]*Tabla9[[#This Row],[Cantidad]]</f>
        <v>3445</v>
      </c>
    </row>
    <row r="286" spans="2:7">
      <c r="B286" t="s">
        <v>821</v>
      </c>
      <c r="C286" t="str">
        <f>VLOOKUP(Tabla9[[#This Row],[Codigo]],Stock[#Data],2,FALSE)</f>
        <v>Picador D&amp;K Ojo</v>
      </c>
      <c r="D286" s="63">
        <f>VLOOKUP(Tabla9[[#This Row],[Codigo]],Stock[#Data],3,FALSE)</f>
        <v>3000</v>
      </c>
      <c r="E286">
        <v>213</v>
      </c>
      <c r="F286">
        <v>1</v>
      </c>
      <c r="G286" s="63">
        <f>Tabla9[[#This Row],[Precio Compra]]*Tabla9[[#This Row],[Cantidad]]</f>
        <v>3000</v>
      </c>
    </row>
    <row r="287" spans="2:7">
      <c r="B287" t="s">
        <v>821</v>
      </c>
      <c r="C287" t="str">
        <f>VLOOKUP(Tabla9[[#This Row],[Codigo]],Stock[#Data],2,FALSE)</f>
        <v>Picador Star Wars R2D2</v>
      </c>
      <c r="D287" s="63">
        <f>VLOOKUP(Tabla9[[#This Row],[Codigo]],Stock[#Data],3,FALSE)</f>
        <v>4708</v>
      </c>
      <c r="E287">
        <v>217</v>
      </c>
      <c r="F287">
        <v>1</v>
      </c>
      <c r="G287" s="63">
        <f>Tabla9[[#This Row],[Precio Compra]]*Tabla9[[#This Row],[Cantidad]]</f>
        <v>4708</v>
      </c>
    </row>
    <row r="288" spans="2:7">
      <c r="B288" t="s">
        <v>821</v>
      </c>
      <c r="C288" t="str">
        <f>VLOOKUP(Tabla9[[#This Row],[Codigo]],Stock[#Data],2,FALSE)</f>
        <v>Picador Lion Rolling Circus Negro Lionpepers.com</v>
      </c>
      <c r="D288" s="63">
        <f>VLOOKUP(Tabla9[[#This Row],[Codigo]],Stock[#Data],3,FALSE)</f>
        <v>1250</v>
      </c>
      <c r="E288">
        <v>222</v>
      </c>
      <c r="F288">
        <v>1</v>
      </c>
      <c r="G288" s="63">
        <f>Tabla9[[#This Row],[Precio Compra]]*Tabla9[[#This Row],[Cantidad]]</f>
        <v>1250</v>
      </c>
    </row>
    <row r="289" spans="2:7">
      <c r="B289" t="s">
        <v>821</v>
      </c>
      <c r="C289" t="str">
        <f>VLOOKUP(Tabla9[[#This Row],[Codigo]],Stock[#Data],2,FALSE)</f>
        <v>Picador The Bulldog Molino</v>
      </c>
      <c r="D289" s="63">
        <f>VLOOKUP(Tabla9[[#This Row],[Codigo]],Stock[#Data],3,FALSE)</f>
        <v>5000</v>
      </c>
      <c r="E289">
        <v>224</v>
      </c>
      <c r="F289">
        <v>1</v>
      </c>
      <c r="G289" s="63">
        <f>Tabla9[[#This Row],[Precio Compra]]*Tabla9[[#This Row],[Cantidad]]</f>
        <v>5000</v>
      </c>
    </row>
    <row r="290" spans="2:7">
      <c r="B290" t="s">
        <v>821</v>
      </c>
      <c r="C290" t="str">
        <f>VLOOKUP(Tabla9[[#This Row],[Codigo]],Stock[#Data],2,FALSE)</f>
        <v>Rejillas x5</v>
      </c>
      <c r="D290" s="63">
        <f>VLOOKUP(Tabla9[[#This Row],[Codigo]],Stock[#Data],3,FALSE)</f>
        <v>20</v>
      </c>
      <c r="E290">
        <v>239</v>
      </c>
      <c r="F290">
        <v>89</v>
      </c>
      <c r="G290" s="63">
        <f>Tabla9[[#This Row],[Precio Compra]]*Tabla9[[#This Row],[Cantidad]]</f>
        <v>1780</v>
      </c>
    </row>
    <row r="291" spans="2:7">
      <c r="B291" t="s">
        <v>821</v>
      </c>
      <c r="C291" t="str">
        <f>VLOOKUP(Tabla9[[#This Row],[Codigo]],Stock[#Data],2,FALSE)</f>
        <v>FLYATRAP</v>
      </c>
      <c r="D291" s="63">
        <f>VLOOKUP(Tabla9[[#This Row],[Codigo]],Stock[#Data],3,FALSE)</f>
        <v>375</v>
      </c>
      <c r="E291">
        <v>240</v>
      </c>
      <c r="F291">
        <v>2</v>
      </c>
      <c r="G291" s="63">
        <f>Tabla9[[#This Row],[Precio Compra]]*Tabla9[[#This Row],[Cantidad]]</f>
        <v>750</v>
      </c>
    </row>
    <row r="292" spans="2:7">
      <c r="B292" t="s">
        <v>821</v>
      </c>
      <c r="C292" t="str">
        <f>VLOOKUP(Tabla9[[#This Row],[Codigo]],Stock[#Data],2,FALSE)</f>
        <v>Bandeja de Almacidos 325</v>
      </c>
      <c r="D292" s="63">
        <f>VLOOKUP(Tabla9[[#This Row],[Codigo]],Stock[#Data],3,FALSE)</f>
        <v>198</v>
      </c>
      <c r="E292">
        <v>241</v>
      </c>
      <c r="F292">
        <v>4</v>
      </c>
      <c r="G292" s="63">
        <f>Tabla9[[#This Row],[Precio Compra]]*Tabla9[[#This Row],[Cantidad]]</f>
        <v>792</v>
      </c>
    </row>
    <row r="293" spans="2:7">
      <c r="B293" t="s">
        <v>821</v>
      </c>
      <c r="C293" t="str">
        <f>VLOOKUP(Tabla9[[#This Row],[Codigo]],Stock[#Data],2,FALSE)</f>
        <v>Bandeja de Almacidos 200</v>
      </c>
      <c r="D293" s="63">
        <f>VLOOKUP(Tabla9[[#This Row],[Codigo]],Stock[#Data],3,FALSE)</f>
        <v>198</v>
      </c>
      <c r="E293">
        <v>242</v>
      </c>
      <c r="F293">
        <v>2</v>
      </c>
      <c r="G293" s="63">
        <f>Tabla9[[#This Row],[Precio Compra]]*Tabla9[[#This Row],[Cantidad]]</f>
        <v>396</v>
      </c>
    </row>
    <row r="294" spans="2:7">
      <c r="B294" t="s">
        <v>821</v>
      </c>
      <c r="C294" t="str">
        <f>VLOOKUP(Tabla9[[#This Row],[Codigo]],Stock[#Data],2,FALSE)</f>
        <v>Bandeja de Almacidos 72</v>
      </c>
      <c r="D294" s="63">
        <f>VLOOKUP(Tabla9[[#This Row],[Codigo]],Stock[#Data],3,FALSE)</f>
        <v>198</v>
      </c>
      <c r="E294">
        <v>243</v>
      </c>
      <c r="F294">
        <v>8</v>
      </c>
      <c r="G294" s="63">
        <f>Tabla9[[#This Row],[Precio Compra]]*Tabla9[[#This Row],[Cantidad]]</f>
        <v>1584</v>
      </c>
    </row>
    <row r="295" spans="2:7">
      <c r="B295" t="s">
        <v>821</v>
      </c>
      <c r="C295" t="str">
        <f>VLOOKUP(Tabla9[[#This Row],[Codigo]],Stock[#Data],2,FALSE)</f>
        <v>Bandeja de Almacidos 50</v>
      </c>
      <c r="D295" s="63">
        <f>VLOOKUP(Tabla9[[#This Row],[Codigo]],Stock[#Data],3,FALSE)</f>
        <v>198</v>
      </c>
      <c r="E295">
        <v>244</v>
      </c>
      <c r="F295">
        <v>4</v>
      </c>
      <c r="G295" s="63">
        <f>Tabla9[[#This Row],[Precio Compra]]*Tabla9[[#This Row],[Cantidad]]</f>
        <v>792</v>
      </c>
    </row>
    <row r="296" spans="2:7">
      <c r="B296" t="s">
        <v>821</v>
      </c>
      <c r="C296" t="str">
        <f>VLOOKUP(Tabla9[[#This Row],[Codigo]],Stock[#Data],2,FALSE)</f>
        <v>Bandeja de Almacidos 25</v>
      </c>
      <c r="D296" s="63">
        <f>VLOOKUP(Tabla9[[#This Row],[Codigo]],Stock[#Data],3,FALSE)</f>
        <v>198</v>
      </c>
      <c r="E296">
        <v>245</v>
      </c>
      <c r="F296">
        <v>8</v>
      </c>
      <c r="G296" s="63">
        <f>Tabla9[[#This Row],[Precio Compra]]*Tabla9[[#This Row],[Cantidad]]</f>
        <v>1584</v>
      </c>
    </row>
    <row r="297" spans="2:7">
      <c r="B297" t="s">
        <v>821</v>
      </c>
      <c r="C297" t="str">
        <f>VLOOKUP(Tabla9[[#This Row],[Codigo]],Stock[#Data],2,FALSE)</f>
        <v>Masetas Sopladas 3 litros</v>
      </c>
      <c r="D297" s="63">
        <f>VLOOKUP(Tabla9[[#This Row],[Codigo]],Stock[#Data],3,FALSE)</f>
        <v>38</v>
      </c>
      <c r="E297">
        <v>246</v>
      </c>
      <c r="F297">
        <v>73</v>
      </c>
      <c r="G297" s="63">
        <f>Tabla9[[#This Row],[Precio Compra]]*Tabla9[[#This Row],[Cantidad]]</f>
        <v>2774</v>
      </c>
    </row>
    <row r="298" spans="2:7">
      <c r="B298" t="s">
        <v>821</v>
      </c>
      <c r="C298" t="str">
        <f>VLOOKUP(Tabla9[[#This Row],[Codigo]],Stock[#Data],2,FALSE)</f>
        <v>Macetas Sopladas 7 litros</v>
      </c>
      <c r="D298" s="63">
        <f>VLOOKUP(Tabla9[[#This Row],[Codigo]],Stock[#Data],3,FALSE)</f>
        <v>100</v>
      </c>
      <c r="E298">
        <v>247</v>
      </c>
      <c r="F298">
        <v>27</v>
      </c>
      <c r="G298" s="63">
        <f>Tabla9[[#This Row],[Precio Compra]]*Tabla9[[#This Row],[Cantidad]]</f>
        <v>2700</v>
      </c>
    </row>
    <row r="299" spans="2:7">
      <c r="B299" t="s">
        <v>821</v>
      </c>
      <c r="C299" t="str">
        <f>VLOOKUP(Tabla9[[#This Row],[Codigo]],Stock[#Data],2,FALSE)</f>
        <v>Macetas Sopladas 10l</v>
      </c>
      <c r="D299" s="63">
        <f>VLOOKUP(Tabla9[[#This Row],[Codigo]],Stock[#Data],3,FALSE)</f>
        <v>178</v>
      </c>
      <c r="E299">
        <v>248</v>
      </c>
      <c r="F299">
        <v>22</v>
      </c>
      <c r="G299" s="63">
        <f>Tabla9[[#This Row],[Precio Compra]]*Tabla9[[#This Row],[Cantidad]]</f>
        <v>3916</v>
      </c>
    </row>
    <row r="300" spans="2:7">
      <c r="B300" t="s">
        <v>821</v>
      </c>
      <c r="C300" t="str">
        <f>VLOOKUP(Tabla9[[#This Row],[Codigo]],Stock[#Data],2,FALSE)</f>
        <v>Macetas Root House 3,7 litros</v>
      </c>
      <c r="D300" s="63">
        <f>VLOOKUP(Tabla9[[#This Row],[Codigo]],Stock[#Data],3,FALSE)</f>
        <v>445</v>
      </c>
      <c r="E300">
        <v>249</v>
      </c>
      <c r="F300">
        <v>1</v>
      </c>
      <c r="G300" s="63">
        <f>Tabla9[[#This Row],[Precio Compra]]*Tabla9[[#This Row],[Cantidad]]</f>
        <v>445</v>
      </c>
    </row>
    <row r="301" spans="2:7">
      <c r="B301" t="s">
        <v>821</v>
      </c>
      <c r="C301" t="str">
        <f>VLOOKUP(Tabla9[[#This Row],[Codigo]],Stock[#Data],2,FALSE)</f>
        <v>Macetas Root House 10 litros</v>
      </c>
      <c r="D301" s="63">
        <f>VLOOKUP(Tabla9[[#This Row],[Codigo]],Stock[#Data],3,FALSE)</f>
        <v>750</v>
      </c>
      <c r="E301">
        <v>250</v>
      </c>
      <c r="F301">
        <v>1</v>
      </c>
      <c r="G301" s="63">
        <f>Tabla9[[#This Row],[Precio Compra]]*Tabla9[[#This Row],[Cantidad]]</f>
        <v>750</v>
      </c>
    </row>
    <row r="302" spans="2:7">
      <c r="B302" t="s">
        <v>821</v>
      </c>
      <c r="C302" t="str">
        <f>VLOOKUP(Tabla9[[#This Row],[Codigo]],Stock[#Data],2,FALSE)</f>
        <v>Macetas Root House 35 litros</v>
      </c>
      <c r="D302" s="63">
        <f>VLOOKUP(Tabla9[[#This Row],[Codigo]],Stock[#Data],3,FALSE)</f>
        <v>1970</v>
      </c>
      <c r="E302">
        <v>251</v>
      </c>
      <c r="F302">
        <v>3</v>
      </c>
      <c r="G302" s="63">
        <f>Tabla9[[#This Row],[Precio Compra]]*Tabla9[[#This Row],[Cantidad]]</f>
        <v>5910</v>
      </c>
    </row>
    <row r="303" spans="2:7">
      <c r="B303" t="s">
        <v>821</v>
      </c>
      <c r="C303" t="str">
        <f>VLOOKUP(Tabla9[[#This Row],[Codigo]],Stock[#Data],2,FALSE)</f>
        <v>Macetas Dame Aire 80 litros</v>
      </c>
      <c r="D303" s="63">
        <f>VLOOKUP(Tabla9[[#This Row],[Codigo]],Stock[#Data],3,FALSE)</f>
        <v>900</v>
      </c>
      <c r="E303">
        <v>257</v>
      </c>
      <c r="F303">
        <v>3</v>
      </c>
      <c r="G303" s="63">
        <f>Tabla9[[#This Row],[Precio Compra]]*Tabla9[[#This Row],[Cantidad]]</f>
        <v>2700</v>
      </c>
    </row>
    <row r="304" spans="2:7">
      <c r="B304" t="s">
        <v>821</v>
      </c>
      <c r="C304" t="str">
        <f>VLOOKUP(Tabla9[[#This Row],[Codigo]],Stock[#Data],2,FALSE)</f>
        <v xml:space="preserve">pilas </v>
      </c>
      <c r="D304" s="63">
        <f>VLOOKUP(Tabla9[[#This Row],[Codigo]],Stock[#Data],3,FALSE)</f>
        <v>29</v>
      </c>
      <c r="E304">
        <v>261</v>
      </c>
      <c r="F304">
        <v>42</v>
      </c>
      <c r="G304" s="63">
        <f>Tabla9[[#This Row],[Precio Compra]]*Tabla9[[#This Row],[Cantidad]]</f>
        <v>1218</v>
      </c>
    </row>
    <row r="305" spans="2:7">
      <c r="B305" t="s">
        <v>821</v>
      </c>
      <c r="C305" t="str">
        <f>VLOOKUP(Tabla9[[#This Row],[Codigo]],Stock[#Data],2,FALSE)</f>
        <v>Secador Buen Consejo 4 pisos</v>
      </c>
      <c r="D305" s="63">
        <f>VLOOKUP(Tabla9[[#This Row],[Codigo]],Stock[#Data],3,FALSE)</f>
        <v>3400</v>
      </c>
      <c r="E305">
        <v>262</v>
      </c>
      <c r="F305">
        <v>3</v>
      </c>
      <c r="G305" s="63">
        <f>Tabla9[[#This Row],[Precio Compra]]*Tabla9[[#This Row],[Cantidad]]</f>
        <v>10200</v>
      </c>
    </row>
    <row r="306" spans="2:7">
      <c r="B306" t="s">
        <v>821</v>
      </c>
      <c r="C306" t="str">
        <f>VLOOKUP(Tabla9[[#This Row],[Codigo]],Stock[#Data],2,FALSE)</f>
        <v>Timer Zurich</v>
      </c>
      <c r="D306" s="63">
        <f>VLOOKUP(Tabla9[[#This Row],[Codigo]],Stock[#Data],3,FALSE)</f>
        <v>2398</v>
      </c>
      <c r="E306">
        <v>265</v>
      </c>
      <c r="F306">
        <v>1</v>
      </c>
      <c r="G306" s="63">
        <f>Tabla9[[#This Row],[Precio Compra]]*Tabla9[[#This Row],[Cantidad]]</f>
        <v>2398</v>
      </c>
    </row>
    <row r="307" spans="2:7">
      <c r="B307" t="s">
        <v>821</v>
      </c>
      <c r="C307" t="str">
        <f>VLOOKUP(Tabla9[[#This Row],[Codigo]],Stock[#Data],2,FALSE)</f>
        <v>Lupa con clip x60</v>
      </c>
      <c r="D307" s="63">
        <f>VLOOKUP(Tabla9[[#This Row],[Codigo]],Stock[#Data],3,FALSE)</f>
        <v>1500</v>
      </c>
      <c r="E307">
        <v>266</v>
      </c>
      <c r="F307">
        <v>4</v>
      </c>
      <c r="G307" s="63">
        <f>Tabla9[[#This Row],[Precio Compra]]*Tabla9[[#This Row],[Cantidad]]</f>
        <v>6000</v>
      </c>
    </row>
    <row r="308" spans="2:7">
      <c r="B308" t="s">
        <v>821</v>
      </c>
      <c r="C308" t="str">
        <f>VLOOKUP(Tabla9[[#This Row],[Codigo]],Stock[#Data],2,FALSE)</f>
        <v>REPUESTO Bong dk 19mm</v>
      </c>
      <c r="D308" s="63">
        <f>VLOOKUP(Tabla9[[#This Row],[Codigo]],Stock[#Data],3,FALSE)</f>
        <v>1804</v>
      </c>
      <c r="E308">
        <v>270</v>
      </c>
      <c r="F308">
        <v>2</v>
      </c>
      <c r="G308" s="63">
        <f>Tabla9[[#This Row],[Precio Compra]]*Tabla9[[#This Row],[Cantidad]]</f>
        <v>3608</v>
      </c>
    </row>
    <row r="309" spans="2:7">
      <c r="B309" t="s">
        <v>821</v>
      </c>
      <c r="C309" t="str">
        <f>VLOOKUP(Tabla9[[#This Row],[Codigo]],Stock[#Data],2,FALSE)</f>
        <v>Picador 3 rayos aluminio negro</v>
      </c>
      <c r="D309" s="63">
        <f>VLOOKUP(Tabla9[[#This Row],[Codigo]],Stock[#Data],3,FALSE)</f>
        <v>2082</v>
      </c>
      <c r="E309">
        <v>276</v>
      </c>
      <c r="F309">
        <v>1</v>
      </c>
      <c r="G309" s="63">
        <f>Tabla9[[#This Row],[Precio Compra]]*Tabla9[[#This Row],[Cantidad]]</f>
        <v>2082</v>
      </c>
    </row>
    <row r="310" spans="2:7">
      <c r="B310" t="s">
        <v>821</v>
      </c>
      <c r="C310" t="str">
        <f>VLOOKUP(Tabla9[[#This Row],[Codigo]],Stock[#Data],2,FALSE)</f>
        <v>Macetas Sopladas N12</v>
      </c>
      <c r="D310" s="63">
        <f>VLOOKUP(Tabla9[[#This Row],[Codigo]],Stock[#Data],3,FALSE)</f>
        <v>21</v>
      </c>
      <c r="E310">
        <v>281</v>
      </c>
      <c r="F310">
        <v>101</v>
      </c>
      <c r="G310" s="63">
        <f>Tabla9[[#This Row],[Precio Compra]]*Tabla9[[#This Row],[Cantidad]]</f>
        <v>2121</v>
      </c>
    </row>
    <row r="311" spans="2:7">
      <c r="B311" t="s">
        <v>821</v>
      </c>
      <c r="C311" t="str">
        <f>VLOOKUP(Tabla9[[#This Row],[Codigo]],Stock[#Data],2,FALSE)</f>
        <v>Papel Rosin RAW 10 cm</v>
      </c>
      <c r="D311" s="63">
        <f>VLOOKUP(Tabla9[[#This Row],[Codigo]],Stock[#Data],3,FALSE)</f>
        <v>940</v>
      </c>
      <c r="E311">
        <v>282</v>
      </c>
      <c r="F311">
        <v>1</v>
      </c>
      <c r="G311" s="63">
        <f>Tabla9[[#This Row],[Precio Compra]]*Tabla9[[#This Row],[Cantidad]]</f>
        <v>940</v>
      </c>
    </row>
    <row r="312" spans="2:7">
      <c r="B312" t="s">
        <v>821</v>
      </c>
      <c r="C312" t="str">
        <f>VLOOKUP(Tabla9[[#This Row],[Codigo]],Stock[#Data],2,FALSE)</f>
        <v>Landiner Harina de Hueso</v>
      </c>
      <c r="D312" s="63">
        <f>VLOOKUP(Tabla9[[#This Row],[Codigo]],Stock[#Data],3,FALSE)</f>
        <v>415</v>
      </c>
      <c r="E312">
        <v>285</v>
      </c>
      <c r="F312">
        <v>3</v>
      </c>
      <c r="G312" s="63">
        <f>Tabla9[[#This Row],[Precio Compra]]*Tabla9[[#This Row],[Cantidad]]</f>
        <v>1245</v>
      </c>
    </row>
    <row r="313" spans="2:7">
      <c r="B313" t="s">
        <v>821</v>
      </c>
      <c r="C313" t="str">
        <f>VLOOKUP(Tabla9[[#This Row],[Codigo]],Stock[#Data],2,FALSE)</f>
        <v>Pipa silicona colmena</v>
      </c>
      <c r="D313" s="63">
        <f>VLOOKUP(Tabla9[[#This Row],[Codigo]],Stock[#Data],3,FALSE)</f>
        <v>1420</v>
      </c>
      <c r="E313">
        <v>286</v>
      </c>
      <c r="F313">
        <v>2</v>
      </c>
      <c r="G313" s="63">
        <f>Tabla9[[#This Row],[Precio Compra]]*Tabla9[[#This Row],[Cantidad]]</f>
        <v>2840</v>
      </c>
    </row>
    <row r="314" spans="2:7">
      <c r="B314" t="s">
        <v>821</v>
      </c>
      <c r="C314" t="str">
        <f>VLOOKUP(Tabla9[[#This Row],[Codigo]],Stock[#Data],2,FALSE)</f>
        <v>Sedas Blunt Rey 1/4  Hemp</v>
      </c>
      <c r="D314" s="63">
        <f>VLOOKUP(Tabla9[[#This Row],[Codigo]],Stock[#Data],3,FALSE)</f>
        <v>120</v>
      </c>
      <c r="E314">
        <v>287</v>
      </c>
      <c r="F314">
        <v>4</v>
      </c>
      <c r="G314" s="63">
        <f>Tabla9[[#This Row],[Precio Compra]]*Tabla9[[#This Row],[Cantidad]]</f>
        <v>480</v>
      </c>
    </row>
    <row r="315" spans="2:7">
      <c r="B315" t="s">
        <v>821</v>
      </c>
      <c r="C315" t="str">
        <f>VLOOKUP(Tabla9[[#This Row],[Codigo]],Stock[#Data],2,FALSE)</f>
        <v>Macetas Mad Rocket 25 Litros</v>
      </c>
      <c r="D315" s="63">
        <f>VLOOKUP(Tabla9[[#This Row],[Codigo]],Stock[#Data],3,FALSE)</f>
        <v>1143</v>
      </c>
      <c r="E315">
        <v>291</v>
      </c>
      <c r="F315">
        <v>5</v>
      </c>
      <c r="G315" s="63">
        <f>Tabla9[[#This Row],[Precio Compra]]*Tabla9[[#This Row],[Cantidad]]</f>
        <v>5715</v>
      </c>
    </row>
    <row r="316" spans="2:7">
      <c r="B316" t="s">
        <v>821</v>
      </c>
      <c r="C316" t="str">
        <f>VLOOKUP(Tabla9[[#This Row],[Codigo]],Stock[#Data],2,FALSE)</f>
        <v>Mallas para prensa 90 micras</v>
      </c>
      <c r="D316" s="63">
        <f>VLOOKUP(Tabla9[[#This Row],[Codigo]],Stock[#Data],3,FALSE)</f>
        <v>144</v>
      </c>
      <c r="E316">
        <v>293</v>
      </c>
      <c r="F316">
        <v>4</v>
      </c>
      <c r="G316" s="63">
        <f>Tabla9[[#This Row],[Precio Compra]]*Tabla9[[#This Row],[Cantidad]]</f>
        <v>576</v>
      </c>
    </row>
    <row r="317" spans="2:7">
      <c r="B317" t="s">
        <v>821</v>
      </c>
      <c r="C317" t="str">
        <f>VLOOKUP(Tabla9[[#This Row],[Codigo]],Stock[#Data],2,FALSE)</f>
        <v>Soplete</v>
      </c>
      <c r="D317" s="63">
        <f>VLOOKUP(Tabla9[[#This Row],[Codigo]],Stock[#Data],3,FALSE)</f>
        <v>1095</v>
      </c>
      <c r="E317">
        <v>296</v>
      </c>
      <c r="F317">
        <v>4</v>
      </c>
      <c r="G317" s="63">
        <f>Tabla9[[#This Row],[Precio Compra]]*Tabla9[[#This Row],[Cantidad]]</f>
        <v>4380</v>
      </c>
    </row>
    <row r="318" spans="2:7">
      <c r="B318" t="s">
        <v>821</v>
      </c>
      <c r="C318" t="str">
        <f>VLOOKUP(Tabla9[[#This Row],[Codigo]],Stock[#Data],2,FALSE)</f>
        <v>Dabber #2</v>
      </c>
      <c r="D318" s="63">
        <f>VLOOKUP(Tabla9[[#This Row],[Codigo]],Stock[#Data],3,FALSE)</f>
        <v>1200</v>
      </c>
      <c r="E318">
        <v>297</v>
      </c>
      <c r="F318">
        <v>1</v>
      </c>
      <c r="G318" s="63">
        <f>Tabla9[[#This Row],[Precio Compra]]*Tabla9[[#This Row],[Cantidad]]</f>
        <v>1200</v>
      </c>
    </row>
    <row r="319" spans="2:7">
      <c r="B319" t="s">
        <v>821</v>
      </c>
      <c r="C319" t="str">
        <f>VLOOKUP(Tabla9[[#This Row],[Codigo]],Stock[#Data],2,FALSE)</f>
        <v>Dabber #4</v>
      </c>
      <c r="D319" s="63">
        <f>VLOOKUP(Tabla9[[#This Row],[Codigo]],Stock[#Data],3,FALSE)</f>
        <v>1200</v>
      </c>
      <c r="E319">
        <v>299</v>
      </c>
      <c r="F319">
        <v>2</v>
      </c>
      <c r="G319" s="63">
        <f>Tabla9[[#This Row],[Precio Compra]]*Tabla9[[#This Row],[Cantidad]]</f>
        <v>2400</v>
      </c>
    </row>
    <row r="320" spans="2:7">
      <c r="B320" t="s">
        <v>821</v>
      </c>
      <c r="C320" t="str">
        <f>VLOOKUP(Tabla9[[#This Row],[Codigo]],Stock[#Data],2,FALSE)</f>
        <v>Hisopos de madera 20 u</v>
      </c>
      <c r="D320" s="63">
        <f>VLOOKUP(Tabla9[[#This Row],[Codigo]],Stock[#Data],3,FALSE)</f>
        <v>175</v>
      </c>
      <c r="E320">
        <v>301</v>
      </c>
      <c r="F320">
        <v>15</v>
      </c>
      <c r="G320" s="63">
        <f>Tabla9[[#This Row],[Precio Compra]]*Tabla9[[#This Row],[Cantidad]]</f>
        <v>2625</v>
      </c>
    </row>
    <row r="321" spans="2:7">
      <c r="B321" t="s">
        <v>821</v>
      </c>
      <c r="C321" t="str">
        <f>VLOOKUP(Tabla9[[#This Row],[Codigo]],Stock[#Data],2,FALSE)</f>
        <v xml:space="preserve">Pisón de madera </v>
      </c>
      <c r="D321" s="63">
        <f>VLOOKUP(Tabla9[[#This Row],[Codigo]],Stock[#Data],3,FALSE)</f>
        <v>132</v>
      </c>
      <c r="E321">
        <v>302</v>
      </c>
      <c r="F321">
        <v>19</v>
      </c>
      <c r="G321" s="63">
        <f>Tabla9[[#This Row],[Precio Compra]]*Tabla9[[#This Row],[Cantidad]]</f>
        <v>2508</v>
      </c>
    </row>
    <row r="322" spans="2:7">
      <c r="B322" t="s">
        <v>821</v>
      </c>
      <c r="C322" t="str">
        <f>VLOOKUP(Tabla9[[#This Row],[Codigo]],Stock[#Data],2,FALSE)</f>
        <v>Gas Butano Universal</v>
      </c>
      <c r="D322" s="63">
        <f>VLOOKUP(Tabla9[[#This Row],[Codigo]],Stock[#Data],3,FALSE)</f>
        <v>540</v>
      </c>
      <c r="E322">
        <v>303</v>
      </c>
      <c r="F322">
        <v>2</v>
      </c>
      <c r="G322" s="63">
        <f>Tabla9[[#This Row],[Precio Compra]]*Tabla9[[#This Row],[Cantidad]]</f>
        <v>1080</v>
      </c>
    </row>
    <row r="323" spans="2:7">
      <c r="B323" t="s">
        <v>821</v>
      </c>
      <c r="C323" t="str">
        <f>VLOOKUP(Tabla9[[#This Row],[Codigo]],Stock[#Data],2,FALSE)</f>
        <v>Tijeras Garden High Pro curva</v>
      </c>
      <c r="D323" s="63">
        <f>VLOOKUP(Tabla9[[#This Row],[Codigo]],Stock[#Data],3,FALSE)</f>
        <v>1926</v>
      </c>
      <c r="E323">
        <v>306</v>
      </c>
      <c r="F323">
        <v>4</v>
      </c>
      <c r="G323" s="63">
        <f>Tabla9[[#This Row],[Precio Compra]]*Tabla9[[#This Row],[Cantidad]]</f>
        <v>7704</v>
      </c>
    </row>
    <row r="324" spans="2:7">
      <c r="B324" t="s">
        <v>821</v>
      </c>
      <c r="C324" t="str">
        <f>VLOOKUP(Tabla9[[#This Row],[Codigo]],Stock[#Data],2,FALSE)</f>
        <v>Tuqueros</v>
      </c>
      <c r="D324" s="63">
        <f>VLOOKUP(Tabla9[[#This Row],[Codigo]],Stock[#Data],3,FALSE)</f>
        <v>12</v>
      </c>
      <c r="E324">
        <v>307</v>
      </c>
      <c r="F324">
        <v>7</v>
      </c>
      <c r="G324" s="63">
        <f>Tabla9[[#This Row],[Precio Compra]]*Tabla9[[#This Row],[Cantidad]]</f>
        <v>84</v>
      </c>
    </row>
    <row r="325" spans="2:7">
      <c r="B325" t="s">
        <v>821</v>
      </c>
      <c r="C325" t="str">
        <f>VLOOKUP(Tabla9[[#This Row],[Codigo]],Stock[#Data],2,FALSE)</f>
        <v>Tips STAMPS ECO</v>
      </c>
      <c r="D325" s="63">
        <f>VLOOKUP(Tabla9[[#This Row],[Codigo]],Stock[#Data],3,FALSE)</f>
        <v>73</v>
      </c>
      <c r="E325">
        <v>308</v>
      </c>
      <c r="F325">
        <v>75</v>
      </c>
      <c r="G325" s="63">
        <f>Tabla9[[#This Row],[Precio Compra]]*Tabla9[[#This Row],[Cantidad]]</f>
        <v>5475</v>
      </c>
    </row>
    <row r="326" spans="2:7">
      <c r="B326" t="s">
        <v>821</v>
      </c>
      <c r="C326" t="str">
        <f>VLOOKUP(Tabla9[[#This Row],[Codigo]],Stock[#Data],2,FALSE)</f>
        <v>Sedas Lion Rolling Circus Ultra Thin</v>
      </c>
      <c r="D326" s="63">
        <f>VLOOKUP(Tabla9[[#This Row],[Codigo]],Stock[#Data],3,FALSE)</f>
        <v>123</v>
      </c>
      <c r="E326">
        <v>309</v>
      </c>
      <c r="F326">
        <v>6</v>
      </c>
      <c r="G326" s="63">
        <f>Tabla9[[#This Row],[Precio Compra]]*Tabla9[[#This Row],[Cantidad]]</f>
        <v>738</v>
      </c>
    </row>
    <row r="327" spans="2:7">
      <c r="B327" t="s">
        <v>821</v>
      </c>
      <c r="C327" t="str">
        <f>VLOOKUP(Tabla9[[#This Row],[Codigo]],Stock[#Data],2,FALSE)</f>
        <v xml:space="preserve">Sedas 3 Rayos Celulosa </v>
      </c>
      <c r="D327" s="63">
        <f>VLOOKUP(Tabla9[[#This Row],[Codigo]],Stock[#Data],3,FALSE)</f>
        <v>211</v>
      </c>
      <c r="E327">
        <v>310</v>
      </c>
      <c r="F327">
        <v>15</v>
      </c>
      <c r="G327" s="63">
        <f>Tabla9[[#This Row],[Precio Compra]]*Tabla9[[#This Row],[Cantidad]]</f>
        <v>3165</v>
      </c>
    </row>
    <row r="328" spans="2:7">
      <c r="B328" t="s">
        <v>821</v>
      </c>
      <c r="C328" t="str">
        <f>VLOOKUP(Tabla9[[#This Row],[Codigo]],Stock[#Data],2,FALSE)</f>
        <v>Cortahilo</v>
      </c>
      <c r="D328" s="63">
        <f>VLOOKUP(Tabla9[[#This Row],[Codigo]],Stock[#Data],3,FALSE)</f>
        <v>214</v>
      </c>
      <c r="E328">
        <v>311</v>
      </c>
      <c r="F328">
        <v>4</v>
      </c>
      <c r="G328" s="63">
        <f>Tabla9[[#This Row],[Precio Compra]]*Tabla9[[#This Row],[Cantidad]]</f>
        <v>856</v>
      </c>
    </row>
    <row r="329" spans="2:7">
      <c r="B329" t="s">
        <v>821</v>
      </c>
      <c r="C329" t="str">
        <f>VLOOKUP(Tabla9[[#This Row],[Codigo]],Stock[#Data],2,FALSE)</f>
        <v>Bandeja de Acrilico Rick and Morty</v>
      </c>
      <c r="D329" s="63">
        <f>VLOOKUP(Tabla9[[#This Row],[Codigo]],Stock[#Data],3,FALSE)</f>
        <v>900</v>
      </c>
      <c r="E329">
        <v>316</v>
      </c>
      <c r="F329">
        <v>1</v>
      </c>
      <c r="G329" s="63">
        <f>Tabla9[[#This Row],[Precio Compra]]*Tabla9[[#This Row],[Cantidad]]</f>
        <v>900</v>
      </c>
    </row>
    <row r="330" spans="2:7">
      <c r="B330" t="s">
        <v>821</v>
      </c>
      <c r="C330" t="str">
        <f>VLOOKUP(Tabla9[[#This Row],[Codigo]],Stock[#Data],2,FALSE)</f>
        <v xml:space="preserve">Namaste AMAZONIA  300gr </v>
      </c>
      <c r="D330" s="63">
        <f>VLOOKUP(Tabla9[[#This Row],[Codigo]],Stock[#Data],3,FALSE)</f>
        <v>2347</v>
      </c>
      <c r="E330">
        <v>318</v>
      </c>
      <c r="F330">
        <v>3</v>
      </c>
      <c r="G330" s="63">
        <f>Tabla9[[#This Row],[Precio Compra]]*Tabla9[[#This Row],[Cantidad]]</f>
        <v>7041</v>
      </c>
    </row>
    <row r="331" spans="2:7">
      <c r="B331" t="s">
        <v>821</v>
      </c>
      <c r="C331" t="str">
        <f>VLOOKUP(Tabla9[[#This Row],[Codigo]],Stock[#Data],2,FALSE)</f>
        <v xml:space="preserve">Bandeja Lion  Rolling Circus XXL </v>
      </c>
      <c r="D331" s="63">
        <f>VLOOKUP(Tabla9[[#This Row],[Codigo]],Stock[#Data],3,FALSE)</f>
        <v>2587</v>
      </c>
      <c r="E331">
        <v>319</v>
      </c>
      <c r="F331">
        <v>2</v>
      </c>
      <c r="G331" s="63">
        <f>Tabla9[[#This Row],[Precio Compra]]*Tabla9[[#This Row],[Cantidad]]</f>
        <v>5174</v>
      </c>
    </row>
    <row r="332" spans="2:7">
      <c r="B332" t="s">
        <v>821</v>
      </c>
      <c r="C332" t="str">
        <f>VLOOKUP(Tabla9[[#This Row],[Codigo]],Stock[#Data],2,FALSE)</f>
        <v>Banger 14mm</v>
      </c>
      <c r="D332" s="63">
        <f>VLOOKUP(Tabla9[[#This Row],[Codigo]],Stock[#Data],3,FALSE)</f>
        <v>2484</v>
      </c>
      <c r="E332">
        <v>320</v>
      </c>
      <c r="F332">
        <v>2</v>
      </c>
      <c r="G332" s="63">
        <f>Tabla9[[#This Row],[Precio Compra]]*Tabla9[[#This Row],[Cantidad]]</f>
        <v>4968</v>
      </c>
    </row>
    <row r="333" spans="2:7">
      <c r="B333" t="s">
        <v>821</v>
      </c>
      <c r="C333" t="str">
        <f>VLOOKUP(Tabla9[[#This Row],[Codigo]],Stock[#Data],2,FALSE)</f>
        <v xml:space="preserve">Malla para Rosin Keep is Fresh 120 micras x10 </v>
      </c>
      <c r="D333" s="63">
        <f>VLOOKUP(Tabla9[[#This Row],[Codigo]],Stock[#Data],3,FALSE)</f>
        <v>2556</v>
      </c>
      <c r="E333">
        <v>321</v>
      </c>
      <c r="F333">
        <v>7</v>
      </c>
      <c r="G333" s="63">
        <f>Tabla9[[#This Row],[Precio Compra]]*Tabla9[[#This Row],[Cantidad]]</f>
        <v>17892</v>
      </c>
    </row>
    <row r="334" spans="2:7">
      <c r="B334" t="s">
        <v>821</v>
      </c>
      <c r="C334" t="str">
        <f>VLOOKUP(Tabla9[[#This Row],[Codigo]],Stock[#Data],2,FALSE)</f>
        <v>Masetas Air Pot</v>
      </c>
      <c r="D334" s="63">
        <f>VLOOKUP(Tabla9[[#This Row],[Codigo]],Stock[#Data],3,FALSE)</f>
        <v>500</v>
      </c>
      <c r="E334">
        <v>322</v>
      </c>
      <c r="F334">
        <v>4</v>
      </c>
      <c r="G334" s="63">
        <f>Tabla9[[#This Row],[Precio Compra]]*Tabla9[[#This Row],[Cantidad]]</f>
        <v>2000</v>
      </c>
    </row>
    <row r="335" spans="2:7">
      <c r="B335" t="s">
        <v>821</v>
      </c>
      <c r="C335" t="str">
        <f>VLOOKUP(Tabla9[[#This Row],[Codigo]],Stock[#Data],2,FALSE)</f>
        <v xml:space="preserve">Tijeras Plásticas </v>
      </c>
      <c r="D335" s="63">
        <f>VLOOKUP(Tabla9[[#This Row],[Codigo]],Stock[#Data],3,FALSE)</f>
        <v>250</v>
      </c>
      <c r="E335">
        <v>323</v>
      </c>
      <c r="F335">
        <v>1</v>
      </c>
      <c r="G335" s="63">
        <f>Tabla9[[#This Row],[Precio Compra]]*Tabla9[[#This Row],[Cantidad]]</f>
        <v>250</v>
      </c>
    </row>
    <row r="336" spans="2:7">
      <c r="B336" t="s">
        <v>821</v>
      </c>
      <c r="C336" t="str">
        <f>VLOOKUP(Tabla9[[#This Row],[Codigo]],Stock[#Data],2,FALSE)</f>
        <v>Picador D&amp;K Granada</v>
      </c>
      <c r="D336" s="63">
        <f>VLOOKUP(Tabla9[[#This Row],[Codigo]],Stock[#Data],3,FALSE)</f>
        <v>2200</v>
      </c>
      <c r="E336">
        <v>327</v>
      </c>
      <c r="F336">
        <v>1</v>
      </c>
      <c r="G336" s="63">
        <f>Tabla9[[#This Row],[Precio Compra]]*Tabla9[[#This Row],[Cantidad]]</f>
        <v>2200</v>
      </c>
    </row>
    <row r="337" spans="2:7">
      <c r="B337" t="s">
        <v>821</v>
      </c>
      <c r="C337" t="str">
        <f>VLOOKUP(Tabla9[[#This Row],[Codigo]],Stock[#Data],2,FALSE)</f>
        <v>Picador Galleta</v>
      </c>
      <c r="D337" s="63">
        <f>VLOOKUP(Tabla9[[#This Row],[Codigo]],Stock[#Data],3,FALSE)</f>
        <v>1590</v>
      </c>
      <c r="E337">
        <v>328</v>
      </c>
      <c r="F337">
        <v>1</v>
      </c>
      <c r="G337" s="63">
        <f>Tabla9[[#This Row],[Precio Compra]]*Tabla9[[#This Row],[Cantidad]]</f>
        <v>1590</v>
      </c>
    </row>
    <row r="338" spans="2:7">
      <c r="B338" t="s">
        <v>821</v>
      </c>
      <c r="C338" t="str">
        <f>VLOOKUP(Tabla9[[#This Row],[Codigo]],Stock[#Data],2,FALSE)</f>
        <v>Picador Burger</v>
      </c>
      <c r="D338" s="63">
        <f>VLOOKUP(Tabla9[[#This Row],[Codigo]],Stock[#Data],3,FALSE)</f>
        <v>2512</v>
      </c>
      <c r="E338">
        <v>329</v>
      </c>
      <c r="F338">
        <v>1</v>
      </c>
      <c r="G338" s="63">
        <f>Tabla9[[#This Row],[Precio Compra]]*Tabla9[[#This Row],[Cantidad]]</f>
        <v>2512</v>
      </c>
    </row>
    <row r="339" spans="2:7">
      <c r="B339" t="s">
        <v>821</v>
      </c>
      <c r="C339" t="str">
        <f>VLOOKUP(Tabla9[[#This Row],[Codigo]],Stock[#Data],2,FALSE)</f>
        <v>Picador ZEUS Hoyo</v>
      </c>
      <c r="D339" s="63">
        <f>VLOOKUP(Tabla9[[#This Row],[Codigo]],Stock[#Data],3,FALSE)</f>
        <v>1260</v>
      </c>
      <c r="E339">
        <v>330</v>
      </c>
      <c r="F339">
        <v>1</v>
      </c>
      <c r="G339" s="63">
        <f>Tabla9[[#This Row],[Precio Compra]]*Tabla9[[#This Row],[Cantidad]]</f>
        <v>1260</v>
      </c>
    </row>
    <row r="340" spans="2:7">
      <c r="B340" t="s">
        <v>821</v>
      </c>
      <c r="C340" t="str">
        <f>VLOOKUP(Tabla9[[#This Row],[Codigo]],Stock[#Data],2,FALSE)</f>
        <v xml:space="preserve">Picador Bronce </v>
      </c>
      <c r="D340" s="63">
        <f>VLOOKUP(Tabla9[[#This Row],[Codigo]],Stock[#Data],3,FALSE)</f>
        <v>1330</v>
      </c>
      <c r="E340">
        <v>340</v>
      </c>
      <c r="F340">
        <v>4</v>
      </c>
      <c r="G340" s="63">
        <f>Tabla9[[#This Row],[Precio Compra]]*Tabla9[[#This Row],[Cantidad]]</f>
        <v>5320</v>
      </c>
    </row>
    <row r="341" spans="2:7">
      <c r="B341" t="s">
        <v>821</v>
      </c>
      <c r="C341" t="str">
        <f>VLOOKUP(Tabla9[[#This Row],[Codigo]],Stock[#Data],2,FALSE)</f>
        <v>Extractor Kudu 4"</v>
      </c>
      <c r="D341" s="63">
        <f>VLOOKUP(Tabla9[[#This Row],[Codigo]],Stock[#Data],3,FALSE)</f>
        <v>4933</v>
      </c>
      <c r="E341">
        <v>332</v>
      </c>
      <c r="F341">
        <v>2</v>
      </c>
      <c r="G341" s="63">
        <f>Tabla9[[#This Row],[Precio Compra]]*Tabla9[[#This Row],[Cantidad]]</f>
        <v>9866</v>
      </c>
    </row>
    <row r="342" spans="2:7">
      <c r="B342" t="s">
        <v>821</v>
      </c>
      <c r="C342" t="str">
        <f>VLOOKUP(Tabla9[[#This Row],[Codigo]],Stock[#Data],2,FALSE)</f>
        <v>Triple 15 Landiner</v>
      </c>
      <c r="D342" s="63">
        <f>VLOOKUP(Tabla9[[#This Row],[Codigo]],Stock[#Data],3,FALSE)</f>
        <v>350</v>
      </c>
      <c r="E342">
        <v>341</v>
      </c>
      <c r="F342">
        <v>1</v>
      </c>
      <c r="G342" s="63">
        <f>Tabla9[[#This Row],[Precio Compra]]*Tabla9[[#This Row],[Cantidad]]</f>
        <v>350</v>
      </c>
    </row>
    <row r="343" spans="2:7">
      <c r="B343" t="s">
        <v>821</v>
      </c>
      <c r="C343" t="str">
        <f>VLOOKUP(Tabla9[[#This Row],[Codigo]],Stock[#Data],2,FALSE)</f>
        <v xml:space="preserve">Cápsula Cuarzo </v>
      </c>
      <c r="D343" s="63">
        <f>VLOOKUP(Tabla9[[#This Row],[Codigo]],Stock[#Data],3,FALSE)</f>
        <v>750</v>
      </c>
      <c r="E343">
        <v>345</v>
      </c>
      <c r="F343">
        <v>1</v>
      </c>
      <c r="G343" s="63">
        <f>Tabla9[[#This Row],[Precio Compra]]*Tabla9[[#This Row],[Cantidad]]</f>
        <v>750</v>
      </c>
    </row>
    <row r="344" spans="2:7">
      <c r="B344" t="s">
        <v>821</v>
      </c>
      <c r="C344" t="str">
        <f>VLOOKUP(Tabla9[[#This Row],[Codigo]],Stock[#Data],2,FALSE)</f>
        <v>Namaste Nutripack</v>
      </c>
      <c r="D344" s="63">
        <f>VLOOKUP(Tabla9[[#This Row],[Codigo]],Stock[#Data],3,FALSE)</f>
        <v>3376</v>
      </c>
      <c r="E344">
        <v>346</v>
      </c>
      <c r="F344">
        <v>14</v>
      </c>
      <c r="G344" s="63">
        <f>Tabla9[[#This Row],[Precio Compra]]*Tabla9[[#This Row],[Cantidad]]</f>
        <v>47264</v>
      </c>
    </row>
    <row r="345" spans="2:7">
      <c r="B345" t="s">
        <v>821</v>
      </c>
      <c r="C345" t="str">
        <f>VLOOKUP(Tabla9[[#This Row],[Codigo]],Stock[#Data],2,FALSE)</f>
        <v xml:space="preserve">Tapa Banger Chupete </v>
      </c>
      <c r="D345" s="63">
        <f>VLOOKUP(Tabla9[[#This Row],[Codigo]],Stock[#Data],3,FALSE)</f>
        <v>2485</v>
      </c>
      <c r="E345">
        <v>347</v>
      </c>
      <c r="F345">
        <v>3</v>
      </c>
      <c r="G345" s="63">
        <f>Tabla9[[#This Row],[Precio Compra]]*Tabla9[[#This Row],[Cantidad]]</f>
        <v>7455</v>
      </c>
    </row>
    <row r="346" spans="2:7">
      <c r="B346" t="s">
        <v>821</v>
      </c>
      <c r="C346" t="str">
        <f>VLOOKUP(Tabla9[[#This Row],[Codigo]],Stock[#Data],2,FALSE)</f>
        <v xml:space="preserve">Tabaco Van Kiff American Blend </v>
      </c>
      <c r="D346" s="63">
        <f>VLOOKUP(Tabla9[[#This Row],[Codigo]],Stock[#Data],3,FALSE)</f>
        <v>580</v>
      </c>
      <c r="E346">
        <v>348</v>
      </c>
      <c r="F346">
        <v>12</v>
      </c>
      <c r="G346" s="63">
        <f>Tabla9[[#This Row],[Precio Compra]]*Tabla9[[#This Row],[Cantidad]]</f>
        <v>6960</v>
      </c>
    </row>
    <row r="347" spans="2:7">
      <c r="B347" t="s">
        <v>821</v>
      </c>
      <c r="C347" t="str">
        <f>VLOOKUP(Tabla9[[#This Row],[Codigo]],Stock[#Data],2,FALSE)</f>
        <v>Pipa de Piedra</v>
      </c>
      <c r="D347" s="63">
        <f>VLOOKUP(Tabla9[[#This Row],[Codigo]],Stock[#Data],3,FALSE)</f>
        <v>350</v>
      </c>
      <c r="E347">
        <v>351</v>
      </c>
      <c r="F347">
        <v>2</v>
      </c>
      <c r="G347" s="63">
        <f>Tabla9[[#This Row],[Precio Compra]]*Tabla9[[#This Row],[Cantidad]]</f>
        <v>700</v>
      </c>
    </row>
    <row r="348" spans="2:7">
      <c r="B348" t="s">
        <v>821</v>
      </c>
      <c r="C348" t="str">
        <f>VLOOKUP(Tabla9[[#This Row],[Codigo]],Stock[#Data],2,FALSE)</f>
        <v>Led Growtech 300watts</v>
      </c>
      <c r="D348" s="63">
        <f>VLOOKUP(Tabla9[[#This Row],[Codigo]],Stock[#Data],3,FALSE)</f>
        <v>30960</v>
      </c>
      <c r="E348">
        <v>353</v>
      </c>
      <c r="F348">
        <v>1</v>
      </c>
      <c r="G348" s="63">
        <f>Tabla9[[#This Row],[Precio Compra]]*Tabla9[[#This Row],[Cantidad]]</f>
        <v>30960</v>
      </c>
    </row>
    <row r="349" spans="2:7">
      <c r="B349" t="s">
        <v>821</v>
      </c>
      <c r="C349" t="str">
        <f>VLOOKUP(Tabla9[[#This Row],[Codigo]],Stock[#Data],2,FALSE)</f>
        <v xml:space="preserve">ocb ultimate </v>
      </c>
      <c r="D349" s="63">
        <f>VLOOKUP(Tabla9[[#This Row],[Codigo]],Stock[#Data],3,FALSE)</f>
        <v>165</v>
      </c>
      <c r="E349">
        <v>354</v>
      </c>
      <c r="F349">
        <v>18</v>
      </c>
      <c r="G349" s="63">
        <f>Tabla9[[#This Row],[Precio Compra]]*Tabla9[[#This Row],[Cantidad]]</f>
        <v>2970</v>
      </c>
    </row>
    <row r="350" spans="2:7">
      <c r="B350" t="s">
        <v>821</v>
      </c>
      <c r="C350" t="str">
        <f>VLOOKUP(Tabla9[[#This Row],[Codigo]],Stock[#Data],2,FALSE)</f>
        <v xml:space="preserve">ocb white </v>
      </c>
      <c r="D350" s="63">
        <f>VLOOKUP(Tabla9[[#This Row],[Codigo]],Stock[#Data],3,FALSE)</f>
        <v>115</v>
      </c>
      <c r="E350">
        <v>355</v>
      </c>
      <c r="F350">
        <v>22</v>
      </c>
      <c r="G350" s="63">
        <f>Tabla9[[#This Row],[Precio Compra]]*Tabla9[[#This Row],[Cantidad]]</f>
        <v>2530</v>
      </c>
    </row>
    <row r="351" spans="2:7">
      <c r="B351" t="s">
        <v>821</v>
      </c>
      <c r="C351" t="str">
        <f>VLOOKUP(Tabla9[[#This Row],[Codigo]],Stock[#Data],2,FALSE)</f>
        <v xml:space="preserve">tips moon </v>
      </c>
      <c r="D351" s="63">
        <f>VLOOKUP(Tabla9[[#This Row],[Codigo]],Stock[#Data],3,FALSE)</f>
        <v>50</v>
      </c>
      <c r="E351">
        <v>356</v>
      </c>
      <c r="F351">
        <v>25</v>
      </c>
      <c r="G351" s="63">
        <f>Tabla9[[#This Row],[Precio Compra]]*Tabla9[[#This Row],[Cantidad]]</f>
        <v>1250</v>
      </c>
    </row>
    <row r="352" spans="2:7">
      <c r="B352" t="s">
        <v>821</v>
      </c>
      <c r="C352" t="str">
        <f>VLOOKUP(Tabla9[[#This Row],[Codigo]],Stock[#Data],2,FALSE)</f>
        <v>gas butano clear 250cc</v>
      </c>
      <c r="D352" s="63">
        <f>VLOOKUP(Tabla9[[#This Row],[Codigo]],Stock[#Data],3,FALSE)</f>
        <v>425</v>
      </c>
      <c r="E352">
        <v>358</v>
      </c>
      <c r="F352">
        <v>7</v>
      </c>
      <c r="G352" s="63">
        <f>Tabla9[[#This Row],[Precio Compra]]*Tabla9[[#This Row],[Cantidad]]</f>
        <v>2975</v>
      </c>
    </row>
    <row r="353" spans="2:7">
      <c r="B353" t="s">
        <v>821</v>
      </c>
      <c r="C353" t="str">
        <f>VLOOKUP(Tabla9[[#This Row],[Codigo]],Stock[#Data],2,FALSE)</f>
        <v>Celulosa Lion Rolling Circus Kz</v>
      </c>
      <c r="D353" s="63">
        <f>VLOOKUP(Tabla9[[#This Row],[Codigo]],Stock[#Data],3,FALSE)</f>
        <v>422</v>
      </c>
      <c r="E353">
        <v>359</v>
      </c>
      <c r="F353">
        <v>10</v>
      </c>
      <c r="G353" s="63">
        <f>Tabla9[[#This Row],[Precio Compra]]*Tabla9[[#This Row],[Cantidad]]</f>
        <v>4220</v>
      </c>
    </row>
    <row r="354" spans="2:7">
      <c r="B354" t="s">
        <v>821</v>
      </c>
      <c r="C354" t="str">
        <f>VLOOKUP(Tabla9[[#This Row],[Codigo]],Stock[#Data],2,FALSE)</f>
        <v>Celulosa Lion Rolling Circus Kz</v>
      </c>
      <c r="D354" s="63">
        <f>VLOOKUP(Tabla9[[#This Row],[Codigo]],Stock[#Data],3,FALSE)</f>
        <v>422</v>
      </c>
      <c r="E354">
        <v>359</v>
      </c>
      <c r="F354">
        <v>8</v>
      </c>
      <c r="G354" s="63">
        <f>Tabla9[[#This Row],[Precio Compra]]*Tabla9[[#This Row],[Cantidad]]</f>
        <v>3376</v>
      </c>
    </row>
    <row r="355" spans="2:7">
      <c r="B355" t="s">
        <v>821</v>
      </c>
      <c r="C355" t="str">
        <f>VLOOKUP(Tabla9[[#This Row],[Codigo]],Stock[#Data],2,FALSE)</f>
        <v xml:space="preserve">Blunt Wrap Mango </v>
      </c>
      <c r="D355" s="63">
        <f>VLOOKUP(Tabla9[[#This Row],[Codigo]],Stock[#Data],3,FALSE)</f>
        <v>225</v>
      </c>
      <c r="E355">
        <v>360</v>
      </c>
      <c r="F355">
        <v>2</v>
      </c>
      <c r="G355" s="63">
        <f>Tabla9[[#This Row],[Precio Compra]]*Tabla9[[#This Row],[Cantidad]]</f>
        <v>450</v>
      </c>
    </row>
    <row r="356" spans="2:7">
      <c r="B356" t="s">
        <v>821</v>
      </c>
      <c r="C356" t="str">
        <f>VLOOKUP(Tabla9[[#This Row],[Codigo]],Stock[#Data],2,FALSE)</f>
        <v xml:space="preserve">filtros gizhe slim 6mm </v>
      </c>
      <c r="D356" s="63">
        <f>VLOOKUP(Tabla9[[#This Row],[Codigo]],Stock[#Data],3,FALSE)</f>
        <v>175</v>
      </c>
      <c r="E356">
        <v>361</v>
      </c>
      <c r="F356">
        <v>6</v>
      </c>
      <c r="G356" s="63">
        <f>Tabla9[[#This Row],[Precio Compra]]*Tabla9[[#This Row],[Cantidad]]</f>
        <v>1050</v>
      </c>
    </row>
    <row r="357" spans="2:7">
      <c r="B357" t="s">
        <v>821</v>
      </c>
      <c r="C357" t="str">
        <f>VLOOKUP(Tabla9[[#This Row],[Codigo]],Stock[#Data],2,FALSE)</f>
        <v>Bong Atrapa Hielo</v>
      </c>
      <c r="D357" s="63">
        <f>VLOOKUP(Tabla9[[#This Row],[Codigo]],Stock[#Data],3,FALSE)</f>
        <v>5365</v>
      </c>
      <c r="E357">
        <v>362</v>
      </c>
      <c r="F357">
        <v>1</v>
      </c>
      <c r="G357" s="63">
        <f>Tabla9[[#This Row],[Precio Compra]]*Tabla9[[#This Row],[Cantidad]]</f>
        <v>5365</v>
      </c>
    </row>
    <row r="358" spans="2:7">
      <c r="B358" t="s">
        <v>821</v>
      </c>
      <c r="C358" t="str">
        <f>VLOOKUP(Tabla9[[#This Row],[Codigo]],Stock[#Data],2,FALSE)</f>
        <v>Maceta Mad Rocket 10L</v>
      </c>
      <c r="D358" s="63">
        <f>VLOOKUP(Tabla9[[#This Row],[Codigo]],Stock[#Data],3,FALSE)</f>
        <v>621</v>
      </c>
      <c r="E358">
        <v>363</v>
      </c>
      <c r="F358">
        <v>1</v>
      </c>
      <c r="G358" s="63">
        <f>Tabla9[[#This Row],[Precio Compra]]*Tabla9[[#This Row],[Cantidad]]</f>
        <v>621</v>
      </c>
    </row>
    <row r="359" spans="2:7">
      <c r="B359" t="s">
        <v>821</v>
      </c>
      <c r="C359" t="str">
        <f>VLOOKUP(Tabla9[[#This Row],[Codigo]],Stock[#Data],2,FALSE)</f>
        <v>Crop Secret Floral session 500ml</v>
      </c>
      <c r="D359" s="63">
        <f>VLOOKUP(Tabla9[[#This Row],[Codigo]],Stock[#Data],3,FALSE)</f>
        <v>1350</v>
      </c>
      <c r="E359">
        <v>364</v>
      </c>
      <c r="F359">
        <v>3</v>
      </c>
      <c r="G359" s="63">
        <f>Tabla9[[#This Row],[Precio Compra]]*Tabla9[[#This Row],[Cantidad]]</f>
        <v>4050</v>
      </c>
    </row>
    <row r="360" spans="2:7">
      <c r="B360" t="s">
        <v>821</v>
      </c>
      <c r="C360" t="str">
        <f>VLOOKUP(Tabla9[[#This Row],[Codigo]],Stock[#Data],2,FALSE)</f>
        <v xml:space="preserve">Latas Zeus </v>
      </c>
      <c r="D360" s="63">
        <f>VLOOKUP(Tabla9[[#This Row],[Codigo]],Stock[#Data],3,FALSE)</f>
        <v>521</v>
      </c>
      <c r="E360">
        <v>365</v>
      </c>
      <c r="F360">
        <v>3</v>
      </c>
      <c r="G360" s="63">
        <f>Tabla9[[#This Row],[Precio Compra]]*Tabla9[[#This Row],[Cantidad]]</f>
        <v>1563</v>
      </c>
    </row>
    <row r="361" spans="2:7">
      <c r="B361" t="s">
        <v>821</v>
      </c>
      <c r="C361" t="str">
        <f>VLOOKUP(Tabla9[[#This Row],[Codigo]],Stock[#Data],2,FALSE)</f>
        <v>Picador Lion Cubo</v>
      </c>
      <c r="D361" s="63">
        <f>VLOOKUP(Tabla9[[#This Row],[Codigo]],Stock[#Data],3,FALSE)</f>
        <v>3562</v>
      </c>
      <c r="E361">
        <v>369</v>
      </c>
      <c r="F361">
        <v>1</v>
      </c>
      <c r="G361" s="63">
        <f>Tabla9[[#This Row],[Precio Compra]]*Tabla9[[#This Row],[Cantidad]]</f>
        <v>3562</v>
      </c>
    </row>
    <row r="362" spans="2:7">
      <c r="B362" t="s">
        <v>821</v>
      </c>
      <c r="C362" t="str">
        <f>VLOOKUP(Tabla9[[#This Row],[Codigo]],Stock[#Data],2,FALSE)</f>
        <v xml:space="preserve">Picador moderm space </v>
      </c>
      <c r="D362" s="63">
        <f>VLOOKUP(Tabla9[[#This Row],[Codigo]],Stock[#Data],3,FALSE)</f>
        <v>5211</v>
      </c>
      <c r="E362">
        <v>371</v>
      </c>
      <c r="F362">
        <v>1</v>
      </c>
      <c r="G362" s="63">
        <f>Tabla9[[#This Row],[Precio Compra]]*Tabla9[[#This Row],[Cantidad]]</f>
        <v>5211</v>
      </c>
    </row>
    <row r="363" spans="2:7">
      <c r="B363" t="s">
        <v>821</v>
      </c>
      <c r="C363" t="str">
        <f>VLOOKUP(Tabla9[[#This Row],[Codigo]],Stock[#Data],2,FALSE)</f>
        <v xml:space="preserve">Picador cannabis shop 4p dk </v>
      </c>
      <c r="D363" s="63">
        <f>VLOOKUP(Tabla9[[#This Row],[Codigo]],Stock[#Data],3,FALSE)</f>
        <v>1946</v>
      </c>
      <c r="E363">
        <v>376</v>
      </c>
      <c r="F363">
        <v>1</v>
      </c>
      <c r="G363" s="63">
        <f>Tabla9[[#This Row],[Precio Compra]]*Tabla9[[#This Row],[Cantidad]]</f>
        <v>1946</v>
      </c>
    </row>
    <row r="364" spans="2:7">
      <c r="B364" t="s">
        <v>821</v>
      </c>
      <c r="C364" t="str">
        <f>VLOOKUP(Tabla9[[#This Row],[Codigo]],Stock[#Data],2,FALSE)</f>
        <v xml:space="preserve">Turbina pipa </v>
      </c>
      <c r="D364" s="63">
        <f>VLOOKUP(Tabla9[[#This Row],[Codigo]],Stock[#Data],3,FALSE)</f>
        <v>1020</v>
      </c>
      <c r="E364">
        <v>377</v>
      </c>
      <c r="F364">
        <v>2</v>
      </c>
      <c r="G364" s="63">
        <f>Tabla9[[#This Row],[Precio Compra]]*Tabla9[[#This Row],[Cantidad]]</f>
        <v>2040</v>
      </c>
    </row>
    <row r="365" spans="2:7">
      <c r="B365" t="s">
        <v>821</v>
      </c>
      <c r="C365" t="str">
        <f>VLOOKUP(Tabla9[[#This Row],[Codigo]],Stock[#Data],2,FALSE)</f>
        <v>Macetas Soplada 15L</v>
      </c>
      <c r="D365" s="63">
        <f>VLOOKUP(Tabla9[[#This Row],[Codigo]],Stock[#Data],3,FALSE)</f>
        <v>222</v>
      </c>
      <c r="E365">
        <v>380</v>
      </c>
      <c r="F365">
        <v>34</v>
      </c>
      <c r="G365" s="63">
        <f>Tabla9[[#This Row],[Precio Compra]]*Tabla9[[#This Row],[Cantidad]]</f>
        <v>7548</v>
      </c>
    </row>
    <row r="366" spans="2:7">
      <c r="B366" t="s">
        <v>821</v>
      </c>
      <c r="C366" t="str">
        <f>VLOOKUP(Tabla9[[#This Row],[Codigo]],Stock[#Data],2,FALSE)</f>
        <v xml:space="preserve">Bong de vidrio cuello curbo Dk </v>
      </c>
      <c r="D366" s="63">
        <f>VLOOKUP(Tabla9[[#This Row],[Codigo]],Stock[#Data],3,FALSE)</f>
        <v>6700</v>
      </c>
      <c r="E366">
        <v>385</v>
      </c>
      <c r="F366">
        <v>1</v>
      </c>
      <c r="G366" s="63">
        <f>Tabla9[[#This Row],[Precio Compra]]*Tabla9[[#This Row],[Cantidad]]</f>
        <v>6700</v>
      </c>
    </row>
    <row r="367" spans="2:7">
      <c r="B367" t="s">
        <v>821</v>
      </c>
      <c r="C367" t="str">
        <f>VLOOKUP(Tabla9[[#This Row],[Codigo]],Stock[#Data],2,FALSE)</f>
        <v xml:space="preserve">Blunt Wrap Cosmopolitan </v>
      </c>
      <c r="D367" s="63">
        <f>VLOOKUP(Tabla9[[#This Row],[Codigo]],Stock[#Data],3,FALSE)</f>
        <v>225</v>
      </c>
      <c r="E367">
        <v>387</v>
      </c>
      <c r="F367">
        <v>16</v>
      </c>
      <c r="G367" s="63">
        <f>Tabla9[[#This Row],[Precio Compra]]*Tabla9[[#This Row],[Cantidad]]</f>
        <v>3600</v>
      </c>
    </row>
    <row r="368" spans="2:7">
      <c r="B368" t="s">
        <v>821</v>
      </c>
      <c r="C368" t="str">
        <f>VLOOKUP(Tabla9[[#This Row],[Codigo]],Stock[#Data],2,FALSE)</f>
        <v>Bandeja Lion Rollin Mediana</v>
      </c>
      <c r="D368" s="63">
        <f>VLOOKUP(Tabla9[[#This Row],[Codigo]],Stock[#Data],3,FALSE)</f>
        <v>1898</v>
      </c>
      <c r="E368">
        <v>389</v>
      </c>
      <c r="F368">
        <v>3</v>
      </c>
      <c r="G368" s="63">
        <f>Tabla9[[#This Row],[Precio Compra]]*Tabla9[[#This Row],[Cantidad]]</f>
        <v>5694</v>
      </c>
    </row>
    <row r="369" spans="2:7">
      <c r="B369" t="s">
        <v>821</v>
      </c>
      <c r="C369" t="str">
        <f>VLOOKUP(Tabla9[[#This Row],[Codigo]],Stock[#Data],2,FALSE)</f>
        <v xml:space="preserve">Pïcador Dragon Ball </v>
      </c>
      <c r="D369" s="63">
        <f>VLOOKUP(Tabla9[[#This Row],[Codigo]],Stock[#Data],3,FALSE)</f>
        <v>3125</v>
      </c>
      <c r="E369">
        <v>390</v>
      </c>
      <c r="F369">
        <v>1</v>
      </c>
      <c r="G369" s="63">
        <f>Tabla9[[#This Row],[Precio Compra]]*Tabla9[[#This Row],[Cantidad]]</f>
        <v>3125</v>
      </c>
    </row>
    <row r="370" spans="2:7">
      <c r="B370" t="s">
        <v>821</v>
      </c>
      <c r="C370" t="str">
        <f>VLOOKUP(Tabla9[[#This Row],[Codigo]],Stock[#Data],2,FALSE)</f>
        <v>Carpa Santa planta 80X80X160</v>
      </c>
      <c r="D370" s="63">
        <f>VLOOKUP(Tabla9[[#This Row],[Codigo]],Stock[#Data],3,FALSE)</f>
        <v>17159</v>
      </c>
      <c r="E370">
        <v>391</v>
      </c>
      <c r="F370">
        <v>1</v>
      </c>
      <c r="G370" s="63">
        <f>Tabla9[[#This Row],[Precio Compra]]*Tabla9[[#This Row],[Cantidad]]</f>
        <v>17159</v>
      </c>
    </row>
    <row r="371" spans="2:7">
      <c r="B371" t="s">
        <v>821</v>
      </c>
      <c r="C371" t="str">
        <f>VLOOKUP(Tabla9[[#This Row],[Codigo]],Stock[#Data],2,FALSE)</f>
        <v xml:space="preserve">Grotek Micropack </v>
      </c>
      <c r="D371" s="63">
        <f>VLOOKUP(Tabla9[[#This Row],[Codigo]],Stock[#Data],3,FALSE)</f>
        <v>6682</v>
      </c>
      <c r="E371">
        <v>392</v>
      </c>
      <c r="F371">
        <v>1</v>
      </c>
      <c r="G371" s="63">
        <f>Tabla9[[#This Row],[Precio Compra]]*Tabla9[[#This Row],[Cantidad]]</f>
        <v>6682</v>
      </c>
    </row>
    <row r="372" spans="2:7">
      <c r="B372" t="s">
        <v>821</v>
      </c>
      <c r="C372" t="str">
        <f>VLOOKUP(Tabla9[[#This Row],[Codigo]],Stock[#Data],2,FALSE)</f>
        <v xml:space="preserve">El gran tabacal Rubio </v>
      </c>
      <c r="D372" s="63">
        <f>VLOOKUP(Tabla9[[#This Row],[Codigo]],Stock[#Data],3,FALSE)</f>
        <v>500</v>
      </c>
      <c r="E372">
        <v>393</v>
      </c>
      <c r="F372">
        <v>3</v>
      </c>
      <c r="G372" s="63">
        <f>Tabla9[[#This Row],[Precio Compra]]*Tabla9[[#This Row],[Cantidad]]</f>
        <v>1500</v>
      </c>
    </row>
    <row r="373" spans="2:7">
      <c r="B373" t="s">
        <v>821</v>
      </c>
      <c r="C373" t="str">
        <f>VLOOKUP(Tabla9[[#This Row],[Codigo]],Stock[#Data],2,FALSE)</f>
        <v>El gran tabacal criollo</v>
      </c>
      <c r="D373" s="63">
        <f>VLOOKUP(Tabla9[[#This Row],[Codigo]],Stock[#Data],3,FALSE)</f>
        <v>600</v>
      </c>
      <c r="E373">
        <v>394</v>
      </c>
      <c r="F373">
        <v>1</v>
      </c>
      <c r="G373" s="63">
        <f>Tabla9[[#This Row],[Precio Compra]]*Tabla9[[#This Row],[Cantidad]]</f>
        <v>600</v>
      </c>
    </row>
    <row r="374" spans="2:7">
      <c r="B374" t="s">
        <v>821</v>
      </c>
      <c r="C374" t="str">
        <f>VLOOKUP(Tabla9[[#This Row],[Codigo]],Stock[#Data],2,FALSE)</f>
        <v xml:space="preserve">El gran tabacal tabaco pipa </v>
      </c>
      <c r="D374" s="63">
        <f>VLOOKUP(Tabla9[[#This Row],[Codigo]],Stock[#Data],3,FALSE)</f>
        <v>600</v>
      </c>
      <c r="E374">
        <v>395</v>
      </c>
      <c r="F374">
        <v>2</v>
      </c>
      <c r="G374" s="63">
        <f>Tabla9[[#This Row],[Precio Compra]]*Tabla9[[#This Row],[Cantidad]]</f>
        <v>1200</v>
      </c>
    </row>
    <row r="375" spans="2:7">
      <c r="B375" t="s">
        <v>821</v>
      </c>
      <c r="C375" t="str">
        <f>VLOOKUP(Tabla9[[#This Row],[Codigo]],Stock[#Data],2,FALSE)</f>
        <v xml:space="preserve">Tree mix Candy 1L </v>
      </c>
      <c r="D375" s="63">
        <f>VLOOKUP(Tabla9[[#This Row],[Codigo]],Stock[#Data],3,FALSE)</f>
        <v>2510</v>
      </c>
      <c r="E375">
        <v>396</v>
      </c>
      <c r="F375">
        <v>1</v>
      </c>
      <c r="G375" s="63">
        <f>Tabla9[[#This Row],[Precio Compra]]*Tabla9[[#This Row],[Cantidad]]</f>
        <v>2510</v>
      </c>
    </row>
    <row r="376" spans="2:7">
      <c r="B376" t="s">
        <v>821</v>
      </c>
      <c r="C376" t="str">
        <f>VLOOKUP(Tabla9[[#This Row],[Codigo]],Stock[#Data],2,FALSE)</f>
        <v>Extractor Kudu 6"</v>
      </c>
      <c r="D376" s="63">
        <f>VLOOKUP(Tabla9[[#This Row],[Codigo]],Stock[#Data],3,FALSE)</f>
        <v>6075</v>
      </c>
      <c r="E376">
        <v>397</v>
      </c>
      <c r="F376">
        <v>2</v>
      </c>
      <c r="G376" s="63">
        <f>Tabla9[[#This Row],[Precio Compra]]*Tabla9[[#This Row],[Cantidad]]</f>
        <v>12150</v>
      </c>
    </row>
    <row r="377" spans="2:7">
      <c r="B377" t="s">
        <v>821</v>
      </c>
      <c r="C377" t="str">
        <f>VLOOKUP(Tabla9[[#This Row],[Codigo]],Stock[#Data],2,FALSE)</f>
        <v xml:space="preserve">Pangea kit profesional </v>
      </c>
      <c r="D377" s="63">
        <f>VLOOKUP(Tabla9[[#This Row],[Codigo]],Stock[#Data],3,FALSE)</f>
        <v>4025</v>
      </c>
      <c r="E377">
        <v>398</v>
      </c>
      <c r="F377">
        <v>3</v>
      </c>
      <c r="G377" s="63">
        <f>Tabla9[[#This Row],[Precio Compra]]*Tabla9[[#This Row],[Cantidad]]</f>
        <v>12075</v>
      </c>
    </row>
    <row r="378" spans="2:7">
      <c r="B378" t="s">
        <v>821</v>
      </c>
      <c r="C378" t="str">
        <f>VLOOKUP(Tabla9[[#This Row],[Codigo]],Stock[#Data],2,FALSE)</f>
        <v xml:space="preserve">Van kiff Menta </v>
      </c>
      <c r="D378" s="63">
        <f>VLOOKUP(Tabla9[[#This Row],[Codigo]],Stock[#Data],3,FALSE)</f>
        <v>580</v>
      </c>
      <c r="E378">
        <v>400</v>
      </c>
      <c r="F378">
        <v>4</v>
      </c>
      <c r="G378" s="63">
        <f>Tabla9[[#This Row],[Precio Compra]]*Tabla9[[#This Row],[Cantidad]]</f>
        <v>2320</v>
      </c>
    </row>
    <row r="379" spans="2:7">
      <c r="B379" t="s">
        <v>821</v>
      </c>
      <c r="C379" t="str">
        <f>VLOOKUP(Tabla9[[#This Row],[Codigo]],Stock[#Data],2,FALSE)</f>
        <v>Picador Scuadarfum plastico 3p</v>
      </c>
      <c r="D379" s="63">
        <f>VLOOKUP(Tabla9[[#This Row],[Codigo]],Stock[#Data],3,FALSE)</f>
        <v>715</v>
      </c>
      <c r="E379">
        <v>403</v>
      </c>
      <c r="F379">
        <v>2</v>
      </c>
      <c r="G379" s="63">
        <f>Tabla9[[#This Row],[Precio Compra]]*Tabla9[[#This Row],[Cantidad]]</f>
        <v>1430</v>
      </c>
    </row>
    <row r="380" spans="2:7">
      <c r="B380" t="s">
        <v>821</v>
      </c>
      <c r="C380" t="str">
        <f>VLOOKUP(Tabla9[[#This Row],[Codigo]],Stock[#Data],2,FALSE)</f>
        <v>Blunt Lion Rolling Circus Buble gumm</v>
      </c>
      <c r="D380" s="63">
        <f>VLOOKUP(Tabla9[[#This Row],[Codigo]],Stock[#Data],3,FALSE)</f>
        <v>383</v>
      </c>
      <c r="E380">
        <v>404</v>
      </c>
      <c r="F380">
        <v>9</v>
      </c>
      <c r="G380" s="63">
        <f>Tabla9[[#This Row],[Precio Compra]]*Tabla9[[#This Row],[Cantidad]]</f>
        <v>3447</v>
      </c>
    </row>
    <row r="381" spans="2:7">
      <c r="B381" t="s">
        <v>821</v>
      </c>
      <c r="C381" t="str">
        <f>VLOOKUP(Tabla9[[#This Row],[Codigo]],Stock[#Data],2,FALSE)</f>
        <v>Blunt Lion Rolling Circus Straberry</v>
      </c>
      <c r="D381" s="63">
        <f>VLOOKUP(Tabla9[[#This Row],[Codigo]],Stock[#Data],3,FALSE)</f>
        <v>383</v>
      </c>
      <c r="E381">
        <v>405</v>
      </c>
      <c r="F381">
        <v>7</v>
      </c>
      <c r="G381" s="63">
        <f>Tabla9[[#This Row],[Precio Compra]]*Tabla9[[#This Row],[Cantidad]]</f>
        <v>2681</v>
      </c>
    </row>
    <row r="382" spans="2:7">
      <c r="B382" t="s">
        <v>821</v>
      </c>
      <c r="C382" t="str">
        <f>VLOOKUP(Tabla9[[#This Row],[Codigo]],Stock[#Data],2,FALSE)</f>
        <v xml:space="preserve">Lion Blunt Gorilla </v>
      </c>
      <c r="D382" s="63">
        <f>VLOOKUP(Tabla9[[#This Row],[Codigo]],Stock[#Data],3,FALSE)</f>
        <v>380</v>
      </c>
      <c r="E382">
        <v>407</v>
      </c>
      <c r="F382">
        <v>1</v>
      </c>
      <c r="G382" s="63">
        <f>Tabla9[[#This Row],[Precio Compra]]*Tabla9[[#This Row],[Cantidad]]</f>
        <v>380</v>
      </c>
    </row>
    <row r="383" spans="2:7">
      <c r="B383" t="s">
        <v>821</v>
      </c>
      <c r="C383" t="str">
        <f>VLOOKUP(Tabla9[[#This Row],[Codigo]],Stock[#Data],2,FALSE)</f>
        <v xml:space="preserve">Filtros Stamp Regular </v>
      </c>
      <c r="D383" s="63">
        <f>VLOOKUP(Tabla9[[#This Row],[Codigo]],Stock[#Data],3,FALSE)</f>
        <v>125</v>
      </c>
      <c r="E383">
        <v>409</v>
      </c>
      <c r="F383">
        <v>10</v>
      </c>
      <c r="G383" s="63">
        <f>Tabla9[[#This Row],[Precio Compra]]*Tabla9[[#This Row],[Cantidad]]</f>
        <v>1250</v>
      </c>
    </row>
    <row r="384" spans="2:7">
      <c r="B384" t="s">
        <v>821</v>
      </c>
      <c r="C384" t="str">
        <f>VLOOKUP(Tabla9[[#This Row],[Codigo]],Stock[#Data],2,FALSE)</f>
        <v xml:space="preserve">Filtros Stamp Bio </v>
      </c>
      <c r="D384" s="63">
        <f>VLOOKUP(Tabla9[[#This Row],[Codigo]],Stock[#Data],3,FALSE)</f>
        <v>180</v>
      </c>
      <c r="E384">
        <v>410</v>
      </c>
      <c r="F384">
        <v>1</v>
      </c>
      <c r="G384" s="63">
        <f>Tabla9[[#This Row],[Precio Compra]]*Tabla9[[#This Row],[Cantidad]]</f>
        <v>180</v>
      </c>
    </row>
    <row r="385" spans="2:7">
      <c r="B385" t="s">
        <v>821</v>
      </c>
      <c r="C385" t="str">
        <f>VLOOKUP(Tabla9[[#This Row],[Codigo]],Stock[#Data],2,FALSE)</f>
        <v xml:space="preserve">Picar StampsAcrilico 4 partes </v>
      </c>
      <c r="D385" s="63">
        <f>VLOOKUP(Tabla9[[#This Row],[Codigo]],Stock[#Data],3,FALSE)</f>
        <v>595</v>
      </c>
      <c r="E385">
        <v>418</v>
      </c>
      <c r="F385">
        <v>5</v>
      </c>
      <c r="G385" s="63">
        <f>Tabla9[[#This Row],[Precio Compra]]*Tabla9[[#This Row],[Cantidad]]</f>
        <v>2975</v>
      </c>
    </row>
    <row r="386" spans="2:7">
      <c r="B386" t="s">
        <v>821</v>
      </c>
      <c r="C386" t="str">
        <f>VLOOKUP(Tabla9[[#This Row],[Codigo]],Stock[#Data],2,FALSE)</f>
        <v>Bong Keep it Freesh 2</v>
      </c>
      <c r="D386" s="63">
        <f>VLOOKUP(Tabla9[[#This Row],[Codigo]],Stock[#Data],3,FALSE)</f>
        <v>14899</v>
      </c>
      <c r="E386">
        <v>419</v>
      </c>
      <c r="F386">
        <v>1</v>
      </c>
      <c r="G386" s="63">
        <f>Tabla9[[#This Row],[Precio Compra]]*Tabla9[[#This Row],[Cantidad]]</f>
        <v>14899</v>
      </c>
    </row>
    <row r="387" spans="2:7">
      <c r="B387" t="s">
        <v>821</v>
      </c>
      <c r="C387" t="str">
        <f>VLOOKUP(Tabla9[[#This Row],[Codigo]],Stock[#Data],2,FALSE)</f>
        <v xml:space="preserve">Tabaquera GB </v>
      </c>
      <c r="D387" s="63">
        <f>VLOOKUP(Tabla9[[#This Row],[Codigo]],Stock[#Data],3,FALSE)</f>
        <v>500</v>
      </c>
      <c r="E387">
        <v>411</v>
      </c>
      <c r="F387">
        <v>3</v>
      </c>
      <c r="G387" s="63">
        <f>Tabla9[[#This Row],[Precio Compra]]*Tabla9[[#This Row],[Cantidad]]</f>
        <v>1500</v>
      </c>
    </row>
    <row r="388" spans="2:7">
      <c r="B388" t="s">
        <v>821</v>
      </c>
      <c r="C388" t="str">
        <f>VLOOKUP(Tabla9[[#This Row],[Codigo]],Stock[#Data],2,FALSE)</f>
        <v>Bong Keep it Freesh 3</v>
      </c>
      <c r="D388" s="63">
        <f>VLOOKUP(Tabla9[[#This Row],[Codigo]],Stock[#Data],3,FALSE)</f>
        <v>14998</v>
      </c>
      <c r="E388">
        <v>420</v>
      </c>
      <c r="F388">
        <v>1</v>
      </c>
      <c r="G388" s="63">
        <f>Tabla9[[#This Row],[Precio Compra]]*Tabla9[[#This Row],[Cantidad]]</f>
        <v>14998</v>
      </c>
    </row>
    <row r="389" spans="2:7">
      <c r="B389" t="s">
        <v>821</v>
      </c>
      <c r="C389" t="str">
        <f>VLOOKUP(Tabla9[[#This Row],[Codigo]],Stock[#Data],2,FALSE)</f>
        <v>Porta porros 420</v>
      </c>
      <c r="D389" s="63">
        <f>VLOOKUP(Tabla9[[#This Row],[Codigo]],Stock[#Data],3,FALSE)</f>
        <v>73</v>
      </c>
      <c r="E389">
        <v>421</v>
      </c>
      <c r="F389">
        <v>9</v>
      </c>
      <c r="G389" s="63">
        <f>Tabla9[[#This Row],[Precio Compra]]*Tabla9[[#This Row],[Cantidad]]</f>
        <v>657</v>
      </c>
    </row>
    <row r="390" spans="2:7">
      <c r="B390" t="s">
        <v>821</v>
      </c>
      <c r="C390" t="str">
        <f>VLOOKUP(Tabla9[[#This Row],[Codigo]],Stock[#Data],2,FALSE)</f>
        <v>Picador 420</v>
      </c>
      <c r="D390" s="63">
        <f>VLOOKUP(Tabla9[[#This Row],[Codigo]],Stock[#Data],3,FALSE)</f>
        <v>870</v>
      </c>
      <c r="E390">
        <v>423</v>
      </c>
      <c r="F390">
        <v>1</v>
      </c>
      <c r="G390" s="63">
        <f>Tabla9[[#This Row],[Precio Compra]]*Tabla9[[#This Row],[Cantidad]]</f>
        <v>870</v>
      </c>
    </row>
    <row r="391" spans="2:7">
      <c r="B391" t="s">
        <v>821</v>
      </c>
      <c r="C391" t="str">
        <f>VLOOKUP(Tabla9[[#This Row],[Codigo]],Stock[#Data],2,FALSE)</f>
        <v>Maquina para Armar Metalica STAMPS</v>
      </c>
      <c r="D391" s="63">
        <f>VLOOKUP(Tabla9[[#This Row],[Codigo]],Stock[#Data],3,FALSE)</f>
        <v>1145</v>
      </c>
      <c r="E391">
        <v>413</v>
      </c>
      <c r="F391">
        <v>2</v>
      </c>
      <c r="G391" s="63">
        <f>Tabla9[[#This Row],[Precio Compra]]*Tabla9[[#This Row],[Cantidad]]</f>
        <v>2290</v>
      </c>
    </row>
    <row r="392" spans="2:7">
      <c r="B392" t="s">
        <v>821</v>
      </c>
      <c r="C392" t="str">
        <f>VLOOKUP(Tabla9[[#This Row],[Codigo]],Stock[#Data],2,FALSE)</f>
        <v>Sedas Dolar Honey Puff</v>
      </c>
      <c r="D392" s="63">
        <f>VLOOKUP(Tabla9[[#This Row],[Codigo]],Stock[#Data],3,FALSE)</f>
        <v>316</v>
      </c>
      <c r="E392">
        <v>425</v>
      </c>
      <c r="F392">
        <v>6</v>
      </c>
      <c r="G392" s="63">
        <f>Tabla9[[#This Row],[Precio Compra]]*Tabla9[[#This Row],[Cantidad]]</f>
        <v>1896</v>
      </c>
    </row>
    <row r="393" spans="2:7">
      <c r="B393" t="s">
        <v>821</v>
      </c>
      <c r="C393" t="str">
        <f>VLOOKUP(Tabla9[[#This Row],[Codigo]],Stock[#Data],2,FALSE)</f>
        <v>picador lion plastico triner</v>
      </c>
      <c r="D393" s="63">
        <f>VLOOKUP(Tabla9[[#This Row],[Codigo]],Stock[#Data],3,FALSE)</f>
        <v>1319</v>
      </c>
      <c r="E393">
        <v>426</v>
      </c>
      <c r="F393">
        <v>2</v>
      </c>
      <c r="G393" s="63">
        <f>Tabla9[[#This Row],[Precio Compra]]*Tabla9[[#This Row],[Cantidad]]</f>
        <v>2638</v>
      </c>
    </row>
    <row r="394" spans="2:7">
      <c r="B394" t="s">
        <v>821</v>
      </c>
      <c r="C394" t="str">
        <f>VLOOKUP(Tabla9[[#This Row],[Codigo]],Stock[#Data],2,FALSE)</f>
        <v>Cigarrera</v>
      </c>
      <c r="D394" s="63">
        <f>VLOOKUP(Tabla9[[#This Row],[Codigo]],Stock[#Data],3,FALSE)</f>
        <v>1699</v>
      </c>
      <c r="E394">
        <v>428</v>
      </c>
      <c r="F394">
        <v>3</v>
      </c>
      <c r="G394" s="63">
        <f>Tabla9[[#This Row],[Precio Compra]]*Tabla9[[#This Row],[Cantidad]]</f>
        <v>5097</v>
      </c>
    </row>
    <row r="395" spans="2:7">
      <c r="B395" t="s">
        <v>821</v>
      </c>
      <c r="C395" t="str">
        <f>VLOOKUP(Tabla9[[#This Row],[Codigo]],Stock[#Data],2,FALSE)</f>
        <v xml:space="preserve">Picador lion Barcelona California Amsterdam 2 partes </v>
      </c>
      <c r="D395" s="63">
        <f>VLOOKUP(Tabla9[[#This Row],[Codigo]],Stock[#Data],3,FALSE)</f>
        <v>2002</v>
      </c>
      <c r="E395">
        <v>429</v>
      </c>
      <c r="F395">
        <v>2</v>
      </c>
      <c r="G395" s="63">
        <f>Tabla9[[#This Row],[Precio Compra]]*Tabla9[[#This Row],[Cantidad]]</f>
        <v>4004</v>
      </c>
    </row>
    <row r="396" spans="2:7">
      <c r="B396" t="s">
        <v>821</v>
      </c>
      <c r="C396" t="str">
        <f>VLOOKUP(Tabla9[[#This Row],[Codigo]],Stock[#Data],2,FALSE)</f>
        <v>Pipas metalicas largas</v>
      </c>
      <c r="D396" s="63">
        <f>VLOOKUP(Tabla9[[#This Row],[Codigo]],Stock[#Data],3,FALSE)</f>
        <v>1235</v>
      </c>
      <c r="E396">
        <v>430</v>
      </c>
      <c r="F396">
        <v>2</v>
      </c>
      <c r="G396" s="63">
        <f>Tabla9[[#This Row],[Precio Compra]]*Tabla9[[#This Row],[Cantidad]]</f>
        <v>2470</v>
      </c>
    </row>
    <row r="397" spans="2:7">
      <c r="B397" t="s">
        <v>821</v>
      </c>
      <c r="C397" t="str">
        <f>VLOOKUP(Tabla9[[#This Row],[Codigo]],Stock[#Data],2,FALSE)</f>
        <v>Pipas Dk Vidrio cortas</v>
      </c>
      <c r="D397" s="63">
        <f>VLOOKUP(Tabla9[[#This Row],[Codigo]],Stock[#Data],3,FALSE)</f>
        <v>1192</v>
      </c>
      <c r="E397">
        <v>431</v>
      </c>
      <c r="F397">
        <v>2</v>
      </c>
      <c r="G397" s="63">
        <f>Tabla9[[#This Row],[Precio Compra]]*Tabla9[[#This Row],[Cantidad]]</f>
        <v>2384</v>
      </c>
    </row>
    <row r="398" spans="2:7">
      <c r="B398" t="s">
        <v>821</v>
      </c>
      <c r="C398" t="str">
        <f>VLOOKUP(Tabla9[[#This Row],[Codigo]],Stock[#Data],2,FALSE)</f>
        <v xml:space="preserve">Turbina Bujia </v>
      </c>
      <c r="D398" s="63">
        <f>VLOOKUP(Tabla9[[#This Row],[Codigo]],Stock[#Data],3,FALSE)</f>
        <v>525</v>
      </c>
      <c r="E398">
        <v>432</v>
      </c>
      <c r="F398">
        <v>4</v>
      </c>
      <c r="G398" s="63">
        <f>Tabla9[[#This Row],[Precio Compra]]*Tabla9[[#This Row],[Cantidad]]</f>
        <v>2100</v>
      </c>
    </row>
    <row r="399" spans="2:7">
      <c r="B399" t="s">
        <v>821</v>
      </c>
      <c r="C399" t="str">
        <f>VLOOKUP(Tabla9[[#This Row],[Codigo]],Stock[#Data],2,FALSE)</f>
        <v>Picador STAMPS 3p Acrilico</v>
      </c>
      <c r="D399" s="63">
        <f>VLOOKUP(Tabla9[[#This Row],[Codigo]],Stock[#Data],3,FALSE)</f>
        <v>270</v>
      </c>
      <c r="E399">
        <v>433</v>
      </c>
      <c r="F399">
        <v>3</v>
      </c>
      <c r="G399" s="63">
        <f>Tabla9[[#This Row],[Precio Compra]]*Tabla9[[#This Row],[Cantidad]]</f>
        <v>810</v>
      </c>
    </row>
    <row r="400" spans="2:7">
      <c r="B400" t="s">
        <v>821</v>
      </c>
      <c r="C400" t="str">
        <f>VLOOKUP(Tabla9[[#This Row],[Codigo]],Stock[#Data],2,FALSE)</f>
        <v>Picador Dk Calavera 3p</v>
      </c>
      <c r="D400" s="63">
        <f>VLOOKUP(Tabla9[[#This Row],[Codigo]],Stock[#Data],3,FALSE)</f>
        <v>1250</v>
      </c>
      <c r="E400">
        <v>434</v>
      </c>
      <c r="F400">
        <v>1</v>
      </c>
      <c r="G400" s="63">
        <f>Tabla9[[#This Row],[Precio Compra]]*Tabla9[[#This Row],[Cantidad]]</f>
        <v>1250</v>
      </c>
    </row>
    <row r="401" spans="2:7">
      <c r="B401" t="s">
        <v>821</v>
      </c>
      <c r="C401" t="str">
        <f>VLOOKUP(Tabla9[[#This Row],[Codigo]],Stock[#Data],2,FALSE)</f>
        <v xml:space="preserve">Picador Dk 4p Amsterdam hoja </v>
      </c>
      <c r="D401" s="63">
        <f>VLOOKUP(Tabla9[[#This Row],[Codigo]],Stock[#Data],3,FALSE)</f>
        <v>2140</v>
      </c>
      <c r="E401">
        <v>435</v>
      </c>
      <c r="F401">
        <v>1</v>
      </c>
      <c r="G401" s="63">
        <f>Tabla9[[#This Row],[Precio Compra]]*Tabla9[[#This Row],[Cantidad]]</f>
        <v>2140</v>
      </c>
    </row>
    <row r="402" spans="2:7">
      <c r="B402" t="s">
        <v>821</v>
      </c>
      <c r="C402" t="str">
        <f>VLOOKUP(Tabla9[[#This Row],[Codigo]],Stock[#Data],2,FALSE)</f>
        <v xml:space="preserve">Picador Stamp Metalico 4p </v>
      </c>
      <c r="D402" s="63">
        <f>VLOOKUP(Tabla9[[#This Row],[Codigo]],Stock[#Data],3,FALSE)</f>
        <v>4500</v>
      </c>
      <c r="E402">
        <v>436</v>
      </c>
      <c r="F402">
        <v>1</v>
      </c>
      <c r="G402" s="63">
        <f>Tabla9[[#This Row],[Precio Compra]]*Tabla9[[#This Row],[Cantidad]]</f>
        <v>4500</v>
      </c>
    </row>
    <row r="403" spans="2:7">
      <c r="B403" t="s">
        <v>821</v>
      </c>
      <c r="C403" t="str">
        <f>VLOOKUP(Tabla9[[#This Row],[Codigo]],Stock[#Data],2,FALSE)</f>
        <v xml:space="preserve">Pipas Capitan America </v>
      </c>
      <c r="D403" s="63">
        <f>VLOOKUP(Tabla9[[#This Row],[Codigo]],Stock[#Data],3,FALSE)</f>
        <v>1325</v>
      </c>
      <c r="E403">
        <v>437</v>
      </c>
      <c r="F403">
        <v>2</v>
      </c>
      <c r="G403" s="63">
        <f>Tabla9[[#This Row],[Precio Compra]]*Tabla9[[#This Row],[Cantidad]]</f>
        <v>2650</v>
      </c>
    </row>
    <row r="404" spans="2:7">
      <c r="B404" t="s">
        <v>821</v>
      </c>
      <c r="C404" t="str">
        <f>VLOOKUP(Tabla9[[#This Row],[Codigo]],Stock[#Data],2,FALSE)</f>
        <v>Maceta Mad Rocket 16L</v>
      </c>
      <c r="D404" s="63">
        <f>VLOOKUP(Tabla9[[#This Row],[Codigo]],Stock[#Data],3,FALSE)</f>
        <v>820</v>
      </c>
      <c r="E404">
        <v>438</v>
      </c>
      <c r="F404">
        <v>5</v>
      </c>
      <c r="G404" s="63">
        <f>Tabla9[[#This Row],[Precio Compra]]*Tabla9[[#This Row],[Cantidad]]</f>
        <v>4100</v>
      </c>
    </row>
    <row r="405" spans="2:7">
      <c r="B405" t="s">
        <v>821</v>
      </c>
      <c r="C405" t="str">
        <f>VLOOKUP(Tabla9[[#This Row],[Codigo]],Stock[#Data],2,FALSE)</f>
        <v xml:space="preserve">Bolsas Ziplock Keep it </v>
      </c>
      <c r="D405" s="63">
        <f>VLOOKUP(Tabla9[[#This Row],[Codigo]],Stock[#Data],3,FALSE)</f>
        <v>160</v>
      </c>
      <c r="E405">
        <v>439</v>
      </c>
      <c r="F405">
        <v>1</v>
      </c>
      <c r="G405" s="63">
        <f>Tabla9[[#This Row],[Precio Compra]]*Tabla9[[#This Row],[Cantidad]]</f>
        <v>160</v>
      </c>
    </row>
    <row r="406" spans="2:7">
      <c r="B406" t="s">
        <v>821</v>
      </c>
      <c r="C406" t="str">
        <f>VLOOKUP(Tabla9[[#This Row],[Codigo]],Stock[#Data],2,FALSE)</f>
        <v>Mochila Lion Rolling Circus</v>
      </c>
      <c r="D406" s="63">
        <f>VLOOKUP(Tabla9[[#This Row],[Codigo]],Stock[#Data],3,FALSE)</f>
        <v>1011</v>
      </c>
      <c r="E406">
        <v>440</v>
      </c>
      <c r="F406">
        <v>2</v>
      </c>
      <c r="G406" s="63">
        <f>Tabla9[[#This Row],[Precio Compra]]*Tabla9[[#This Row],[Cantidad]]</f>
        <v>2022</v>
      </c>
    </row>
    <row r="407" spans="2:7">
      <c r="B407" t="s">
        <v>821</v>
      </c>
      <c r="C407" t="str">
        <f>VLOOKUP(Tabla9[[#This Row],[Codigo]],Stock[#Data],2,FALSE)</f>
        <v xml:space="preserve">Bio Proyect Ph + 125ml </v>
      </c>
      <c r="D407" s="63">
        <f>VLOOKUP(Tabla9[[#This Row],[Codigo]],Stock[#Data],3,FALSE)</f>
        <v>631</v>
      </c>
      <c r="E407">
        <v>441</v>
      </c>
      <c r="F407">
        <v>9</v>
      </c>
      <c r="G407" s="63">
        <f>Tabla9[[#This Row],[Precio Compra]]*Tabla9[[#This Row],[Cantidad]]</f>
        <v>5679</v>
      </c>
    </row>
    <row r="408" spans="2:7">
      <c r="B408" t="s">
        <v>821</v>
      </c>
      <c r="C408" t="str">
        <f>VLOOKUP(Tabla9[[#This Row],[Codigo]],Stock[#Data],2,FALSE)</f>
        <v>Tree mix Pro 1L</v>
      </c>
      <c r="D408" s="63">
        <f>VLOOKUP(Tabla9[[#This Row],[Codigo]],Stock[#Data],3,FALSE)</f>
        <v>2310</v>
      </c>
      <c r="E408">
        <v>442</v>
      </c>
      <c r="F408">
        <v>2</v>
      </c>
      <c r="G408" s="63">
        <f>Tabla9[[#This Row],[Precio Compra]]*Tabla9[[#This Row],[Cantidad]]</f>
        <v>4620</v>
      </c>
    </row>
    <row r="409" spans="2:7">
      <c r="B409" t="s">
        <v>821</v>
      </c>
      <c r="C409" t="str">
        <f>VLOOKUP(Tabla9[[#This Row],[Codigo]],Stock[#Data],2,FALSE)</f>
        <v xml:space="preserve">Tree mix N 1L  </v>
      </c>
      <c r="D409" s="63">
        <f>VLOOKUP(Tabla9[[#This Row],[Codigo]],Stock[#Data],3,FALSE)</f>
        <v>2300</v>
      </c>
      <c r="E409">
        <v>443</v>
      </c>
      <c r="F409">
        <v>1</v>
      </c>
      <c r="G409" s="63">
        <f>Tabla9[[#This Row],[Precio Compra]]*Tabla9[[#This Row],[Cantidad]]</f>
        <v>2300</v>
      </c>
    </row>
    <row r="410" spans="2:7">
      <c r="B410" t="s">
        <v>821</v>
      </c>
      <c r="C410" t="str">
        <f>VLOOKUP(Tabla9[[#This Row],[Codigo]],Stock[#Data],2,FALSE)</f>
        <v xml:space="preserve">Tree mix F 1L  </v>
      </c>
      <c r="D410" s="63">
        <f>VLOOKUP(Tabla9[[#This Row],[Codigo]],Stock[#Data],3,FALSE)</f>
        <v>2670</v>
      </c>
      <c r="E410">
        <v>444</v>
      </c>
      <c r="F410">
        <v>2</v>
      </c>
      <c r="G410" s="63">
        <f>Tabla9[[#This Row],[Precio Compra]]*Tabla9[[#This Row],[Cantidad]]</f>
        <v>5340</v>
      </c>
    </row>
    <row r="411" spans="2:7">
      <c r="B411" t="s">
        <v>821</v>
      </c>
      <c r="C411" t="str">
        <f>VLOOKUP(Tabla9[[#This Row],[Codigo]],Stock[#Data],2,FALSE)</f>
        <v>Tree Mix N 500ml</v>
      </c>
      <c r="D411" s="63">
        <f>VLOOKUP(Tabla9[[#This Row],[Codigo]],Stock[#Data],3,FALSE)</f>
        <v>1260</v>
      </c>
      <c r="E411">
        <v>446</v>
      </c>
      <c r="F411">
        <v>3</v>
      </c>
      <c r="G411" s="63">
        <f>Tabla9[[#This Row],[Precio Compra]]*Tabla9[[#This Row],[Cantidad]]</f>
        <v>3780</v>
      </c>
    </row>
    <row r="412" spans="2:7">
      <c r="B412" t="s">
        <v>821</v>
      </c>
      <c r="C412" t="str">
        <f>VLOOKUP(Tabla9[[#This Row],[Codigo]],Stock[#Data],2,FALSE)</f>
        <v>Tree Mix A 500ml</v>
      </c>
      <c r="D412" s="63">
        <f>VLOOKUP(Tabla9[[#This Row],[Codigo]],Stock[#Data],3,FALSE)</f>
        <v>1430</v>
      </c>
      <c r="E412">
        <v>447</v>
      </c>
      <c r="F412">
        <v>1</v>
      </c>
      <c r="G412" s="63">
        <f>Tabla9[[#This Row],[Precio Compra]]*Tabla9[[#This Row],[Cantidad]]</f>
        <v>1430</v>
      </c>
    </row>
    <row r="413" spans="2:7">
      <c r="B413" t="s">
        <v>821</v>
      </c>
      <c r="C413" t="str">
        <f>VLOOKUP(Tabla9[[#This Row],[Codigo]],Stock[#Data],2,FALSE)</f>
        <v>Tree Mix F 500ml</v>
      </c>
      <c r="D413" s="63">
        <f>VLOOKUP(Tabla9[[#This Row],[Codigo]],Stock[#Data],3,FALSE)</f>
        <v>1320</v>
      </c>
      <c r="E413">
        <v>448</v>
      </c>
      <c r="F413">
        <v>2</v>
      </c>
      <c r="G413" s="63">
        <f>Tabla9[[#This Row],[Precio Compra]]*Tabla9[[#This Row],[Cantidad]]</f>
        <v>2640</v>
      </c>
    </row>
    <row r="414" spans="2:7">
      <c r="B414" t="s">
        <v>821</v>
      </c>
      <c r="C414" t="str">
        <f>VLOOKUP(Tabla9[[#This Row],[Codigo]],Stock[#Data],2,FALSE)</f>
        <v>Tree Mix  Candy 500ml</v>
      </c>
      <c r="D414" s="63">
        <f>VLOOKUP(Tabla9[[#This Row],[Codigo]],Stock[#Data],3,FALSE)</f>
        <v>1260</v>
      </c>
      <c r="E414">
        <v>449</v>
      </c>
      <c r="F414">
        <v>1</v>
      </c>
      <c r="G414" s="63">
        <f>Tabla9[[#This Row],[Precio Compra]]*Tabla9[[#This Row],[Cantidad]]</f>
        <v>1260</v>
      </c>
    </row>
    <row r="415" spans="2:7">
      <c r="B415" t="s">
        <v>821</v>
      </c>
      <c r="C415" t="str">
        <f>VLOOKUP(Tabla9[[#This Row],[Codigo]],Stock[#Data],2,FALSE)</f>
        <v>Tree Mix  Candy 200ml</v>
      </c>
      <c r="D415" s="63">
        <f>VLOOKUP(Tabla9[[#This Row],[Codigo]],Stock[#Data],3,FALSE)</f>
        <v>520</v>
      </c>
      <c r="E415">
        <v>450</v>
      </c>
      <c r="F415">
        <v>4</v>
      </c>
      <c r="G415" s="63">
        <f>Tabla9[[#This Row],[Precio Compra]]*Tabla9[[#This Row],[Cantidad]]</f>
        <v>2080</v>
      </c>
    </row>
    <row r="416" spans="2:7">
      <c r="B416" t="s">
        <v>821</v>
      </c>
      <c r="C416" t="str">
        <f>VLOOKUP(Tabla9[[#This Row],[Codigo]],Stock[#Data],2,FALSE)</f>
        <v>Vermiculita</v>
      </c>
      <c r="D416" s="63">
        <f>VLOOKUP(Tabla9[[#This Row],[Codigo]],Stock[#Data],3,FALSE)</f>
        <v>844</v>
      </c>
      <c r="E416">
        <v>451</v>
      </c>
      <c r="F416">
        <v>4</v>
      </c>
      <c r="G416" s="63">
        <f>Tabla9[[#This Row],[Precio Compra]]*Tabla9[[#This Row],[Cantidad]]</f>
        <v>3376</v>
      </c>
    </row>
    <row r="417" spans="2:7">
      <c r="B417" t="s">
        <v>821</v>
      </c>
      <c r="C417" t="str">
        <f>VLOOKUP(Tabla9[[#This Row],[Codigo]],Stock[#Data],2,FALSE)</f>
        <v>Nostress Dolomita</v>
      </c>
      <c r="D417" s="63">
        <f>VLOOKUP(Tabla9[[#This Row],[Codigo]],Stock[#Data],3,FALSE)</f>
        <v>230</v>
      </c>
      <c r="E417">
        <v>452</v>
      </c>
      <c r="F417">
        <v>5</v>
      </c>
      <c r="G417" s="63">
        <f>Tabla9[[#This Row],[Precio Compra]]*Tabla9[[#This Row],[Cantidad]]</f>
        <v>1150</v>
      </c>
    </row>
    <row r="418" spans="2:7">
      <c r="B418" t="s">
        <v>821</v>
      </c>
      <c r="C418" t="str">
        <f>VLOOKUP(Tabla9[[#This Row],[Codigo]],Stock[#Data],2,FALSE)</f>
        <v xml:space="preserve">Tips Raw Cone </v>
      </c>
      <c r="D418" s="63">
        <f>VLOOKUP(Tabla9[[#This Row],[Codigo]],Stock[#Data],3,FALSE)</f>
        <v>230</v>
      </c>
      <c r="E418">
        <v>453</v>
      </c>
      <c r="F418">
        <v>18</v>
      </c>
      <c r="G418" s="63">
        <f>Tabla9[[#This Row],[Precio Compra]]*Tabla9[[#This Row],[Cantidad]]</f>
        <v>4140</v>
      </c>
    </row>
    <row r="419" spans="2:7">
      <c r="B419" t="s">
        <v>821</v>
      </c>
      <c r="C419" t="str">
        <f>VLOOKUP(Tabla9[[#This Row],[Codigo]],Stock[#Data],2,FALSE)</f>
        <v>Vax Skog</v>
      </c>
      <c r="D419" s="63">
        <f>VLOOKUP(Tabla9[[#This Row],[Codigo]],Stock[#Data],3,FALSE)</f>
        <v>376</v>
      </c>
      <c r="E419">
        <v>454</v>
      </c>
      <c r="F419">
        <v>10</v>
      </c>
      <c r="G419" s="63">
        <f>Tabla9[[#This Row],[Precio Compra]]*Tabla9[[#This Row],[Cantidad]]</f>
        <v>3760</v>
      </c>
    </row>
    <row r="420" spans="2:7">
      <c r="B420" t="s">
        <v>821</v>
      </c>
      <c r="C420" t="str">
        <f>VLOOKUP(Tabla9[[#This Row],[Codigo]],Stock[#Data],2,FALSE)</f>
        <v>Melaza 100% natural</v>
      </c>
      <c r="D420" s="63">
        <f>VLOOKUP(Tabla9[[#This Row],[Codigo]],Stock[#Data],3,FALSE)</f>
        <v>340</v>
      </c>
      <c r="E420">
        <v>455</v>
      </c>
      <c r="F420">
        <v>5</v>
      </c>
      <c r="G420" s="63">
        <f>Tabla9[[#This Row],[Precio Compra]]*Tabla9[[#This Row],[Cantidad]]</f>
        <v>1700</v>
      </c>
    </row>
    <row r="421" spans="2:7">
      <c r="B421" t="s">
        <v>821</v>
      </c>
      <c r="C421" t="str">
        <f>VLOOKUP(Tabla9[[#This Row],[Codigo]],Stock[#Data],2,FALSE)</f>
        <v>Macetas Sopladas 3L</v>
      </c>
      <c r="D421" s="63">
        <f>VLOOKUP(Tabla9[[#This Row],[Codigo]],Stock[#Data],3,FALSE)</f>
        <v>58</v>
      </c>
      <c r="E421">
        <v>456</v>
      </c>
      <c r="F421">
        <v>76</v>
      </c>
      <c r="G421" s="63">
        <f>Tabla9[[#This Row],[Precio Compra]]*Tabla9[[#This Row],[Cantidad]]</f>
        <v>4408</v>
      </c>
    </row>
    <row r="422" spans="2:7">
      <c r="B422" t="s">
        <v>821</v>
      </c>
      <c r="C422" t="str">
        <f>VLOOKUP(Tabla9[[#This Row],[Codigo]],Stock[#Data],2,FALSE)</f>
        <v>Tips Lion silver</v>
      </c>
      <c r="D422" s="63">
        <f>VLOOKUP(Tabla9[[#This Row],[Codigo]],Stock[#Data],3,FALSE)</f>
        <v>137</v>
      </c>
      <c r="E422">
        <v>457</v>
      </c>
      <c r="F422">
        <v>13</v>
      </c>
      <c r="G422" s="63">
        <f>Tabla9[[#This Row],[Precio Compra]]*Tabla9[[#This Row],[Cantidad]]</f>
        <v>1781</v>
      </c>
    </row>
    <row r="423" spans="2:7">
      <c r="B423" t="s">
        <v>821</v>
      </c>
      <c r="C423" t="str">
        <f>VLOOKUP(Tabla9[[#This Row],[Codigo]],Stock[#Data],2,FALSE)</f>
        <v>Tips Lion Unbleached</v>
      </c>
      <c r="D423" s="63">
        <f>VLOOKUP(Tabla9[[#This Row],[Codigo]],Stock[#Data],3,FALSE)</f>
        <v>137</v>
      </c>
      <c r="E423">
        <v>458</v>
      </c>
      <c r="F423">
        <v>17</v>
      </c>
      <c r="G423" s="63">
        <f>Tabla9[[#This Row],[Precio Compra]]*Tabla9[[#This Row],[Cantidad]]</f>
        <v>2329</v>
      </c>
    </row>
    <row r="424" spans="2:7">
      <c r="B424" t="s">
        <v>821</v>
      </c>
      <c r="C424" t="str">
        <f>VLOOKUP(Tabla9[[#This Row],[Codigo]],Stock[#Data],2,FALSE)</f>
        <v>Bandeja lion Gold</v>
      </c>
      <c r="D424" s="63">
        <f>VLOOKUP(Tabla9[[#This Row],[Codigo]],Stock[#Data],3,FALSE)</f>
        <v>1822</v>
      </c>
      <c r="E424">
        <v>459</v>
      </c>
      <c r="F424">
        <v>2</v>
      </c>
      <c r="G424" s="63">
        <f>Tabla9[[#This Row],[Precio Compra]]*Tabla9[[#This Row],[Cantidad]]</f>
        <v>3644</v>
      </c>
    </row>
    <row r="425" spans="2:7">
      <c r="B425" t="s">
        <v>821</v>
      </c>
      <c r="C425" t="str">
        <f>VLOOKUP(Tabla9[[#This Row],[Codigo]],Stock[#Data],2,FALSE)</f>
        <v>Picador Pikachu</v>
      </c>
      <c r="D425" s="63">
        <f>VLOOKUP(Tabla9[[#This Row],[Codigo]],Stock[#Data],3,FALSE)</f>
        <v>2727</v>
      </c>
      <c r="E425">
        <v>460</v>
      </c>
      <c r="F425">
        <v>1</v>
      </c>
      <c r="G425" s="63">
        <f>Tabla9[[#This Row],[Precio Compra]]*Tabla9[[#This Row],[Cantidad]]</f>
        <v>2727</v>
      </c>
    </row>
    <row r="426" spans="2:7">
      <c r="B426" t="s">
        <v>821</v>
      </c>
      <c r="C426" t="str">
        <f>VLOOKUP(Tabla9[[#This Row],[Codigo]],Stock[#Data],2,FALSE)</f>
        <v>Picador Scuadarfum triangulo</v>
      </c>
      <c r="D426" s="63">
        <f>VLOOKUP(Tabla9[[#This Row],[Codigo]],Stock[#Data],3,FALSE)</f>
        <v>575</v>
      </c>
      <c r="E426">
        <v>462</v>
      </c>
      <c r="F426">
        <v>2</v>
      </c>
      <c r="G426" s="63">
        <f>Tabla9[[#This Row],[Precio Compra]]*Tabla9[[#This Row],[Cantidad]]</f>
        <v>1150</v>
      </c>
    </row>
    <row r="427" spans="2:7">
      <c r="B427" t="s">
        <v>821</v>
      </c>
      <c r="C427" t="str">
        <f>VLOOKUP(Tabla9[[#This Row],[Codigo]],Stock[#Data],2,FALSE)</f>
        <v>Bandeja Vidrio templado</v>
      </c>
      <c r="D427" s="63">
        <f>VLOOKUP(Tabla9[[#This Row],[Codigo]],Stock[#Data],3,FALSE)</f>
        <v>2000</v>
      </c>
      <c r="E427">
        <v>463</v>
      </c>
      <c r="F427">
        <v>1</v>
      </c>
      <c r="G427" s="63">
        <f>Tabla9[[#This Row],[Precio Compra]]*Tabla9[[#This Row],[Cantidad]]</f>
        <v>2000</v>
      </c>
    </row>
    <row r="428" spans="2:7">
      <c r="B428" t="s">
        <v>821</v>
      </c>
      <c r="C428" t="str">
        <f>VLOOKUP(Tabla9[[#This Row],[Codigo]],Stock[#Data],2,FALSE)</f>
        <v>Rape El gran tabacal</v>
      </c>
      <c r="D428" s="63">
        <f>VLOOKUP(Tabla9[[#This Row],[Codigo]],Stock[#Data],3,FALSE)</f>
        <v>500</v>
      </c>
      <c r="E428">
        <v>464</v>
      </c>
      <c r="F428">
        <v>2</v>
      </c>
      <c r="G428" s="63">
        <f>Tabla9[[#This Row],[Precio Compra]]*Tabla9[[#This Row],[Cantidad]]</f>
        <v>1000</v>
      </c>
    </row>
    <row r="429" spans="2:7">
      <c r="B429" t="s">
        <v>821</v>
      </c>
      <c r="C429" t="str">
        <f>VLOOKUP(Tabla9[[#This Row],[Codigo]],Stock[#Data],2,FALSE)</f>
        <v>Crema Cannabis Ned Lud</v>
      </c>
      <c r="D429" s="63">
        <f>VLOOKUP(Tabla9[[#This Row],[Codigo]],Stock[#Data],3,FALSE)</f>
        <v>1000</v>
      </c>
      <c r="E429">
        <v>465</v>
      </c>
      <c r="F429">
        <v>1</v>
      </c>
      <c r="G429" s="63">
        <f>Tabla9[[#This Row],[Precio Compra]]*Tabla9[[#This Row],[Cantidad]]</f>
        <v>1000</v>
      </c>
    </row>
    <row r="430" spans="2:7">
      <c r="B430" t="s">
        <v>821</v>
      </c>
      <c r="C430" t="str">
        <f>VLOOKUP(Tabla9[[#This Row],[Codigo]],Stock[#Data],2,FALSE)</f>
        <v>Aceite de Cannabis Ned Lud 20ml</v>
      </c>
      <c r="D430" s="63">
        <f>VLOOKUP(Tabla9[[#This Row],[Codigo]],Stock[#Data],3,FALSE)</f>
        <v>4000</v>
      </c>
      <c r="E430">
        <v>466</v>
      </c>
      <c r="F430">
        <v>2</v>
      </c>
      <c r="G430" s="63">
        <f>Tabla9[[#This Row],[Precio Compra]]*Tabla9[[#This Row],[Cantidad]]</f>
        <v>8000</v>
      </c>
    </row>
    <row r="431" spans="2:7">
      <c r="B431" t="s">
        <v>821</v>
      </c>
      <c r="C431" t="str">
        <f>VLOOKUP(Tabla9[[#This Row],[Codigo]],Stock[#Data],2,FALSE)</f>
        <v xml:space="preserve">Maceta Geotextil Pochita 24L </v>
      </c>
      <c r="D431" s="63">
        <f>VLOOKUP(Tabla9[[#This Row],[Codigo]],Stock[#Data],3,FALSE)</f>
        <v>421</v>
      </c>
      <c r="E431">
        <v>467</v>
      </c>
      <c r="F431">
        <v>2</v>
      </c>
      <c r="G431" s="63">
        <f>Tabla9[[#This Row],[Precio Compra]]*Tabla9[[#This Row],[Cantidad]]</f>
        <v>842</v>
      </c>
    </row>
    <row r="432" spans="2:7">
      <c r="B432" t="s">
        <v>821</v>
      </c>
      <c r="C432" t="str">
        <f>VLOOKUP(Tabla9[[#This Row],[Codigo]],Stock[#Data],2,FALSE)</f>
        <v>Tierra de Diatomeas La Pota 500g</v>
      </c>
      <c r="D432" s="63">
        <f>VLOOKUP(Tabla9[[#This Row],[Codigo]],Stock[#Data],3,FALSE)</f>
        <v>720</v>
      </c>
      <c r="E432">
        <v>468</v>
      </c>
      <c r="F432">
        <v>4</v>
      </c>
      <c r="G432" s="63">
        <f>Tabla9[[#This Row],[Precio Compra]]*Tabla9[[#This Row],[Cantidad]]</f>
        <v>2880</v>
      </c>
    </row>
    <row r="433" spans="2:7">
      <c r="B433" t="s">
        <v>821</v>
      </c>
      <c r="C433" t="str">
        <f>VLOOKUP(Tabla9[[#This Row],[Codigo]],Stock[#Data],2,FALSE)</f>
        <v>Repelente para Hormigas Green Leaf</v>
      </c>
      <c r="D433" s="63">
        <f>VLOOKUP(Tabla9[[#This Row],[Codigo]],Stock[#Data],3,FALSE)</f>
        <v>498</v>
      </c>
      <c r="E433">
        <v>469</v>
      </c>
      <c r="F433">
        <v>5</v>
      </c>
      <c r="G433" s="63">
        <f>Tabla9[[#This Row],[Precio Compra]]*Tabla9[[#This Row],[Cantidad]]</f>
        <v>2490</v>
      </c>
    </row>
    <row r="434" spans="2:7">
      <c r="B434" t="s">
        <v>821</v>
      </c>
      <c r="C434" t="str">
        <f>VLOOKUP(Tabla9[[#This Row],[Codigo]],Stock[#Data],2,FALSE)</f>
        <v>Araña Roja Green Leaf 100ml</v>
      </c>
      <c r="D434" s="63">
        <f>VLOOKUP(Tabla9[[#This Row],[Codigo]],Stock[#Data],3,FALSE)</f>
        <v>904</v>
      </c>
      <c r="E434">
        <v>470</v>
      </c>
      <c r="F434">
        <v>15</v>
      </c>
      <c r="G434" s="63">
        <f>Tabla9[[#This Row],[Precio Compra]]*Tabla9[[#This Row],[Cantidad]]</f>
        <v>13560</v>
      </c>
    </row>
    <row r="435" spans="2:7">
      <c r="B435" t="s">
        <v>821</v>
      </c>
      <c r="C435" t="str">
        <f>VLOOKUP(Tabla9[[#This Row],[Codigo]],Stock[#Data],2,FALSE)</f>
        <v>Alga Delta 100ml</v>
      </c>
      <c r="D435" s="63">
        <f>VLOOKUP(Tabla9[[#This Row],[Codigo]],Stock[#Data],3,FALSE)</f>
        <v>808</v>
      </c>
      <c r="E435">
        <v>471</v>
      </c>
      <c r="F435">
        <v>17</v>
      </c>
      <c r="G435" s="63">
        <f>Tabla9[[#This Row],[Precio Compra]]*Tabla9[[#This Row],[Cantidad]]</f>
        <v>13736</v>
      </c>
    </row>
    <row r="436" spans="2:7">
      <c r="B436" t="s">
        <v>821</v>
      </c>
      <c r="C436" t="str">
        <f>VLOOKUP(Tabla9[[#This Row],[Codigo]],Stock[#Data],2,FALSE)</f>
        <v>Eztabilizador 15g 62% keep it Fresh</v>
      </c>
      <c r="D436" s="63">
        <f>VLOOKUP(Tabla9[[#This Row],[Codigo]],Stock[#Data],3,FALSE)</f>
        <v>1084</v>
      </c>
      <c r="E436">
        <v>472</v>
      </c>
      <c r="F436">
        <v>1</v>
      </c>
      <c r="G436" s="63">
        <f>Tabla9[[#This Row],[Precio Compra]]*Tabla9[[#This Row],[Cantidad]]</f>
        <v>1084</v>
      </c>
    </row>
    <row r="437" spans="2:7">
      <c r="B437" t="s">
        <v>821</v>
      </c>
      <c r="C437" t="str">
        <f>VLOOKUP(Tabla9[[#This Row],[Codigo]],Stock[#Data],2,FALSE)</f>
        <v>Bandeja 3 Rayos Chica</v>
      </c>
      <c r="D437" s="63">
        <f>VLOOKUP(Tabla9[[#This Row],[Codigo]],Stock[#Data],3,FALSE)</f>
        <v>1210</v>
      </c>
      <c r="E437">
        <v>473</v>
      </c>
      <c r="F437">
        <v>4</v>
      </c>
      <c r="G437" s="63">
        <f>Tabla9[[#This Row],[Precio Compra]]*Tabla9[[#This Row],[Cantidad]]</f>
        <v>4840</v>
      </c>
    </row>
    <row r="438" spans="2:7">
      <c r="B438" t="s">
        <v>821</v>
      </c>
      <c r="C438" t="str">
        <f>VLOOKUP(Tabla9[[#This Row],[Codigo]],Stock[#Data],2,FALSE)</f>
        <v xml:space="preserve">Picador  Atomic Acrilico 5p </v>
      </c>
      <c r="D438" s="63">
        <f>VLOOKUP(Tabla9[[#This Row],[Codigo]],Stock[#Data],3,FALSE)</f>
        <v>650</v>
      </c>
      <c r="E438">
        <v>474</v>
      </c>
      <c r="F438">
        <v>2</v>
      </c>
      <c r="G438" s="63">
        <f>Tabla9[[#This Row],[Precio Compra]]*Tabla9[[#This Row],[Cantidad]]</f>
        <v>1300</v>
      </c>
    </row>
    <row r="439" spans="2:7">
      <c r="B439" t="s">
        <v>821</v>
      </c>
      <c r="C439" t="str">
        <f>VLOOKUP(Tabla9[[#This Row],[Codigo]],Stock[#Data],2,FALSE)</f>
        <v>Picador Lion  Acrilico 2p</v>
      </c>
      <c r="D439" s="63">
        <f>VLOOKUP(Tabla9[[#This Row],[Codigo]],Stock[#Data],3,FALSE)</f>
        <v>770</v>
      </c>
      <c r="E439">
        <v>475</v>
      </c>
      <c r="F439">
        <v>5</v>
      </c>
      <c r="G439" s="63">
        <f>Tabla9[[#This Row],[Precio Compra]]*Tabla9[[#This Row],[Cantidad]]</f>
        <v>3850</v>
      </c>
    </row>
    <row r="440" spans="2:7">
      <c r="B440" t="s">
        <v>821</v>
      </c>
      <c r="C440" t="str">
        <f>VLOOKUP(Tabla9[[#This Row],[Codigo]],Stock[#Data],2,FALSE)</f>
        <v xml:space="preserve">Filtros Gizhe + Sedas </v>
      </c>
      <c r="D440" s="63">
        <f>VLOOKUP(Tabla9[[#This Row],[Codigo]],Stock[#Data],3,FALSE)</f>
        <v>150</v>
      </c>
      <c r="E440">
        <v>476</v>
      </c>
      <c r="F440">
        <v>13</v>
      </c>
      <c r="G440" s="63">
        <f>Tabla9[[#This Row],[Precio Compra]]*Tabla9[[#This Row],[Cantidad]]</f>
        <v>1950</v>
      </c>
    </row>
    <row r="441" spans="2:7">
      <c r="B441" t="s">
        <v>821</v>
      </c>
      <c r="C441" t="str">
        <f>VLOOKUP(Tabla9[[#This Row],[Codigo]],Stock[#Data],2,FALSE)</f>
        <v>Namaste Amazonia 150gr</v>
      </c>
      <c r="D441" s="63">
        <f>VLOOKUP(Tabla9[[#This Row],[Codigo]],Stock[#Data],3,FALSE)</f>
        <v>1218</v>
      </c>
      <c r="E441">
        <v>477</v>
      </c>
      <c r="F441">
        <v>7</v>
      </c>
      <c r="G441" s="63">
        <f>Tabla9[[#This Row],[Precio Compra]]*Tabla9[[#This Row],[Cantidad]]</f>
        <v>8526</v>
      </c>
    </row>
    <row r="442" spans="2:7">
      <c r="B442" t="s">
        <v>821</v>
      </c>
      <c r="C442" t="str">
        <f>VLOOKUP(Tabla9[[#This Row],[Codigo]],Stock[#Data],2,FALSE)</f>
        <v>Namaste Oro Negro 100ml</v>
      </c>
      <c r="D442" s="63">
        <f>VLOOKUP(Tabla9[[#This Row],[Codigo]],Stock[#Data],3,FALSE)</f>
        <v>515</v>
      </c>
      <c r="E442">
        <v>478</v>
      </c>
      <c r="F442">
        <v>21</v>
      </c>
      <c r="G442" s="63">
        <f>Tabla9[[#This Row],[Precio Compra]]*Tabla9[[#This Row],[Cantidad]]</f>
        <v>10815</v>
      </c>
    </row>
    <row r="443" spans="2:7">
      <c r="B443" t="s">
        <v>821</v>
      </c>
      <c r="C443" t="str">
        <f>VLOOKUP(Tabla9[[#This Row],[Codigo]],Stock[#Data],2,FALSE)</f>
        <v>Namaste Trico+ 100gr</v>
      </c>
      <c r="D443" s="63">
        <f>VLOOKUP(Tabla9[[#This Row],[Codigo]],Stock[#Data],3,FALSE)</f>
        <v>541</v>
      </c>
      <c r="E443">
        <v>479</v>
      </c>
      <c r="F443">
        <v>22</v>
      </c>
      <c r="G443" s="63">
        <f>Tabla9[[#This Row],[Precio Compra]]*Tabla9[[#This Row],[Cantidad]]</f>
        <v>11902</v>
      </c>
    </row>
    <row r="444" spans="2:7">
      <c r="B444" t="s">
        <v>821</v>
      </c>
      <c r="C444" t="str">
        <f>VLOOKUP(Tabla9[[#This Row],[Codigo]],Stock[#Data],2,FALSE)</f>
        <v>Namaste Flora Booster 100ml</v>
      </c>
      <c r="D444" s="63">
        <f>VLOOKUP(Tabla9[[#This Row],[Codigo]],Stock[#Data],3,FALSE)</f>
        <v>517</v>
      </c>
      <c r="E444">
        <v>480</v>
      </c>
      <c r="F444">
        <v>46</v>
      </c>
      <c r="G444" s="63">
        <f>Tabla9[[#This Row],[Precio Compra]]*Tabla9[[#This Row],[Cantidad]]</f>
        <v>23782</v>
      </c>
    </row>
    <row r="445" spans="2:7">
      <c r="B445" t="s">
        <v>821</v>
      </c>
      <c r="C445" t="str">
        <f>VLOOKUP(Tabla9[[#This Row],[Codigo]],Stock[#Data],2,FALSE)</f>
        <v>Pipa Atomic Aluminio</v>
      </c>
      <c r="D445" s="63">
        <f>VLOOKUP(Tabla9[[#This Row],[Codigo]],Stock[#Data],3,FALSE)</f>
        <v>540</v>
      </c>
      <c r="E445">
        <v>481</v>
      </c>
      <c r="F445">
        <v>2</v>
      </c>
      <c r="G445" s="63">
        <f>Tabla9[[#This Row],[Precio Compra]]*Tabla9[[#This Row],[Cantidad]]</f>
        <v>1080</v>
      </c>
    </row>
    <row r="446" spans="2:7">
      <c r="B446" t="s">
        <v>821</v>
      </c>
      <c r="C446" t="str">
        <f>VLOOKUP(Tabla9[[#This Row],[Codigo]],Stock[#Data],2,FALSE)</f>
        <v>Pipa Trop Metal labrado</v>
      </c>
      <c r="D446" s="63">
        <f>VLOOKUP(Tabla9[[#This Row],[Codigo]],Stock[#Data],3,FALSE)</f>
        <v>550</v>
      </c>
      <c r="E446">
        <v>482</v>
      </c>
      <c r="F446">
        <v>1</v>
      </c>
      <c r="G446" s="63">
        <f>Tabla9[[#This Row],[Precio Compra]]*Tabla9[[#This Row],[Cantidad]]</f>
        <v>550</v>
      </c>
    </row>
    <row r="447" spans="2:7">
      <c r="B447" t="s">
        <v>821</v>
      </c>
      <c r="C447" t="str">
        <f>VLOOKUP(Tabla9[[#This Row],[Codigo]],Stock[#Data],2,FALSE)</f>
        <v>Bencina Clear Lata 133mlt</v>
      </c>
      <c r="D447" s="63">
        <f>VLOOKUP(Tabla9[[#This Row],[Codigo]],Stock[#Data],3,FALSE)</f>
        <v>565</v>
      </c>
      <c r="E447">
        <v>484</v>
      </c>
      <c r="F447">
        <v>3</v>
      </c>
      <c r="G447" s="63">
        <f>Tabla9[[#This Row],[Precio Compra]]*Tabla9[[#This Row],[Cantidad]]</f>
        <v>1695</v>
      </c>
    </row>
    <row r="448" spans="2:7">
      <c r="B448" t="s">
        <v>821</v>
      </c>
      <c r="C448" t="str">
        <f>VLOOKUP(Tabla9[[#This Row],[Codigo]],Stock[#Data],2,FALSE)</f>
        <v>El Duende Humus Luquido 250mlt</v>
      </c>
      <c r="D448" s="63">
        <f>VLOOKUP(Tabla9[[#This Row],[Codigo]],Stock[#Data],3,FALSE)</f>
        <v>433</v>
      </c>
      <c r="E448">
        <v>485</v>
      </c>
      <c r="F448">
        <v>1</v>
      </c>
      <c r="G448" s="63">
        <f>Tabla9[[#This Row],[Precio Compra]]*Tabla9[[#This Row],[Cantidad]]</f>
        <v>433</v>
      </c>
    </row>
    <row r="449" spans="2:7">
      <c r="B449" t="s">
        <v>821</v>
      </c>
      <c r="C449" t="str">
        <f>VLOOKUP(Tabla9[[#This Row],[Codigo]],Stock[#Data],2,FALSE)</f>
        <v>Clonaste Namaste 30gr</v>
      </c>
      <c r="D449" s="63">
        <f>VLOOKUP(Tabla9[[#This Row],[Codigo]],Stock[#Data],3,FALSE)</f>
        <v>1054</v>
      </c>
      <c r="E449">
        <v>486</v>
      </c>
      <c r="F449">
        <v>7</v>
      </c>
      <c r="G449" s="63">
        <f>Tabla9[[#This Row],[Precio Compra]]*Tabla9[[#This Row],[Cantidad]]</f>
        <v>7378</v>
      </c>
    </row>
    <row r="450" spans="2:7">
      <c r="B450" t="s">
        <v>821</v>
      </c>
      <c r="C450" t="str">
        <f>VLOOKUP(Tabla9[[#This Row],[Codigo]],Stock[#Data],2,FALSE)</f>
        <v>Pangea Kit Agroecologico</v>
      </c>
      <c r="D450" s="63">
        <f>VLOOKUP(Tabla9[[#This Row],[Codigo]],Stock[#Data],3,FALSE)</f>
        <v>2000</v>
      </c>
      <c r="E450">
        <v>487</v>
      </c>
      <c r="F450">
        <v>2</v>
      </c>
      <c r="G450" s="63">
        <f>Tabla9[[#This Row],[Precio Compra]]*Tabla9[[#This Row],[Cantidad]]</f>
        <v>4000</v>
      </c>
    </row>
    <row r="451" spans="2:7">
      <c r="B451" t="s">
        <v>821</v>
      </c>
      <c r="C451" t="str">
        <f>VLOOKUP(Tabla9[[#This Row],[Codigo]],Stock[#Data],2,FALSE)</f>
        <v>Pangea Kit Preventivo</v>
      </c>
      <c r="D451" s="63">
        <f>VLOOKUP(Tabla9[[#This Row],[Codigo]],Stock[#Data],3,FALSE)</f>
        <v>1200</v>
      </c>
      <c r="E451">
        <v>488</v>
      </c>
      <c r="F451">
        <v>2</v>
      </c>
      <c r="G451" s="63">
        <f>Tabla9[[#This Row],[Precio Compra]]*Tabla9[[#This Row],[Cantidad]]</f>
        <v>2400</v>
      </c>
    </row>
    <row r="452" spans="2:7">
      <c r="B452" t="s">
        <v>821</v>
      </c>
      <c r="C452" t="str">
        <f>VLOOKUP(Tabla9[[#This Row],[Codigo]],Stock[#Data],2,FALSE)</f>
        <v>Maceta Geotextil Pochita 12,5L</v>
      </c>
      <c r="D452" s="63">
        <f>VLOOKUP(Tabla9[[#This Row],[Codigo]],Stock[#Data],3,FALSE)</f>
        <v>325</v>
      </c>
      <c r="E452">
        <v>489</v>
      </c>
      <c r="F452">
        <v>10</v>
      </c>
      <c r="G452" s="63">
        <f>Tabla9[[#This Row],[Precio Compra]]*Tabla9[[#This Row],[Cantidad]]</f>
        <v>3250</v>
      </c>
    </row>
    <row r="453" spans="2:7">
      <c r="B453" t="s">
        <v>821</v>
      </c>
      <c r="C453" t="str">
        <f>VLOOKUP(Tabla9[[#This Row],[Codigo]],Stock[#Data],2,FALSE)</f>
        <v>Maceta Geotextil Pochita 40L</v>
      </c>
      <c r="D453" s="63">
        <f>VLOOKUP(Tabla9[[#This Row],[Codigo]],Stock[#Data],3,FALSE)</f>
        <v>540</v>
      </c>
      <c r="E453">
        <v>490</v>
      </c>
      <c r="F453">
        <v>1</v>
      </c>
      <c r="G453" s="63">
        <f>Tabla9[[#This Row],[Precio Compra]]*Tabla9[[#This Row],[Cantidad]]</f>
        <v>540</v>
      </c>
    </row>
    <row r="454" spans="2:7">
      <c r="B454" t="s">
        <v>821</v>
      </c>
      <c r="C454" t="str">
        <f>VLOOKUP(Tabla9[[#This Row],[Codigo]],Stock[#Data],2,FALSE)</f>
        <v xml:space="preserve">Limpia Pipa Organic Life </v>
      </c>
      <c r="D454" s="63">
        <f>VLOOKUP(Tabla9[[#This Row],[Codigo]],Stock[#Data],3,FALSE)</f>
        <v>250</v>
      </c>
      <c r="E454">
        <v>492</v>
      </c>
      <c r="F454">
        <v>9</v>
      </c>
      <c r="G454" s="63">
        <f>Tabla9[[#This Row],[Precio Compra]]*Tabla9[[#This Row],[Cantidad]]</f>
        <v>2250</v>
      </c>
    </row>
    <row r="455" spans="2:7">
      <c r="B455" t="s">
        <v>821</v>
      </c>
      <c r="C455" t="str">
        <f>VLOOKUP(Tabla9[[#This Row],[Codigo]],Stock[#Data],2,FALSE)</f>
        <v>Picador Ricky y Morty 4p</v>
      </c>
      <c r="D455" s="63">
        <f>VLOOKUP(Tabla9[[#This Row],[Codigo]],Stock[#Data],3,FALSE)</f>
        <v>2600</v>
      </c>
      <c r="E455">
        <v>493</v>
      </c>
      <c r="F455">
        <v>2</v>
      </c>
      <c r="G455" s="63">
        <f>Tabla9[[#This Row],[Precio Compra]]*Tabla9[[#This Row],[Cantidad]]</f>
        <v>5200</v>
      </c>
    </row>
    <row r="456" spans="2:7">
      <c r="B456" t="s">
        <v>821</v>
      </c>
      <c r="C456" t="str">
        <f>VLOOKUP(Tabla9[[#This Row],[Codigo]],Stock[#Data],2,FALSE)</f>
        <v>Revienta Esquejes 50cc</v>
      </c>
      <c r="D456" s="63">
        <f>VLOOKUP(Tabla9[[#This Row],[Codigo]],Stock[#Data],3,FALSE)</f>
        <v>1660</v>
      </c>
      <c r="E456">
        <v>494</v>
      </c>
      <c r="F456">
        <v>2</v>
      </c>
      <c r="G456" s="63">
        <f>Tabla9[[#This Row],[Precio Compra]]*Tabla9[[#This Row],[Cantidad]]</f>
        <v>3320</v>
      </c>
    </row>
    <row r="457" spans="2:7">
      <c r="B457" t="s">
        <v>821</v>
      </c>
      <c r="C457" t="str">
        <f>VLOOKUP(Tabla9[[#This Row],[Codigo]],Stock[#Data],2,FALSE)</f>
        <v>Revienta Cogollos 100cc</v>
      </c>
      <c r="D457" s="63">
        <f>VLOOKUP(Tabla9[[#This Row],[Codigo]],Stock[#Data],3,FALSE)</f>
        <v>1250</v>
      </c>
      <c r="E457">
        <v>495</v>
      </c>
      <c r="F457">
        <v>3</v>
      </c>
      <c r="G457" s="63">
        <f>Tabla9[[#This Row],[Precio Compra]]*Tabla9[[#This Row],[Cantidad]]</f>
        <v>3750</v>
      </c>
    </row>
    <row r="458" spans="2:7">
      <c r="B458" t="s">
        <v>821</v>
      </c>
      <c r="C458" t="str">
        <f>VLOOKUP(Tabla9[[#This Row],[Codigo]],Stock[#Data],2,FALSE)</f>
        <v>Namaste Flora Booster 500ml</v>
      </c>
      <c r="D458" s="63">
        <f>VLOOKUP(Tabla9[[#This Row],[Codigo]],Stock[#Data],3,FALSE)</f>
        <v>1377</v>
      </c>
      <c r="E458">
        <v>496</v>
      </c>
      <c r="F458">
        <v>18</v>
      </c>
      <c r="G458" s="63">
        <f>Tabla9[[#This Row],[Precio Compra]]*Tabla9[[#This Row],[Cantidad]]</f>
        <v>24786</v>
      </c>
    </row>
    <row r="459" spans="2:7">
      <c r="B459" t="s">
        <v>821</v>
      </c>
      <c r="C459" t="str">
        <f>VLOOKUP(Tabla9[[#This Row],[Codigo]],Stock[#Data],2,FALSE)</f>
        <v xml:space="preserve">Regaderas Finas </v>
      </c>
      <c r="D459" s="63">
        <f>VLOOKUP(Tabla9[[#This Row],[Codigo]],Stock[#Data],3,FALSE)</f>
        <v>400</v>
      </c>
      <c r="E459">
        <v>498</v>
      </c>
      <c r="F459">
        <v>2</v>
      </c>
      <c r="G459" s="63">
        <f>Tabla9[[#This Row],[Precio Compra]]*Tabla9[[#This Row],[Cantidad]]</f>
        <v>800</v>
      </c>
    </row>
    <row r="460" spans="2:7">
      <c r="B460" t="s">
        <v>821</v>
      </c>
      <c r="C460" t="str">
        <f>VLOOKUP(Tabla9[[#This Row],[Codigo]],Stock[#Data],2,FALSE)</f>
        <v>Namaste Oro Negro 500ml</v>
      </c>
      <c r="D460" s="63">
        <f>VLOOKUP(Tabla9[[#This Row],[Codigo]],Stock[#Data],3,FALSE)</f>
        <v>1390</v>
      </c>
      <c r="E460">
        <v>497</v>
      </c>
      <c r="F460">
        <v>9</v>
      </c>
      <c r="G460" s="63">
        <f>Tabla9[[#This Row],[Precio Compra]]*Tabla9[[#This Row],[Cantidad]]</f>
        <v>12510</v>
      </c>
    </row>
    <row r="461" spans="2:7">
      <c r="B461" t="s">
        <v>821</v>
      </c>
      <c r="C461" t="str">
        <f>VLOOKUP(Tabla9[[#This Row],[Codigo]],Stock[#Data],2,FALSE)</f>
        <v>Maceta Cultivate 25L</v>
      </c>
      <c r="D461" s="63">
        <f>VLOOKUP(Tabla9[[#This Row],[Codigo]],Stock[#Data],3,FALSE)</f>
        <v>380</v>
      </c>
      <c r="E461">
        <v>499</v>
      </c>
      <c r="F461">
        <v>1</v>
      </c>
      <c r="G461" s="63">
        <f>Tabla9[[#This Row],[Precio Compra]]*Tabla9[[#This Row],[Cantidad]]</f>
        <v>380</v>
      </c>
    </row>
    <row r="462" spans="2:7">
      <c r="B462" t="s">
        <v>821</v>
      </c>
      <c r="C462" t="str">
        <f>VLOOKUP(Tabla9[[#This Row],[Codigo]],Stock[#Data],2,FALSE)</f>
        <v>Namaste Trico+ 250gr</v>
      </c>
      <c r="D462" s="63">
        <f>VLOOKUP(Tabla9[[#This Row],[Codigo]],Stock[#Data],3,FALSE)</f>
        <v>1033</v>
      </c>
      <c r="E462">
        <v>500</v>
      </c>
      <c r="F462">
        <v>11</v>
      </c>
      <c r="G462" s="63">
        <f>Tabla9[[#This Row],[Precio Compra]]*Tabla9[[#This Row],[Cantidad]]</f>
        <v>11363</v>
      </c>
    </row>
    <row r="463" spans="2:7">
      <c r="B463" t="s">
        <v>821</v>
      </c>
      <c r="C463" t="str">
        <f>VLOOKUP(Tabla9[[#This Row],[Codigo]],Stock[#Data],2,FALSE)</f>
        <v>Cooler 4" Ruleman BtFans</v>
      </c>
      <c r="D463" s="63">
        <f>VLOOKUP(Tabla9[[#This Row],[Codigo]],Stock[#Data],3,FALSE)</f>
        <v>2000</v>
      </c>
      <c r="E463">
        <v>501</v>
      </c>
      <c r="F463">
        <v>2</v>
      </c>
      <c r="G463" s="63">
        <f>Tabla9[[#This Row],[Precio Compra]]*Tabla9[[#This Row],[Cantidad]]</f>
        <v>4000</v>
      </c>
    </row>
    <row r="464" spans="2:7">
      <c r="B464" t="s">
        <v>821</v>
      </c>
      <c r="C464" t="str">
        <f>VLOOKUP(Tabla9[[#This Row],[Codigo]],Stock[#Data],2,FALSE)</f>
        <v xml:space="preserve">Clipper Raw </v>
      </c>
      <c r="D464" s="63">
        <f>VLOOKUP(Tabla9[[#This Row],[Codigo]],Stock[#Data],3,FALSE)</f>
        <v>276</v>
      </c>
      <c r="E464">
        <v>502</v>
      </c>
      <c r="F464">
        <v>20</v>
      </c>
      <c r="G464" s="63">
        <f>Tabla9[[#This Row],[Precio Compra]]*Tabla9[[#This Row],[Cantidad]]</f>
        <v>5520</v>
      </c>
    </row>
    <row r="465" spans="2:7">
      <c r="B465" t="s">
        <v>821</v>
      </c>
      <c r="C465" t="str">
        <f>VLOOKUP(Tabla9[[#This Row],[Codigo]],Stock[#Data],2,FALSE)</f>
        <v>Encendedor Magic Clip pop</v>
      </c>
      <c r="D465" s="63">
        <f>VLOOKUP(Tabla9[[#This Row],[Codigo]],Stock[#Data],3,FALSE)</f>
        <v>150</v>
      </c>
      <c r="E465">
        <v>503</v>
      </c>
      <c r="F465">
        <v>14</v>
      </c>
      <c r="G465" s="63">
        <f>Tabla9[[#This Row],[Precio Compra]]*Tabla9[[#This Row],[Cantidad]]</f>
        <v>2100</v>
      </c>
    </row>
    <row r="466" spans="2:7">
      <c r="B466" t="s">
        <v>821</v>
      </c>
      <c r="C466" t="str">
        <f>VLOOKUP(Tabla9[[#This Row],[Codigo]],Stock[#Data],2,FALSE)</f>
        <v>Blunt Wrap Champagne</v>
      </c>
      <c r="D466" s="63">
        <f>VLOOKUP(Tabla9[[#This Row],[Codigo]],Stock[#Data],3,FALSE)</f>
        <v>225</v>
      </c>
      <c r="E466">
        <v>504</v>
      </c>
      <c r="F466">
        <v>2</v>
      </c>
      <c r="G466" s="63">
        <f>Tabla9[[#This Row],[Precio Compra]]*Tabla9[[#This Row],[Cantidad]]</f>
        <v>450</v>
      </c>
    </row>
    <row r="467" spans="2:7">
      <c r="B467" t="s">
        <v>821</v>
      </c>
      <c r="C467" t="str">
        <f>VLOOKUP(Tabla9[[#This Row],[Codigo]],Stock[#Data],2,FALSE)</f>
        <v>Blunt Wrap Vainilla</v>
      </c>
      <c r="D467" s="63">
        <f>VLOOKUP(Tabla9[[#This Row],[Codigo]],Stock[#Data],3,FALSE)</f>
        <v>225</v>
      </c>
      <c r="E467">
        <v>507</v>
      </c>
      <c r="F467">
        <v>5</v>
      </c>
      <c r="G467" s="63">
        <f>Tabla9[[#This Row],[Precio Compra]]*Tabla9[[#This Row],[Cantidad]]</f>
        <v>1125</v>
      </c>
    </row>
    <row r="468" spans="2:7">
      <c r="B468" t="s">
        <v>821</v>
      </c>
      <c r="C468" t="str">
        <f>VLOOKUP(Tabla9[[#This Row],[Codigo]],Stock[#Data],2,FALSE)</f>
        <v>Tuquero Acrílico</v>
      </c>
      <c r="D468" s="63">
        <f>VLOOKUP(Tabla9[[#This Row],[Codigo]],Stock[#Data],3,FALSE)</f>
        <v>300</v>
      </c>
      <c r="E468">
        <v>508</v>
      </c>
      <c r="F468">
        <v>2</v>
      </c>
      <c r="G468" s="63">
        <f>Tabla9[[#This Row],[Precio Compra]]*Tabla9[[#This Row],[Cantidad]]</f>
        <v>600</v>
      </c>
    </row>
    <row r="469" spans="2:7">
      <c r="B469" t="s">
        <v>821</v>
      </c>
      <c r="C469" t="str">
        <f>VLOOKUP(Tabla9[[#This Row],[Codigo]],Stock[#Data],2,FALSE)</f>
        <v>Blunt Wrap Piña Colada</v>
      </c>
      <c r="D469" s="63">
        <f>VLOOKUP(Tabla9[[#This Row],[Codigo]],Stock[#Data],3,FALSE)</f>
        <v>225</v>
      </c>
      <c r="E469">
        <v>509</v>
      </c>
      <c r="F469">
        <v>2</v>
      </c>
      <c r="G469" s="63">
        <f>Tabla9[[#This Row],[Precio Compra]]*Tabla9[[#This Row],[Cantidad]]</f>
        <v>450</v>
      </c>
    </row>
    <row r="470" spans="2:7">
      <c r="B470" t="s">
        <v>821</v>
      </c>
      <c r="C470" t="str">
        <f>VLOOKUP(Tabla9[[#This Row],[Codigo]],Stock[#Data],2,FALSE)</f>
        <v xml:space="preserve">Polea Santa Planta 5kg </v>
      </c>
      <c r="D470" s="63">
        <f>VLOOKUP(Tabla9[[#This Row],[Codigo]],Stock[#Data],3,FALSE)</f>
        <v>1375</v>
      </c>
      <c r="E470">
        <v>510</v>
      </c>
      <c r="F470">
        <v>2</v>
      </c>
      <c r="G470" s="63">
        <f>Tabla9[[#This Row],[Precio Compra]]*Tabla9[[#This Row],[Cantidad]]</f>
        <v>2750</v>
      </c>
    </row>
    <row r="471" spans="2:7">
      <c r="B471" t="s">
        <v>821</v>
      </c>
      <c r="C471" t="str">
        <f>VLOOKUP(Tabla9[[#This Row],[Codigo]],Stock[#Data],2,FALSE)</f>
        <v>Bioestimulante The Green Nousery 2 Litros</v>
      </c>
      <c r="D471" s="63">
        <f>VLOOKUP(Tabla9[[#This Row],[Codigo]],Stock[#Data],3,FALSE)</f>
        <v>1000</v>
      </c>
      <c r="E471">
        <v>511</v>
      </c>
      <c r="F471">
        <v>1</v>
      </c>
      <c r="G471" s="63">
        <f>Tabla9[[#This Row],[Precio Compra]]*Tabla9[[#This Row],[Cantidad]]</f>
        <v>1000</v>
      </c>
    </row>
    <row r="472" spans="2:7">
      <c r="B472" t="s">
        <v>821</v>
      </c>
      <c r="C472" t="str">
        <f>VLOOKUP(Tabla9[[#This Row],[Codigo]],Stock[#Data],2,FALSE)</f>
        <v>Sedas Smoking Master</v>
      </c>
      <c r="D472" s="63">
        <f>VLOOKUP(Tabla9[[#This Row],[Codigo]],Stock[#Data],3,FALSE)</f>
        <v>110</v>
      </c>
      <c r="E472">
        <v>512</v>
      </c>
      <c r="F472">
        <v>11</v>
      </c>
      <c r="G472" s="63">
        <f>Tabla9[[#This Row],[Precio Compra]]*Tabla9[[#This Row],[Cantidad]]</f>
        <v>1210</v>
      </c>
    </row>
    <row r="473" spans="2:7">
      <c r="B473" t="s">
        <v>821</v>
      </c>
      <c r="C473" t="str">
        <f>VLOOKUP(Tabla9[[#This Row],[Codigo]],Stock[#Data],2,FALSE)</f>
        <v>Sedas Smoking Organic</v>
      </c>
      <c r="D473" s="63">
        <f>VLOOKUP(Tabla9[[#This Row],[Codigo]],Stock[#Data],3,FALSE)</f>
        <v>50</v>
      </c>
      <c r="E473">
        <v>513</v>
      </c>
      <c r="F473">
        <v>10</v>
      </c>
      <c r="G473" s="63">
        <f>Tabla9[[#This Row],[Precio Compra]]*Tabla9[[#This Row],[Cantidad]]</f>
        <v>500</v>
      </c>
    </row>
    <row r="474" spans="2:7">
      <c r="B474" t="s">
        <v>821</v>
      </c>
      <c r="C474" t="str">
        <f>VLOOKUP(Tabla9[[#This Row],[Codigo]],Stock[#Data],2,FALSE)</f>
        <v>Sedas Smoking Brown</v>
      </c>
      <c r="D474" s="63">
        <f>VLOOKUP(Tabla9[[#This Row],[Codigo]],Stock[#Data],3,FALSE)</f>
        <v>50</v>
      </c>
      <c r="E474">
        <v>514</v>
      </c>
      <c r="F474">
        <v>12</v>
      </c>
      <c r="G474" s="63">
        <f>Tabla9[[#This Row],[Precio Compra]]*Tabla9[[#This Row],[Cantidad]]</f>
        <v>600</v>
      </c>
    </row>
    <row r="475" spans="2:7">
      <c r="B475" t="s">
        <v>821</v>
      </c>
      <c r="C475" t="str">
        <f>VLOOKUP(Tabla9[[#This Row],[Codigo]],Stock[#Data],2,FALSE)</f>
        <v>Sedas Smoking Deluxe</v>
      </c>
      <c r="D475" s="63">
        <f>VLOOKUP(Tabla9[[#This Row],[Codigo]],Stock[#Data],3,FALSE)</f>
        <v>50</v>
      </c>
      <c r="E475">
        <v>515</v>
      </c>
      <c r="F475">
        <v>12</v>
      </c>
      <c r="G475" s="63">
        <f>Tabla9[[#This Row],[Precio Compra]]*Tabla9[[#This Row],[Cantidad]]</f>
        <v>600</v>
      </c>
    </row>
    <row r="476" spans="2:7">
      <c r="B476" t="s">
        <v>821</v>
      </c>
      <c r="C476" t="str">
        <f>VLOOKUP(Tabla9[[#This Row],[Codigo]],Stock[#Data],2,FALSE)</f>
        <v>Balanza de Cocina</v>
      </c>
      <c r="D476" s="63">
        <f>VLOOKUP(Tabla9[[#This Row],[Codigo]],Stock[#Data],3,FALSE)</f>
        <v>2000</v>
      </c>
      <c r="E476">
        <v>516</v>
      </c>
      <c r="F476">
        <v>1</v>
      </c>
      <c r="G476" s="63">
        <f>Tabla9[[#This Row],[Precio Compra]]*Tabla9[[#This Row],[Cantidad]]</f>
        <v>2000</v>
      </c>
    </row>
    <row r="477" spans="2:7">
      <c r="B477" t="s">
        <v>821</v>
      </c>
      <c r="C477" t="str">
        <f>VLOOKUP(Tabla9[[#This Row],[Codigo]],Stock[#Data],2,FALSE)</f>
        <v>Sedas Lion Rolling Circus 1/4 Saborizadas Uva</v>
      </c>
      <c r="D477" s="63">
        <f>VLOOKUP(Tabla9[[#This Row],[Codigo]],Stock[#Data],3,FALSE)</f>
        <v>178</v>
      </c>
      <c r="E477">
        <v>517</v>
      </c>
      <c r="F477">
        <v>2</v>
      </c>
      <c r="G477" s="63">
        <f>Tabla9[[#This Row],[Precio Compra]]*Tabla9[[#This Row],[Cantidad]]</f>
        <v>356</v>
      </c>
    </row>
    <row r="478" spans="2:7">
      <c r="B478" t="s">
        <v>821</v>
      </c>
      <c r="C478" t="str">
        <f>VLOOKUP(Tabla9[[#This Row],[Codigo]],Stock[#Data],2,FALSE)</f>
        <v>Sedas Lion Rolling Circus 1/4 Saborizadas Coco</v>
      </c>
      <c r="D478" s="63">
        <f>VLOOKUP(Tabla9[[#This Row],[Codigo]],Stock[#Data],3,FALSE)</f>
        <v>178</v>
      </c>
      <c r="E478">
        <v>518</v>
      </c>
      <c r="F478">
        <v>1</v>
      </c>
      <c r="G478" s="63">
        <f>Tabla9[[#This Row],[Precio Compra]]*Tabla9[[#This Row],[Cantidad]]</f>
        <v>178</v>
      </c>
    </row>
    <row r="479" spans="2:7">
      <c r="B479" t="s">
        <v>821</v>
      </c>
      <c r="C479" t="str">
        <f>VLOOKUP(Tabla9[[#This Row],[Codigo]],Stock[#Data],2,FALSE)</f>
        <v>Pipa Madera Intervenida Grande</v>
      </c>
      <c r="D479" s="63">
        <f>VLOOKUP(Tabla9[[#This Row],[Codigo]],Stock[#Data],3,FALSE)</f>
        <v>400</v>
      </c>
      <c r="E479">
        <v>519</v>
      </c>
      <c r="F479">
        <v>1</v>
      </c>
      <c r="G479" s="63">
        <f>Tabla9[[#This Row],[Precio Compra]]*Tabla9[[#This Row],[Cantidad]]</f>
        <v>400</v>
      </c>
    </row>
    <row r="480" spans="2:7">
      <c r="B480" t="s">
        <v>821</v>
      </c>
      <c r="C480" t="str">
        <f>VLOOKUP(Tabla9[[#This Row],[Codigo]],Stock[#Data],2,FALSE)</f>
        <v>Pipa de Madera Intervenida Chica</v>
      </c>
      <c r="D480" s="63">
        <f>VLOOKUP(Tabla9[[#This Row],[Codigo]],Stock[#Data],3,FALSE)</f>
        <v>300</v>
      </c>
      <c r="E480">
        <v>520</v>
      </c>
      <c r="F480">
        <v>2</v>
      </c>
      <c r="G480" s="63">
        <f>Tabla9[[#This Row],[Precio Compra]]*Tabla9[[#This Row],[Cantidad]]</f>
        <v>600</v>
      </c>
    </row>
    <row r="481" spans="2:7">
      <c r="B481" t="s">
        <v>821</v>
      </c>
      <c r="C481" t="str">
        <f>VLOOKUP(Tabla9[[#This Row],[Codigo]],Stock[#Data],2,FALSE)</f>
        <v>Pipa de Semilla Tigre</v>
      </c>
      <c r="D481" s="63">
        <f>VLOOKUP(Tabla9[[#This Row],[Codigo]],Stock[#Data],3,FALSE)</f>
        <v>1500</v>
      </c>
      <c r="E481">
        <v>521</v>
      </c>
      <c r="F481">
        <v>4</v>
      </c>
      <c r="G481" s="63">
        <f>Tabla9[[#This Row],[Precio Compra]]*Tabla9[[#This Row],[Cantidad]]</f>
        <v>6000</v>
      </c>
    </row>
    <row r="482" spans="2:7">
      <c r="B482" t="s">
        <v>821</v>
      </c>
      <c r="C482" t="str">
        <f>VLOOKUP(Tabla9[[#This Row],[Codigo]],Stock[#Data],2,FALSE)</f>
        <v xml:space="preserve">Turbina de Semilla </v>
      </c>
      <c r="D482" s="63">
        <f>VLOOKUP(Tabla9[[#This Row],[Codigo]],Stock[#Data],3,FALSE)</f>
        <v>2000</v>
      </c>
      <c r="E482">
        <v>522</v>
      </c>
      <c r="F482">
        <v>1</v>
      </c>
      <c r="G482" s="63">
        <f>Tabla9[[#This Row],[Precio Compra]]*Tabla9[[#This Row],[Cantidad]]</f>
        <v>2000</v>
      </c>
    </row>
    <row r="483" spans="2:7">
      <c r="B483" t="s">
        <v>821</v>
      </c>
      <c r="C483" t="str">
        <f>VLOOKUP(Tabla9[[#This Row],[Codigo]],Stock[#Data],2,FALSE)</f>
        <v>Pipa de Cerámica Hippie</v>
      </c>
      <c r="D483" s="63">
        <f>VLOOKUP(Tabla9[[#This Row],[Codigo]],Stock[#Data],3,FALSE)</f>
        <v>400</v>
      </c>
      <c r="E483">
        <v>523</v>
      </c>
      <c r="F483">
        <v>2</v>
      </c>
      <c r="G483" s="63">
        <f>Tabla9[[#This Row],[Precio Compra]]*Tabla9[[#This Row],[Cantidad]]</f>
        <v>800</v>
      </c>
    </row>
    <row r="484" spans="2:7">
      <c r="B484" t="s">
        <v>821</v>
      </c>
      <c r="C484" t="str">
        <f>VLOOKUP(Tabla9[[#This Row],[Codigo]],Stock[#Data],2,FALSE)</f>
        <v>Picador 4 partes Radioactivo tapa de acrilico</v>
      </c>
      <c r="D484" s="63">
        <f>VLOOKUP(Tabla9[[#This Row],[Codigo]],Stock[#Data],3,FALSE)</f>
        <v>6338</v>
      </c>
      <c r="E484">
        <v>524</v>
      </c>
      <c r="F484">
        <v>1</v>
      </c>
      <c r="G484" s="63">
        <f>Tabla9[[#This Row],[Precio Compra]]*Tabla9[[#This Row],[Cantidad]]</f>
        <v>6338</v>
      </c>
    </row>
    <row r="485" spans="2:7">
      <c r="B485" t="s">
        <v>821</v>
      </c>
      <c r="C485" t="str">
        <f>VLOOKUP(Tabla9[[#This Row],[Codigo]],Stock[#Data],2,FALSE)</f>
        <v xml:space="preserve">Aceite de Cannabis 30 ml </v>
      </c>
      <c r="D485" s="63">
        <f>VLOOKUP(Tabla9[[#This Row],[Codigo]],Stock[#Data],3,FALSE)</f>
        <v>5500</v>
      </c>
      <c r="E485">
        <v>525</v>
      </c>
      <c r="F485">
        <v>10</v>
      </c>
      <c r="G485" s="63">
        <f>Tabla9[[#This Row],[Precio Compra]]*Tabla9[[#This Row],[Cantidad]]</f>
        <v>55000</v>
      </c>
    </row>
    <row r="486" spans="2:7">
      <c r="B486" t="s">
        <v>821</v>
      </c>
      <c r="C486" t="str">
        <f>VLOOKUP(Tabla9[[#This Row],[Codigo]],Stock[#Data],2,FALSE)</f>
        <v>Vapor Nice Orange Temptation</v>
      </c>
      <c r="D486" s="63">
        <f>VLOOKUP(Tabla9[[#This Row],[Codigo]],Stock[#Data],3,FALSE)</f>
        <v>924</v>
      </c>
      <c r="E486">
        <v>526</v>
      </c>
      <c r="F486">
        <v>1</v>
      </c>
      <c r="G486" s="63">
        <f>Tabla9[[#This Row],[Precio Compra]]*Tabla9[[#This Row],[Cantidad]]</f>
        <v>924</v>
      </c>
    </row>
    <row r="487" spans="2:7">
      <c r="B487" t="s">
        <v>821</v>
      </c>
      <c r="C487" t="str">
        <f>VLOOKUP(Tabla9[[#This Row],[Codigo]],Stock[#Data],2,FALSE)</f>
        <v>Vapor Nice Strawberry Cake</v>
      </c>
      <c r="D487" s="63">
        <f>VLOOKUP(Tabla9[[#This Row],[Codigo]],Stock[#Data],3,FALSE)</f>
        <v>924</v>
      </c>
      <c r="E487">
        <v>527</v>
      </c>
      <c r="F487">
        <v>1</v>
      </c>
      <c r="G487" s="63">
        <f>Tabla9[[#This Row],[Precio Compra]]*Tabla9[[#This Row],[Cantidad]]</f>
        <v>924</v>
      </c>
    </row>
    <row r="488" spans="2:7">
      <c r="B488" t="s">
        <v>821</v>
      </c>
      <c r="C488" t="str">
        <f>VLOOKUP(Tabla9[[#This Row],[Codigo]],Stock[#Data],2,FALSE)</f>
        <v>Bong Acrílico Mediano Diseños 20cm</v>
      </c>
      <c r="D488" s="63">
        <f>VLOOKUP(Tabla9[[#This Row],[Codigo]],Stock[#Data],3,FALSE)</f>
        <v>1330</v>
      </c>
      <c r="E488">
        <v>528</v>
      </c>
      <c r="F488">
        <v>3</v>
      </c>
      <c r="G488" s="63">
        <f>Tabla9[[#This Row],[Precio Compra]]*Tabla9[[#This Row],[Cantidad]]</f>
        <v>3990</v>
      </c>
    </row>
    <row r="489" spans="2:7">
      <c r="B489" t="s">
        <v>821</v>
      </c>
      <c r="C489" t="str">
        <f>VLOOKUP(Tabla9[[#This Row],[Codigo]],Stock[#Data],2,FALSE)</f>
        <v>Sauver XL</v>
      </c>
      <c r="D489" s="63">
        <f>VLOOKUP(Tabla9[[#This Row],[Codigo]],Stock[#Data],3,FALSE)</f>
        <v>65</v>
      </c>
      <c r="E489">
        <v>529</v>
      </c>
      <c r="F489">
        <v>23</v>
      </c>
      <c r="G489" s="63">
        <f>Tabla9[[#This Row],[Precio Compra]]*Tabla9[[#This Row],[Cantidad]]</f>
        <v>1495</v>
      </c>
    </row>
    <row r="490" spans="2:7">
      <c r="B490" t="s">
        <v>821</v>
      </c>
      <c r="C490" t="str">
        <f>VLOOKUP(Tabla9[[#This Row],[Codigo]],Stock[#Data],2,FALSE)</f>
        <v>Picador 3p Tornasolado</v>
      </c>
      <c r="D490" s="63">
        <f>VLOOKUP(Tabla9[[#This Row],[Codigo]],Stock[#Data],3,FALSE)</f>
        <v>3947</v>
      </c>
      <c r="E490">
        <v>530</v>
      </c>
      <c r="F490">
        <v>2</v>
      </c>
      <c r="G490" s="63">
        <f>Tabla9[[#This Row],[Precio Compra]]*Tabla9[[#This Row],[Cantidad]]</f>
        <v>7894</v>
      </c>
    </row>
    <row r="491" spans="2:7">
      <c r="B491" t="s">
        <v>821</v>
      </c>
      <c r="C491" t="str">
        <f>VLOOKUP(Tabla9[[#This Row],[Codigo]],Stock[#Data],2,FALSE)</f>
        <v>Bong Vidrio Chico Multicolor DK8552A</v>
      </c>
      <c r="D491" s="63">
        <f>VLOOKUP(Tabla9[[#This Row],[Codigo]],Stock[#Data],3,FALSE)</f>
        <v>1490</v>
      </c>
      <c r="E491">
        <v>531</v>
      </c>
      <c r="F491">
        <v>2</v>
      </c>
      <c r="G491" s="63">
        <f>Tabla9[[#This Row],[Precio Compra]]*Tabla9[[#This Row],[Cantidad]]</f>
        <v>2980</v>
      </c>
    </row>
    <row r="492" spans="2:7">
      <c r="B492" t="s">
        <v>821</v>
      </c>
      <c r="C492" t="str">
        <f>VLOOKUP(Tabla9[[#This Row],[Codigo]],Stock[#Data],2,FALSE)</f>
        <v>Bong D&amp;K Mediano Bicolor DK6470</v>
      </c>
      <c r="D492" s="63">
        <f>VLOOKUP(Tabla9[[#This Row],[Codigo]],Stock[#Data],3,FALSE)</f>
        <v>6116</v>
      </c>
      <c r="E492">
        <v>532</v>
      </c>
      <c r="F492">
        <v>1</v>
      </c>
      <c r="G492" s="63">
        <f>Tabla9[[#This Row],[Precio Compra]]*Tabla9[[#This Row],[Cantidad]]</f>
        <v>6116</v>
      </c>
    </row>
    <row r="493" spans="2:7">
      <c r="B493" t="s">
        <v>821</v>
      </c>
      <c r="C493" t="str">
        <f>VLOOKUP(Tabla9[[#This Row],[Codigo]],Stock[#Data],2,FALSE)</f>
        <v>Bong Acrílico Chico Manzana Mordida</v>
      </c>
      <c r="D493" s="63">
        <f>VLOOKUP(Tabla9[[#This Row],[Codigo]],Stock[#Data],3,FALSE)</f>
        <v>926</v>
      </c>
      <c r="E493">
        <v>533</v>
      </c>
      <c r="F493">
        <v>2</v>
      </c>
      <c r="G493" s="63">
        <f>Tabla9[[#This Row],[Precio Compra]]*Tabla9[[#This Row],[Cantidad]]</f>
        <v>1852</v>
      </c>
    </row>
    <row r="494" spans="2:7">
      <c r="B494" t="s">
        <v>821</v>
      </c>
      <c r="C494" t="str">
        <f>VLOOKUP(Tabla9[[#This Row],[Codigo]],Stock[#Data],2,FALSE)</f>
        <v>Bong Chico Acrílico Redondo</v>
      </c>
      <c r="D494" s="63">
        <f>VLOOKUP(Tabla9[[#This Row],[Codigo]],Stock[#Data],3,FALSE)</f>
        <v>1150</v>
      </c>
      <c r="E494">
        <v>534</v>
      </c>
      <c r="F494">
        <v>2</v>
      </c>
      <c r="G494" s="63">
        <f>Tabla9[[#This Row],[Precio Compra]]*Tabla9[[#This Row],[Cantidad]]</f>
        <v>2300</v>
      </c>
    </row>
    <row r="495" spans="2:7">
      <c r="B495" t="s">
        <v>821</v>
      </c>
      <c r="C495" t="str">
        <f>VLOOKUP(Tabla9[[#This Row],[Codigo]],Stock[#Data],2,FALSE)</f>
        <v>Pipa Cerámica Rick &amp; Morty</v>
      </c>
      <c r="D495" s="63">
        <f>VLOOKUP(Tabla9[[#This Row],[Codigo]],Stock[#Data],3,FALSE)</f>
        <v>1299</v>
      </c>
      <c r="E495">
        <v>535</v>
      </c>
      <c r="F495">
        <v>2</v>
      </c>
      <c r="G495" s="63">
        <f>Tabla9[[#This Row],[Precio Compra]]*Tabla9[[#This Row],[Cantidad]]</f>
        <v>2598</v>
      </c>
    </row>
    <row r="496" spans="2:7">
      <c r="B496" t="s">
        <v>821</v>
      </c>
      <c r="C496" t="str">
        <f>VLOOKUP(Tabla9[[#This Row],[Codigo]],Stock[#Data],2,FALSE)</f>
        <v>Picador Metálico 4p Blanco</v>
      </c>
      <c r="D496" s="63">
        <f>VLOOKUP(Tabla9[[#This Row],[Codigo]],Stock[#Data],3,FALSE)</f>
        <v>2500</v>
      </c>
      <c r="E496">
        <v>536</v>
      </c>
      <c r="F496">
        <v>1</v>
      </c>
      <c r="G496" s="63">
        <f>Tabla9[[#This Row],[Precio Compra]]*Tabla9[[#This Row],[Cantidad]]</f>
        <v>2500</v>
      </c>
    </row>
    <row r="497" spans="2:7">
      <c r="B497" t="s">
        <v>821</v>
      </c>
      <c r="C497" t="str">
        <f>VLOOKUP(Tabla9[[#This Row],[Codigo]],Stock[#Data],2,FALSE)</f>
        <v>Picador 3p Engranaje</v>
      </c>
      <c r="D497" s="63">
        <f>VLOOKUP(Tabla9[[#This Row],[Codigo]],Stock[#Data],3,FALSE)</f>
        <v>2000</v>
      </c>
      <c r="E497">
        <v>537</v>
      </c>
      <c r="F497">
        <v>1</v>
      </c>
      <c r="G497" s="63">
        <f>Tabla9[[#This Row],[Precio Compra]]*Tabla9[[#This Row],[Cantidad]]</f>
        <v>2000</v>
      </c>
    </row>
    <row r="498" spans="2:7">
      <c r="B498" t="s">
        <v>821</v>
      </c>
      <c r="C498" t="str">
        <f>VLOOKUP(Tabla9[[#This Row],[Codigo]],Stock[#Data],2,FALSE)</f>
        <v>Picador 4p Calavera Psicodélica</v>
      </c>
      <c r="D498" s="63">
        <f>VLOOKUP(Tabla9[[#This Row],[Codigo]],Stock[#Data],3,FALSE)</f>
        <v>2000</v>
      </c>
      <c r="E498">
        <v>538</v>
      </c>
      <c r="F498">
        <v>1</v>
      </c>
      <c r="G498" s="63">
        <f>Tabla9[[#This Row],[Precio Compra]]*Tabla9[[#This Row],[Cantidad]]</f>
        <v>2000</v>
      </c>
    </row>
    <row r="499" spans="2:7">
      <c r="B499" t="s">
        <v>821</v>
      </c>
      <c r="C499" t="str">
        <f>VLOOKUP(Tabla9[[#This Row],[Codigo]],Stock[#Data],2,FALSE)</f>
        <v>Namaste Shanti 500ml</v>
      </c>
      <c r="D499" s="63">
        <f>VLOOKUP(Tabla9[[#This Row],[Codigo]],Stock[#Data],3,FALSE)</f>
        <v>3216</v>
      </c>
      <c r="E499">
        <v>539</v>
      </c>
      <c r="F499">
        <v>4</v>
      </c>
      <c r="G499" s="63">
        <f>Tabla9[[#This Row],[Precio Compra]]*Tabla9[[#This Row],[Cantidad]]</f>
        <v>12864</v>
      </c>
    </row>
    <row r="500" spans="2:7">
      <c r="B500" t="s">
        <v>821</v>
      </c>
      <c r="C500" t="str">
        <f>VLOOKUP(Tabla9[[#This Row],[Codigo]],Stock[#Data],2,FALSE)</f>
        <v>Namaste Bioprotect 100ml</v>
      </c>
      <c r="D500" s="63">
        <f>VLOOKUP(Tabla9[[#This Row],[Codigo]],Stock[#Data],3,FALSE)</f>
        <v>600</v>
      </c>
      <c r="E500">
        <v>540</v>
      </c>
      <c r="F500">
        <v>1</v>
      </c>
      <c r="G500" s="63">
        <f>Tabla9[[#This Row],[Precio Compra]]*Tabla9[[#This Row],[Cantidad]]</f>
        <v>600</v>
      </c>
    </row>
    <row r="501" spans="2:7">
      <c r="B501" t="s">
        <v>821</v>
      </c>
      <c r="C501" t="str">
        <f>VLOOKUP(Tabla9[[#This Row],[Codigo]],Stock[#Data],2,FALSE)</f>
        <v>Namaste PH- 500ml</v>
      </c>
      <c r="D501" s="63">
        <f>VLOOKUP(Tabla9[[#This Row],[Codigo]],Stock[#Data],3,FALSE)</f>
        <v>1345</v>
      </c>
      <c r="E501">
        <v>541</v>
      </c>
      <c r="F501">
        <v>1</v>
      </c>
      <c r="G501" s="63">
        <f>Tabla9[[#This Row],[Precio Compra]]*Tabla9[[#This Row],[Cantidad]]</f>
        <v>1345</v>
      </c>
    </row>
    <row r="502" spans="2:7">
      <c r="B502" t="s">
        <v>821</v>
      </c>
      <c r="C502" t="str">
        <f>VLOOKUP(Tabla9[[#This Row],[Codigo]],Stock[#Data],2,FALSE)</f>
        <v>Cultivate Jabon Potasico 250ml</v>
      </c>
      <c r="D502" s="63">
        <f>VLOOKUP(Tabla9[[#This Row],[Codigo]],Stock[#Data],3,FALSE)</f>
        <v>810</v>
      </c>
      <c r="E502">
        <v>542</v>
      </c>
      <c r="F502">
        <v>2</v>
      </c>
      <c r="G502" s="63">
        <f>Tabla9[[#This Row],[Precio Compra]]*Tabla9[[#This Row],[Cantidad]]</f>
        <v>1620</v>
      </c>
    </row>
    <row r="503" spans="2:7">
      <c r="B503" t="s">
        <v>821</v>
      </c>
      <c r="C503" t="str">
        <f>VLOOKUP(Tabla9[[#This Row],[Codigo]],Stock[#Data],2,FALSE)</f>
        <v>Cultivate Melaza 250ml</v>
      </c>
      <c r="D503" s="63">
        <f>VLOOKUP(Tabla9[[#This Row],[Codigo]],Stock[#Data],3,FALSE)</f>
        <v>650</v>
      </c>
      <c r="E503">
        <v>543</v>
      </c>
      <c r="F503">
        <v>5</v>
      </c>
      <c r="G503" s="63">
        <f>Tabla9[[#This Row],[Precio Compra]]*Tabla9[[#This Row],[Cantidad]]</f>
        <v>3250</v>
      </c>
    </row>
    <row r="504" spans="2:7">
      <c r="B504" t="s">
        <v>821</v>
      </c>
      <c r="C504" t="str">
        <f>VLOOKUP(Tabla9[[#This Row],[Codigo]],Stock[#Data],2,FALSE)</f>
        <v>Cultivate Insecticida 100ml</v>
      </c>
      <c r="D504" s="63">
        <f>VLOOKUP(Tabla9[[#This Row],[Codigo]],Stock[#Data],3,FALSE)</f>
        <v>740</v>
      </c>
      <c r="E504">
        <v>544</v>
      </c>
      <c r="F504">
        <v>3</v>
      </c>
      <c r="G504" s="63">
        <f>Tabla9[[#This Row],[Precio Compra]]*Tabla9[[#This Row],[Cantidad]]</f>
        <v>2220</v>
      </c>
    </row>
    <row r="505" spans="2:7">
      <c r="B505" t="s">
        <v>821</v>
      </c>
      <c r="C505" t="str">
        <f>VLOOKUP(Tabla9[[#This Row],[Codigo]],Stock[#Data],2,FALSE)</f>
        <v>Cultivate Beauvaria Bassiana 100ml</v>
      </c>
      <c r="D505" s="63">
        <f>VLOOKUP(Tabla9[[#This Row],[Codigo]],Stock[#Data],3,FALSE)</f>
        <v>1250</v>
      </c>
      <c r="E505">
        <v>545</v>
      </c>
      <c r="F505">
        <v>1</v>
      </c>
      <c r="G505" s="63">
        <f>Tabla9[[#This Row],[Precio Compra]]*Tabla9[[#This Row],[Cantidad]]</f>
        <v>1250</v>
      </c>
    </row>
    <row r="506" spans="2:7">
      <c r="B506" t="s">
        <v>821</v>
      </c>
      <c r="C506" t="str">
        <f>VLOOKUP(Tabla9[[#This Row],[Codigo]],Stock[#Data],2,FALSE)</f>
        <v>Bandeja OCB con tapa</v>
      </c>
      <c r="D506" s="63">
        <f>VLOOKUP(Tabla9[[#This Row],[Codigo]],Stock[#Data],3,FALSE)</f>
        <v>1321</v>
      </c>
      <c r="E506">
        <v>546</v>
      </c>
      <c r="F506">
        <v>5</v>
      </c>
      <c r="G506" s="63">
        <f>Tabla9[[#This Row],[Precio Compra]]*Tabla9[[#This Row],[Cantidad]]</f>
        <v>6605</v>
      </c>
    </row>
    <row r="507" spans="2:7">
      <c r="B507" t="s">
        <v>821</v>
      </c>
      <c r="C507" t="str">
        <f>VLOOKUP(Tabla9[[#This Row],[Codigo]],Stock[#Data],2,FALSE)</f>
        <v>Recipiente de Silicona</v>
      </c>
      <c r="D507" s="63">
        <f>VLOOKUP(Tabla9[[#This Row],[Codigo]],Stock[#Data],3,FALSE)</f>
        <v>383</v>
      </c>
      <c r="E507">
        <v>547</v>
      </c>
      <c r="F507">
        <v>4</v>
      </c>
      <c r="G507" s="63">
        <f>Tabla9[[#This Row],[Precio Compra]]*Tabla9[[#This Row],[Cantidad]]</f>
        <v>1532</v>
      </c>
    </row>
    <row r="508" spans="2:7">
      <c r="B508" t="s">
        <v>821</v>
      </c>
      <c r="C508" t="str">
        <f>VLOOKUP(Tabla9[[#This Row],[Codigo]],Stock[#Data],2,FALSE)</f>
        <v>Anillos de Silicona</v>
      </c>
      <c r="D508" s="63">
        <f>VLOOKUP(Tabla9[[#This Row],[Codigo]],Stock[#Data],3,FALSE)</f>
        <v>345</v>
      </c>
      <c r="E508">
        <v>548</v>
      </c>
      <c r="F508">
        <v>6</v>
      </c>
      <c r="G508" s="63">
        <f>Tabla9[[#This Row],[Precio Compra]]*Tabla9[[#This Row],[Cantidad]]</f>
        <v>2070</v>
      </c>
    </row>
    <row r="509" spans="2:7">
      <c r="B509" t="s">
        <v>821</v>
      </c>
      <c r="C509" t="str">
        <f>VLOOKUP(Tabla9[[#This Row],[Codigo]],Stock[#Data],2,FALSE)</f>
        <v>Tabaquera Artesanal</v>
      </c>
      <c r="D509" s="63">
        <f>VLOOKUP(Tabla9[[#This Row],[Codigo]],Stock[#Data],3,FALSE)</f>
        <v>800</v>
      </c>
      <c r="E509">
        <v>549</v>
      </c>
      <c r="F509">
        <v>1</v>
      </c>
      <c r="G509" s="63">
        <f>Tabla9[[#This Row],[Precio Compra]]*Tabla9[[#This Row],[Cantidad]]</f>
        <v>800</v>
      </c>
    </row>
    <row r="510" spans="2:7">
      <c r="B510" t="s">
        <v>821</v>
      </c>
      <c r="C510" t="str">
        <f>VLOOKUP(Tabla9[[#This Row],[Codigo]],Stock[#Data],2,FALSE)</f>
        <v>Anillo 3D</v>
      </c>
      <c r="D510" s="63">
        <f>VLOOKUP(Tabla9[[#This Row],[Codigo]],Stock[#Data],3,FALSE)</f>
        <v>100</v>
      </c>
      <c r="E510">
        <v>550</v>
      </c>
      <c r="F510">
        <v>6</v>
      </c>
      <c r="G510" s="63">
        <f>Tabla9[[#This Row],[Precio Compra]]*Tabla9[[#This Row],[Cantidad]]</f>
        <v>600</v>
      </c>
    </row>
    <row r="511" spans="2:7">
      <c r="B511" t="s">
        <v>821</v>
      </c>
      <c r="C511" t="str">
        <f>VLOOKUP(Tabla9[[#This Row],[Codigo]],Stock[#Data],2,FALSE)</f>
        <v>Lata Cuadrada Smoke Weed Everiday</v>
      </c>
      <c r="D511" s="63">
        <f>VLOOKUP(Tabla9[[#This Row],[Codigo]],Stock[#Data],3,FALSE)</f>
        <v>200</v>
      </c>
      <c r="E511">
        <v>551</v>
      </c>
      <c r="F511">
        <v>1</v>
      </c>
      <c r="G511" s="63">
        <f>Tabla9[[#This Row],[Precio Compra]]*Tabla9[[#This Row],[Cantidad]]</f>
        <v>200</v>
      </c>
    </row>
    <row r="512" spans="2:7">
      <c r="B512" t="s">
        <v>821</v>
      </c>
      <c r="C512" t="str">
        <f>VLOOKUP(Tabla9[[#This Row],[Codigo]],Stock[#Data],2,FALSE)</f>
        <v>Lata Cigarrera RAW</v>
      </c>
      <c r="D512" s="63">
        <f>VLOOKUP(Tabla9[[#This Row],[Codigo]],Stock[#Data],3,FALSE)</f>
        <v>1252</v>
      </c>
      <c r="E512">
        <v>552</v>
      </c>
      <c r="F512">
        <v>1</v>
      </c>
      <c r="G512" s="63">
        <f>Tabla9[[#This Row],[Precio Compra]]*Tabla9[[#This Row],[Cantidad]]</f>
        <v>1252</v>
      </c>
    </row>
    <row r="513" spans="2:7">
      <c r="B513" t="s">
        <v>821</v>
      </c>
      <c r="C513" t="str">
        <f>VLOOKUP(Tabla9[[#This Row],[Codigo]],Stock[#Data],2,FALSE)</f>
        <v>Lata Redonda Chica RAW</v>
      </c>
      <c r="D513" s="63">
        <f>VLOOKUP(Tabla9[[#This Row],[Codigo]],Stock[#Data],3,FALSE)</f>
        <v>450</v>
      </c>
      <c r="E513">
        <v>553</v>
      </c>
      <c r="F513">
        <v>1</v>
      </c>
      <c r="G513" s="63">
        <f>Tabla9[[#This Row],[Precio Compra]]*Tabla9[[#This Row],[Cantidad]]</f>
        <v>450</v>
      </c>
    </row>
    <row r="514" spans="2:7">
      <c r="B514" t="s">
        <v>821</v>
      </c>
      <c r="C514" t="str">
        <f>VLOOKUP(Tabla9[[#This Row],[Codigo]],Stock[#Data],2,FALSE)</f>
        <v>Lata GIZEH</v>
      </c>
      <c r="D514" s="63">
        <f>VLOOKUP(Tabla9[[#This Row],[Codigo]],Stock[#Data],3,FALSE)</f>
        <v>300</v>
      </c>
      <c r="E514">
        <v>554</v>
      </c>
      <c r="F514">
        <v>5</v>
      </c>
      <c r="G514" s="63">
        <f>Tabla9[[#This Row],[Precio Compra]]*Tabla9[[#This Row],[Cantidad]]</f>
        <v>1500</v>
      </c>
    </row>
    <row r="515" spans="2:7">
      <c r="B515" t="s">
        <v>821</v>
      </c>
      <c r="C515" t="str">
        <f>VLOOKUP(Tabla9[[#This Row],[Codigo]],Stock[#Data],2,FALSE)</f>
        <v>Lata GIZEH+Sedas</v>
      </c>
      <c r="D515" s="63">
        <f>VLOOKUP(Tabla9[[#This Row],[Codigo]],Stock[#Data],3,FALSE)</f>
        <v>376</v>
      </c>
      <c r="E515">
        <v>555</v>
      </c>
      <c r="F515">
        <v>3</v>
      </c>
      <c r="G515" s="63">
        <f>Tabla9[[#This Row],[Precio Compra]]*Tabla9[[#This Row],[Cantidad]]</f>
        <v>1128</v>
      </c>
    </row>
    <row r="516" spans="2:7">
      <c r="B516" t="s">
        <v>821</v>
      </c>
      <c r="C516" t="str">
        <f>VLOOKUP(Tabla9[[#This Row],[Codigo]],Stock[#Data],2,FALSE)</f>
        <v>Frasco Weed Chico</v>
      </c>
      <c r="D516" s="63">
        <f>VLOOKUP(Tabla9[[#This Row],[Codigo]],Stock[#Data],3,FALSE)</f>
        <v>200</v>
      </c>
      <c r="E516">
        <v>556</v>
      </c>
      <c r="F516">
        <v>2</v>
      </c>
      <c r="G516" s="63">
        <f>Tabla9[[#This Row],[Precio Compra]]*Tabla9[[#This Row],[Cantidad]]</f>
        <v>400</v>
      </c>
    </row>
    <row r="517" spans="2:7">
      <c r="B517" t="s">
        <v>821</v>
      </c>
      <c r="C517" t="str">
        <f>VLOOKUP(Tabla9[[#This Row],[Codigo]],Stock[#Data],2,FALSE)</f>
        <v>Frasco Weed Mediano</v>
      </c>
      <c r="D517" s="63">
        <f>VLOOKUP(Tabla9[[#This Row],[Codigo]],Stock[#Data],3,FALSE)</f>
        <v>300</v>
      </c>
      <c r="E517">
        <v>557</v>
      </c>
      <c r="F517">
        <v>2</v>
      </c>
      <c r="G517" s="63">
        <f>Tabla9[[#This Row],[Precio Compra]]*Tabla9[[#This Row],[Cantidad]]</f>
        <v>600</v>
      </c>
    </row>
    <row r="518" spans="2:7">
      <c r="B518" t="s">
        <v>821</v>
      </c>
      <c r="C518" t="str">
        <f>VLOOKUP(Tabla9[[#This Row],[Codigo]],Stock[#Data],2,FALSE)</f>
        <v>Cenicero Silicona</v>
      </c>
      <c r="D518" s="63">
        <f>VLOOKUP(Tabla9[[#This Row],[Codigo]],Stock[#Data],3,FALSE)</f>
        <v>1177</v>
      </c>
      <c r="E518">
        <v>558</v>
      </c>
      <c r="F518">
        <v>2</v>
      </c>
      <c r="G518" s="63">
        <f>Tabla9[[#This Row],[Precio Compra]]*Tabla9[[#This Row],[Cantidad]]</f>
        <v>2354</v>
      </c>
    </row>
    <row r="519" spans="2:7">
      <c r="B519" t="s">
        <v>821</v>
      </c>
      <c r="C519" t="str">
        <f>VLOOKUP(Tabla9[[#This Row],[Codigo]],Stock[#Data],2,FALSE)</f>
        <v>Lata+Picador 420</v>
      </c>
      <c r="D519" s="63">
        <f>VLOOKUP(Tabla9[[#This Row],[Codigo]],Stock[#Data],3,FALSE)</f>
        <v>600</v>
      </c>
      <c r="E519">
        <v>559</v>
      </c>
      <c r="F519">
        <v>2</v>
      </c>
      <c r="G519" s="63">
        <f>Tabla9[[#This Row],[Precio Compra]]*Tabla9[[#This Row],[Cantidad]]</f>
        <v>1200</v>
      </c>
    </row>
    <row r="520" spans="2:7">
      <c r="B520" t="s">
        <v>821</v>
      </c>
      <c r="C520" t="str">
        <f>VLOOKUP(Tabla9[[#This Row],[Codigo]],Stock[#Data],2,FALSE)</f>
        <v>Cerveza 420</v>
      </c>
      <c r="D520" s="63">
        <f>VLOOKUP(Tabla9[[#This Row],[Codigo]],Stock[#Data],3,FALSE)</f>
        <v>350</v>
      </c>
      <c r="E520">
        <v>560</v>
      </c>
      <c r="F520">
        <v>2</v>
      </c>
      <c r="G520" s="63">
        <f>Tabla9[[#This Row],[Precio Compra]]*Tabla9[[#This Row],[Cantidad]]</f>
        <v>700</v>
      </c>
    </row>
    <row r="521" spans="2:7">
      <c r="B521" t="s">
        <v>821</v>
      </c>
      <c r="C521" t="str">
        <f>VLOOKUP(Tabla9[[#This Row],[Codigo]],Stock[#Data],2,FALSE)</f>
        <v>Blunt Lion Hemp Wraps Natural</v>
      </c>
      <c r="D521" s="63">
        <f>VLOOKUP(Tabla9[[#This Row],[Codigo]],Stock[#Data],3,FALSE)</f>
        <v>316</v>
      </c>
      <c r="E521">
        <v>561</v>
      </c>
      <c r="F521">
        <v>1</v>
      </c>
      <c r="G521" s="63">
        <f>Tabla9[[#This Row],[Precio Compra]]*Tabla9[[#This Row],[Cantidad]]</f>
        <v>316</v>
      </c>
    </row>
    <row r="522" spans="2:7">
      <c r="B522" t="s">
        <v>821</v>
      </c>
      <c r="C522" t="str">
        <f>VLOOKUP(Tabla9[[#This Row],[Codigo]],Stock[#Data],2,FALSE)</f>
        <v>Bong D&amp;K Vidrio Chico Pico Curvo</v>
      </c>
      <c r="D522" s="63">
        <f>VLOOKUP(Tabla9[[#This Row],[Codigo]],Stock[#Data],3,FALSE)</f>
        <v>2491</v>
      </c>
      <c r="E522">
        <v>562</v>
      </c>
      <c r="F522">
        <v>1</v>
      </c>
      <c r="G522" s="63">
        <f>Tabla9[[#This Row],[Precio Compra]]*Tabla9[[#This Row],[Cantidad]]</f>
        <v>2491</v>
      </c>
    </row>
    <row r="523" spans="2:7">
      <c r="B523" t="s">
        <v>821</v>
      </c>
      <c r="C523" t="str">
        <f>VLOOKUP(Tabla9[[#This Row],[Codigo]],Stock[#Data],2,FALSE)</f>
        <v>Bong D&amp;K Vidrio Recto</v>
      </c>
      <c r="D523" s="63">
        <f>VLOOKUP(Tabla9[[#This Row],[Codigo]],Stock[#Data],3,FALSE)</f>
        <v>3991</v>
      </c>
      <c r="E523">
        <v>563</v>
      </c>
      <c r="F523">
        <v>1</v>
      </c>
      <c r="G523" s="63">
        <f>Tabla9[[#This Row],[Precio Compra]]*Tabla9[[#This Row],[Cantidad]]</f>
        <v>3991</v>
      </c>
    </row>
    <row r="524" spans="2:7">
      <c r="B524" t="s">
        <v>821</v>
      </c>
      <c r="C524" t="str">
        <f>VLOOKUP(Tabla9[[#This Row],[Codigo]],Stock[#Data],2,FALSE)</f>
        <v>Picador Zeus 3p Plastico</v>
      </c>
      <c r="D524" s="63">
        <f>VLOOKUP(Tabla9[[#This Row],[Codigo]],Stock[#Data],3,FALSE)</f>
        <v>460</v>
      </c>
      <c r="E524">
        <v>564</v>
      </c>
      <c r="F524">
        <v>4</v>
      </c>
      <c r="G524" s="63">
        <f>Tabla9[[#This Row],[Precio Compra]]*Tabla9[[#This Row],[Cantidad]]</f>
        <v>1840</v>
      </c>
    </row>
    <row r="525" spans="2:7">
      <c r="B525" t="s">
        <v>821</v>
      </c>
      <c r="C525" t="str">
        <f>VLOOKUP(Tabla9[[#This Row],[Codigo]],Stock[#Data],2,FALSE)</f>
        <v>Picador Zeus 4p Plastico</v>
      </c>
      <c r="D525" s="63">
        <f>VLOOKUP(Tabla9[[#This Row],[Codigo]],Stock[#Data],3,FALSE)</f>
        <v>760</v>
      </c>
      <c r="E525">
        <v>565</v>
      </c>
      <c r="F525">
        <v>1</v>
      </c>
      <c r="G525" s="63">
        <f>Tabla9[[#This Row],[Precio Compra]]*Tabla9[[#This Row],[Cantidad]]</f>
        <v>760</v>
      </c>
    </row>
    <row r="526" spans="2:7">
      <c r="B526" t="s">
        <v>821</v>
      </c>
      <c r="C526" t="str">
        <f>VLOOKUP(Tabla9[[#This Row],[Codigo]],Stock[#Data],2,FALSE)</f>
        <v xml:space="preserve">Bong de Silicona Grande </v>
      </c>
      <c r="D526" s="63">
        <f>VLOOKUP(Tabla9[[#This Row],[Codigo]],Stock[#Data],3,FALSE)</f>
        <v>5750</v>
      </c>
      <c r="E526">
        <v>566</v>
      </c>
      <c r="F526">
        <v>3</v>
      </c>
      <c r="G526" s="63">
        <f>Tabla9[[#This Row],[Precio Compra]]*Tabla9[[#This Row],[Cantidad]]</f>
        <v>17250</v>
      </c>
    </row>
    <row r="527" spans="2:7">
      <c r="B527" t="s">
        <v>821</v>
      </c>
      <c r="C527" t="str">
        <f>VLOOKUP(Tabla9[[#This Row],[Codigo]],Stock[#Data],2,FALSE)</f>
        <v>Bandeja Keep it Fresh Chica c/tapa</v>
      </c>
      <c r="D527" s="63">
        <f>VLOOKUP(Tabla9[[#This Row],[Codigo]],Stock[#Data],3,FALSE)</f>
        <v>1685</v>
      </c>
      <c r="E527">
        <v>567</v>
      </c>
      <c r="F527">
        <v>2</v>
      </c>
      <c r="G527" s="63">
        <f>Tabla9[[#This Row],[Precio Compra]]*Tabla9[[#This Row],[Cantidad]]</f>
        <v>3370</v>
      </c>
    </row>
    <row r="528" spans="2:7">
      <c r="B528" t="s">
        <v>821</v>
      </c>
      <c r="C528" t="str">
        <f>VLOOKUP(Tabla9[[#This Row],[Codigo]],Stock[#Data],2,FALSE)</f>
        <v>Cigarrera Stamps Metal</v>
      </c>
      <c r="D528" s="63">
        <f>VLOOKUP(Tabla9[[#This Row],[Codigo]],Stock[#Data],3,FALSE)</f>
        <v>1050</v>
      </c>
      <c r="E528">
        <v>568</v>
      </c>
      <c r="F528">
        <v>2</v>
      </c>
      <c r="G528" s="63">
        <f>Tabla9[[#This Row],[Precio Compra]]*Tabla9[[#This Row],[Cantidad]]</f>
        <v>2100</v>
      </c>
    </row>
    <row r="529" spans="2:7">
      <c r="B529" t="s">
        <v>821</v>
      </c>
      <c r="C529" t="str">
        <f>VLOOKUP(Tabla9[[#This Row],[Codigo]],Stock[#Data],2,FALSE)</f>
        <v>Namaste Shanti 100ml</v>
      </c>
      <c r="D529" s="63">
        <f>VLOOKUP(Tabla9[[#This Row],[Codigo]],Stock[#Data],3,FALSE)</f>
        <v>932</v>
      </c>
      <c r="E529">
        <v>569</v>
      </c>
      <c r="F529">
        <v>29</v>
      </c>
      <c r="G529" s="63">
        <f>Tabla9[[#This Row],[Precio Compra]]*Tabla9[[#This Row],[Cantidad]]</f>
        <v>27028</v>
      </c>
    </row>
    <row r="530" spans="2:7">
      <c r="B530" t="s">
        <v>821</v>
      </c>
      <c r="C530" t="str">
        <f>VLOOKUP(Tabla9[[#This Row],[Codigo]],Stock[#Data],2,FALSE)</f>
        <v>El Duende Jabon Potasico con Neem y Canela 250ml</v>
      </c>
      <c r="D530" s="63">
        <f>VLOOKUP(Tabla9[[#This Row],[Codigo]],Stock[#Data],3,FALSE)</f>
        <v>645</v>
      </c>
      <c r="E530">
        <v>570</v>
      </c>
      <c r="F530">
        <v>2</v>
      </c>
      <c r="G530" s="63">
        <f>Tabla9[[#This Row],[Precio Compra]]*Tabla9[[#This Row],[Cantidad]]</f>
        <v>1290</v>
      </c>
    </row>
    <row r="531" spans="2:7">
      <c r="B531" t="s">
        <v>821</v>
      </c>
      <c r="C531" t="str">
        <f>VLOOKUP(Tabla9[[#This Row],[Codigo]],Stock[#Data],2,FALSE)</f>
        <v>Pulverizador 1,5 litros</v>
      </c>
      <c r="D531" s="63">
        <f>VLOOKUP(Tabla9[[#This Row],[Codigo]],Stock[#Data],3,FALSE)</f>
        <v>1250</v>
      </c>
      <c r="E531">
        <v>571</v>
      </c>
      <c r="F531">
        <v>5</v>
      </c>
      <c r="G531" s="63">
        <f>Tabla9[[#This Row],[Precio Compra]]*Tabla9[[#This Row],[Cantidad]]</f>
        <v>6250</v>
      </c>
    </row>
    <row r="532" spans="2:7">
      <c r="B532" t="s">
        <v>821</v>
      </c>
      <c r="C532" t="str">
        <f>VLOOKUP(Tabla9[[#This Row],[Codigo]],Stock[#Data],2,FALSE)</f>
        <v xml:space="preserve">papel Mylar </v>
      </c>
      <c r="D532" s="63">
        <f>VLOOKUP(Tabla9[[#This Row],[Codigo]],Stock[#Data],3,FALSE)</f>
        <v>130</v>
      </c>
      <c r="E532">
        <v>572</v>
      </c>
      <c r="F532">
        <v>4</v>
      </c>
      <c r="G532" s="63">
        <f>Tabla9[[#This Row],[Precio Compra]]*Tabla9[[#This Row],[Cantidad]]</f>
        <v>520</v>
      </c>
    </row>
    <row r="533" spans="2:7">
      <c r="B533" t="s">
        <v>821</v>
      </c>
      <c r="C533" t="str">
        <f>VLOOKUP(Tabla9[[#This Row],[Codigo]],Stock[#Data],2,FALSE)</f>
        <v>Crema SANARCANN</v>
      </c>
      <c r="D533" s="63">
        <f>VLOOKUP(Tabla9[[#This Row],[Codigo]],Stock[#Data],3,FALSE)</f>
        <v>1500</v>
      </c>
      <c r="E533">
        <v>573</v>
      </c>
      <c r="F533">
        <v>5</v>
      </c>
      <c r="G533" s="63">
        <f>Tabla9[[#This Row],[Precio Compra]]*Tabla9[[#This Row],[Cantidad]]</f>
        <v>7500</v>
      </c>
    </row>
    <row r="534" spans="2:7">
      <c r="B534" t="s">
        <v>821</v>
      </c>
      <c r="C534" t="str">
        <f>VLOOKUP(Tabla9[[#This Row],[Codigo]],Stock[#Data],2,FALSE)</f>
        <v xml:space="preserve">Timer SICA </v>
      </c>
      <c r="D534" s="63">
        <f>VLOOKUP(Tabla9[[#This Row],[Codigo]],Stock[#Data],3,FALSE)</f>
        <v>1786</v>
      </c>
      <c r="E534">
        <v>574</v>
      </c>
      <c r="F534">
        <v>5</v>
      </c>
      <c r="G534" s="63">
        <f>Tabla9[[#This Row],[Precio Compra]]*Tabla9[[#This Row],[Cantidad]]</f>
        <v>8930</v>
      </c>
    </row>
    <row r="535" spans="2:7">
      <c r="B535" t="s">
        <v>821</v>
      </c>
      <c r="C535" t="str">
        <f>VLOOKUP(Tabla9[[#This Row],[Codigo]],Stock[#Data],2,FALSE)</f>
        <v>4 en 1 100ml Green Leaf Insumos</v>
      </c>
      <c r="D535" s="63">
        <f>VLOOKUP(Tabla9[[#This Row],[Codigo]],Stock[#Data],3,FALSE)</f>
        <v>498</v>
      </c>
      <c r="E535">
        <v>575</v>
      </c>
      <c r="F535">
        <v>18</v>
      </c>
      <c r="G535" s="63">
        <f>Tabla9[[#This Row],[Precio Compra]]*Tabla9[[#This Row],[Cantidad]]</f>
        <v>8964</v>
      </c>
    </row>
    <row r="536" spans="2:7">
      <c r="B536" t="s">
        <v>821</v>
      </c>
      <c r="C536" t="str">
        <f>VLOOKUP(Tabla9[[#This Row],[Codigo]],Stock[#Data],2,FALSE)</f>
        <v>4 en 1 250ml Green Leaf Insumos</v>
      </c>
      <c r="D536" s="63">
        <f>VLOOKUP(Tabla9[[#This Row],[Codigo]],Stock[#Data],3,FALSE)</f>
        <v>1179</v>
      </c>
      <c r="E536">
        <v>576</v>
      </c>
      <c r="F536">
        <v>14</v>
      </c>
      <c r="G536" s="63">
        <f>Tabla9[[#This Row],[Precio Compra]]*Tabla9[[#This Row],[Cantidad]]</f>
        <v>16506</v>
      </c>
    </row>
    <row r="537" spans="2:7">
      <c r="B537" t="s">
        <v>821</v>
      </c>
      <c r="C537" t="str">
        <f>VLOOKUP(Tabla9[[#This Row],[Codigo]],Stock[#Data],2,FALSE)</f>
        <v>Trips Green Leaf Insumos 100ml</v>
      </c>
      <c r="D537" s="63">
        <f>VLOOKUP(Tabla9[[#This Row],[Codigo]],Stock[#Data],3,FALSE)</f>
        <v>498</v>
      </c>
      <c r="E537">
        <v>577</v>
      </c>
      <c r="F537">
        <v>1</v>
      </c>
      <c r="G537" s="63">
        <f>Tabla9[[#This Row],[Precio Compra]]*Tabla9[[#This Row],[Cantidad]]</f>
        <v>498</v>
      </c>
    </row>
    <row r="538" spans="2:7">
      <c r="B538" t="s">
        <v>821</v>
      </c>
      <c r="C538" t="str">
        <f>VLOOKUP(Tabla9[[#This Row],[Codigo]],Stock[#Data],2,FALSE)</f>
        <v>Trichodermas Cultivate</v>
      </c>
      <c r="D538" s="63">
        <f>VLOOKUP(Tabla9[[#This Row],[Codigo]],Stock[#Data],3,FALSE)</f>
        <v>957</v>
      </c>
      <c r="E538">
        <v>578</v>
      </c>
      <c r="F538">
        <v>2</v>
      </c>
      <c r="G538" s="63">
        <f>Tabla9[[#This Row],[Precio Compra]]*Tabla9[[#This Row],[Cantidad]]</f>
        <v>1914</v>
      </c>
    </row>
    <row r="539" spans="2:7">
      <c r="B539" t="s">
        <v>821</v>
      </c>
      <c r="C539" t="str">
        <f>VLOOKUP(Tabla9[[#This Row],[Codigo]],Stock[#Data],2,FALSE)</f>
        <v>Geotextiles 30l Dgrow</v>
      </c>
      <c r="D539" s="63">
        <f>VLOOKUP(Tabla9[[#This Row],[Codigo]],Stock[#Data],3,FALSE)</f>
        <v>400</v>
      </c>
      <c r="E539">
        <v>579</v>
      </c>
      <c r="F539">
        <v>2</v>
      </c>
      <c r="G539" s="63">
        <f>Tabla9[[#This Row],[Precio Compra]]*Tabla9[[#This Row],[Cantidad]]</f>
        <v>800</v>
      </c>
    </row>
    <row r="540" spans="2:7">
      <c r="B540" t="s">
        <v>821</v>
      </c>
      <c r="C540" t="str">
        <f>VLOOKUP(Tabla9[[#This Row],[Codigo]],Stock[#Data],2,FALSE)</f>
        <v>Geotextiles 15l Iration</v>
      </c>
      <c r="D540" s="63">
        <f>VLOOKUP(Tabla9[[#This Row],[Codigo]],Stock[#Data],3,FALSE)</f>
        <v>250</v>
      </c>
      <c r="E540">
        <v>580</v>
      </c>
      <c r="F540">
        <v>1</v>
      </c>
      <c r="G540" s="63">
        <f>Tabla9[[#This Row],[Precio Compra]]*Tabla9[[#This Row],[Cantidad]]</f>
        <v>250</v>
      </c>
    </row>
    <row r="541" spans="2:7">
      <c r="B541" t="s">
        <v>821</v>
      </c>
      <c r="C541" t="str">
        <f>VLOOKUP(Tabla9[[#This Row],[Codigo]],Stock[#Data],2,FALSE)</f>
        <v>Geotextiles 20l Iration</v>
      </c>
      <c r="D541" s="63">
        <f>VLOOKUP(Tabla9[[#This Row],[Codigo]],Stock[#Data],3,FALSE)</f>
        <v>400</v>
      </c>
      <c r="E541">
        <v>581</v>
      </c>
      <c r="F541">
        <v>1</v>
      </c>
      <c r="G541" s="63">
        <f>Tabla9[[#This Row],[Precio Compra]]*Tabla9[[#This Row],[Cantidad]]</f>
        <v>400</v>
      </c>
    </row>
    <row r="542" spans="2:7">
      <c r="B542" t="s">
        <v>821</v>
      </c>
      <c r="C542" t="str">
        <f>VLOOKUP(Tabla9[[#This Row],[Codigo]],Stock[#Data],2,FALSE)</f>
        <v>Picador 3 Rayos 4p Madera</v>
      </c>
      <c r="D542" s="63">
        <f>VLOOKUP(Tabla9[[#This Row],[Codigo]],Stock[#Data],3,FALSE)</f>
        <v>2188</v>
      </c>
      <c r="E542">
        <v>582</v>
      </c>
      <c r="F542">
        <v>1</v>
      </c>
      <c r="G542" s="63">
        <f>Tabla9[[#This Row],[Precio Compra]]*Tabla9[[#This Row],[Cantidad]]</f>
        <v>2188</v>
      </c>
    </row>
    <row r="543" spans="2:7">
      <c r="B543" t="s">
        <v>821</v>
      </c>
      <c r="C543" t="str">
        <f>VLOOKUP(Tabla9[[#This Row],[Codigo]],Stock[#Data],2,FALSE)</f>
        <v xml:space="preserve">Pipa de Ceramica chica </v>
      </c>
      <c r="D543" s="63">
        <f>VLOOKUP(Tabla9[[#This Row],[Codigo]],Stock[#Data],3,FALSE)</f>
        <v>1000</v>
      </c>
      <c r="E543">
        <v>583</v>
      </c>
      <c r="F543">
        <v>7</v>
      </c>
      <c r="G543" s="63">
        <f>Tabla9[[#This Row],[Precio Compra]]*Tabla9[[#This Row],[Cantidad]]</f>
        <v>7000</v>
      </c>
    </row>
    <row r="544" spans="2:7">
      <c r="B544" t="s">
        <v>821</v>
      </c>
      <c r="C544" t="str">
        <f>VLOOKUP(Tabla9[[#This Row],[Codigo]],Stock[#Data],2,FALSE)</f>
        <v>Pipa de Ceramica Grande</v>
      </c>
      <c r="D544" s="63">
        <f>VLOOKUP(Tabla9[[#This Row],[Codigo]],Stock[#Data],3,FALSE)</f>
        <v>1500</v>
      </c>
      <c r="E544">
        <v>584</v>
      </c>
      <c r="F544">
        <v>3</v>
      </c>
      <c r="G544" s="63">
        <f>Tabla9[[#This Row],[Precio Compra]]*Tabla9[[#This Row],[Cantidad]]</f>
        <v>4500</v>
      </c>
    </row>
    <row r="545" spans="2:7">
      <c r="B545" t="s">
        <v>821</v>
      </c>
      <c r="C545" t="str">
        <f>VLOOKUP(Tabla9[[#This Row],[Codigo]],Stock[#Data],2,FALSE)</f>
        <v xml:space="preserve">Tuqueros de Ceramica </v>
      </c>
      <c r="D545" s="63">
        <f>VLOOKUP(Tabla9[[#This Row],[Codigo]],Stock[#Data],3,FALSE)</f>
        <v>500</v>
      </c>
      <c r="E545">
        <v>585</v>
      </c>
      <c r="F545">
        <v>5</v>
      </c>
      <c r="G545" s="63">
        <f>Tabla9[[#This Row],[Precio Compra]]*Tabla9[[#This Row],[Cantidad]]</f>
        <v>2500</v>
      </c>
    </row>
    <row r="546" spans="2:7">
      <c r="B546" t="s">
        <v>821</v>
      </c>
      <c r="C546" t="str">
        <f>VLOOKUP(Tabla9[[#This Row],[Codigo]],Stock[#Data],2,FALSE)</f>
        <v>Filtros Gizeh x100 6mm</v>
      </c>
      <c r="D546" s="63">
        <f>VLOOKUP(Tabla9[[#This Row],[Codigo]],Stock[#Data],3,FALSE)</f>
        <v>190</v>
      </c>
      <c r="E546">
        <v>586</v>
      </c>
      <c r="F546">
        <v>15</v>
      </c>
      <c r="G546" s="63">
        <f>Tabla9[[#This Row],[Precio Compra]]*Tabla9[[#This Row],[Cantidad]]</f>
        <v>2850</v>
      </c>
    </row>
    <row r="547" spans="2:7">
      <c r="B547" t="s">
        <v>821</v>
      </c>
      <c r="C547" t="str">
        <f>VLOOKUP(Tabla9[[#This Row],[Codigo]],Stock[#Data],2,FALSE)</f>
        <v>Filtros Gizeh Mentol 6mm</v>
      </c>
      <c r="D547" s="63">
        <f>VLOOKUP(Tabla9[[#This Row],[Codigo]],Stock[#Data],3,FALSE)</f>
        <v>275</v>
      </c>
      <c r="E547">
        <v>587</v>
      </c>
      <c r="F547">
        <v>10</v>
      </c>
      <c r="G547" s="63">
        <f>Tabla9[[#This Row],[Precio Compra]]*Tabla9[[#This Row],[Cantidad]]</f>
        <v>2750</v>
      </c>
    </row>
    <row r="548" spans="2:7">
      <c r="B548" t="s">
        <v>821</v>
      </c>
      <c r="C548" t="str">
        <f>VLOOKUP(Tabla9[[#This Row],[Codigo]],Stock[#Data],2,FALSE)</f>
        <v>Picador Mini D&amp;K</v>
      </c>
      <c r="D548" s="63">
        <f>VLOOKUP(Tabla9[[#This Row],[Codigo]],Stock[#Data],3,FALSE)</f>
        <v>1046</v>
      </c>
      <c r="E548">
        <v>588</v>
      </c>
      <c r="F548">
        <v>2</v>
      </c>
      <c r="G548" s="63">
        <f>Tabla9[[#This Row],[Precio Compra]]*Tabla9[[#This Row],[Cantidad]]</f>
        <v>2092</v>
      </c>
    </row>
    <row r="549" spans="2:7">
      <c r="B549" t="s">
        <v>821</v>
      </c>
      <c r="C549" t="str">
        <f>VLOOKUP(Tabla9[[#This Row],[Codigo]],Stock[#Data],2,FALSE)</f>
        <v>Sedas Zeus Celulosa</v>
      </c>
      <c r="D549" s="63">
        <f>VLOOKUP(Tabla9[[#This Row],[Codigo]],Stock[#Data],3,FALSE)</f>
        <v>175</v>
      </c>
      <c r="E549">
        <v>589</v>
      </c>
      <c r="F549">
        <v>24</v>
      </c>
      <c r="G549" s="63">
        <f>Tabla9[[#This Row],[Precio Compra]]*Tabla9[[#This Row],[Cantidad]]</f>
        <v>4200</v>
      </c>
    </row>
    <row r="550" spans="2:7">
      <c r="B550" t="s">
        <v>821</v>
      </c>
      <c r="C550" t="str">
        <f>VLOOKUP(Tabla9[[#This Row],[Codigo]],Stock[#Data],2,FALSE)</f>
        <v>Lata Elements</v>
      </c>
      <c r="D550" s="63">
        <f>VLOOKUP(Tabla9[[#This Row],[Codigo]],Stock[#Data],3,FALSE)</f>
        <v>1028</v>
      </c>
      <c r="E550">
        <v>590</v>
      </c>
      <c r="F550">
        <v>2</v>
      </c>
      <c r="G550" s="63">
        <f>Tabla9[[#This Row],[Precio Compra]]*Tabla9[[#This Row],[Cantidad]]</f>
        <v>2056</v>
      </c>
    </row>
    <row r="551" spans="2:7">
      <c r="B551" t="s">
        <v>821</v>
      </c>
      <c r="C551" t="str">
        <f>VLOOKUP(Tabla9[[#This Row],[Codigo]],Stock[#Data],2,FALSE)</f>
        <v>Picador D&amp;K Plastico Calavera</v>
      </c>
      <c r="D551" s="63">
        <f>VLOOKUP(Tabla9[[#This Row],[Codigo]],Stock[#Data],3,FALSE)</f>
        <v>854</v>
      </c>
      <c r="E551">
        <v>591</v>
      </c>
      <c r="F551">
        <v>1</v>
      </c>
      <c r="G551" s="63">
        <f>Tabla9[[#This Row],[Precio Compra]]*Tabla9[[#This Row],[Cantidad]]</f>
        <v>854</v>
      </c>
    </row>
    <row r="552" spans="2:7">
      <c r="B552" t="s">
        <v>821</v>
      </c>
      <c r="C552" t="str">
        <f>VLOOKUP(Tabla9[[#This Row],[Codigo]],Stock[#Data],2,FALSE)</f>
        <v>Picador Zeus Plastico Flor</v>
      </c>
      <c r="D552" s="63">
        <f>VLOOKUP(Tabla9[[#This Row],[Codigo]],Stock[#Data],3,FALSE)</f>
        <v>948</v>
      </c>
      <c r="E552">
        <v>592</v>
      </c>
      <c r="F552">
        <v>3</v>
      </c>
      <c r="G552" s="63">
        <f>Tabla9[[#This Row],[Precio Compra]]*Tabla9[[#This Row],[Cantidad]]</f>
        <v>2844</v>
      </c>
    </row>
    <row r="553" spans="2:7">
      <c r="B553" t="s">
        <v>821</v>
      </c>
      <c r="C553" t="str">
        <f>VLOOKUP(Tabla9[[#This Row],[Codigo]],Stock[#Data],2,FALSE)</f>
        <v>OCB Cañamo Organico</v>
      </c>
      <c r="D553" s="63">
        <f>VLOOKUP(Tabla9[[#This Row],[Codigo]],Stock[#Data],3,FALSE)</f>
        <v>165</v>
      </c>
      <c r="E553">
        <v>593</v>
      </c>
      <c r="F553">
        <v>25</v>
      </c>
      <c r="G553" s="63">
        <f>Tabla9[[#This Row],[Precio Compra]]*Tabla9[[#This Row],[Cantidad]]</f>
        <v>4125</v>
      </c>
    </row>
    <row r="554" spans="2:7">
      <c r="B554" t="s">
        <v>821</v>
      </c>
      <c r="C554" t="str">
        <f>VLOOKUP(Tabla9[[#This Row],[Codigo]],Stock[#Data],2,FALSE)</f>
        <v>OCB premium</v>
      </c>
      <c r="D554" s="63">
        <f>VLOOKUP(Tabla9[[#This Row],[Codigo]],Stock[#Data],3,FALSE)</f>
        <v>165</v>
      </c>
      <c r="E554">
        <v>594</v>
      </c>
      <c r="F554">
        <v>25</v>
      </c>
      <c r="G554" s="63">
        <f>Tabla9[[#This Row],[Precio Compra]]*Tabla9[[#This Row],[Cantidad]]</f>
        <v>4125</v>
      </c>
    </row>
    <row r="555" spans="2:7">
      <c r="B555" t="s">
        <v>821</v>
      </c>
      <c r="C555" t="str">
        <f>VLOOKUP(Tabla9[[#This Row],[Codigo]],Stock[#Data],2,FALSE)</f>
        <v>Sedas STAMPS Celulosa x300</v>
      </c>
      <c r="D555" s="63">
        <f>VLOOKUP(Tabla9[[#This Row],[Codigo]],Stock[#Data],3,FALSE)</f>
        <v>444</v>
      </c>
      <c r="E555">
        <v>595</v>
      </c>
      <c r="F555">
        <v>10</v>
      </c>
      <c r="G555" s="63">
        <f>Tabla9[[#This Row],[Precio Compra]]*Tabla9[[#This Row],[Cantidad]]</f>
        <v>4440</v>
      </c>
    </row>
    <row r="556" spans="2:7">
      <c r="B556" t="s">
        <v>821</v>
      </c>
      <c r="C556" t="str">
        <f>VLOOKUP(Tabla9[[#This Row],[Codigo]],Stock[#Data],2,FALSE)</f>
        <v>Top Bloom 1L</v>
      </c>
      <c r="D556" s="63">
        <f>VLOOKUP(Tabla9[[#This Row],[Codigo]],Stock[#Data],3,FALSE)</f>
        <v>2703</v>
      </c>
      <c r="E556">
        <v>596</v>
      </c>
      <c r="F556">
        <v>2</v>
      </c>
      <c r="G556" s="63">
        <f>Tabla9[[#This Row],[Precio Compra]]*Tabla9[[#This Row],[Cantidad]]</f>
        <v>5406</v>
      </c>
    </row>
    <row r="557" spans="2:7">
      <c r="B557" t="s">
        <v>821</v>
      </c>
      <c r="C557" t="str">
        <f>VLOOKUP(Tabla9[[#This Row],[Codigo]],Stock[#Data],2,FALSE)</f>
        <v>Geotextiles 40L cultivate</v>
      </c>
      <c r="D557" s="63">
        <f>VLOOKUP(Tabla9[[#This Row],[Codigo]],Stock[#Data],3,FALSE)</f>
        <v>638</v>
      </c>
      <c r="E557">
        <v>597</v>
      </c>
      <c r="F557">
        <v>5</v>
      </c>
      <c r="G557" s="63">
        <f>Tabla9[[#This Row],[Precio Compra]]*Tabla9[[#This Row],[Cantidad]]</f>
        <v>3190</v>
      </c>
    </row>
    <row r="558" spans="2:7">
      <c r="B558" t="s">
        <v>821</v>
      </c>
      <c r="C558" t="str">
        <f>VLOOKUP(Tabla9[[#This Row],[Codigo]],Stock[#Data],2,FALSE)</f>
        <v xml:space="preserve">Beauveria Bassiana Organic Life </v>
      </c>
      <c r="D558" s="63">
        <f>VLOOKUP(Tabla9[[#This Row],[Codigo]],Stock[#Data],3,FALSE)</f>
        <v>490</v>
      </c>
      <c r="E558">
        <v>598</v>
      </c>
      <c r="F558">
        <v>10</v>
      </c>
      <c r="G558" s="63">
        <f>Tabla9[[#This Row],[Precio Compra]]*Tabla9[[#This Row],[Cantidad]]</f>
        <v>4900</v>
      </c>
    </row>
    <row r="559" spans="2:7">
      <c r="B559" t="s">
        <v>821</v>
      </c>
      <c r="C559" t="str">
        <f>VLOOKUP(Tabla9[[#This Row],[Codigo]],Stock[#Data],2,FALSE)</f>
        <v>Estabilizador 8G keep it fresh</v>
      </c>
      <c r="D559" s="63">
        <f>VLOOKUP(Tabla9[[#This Row],[Codigo]],Stock[#Data],3,FALSE)</f>
        <v>562</v>
      </c>
      <c r="E559">
        <v>599</v>
      </c>
      <c r="F559">
        <v>2</v>
      </c>
      <c r="G559" s="63">
        <f>Tabla9[[#This Row],[Precio Compra]]*Tabla9[[#This Row],[Cantidad]]</f>
        <v>1124</v>
      </c>
    </row>
    <row r="560" spans="2:7">
      <c r="B560" t="s">
        <v>821</v>
      </c>
      <c r="C560" t="str">
        <f>VLOOKUP(Tabla9[[#This Row],[Codigo]],Stock[#Data],2,FALSE)</f>
        <v>Sedas Blunt Rey Blueberry</v>
      </c>
      <c r="D560" s="63">
        <f>VLOOKUP(Tabla9[[#This Row],[Codigo]],Stock[#Data],3,FALSE)</f>
        <v>126</v>
      </c>
      <c r="E560">
        <v>611</v>
      </c>
      <c r="F560">
        <v>2</v>
      </c>
      <c r="G560" s="63">
        <f>Tabla9[[#This Row],[Precio Compra]]*Tabla9[[#This Row],[Cantidad]]</f>
        <v>252</v>
      </c>
    </row>
    <row r="561" spans="2:7">
      <c r="B561" t="s">
        <v>821</v>
      </c>
      <c r="C561" t="str">
        <f>VLOOKUP(Tabla9[[#This Row],[Codigo]],Stock[#Data],2,FALSE)</f>
        <v>Sedas Blunt Rey Vainilla</v>
      </c>
      <c r="D561" s="63">
        <f>VLOOKUP(Tabla9[[#This Row],[Codigo]],Stock[#Data],3,FALSE)</f>
        <v>126</v>
      </c>
      <c r="E561">
        <v>612</v>
      </c>
      <c r="F561">
        <v>2</v>
      </c>
      <c r="G561" s="63">
        <f>Tabla9[[#This Row],[Precio Compra]]*Tabla9[[#This Row],[Cantidad]]</f>
        <v>252</v>
      </c>
    </row>
    <row r="562" spans="2:7">
      <c r="B562" t="s">
        <v>821</v>
      </c>
      <c r="C562" t="str">
        <f>VLOOKUP(Tabla9[[#This Row],[Codigo]],Stock[#Data],2,FALSE)</f>
        <v>Sedas Blunt Rey Cherry</v>
      </c>
      <c r="D562" s="63">
        <f>VLOOKUP(Tabla9[[#This Row],[Codigo]],Stock[#Data],3,FALSE)</f>
        <v>126</v>
      </c>
      <c r="E562">
        <v>613</v>
      </c>
      <c r="F562">
        <v>2</v>
      </c>
      <c r="G562" s="63">
        <f>Tabla9[[#This Row],[Precio Compra]]*Tabla9[[#This Row],[Cantidad]]</f>
        <v>252</v>
      </c>
    </row>
    <row r="563" spans="2:7">
      <c r="B563" t="s">
        <v>821</v>
      </c>
      <c r="C563" t="str">
        <f>VLOOKUP(Tabla9[[#This Row],[Codigo]],Stock[#Data],2,FALSE)</f>
        <v xml:space="preserve">Sedas Stamps Celulosa </v>
      </c>
      <c r="D563" s="63">
        <f>VLOOKUP(Tabla9[[#This Row],[Codigo]],Stock[#Data],3,FALSE)</f>
        <v>260</v>
      </c>
      <c r="E563">
        <v>622</v>
      </c>
      <c r="F563">
        <v>8</v>
      </c>
      <c r="G563" s="63">
        <f>Tabla9[[#This Row],[Precio Compra]]*Tabla9[[#This Row],[Cantidad]]</f>
        <v>2080</v>
      </c>
    </row>
    <row r="564" spans="2:7">
      <c r="B564" t="s">
        <v>821</v>
      </c>
      <c r="C564" t="str">
        <f>VLOOKUP(Tabla9[[#This Row],[Codigo]],Stock[#Data],2,FALSE)</f>
        <v>DKHaze 2.0 EVO</v>
      </c>
      <c r="D564" s="63">
        <f>VLOOKUP(Tabla9[[#This Row],[Codigo]],Stock[#Data],3,FALSE)</f>
        <v>54665</v>
      </c>
      <c r="E564">
        <v>600</v>
      </c>
      <c r="F564">
        <v>1</v>
      </c>
      <c r="G564" s="63">
        <f>Tabla9[[#This Row],[Precio Compra]]*Tabla9[[#This Row],[Cantidad]]</f>
        <v>54665</v>
      </c>
    </row>
    <row r="565" spans="2:7">
      <c r="B565" t="s">
        <v>821</v>
      </c>
      <c r="C565" t="str">
        <f>VLOOKUP(Tabla9[[#This Row],[Codigo]],Stock[#Data],2,FALSE)</f>
        <v xml:space="preserve">venta de 200 sustratos </v>
      </c>
      <c r="D565" s="63">
        <f>VLOOKUP(Tabla9[[#This Row],[Codigo]],Stock[#Data],3,FALSE)</f>
        <v>60000</v>
      </c>
      <c r="E565">
        <v>601</v>
      </c>
      <c r="F565">
        <v>1</v>
      </c>
      <c r="G565" s="63">
        <f>Tabla9[[#This Row],[Precio Compra]]*Tabla9[[#This Row],[Cantidad]]</f>
        <v>60000</v>
      </c>
    </row>
    <row r="566" spans="2:7">
      <c r="B566" t="s">
        <v>821</v>
      </c>
      <c r="C566" t="str">
        <f>VLOOKUP(Tabla9[[#This Row],[Codigo]],Stock[#Data],2,FALSE)</f>
        <v>Carpa 120x120x200</v>
      </c>
      <c r="D566" s="63">
        <f>VLOOKUP(Tabla9[[#This Row],[Codigo]],Stock[#Data],3,FALSE)</f>
        <v>47532</v>
      </c>
      <c r="E566">
        <v>602</v>
      </c>
      <c r="F566">
        <v>1</v>
      </c>
      <c r="G566" s="63">
        <f>Tabla9[[#This Row],[Precio Compra]]*Tabla9[[#This Row],[Cantidad]]</f>
        <v>47532</v>
      </c>
    </row>
    <row r="567" spans="2:7">
      <c r="B567" t="s">
        <v>821</v>
      </c>
      <c r="C567" t="str">
        <f>VLOOKUP(Tabla9[[#This Row],[Codigo]],Stock[#Data],2,FALSE)</f>
        <v>Led Growtech 200w</v>
      </c>
      <c r="D567" s="63">
        <f>VLOOKUP(Tabla9[[#This Row],[Codigo]],Stock[#Data],3,FALSE)</f>
        <v>27360</v>
      </c>
      <c r="E567">
        <v>603</v>
      </c>
      <c r="F567">
        <v>1</v>
      </c>
      <c r="G567" s="63">
        <f>Tabla9[[#This Row],[Precio Compra]]*Tabla9[[#This Row],[Cantidad]]</f>
        <v>27360</v>
      </c>
    </row>
    <row r="568" spans="2:7">
      <c r="B568" t="s">
        <v>821</v>
      </c>
      <c r="C568" t="str">
        <f>VLOOKUP(Tabla9[[#This Row],[Codigo]],Stock[#Data],2,FALSE)</f>
        <v>Kit de Fertilizantes POT</v>
      </c>
      <c r="D568" s="63">
        <f>VLOOKUP(Tabla9[[#This Row],[Codigo]],Stock[#Data],3,FALSE)</f>
        <v>1665</v>
      </c>
      <c r="E568">
        <v>604</v>
      </c>
      <c r="F568">
        <v>3</v>
      </c>
      <c r="G568" s="63">
        <f>Tabla9[[#This Row],[Precio Compra]]*Tabla9[[#This Row],[Cantidad]]</f>
        <v>4995</v>
      </c>
    </row>
    <row r="569" spans="2:7">
      <c r="B569" t="s">
        <v>821</v>
      </c>
      <c r="C569" t="str">
        <f>VLOOKUP(Tabla9[[#This Row],[Codigo]],Stock[#Data],2,FALSE)</f>
        <v>Namaste Ph- 100ml</v>
      </c>
      <c r="D569" s="63">
        <f>VLOOKUP(Tabla9[[#This Row],[Codigo]],Stock[#Data],3,FALSE)</f>
        <v>412</v>
      </c>
      <c r="E569">
        <v>605</v>
      </c>
      <c r="F569">
        <v>5</v>
      </c>
      <c r="G569" s="63">
        <f>Tabla9[[#This Row],[Precio Compra]]*Tabla9[[#This Row],[Cantidad]]</f>
        <v>2060</v>
      </c>
    </row>
    <row r="570" spans="2:7">
      <c r="B570" t="s">
        <v>821</v>
      </c>
      <c r="C570" t="str">
        <f>VLOOKUP(Tabla9[[#This Row],[Codigo]],Stock[#Data],2,FALSE)</f>
        <v>Perlita 5L</v>
      </c>
      <c r="D570" s="63">
        <f>VLOOKUP(Tabla9[[#This Row],[Codigo]],Stock[#Data],3,FALSE)</f>
        <v>230</v>
      </c>
      <c r="E570">
        <v>607</v>
      </c>
      <c r="F570">
        <v>5</v>
      </c>
      <c r="G570" s="63">
        <f>Tabla9[[#This Row],[Precio Compra]]*Tabla9[[#This Row],[Cantidad]]</f>
        <v>1150</v>
      </c>
    </row>
    <row r="571" spans="2:7">
      <c r="B571" t="s">
        <v>821</v>
      </c>
      <c r="C571" t="str">
        <f>VLOOKUP(Tabla9[[#This Row],[Codigo]],Stock[#Data],2,FALSE)</f>
        <v>Perlita 10L</v>
      </c>
      <c r="D571" s="63">
        <f>VLOOKUP(Tabla9[[#This Row],[Codigo]],Stock[#Data],3,FALSE)</f>
        <v>430</v>
      </c>
      <c r="E571">
        <v>608</v>
      </c>
      <c r="F571">
        <v>4</v>
      </c>
      <c r="G571" s="63">
        <f>Tabla9[[#This Row],[Precio Compra]]*Tabla9[[#This Row],[Cantidad]]</f>
        <v>1720</v>
      </c>
    </row>
    <row r="572" spans="2:7">
      <c r="B572" t="s">
        <v>821</v>
      </c>
      <c r="C572" t="str">
        <f>VLOOKUP(Tabla9[[#This Row],[Codigo]],Stock[#Data],2,FALSE)</f>
        <v>sedas Blunt Rey Frutilla</v>
      </c>
      <c r="D572" s="63">
        <f>VLOOKUP(Tabla9[[#This Row],[Codigo]],Stock[#Data],3,FALSE)</f>
        <v>126</v>
      </c>
      <c r="E572">
        <v>609</v>
      </c>
      <c r="F572">
        <v>2</v>
      </c>
      <c r="G572" s="63">
        <f>Tabla9[[#This Row],[Precio Compra]]*Tabla9[[#This Row],[Cantidad]]</f>
        <v>252</v>
      </c>
    </row>
    <row r="573" spans="2:7">
      <c r="B573" t="s">
        <v>821</v>
      </c>
      <c r="C573" t="str">
        <f>VLOOKUP(Tabla9[[#This Row],[Codigo]],Stock[#Data],2,FALSE)</f>
        <v>Sedas Blunt Rey Mango</v>
      </c>
      <c r="D573" s="63">
        <f>VLOOKUP(Tabla9[[#This Row],[Codigo]],Stock[#Data],3,FALSE)</f>
        <v>126</v>
      </c>
      <c r="E573">
        <v>610</v>
      </c>
      <c r="F573">
        <v>2</v>
      </c>
      <c r="G573" s="63">
        <f>Tabla9[[#This Row],[Precio Compra]]*Tabla9[[#This Row],[Cantidad]]</f>
        <v>252</v>
      </c>
    </row>
    <row r="574" spans="2:7">
      <c r="B574" t="s">
        <v>821</v>
      </c>
      <c r="C574" t="str">
        <f>VLOOKUP(Tabla9[[#This Row],[Codigo]],Stock[#Data],2,FALSE)</f>
        <v>Seda Blunt Rey Banana</v>
      </c>
      <c r="D574" s="63">
        <f>VLOOKUP(Tabla9[[#This Row],[Codigo]],Stock[#Data],3,FALSE)</f>
        <v>126</v>
      </c>
      <c r="E574">
        <v>614</v>
      </c>
      <c r="F574">
        <v>2</v>
      </c>
      <c r="G574" s="63">
        <f>Tabla9[[#This Row],[Precio Compra]]*Tabla9[[#This Row],[Cantidad]]</f>
        <v>252</v>
      </c>
    </row>
    <row r="575" spans="2:7">
      <c r="B575" t="s">
        <v>821</v>
      </c>
      <c r="C575" t="str">
        <f>VLOOKUP(Tabla9[[#This Row],[Codigo]],Stock[#Data],2,FALSE)</f>
        <v>Sedas Blunt Rey Menta</v>
      </c>
      <c r="D575" s="63">
        <f>VLOOKUP(Tabla9[[#This Row],[Codigo]],Stock[#Data],3,FALSE)</f>
        <v>126</v>
      </c>
      <c r="E575">
        <v>615</v>
      </c>
      <c r="F575">
        <v>2</v>
      </c>
      <c r="G575" s="63">
        <f>Tabla9[[#This Row],[Precio Compra]]*Tabla9[[#This Row],[Cantidad]]</f>
        <v>252</v>
      </c>
    </row>
    <row r="576" spans="2:7">
      <c r="B576" t="s">
        <v>821</v>
      </c>
      <c r="C576" t="str">
        <f>VLOOKUP(Tabla9[[#This Row],[Codigo]],Stock[#Data],2,FALSE)</f>
        <v>Sedas Blunt Rey Chocolate</v>
      </c>
      <c r="D576" s="63">
        <f>VLOOKUP(Tabla9[[#This Row],[Codigo]],Stock[#Data],3,FALSE)</f>
        <v>126</v>
      </c>
      <c r="E576">
        <v>616</v>
      </c>
      <c r="F576">
        <v>2</v>
      </c>
      <c r="G576" s="63">
        <f>Tabla9[[#This Row],[Precio Compra]]*Tabla9[[#This Row],[Cantidad]]</f>
        <v>252</v>
      </c>
    </row>
    <row r="577" spans="2:7">
      <c r="B577" t="s">
        <v>821</v>
      </c>
      <c r="C577" t="str">
        <f>VLOOKUP(Tabla9[[#This Row],[Codigo]],Stock[#Data],2,FALSE)</f>
        <v>Picador 3p Calavera Rosa</v>
      </c>
      <c r="D577" s="63">
        <f>VLOOKUP(Tabla9[[#This Row],[Codigo]],Stock[#Data],3,FALSE)</f>
        <v>2496</v>
      </c>
      <c r="E577">
        <v>617</v>
      </c>
      <c r="F577">
        <v>1</v>
      </c>
      <c r="G577" s="63">
        <f>Tabla9[[#This Row],[Precio Compra]]*Tabla9[[#This Row],[Cantidad]]</f>
        <v>2496</v>
      </c>
    </row>
    <row r="578" spans="2:7">
      <c r="B578" t="s">
        <v>821</v>
      </c>
      <c r="C578" t="str">
        <f>VLOOKUP(Tabla9[[#This Row],[Codigo]],Stock[#Data],2,FALSE)</f>
        <v>Picador 4p Amsterdam Holland</v>
      </c>
      <c r="D578" s="63">
        <f>VLOOKUP(Tabla9[[#This Row],[Codigo]],Stock[#Data],3,FALSE)</f>
        <v>1452</v>
      </c>
      <c r="E578">
        <v>618</v>
      </c>
      <c r="F578">
        <v>2</v>
      </c>
      <c r="G578" s="63">
        <f>Tabla9[[#This Row],[Precio Compra]]*Tabla9[[#This Row],[Cantidad]]</f>
        <v>2904</v>
      </c>
    </row>
    <row r="579" spans="2:7">
      <c r="B579" t="s">
        <v>821</v>
      </c>
      <c r="C579" t="str">
        <f>VLOOKUP(Tabla9[[#This Row],[Codigo]],Stock[#Data],2,FALSE)</f>
        <v xml:space="preserve">Picador 3p Acrilico </v>
      </c>
      <c r="D579" s="63">
        <f>VLOOKUP(Tabla9[[#This Row],[Codigo]],Stock[#Data],3,FALSE)</f>
        <v>420</v>
      </c>
      <c r="E579">
        <v>619</v>
      </c>
      <c r="F579">
        <v>2</v>
      </c>
      <c r="G579" s="63">
        <f>Tabla9[[#This Row],[Precio Compra]]*Tabla9[[#This Row],[Cantidad]]</f>
        <v>840</v>
      </c>
    </row>
    <row r="580" spans="2:7">
      <c r="B580" t="s">
        <v>821</v>
      </c>
      <c r="C580" t="str">
        <f>VLOOKUP(Tabla9[[#This Row],[Codigo]],Stock[#Data],2,FALSE)</f>
        <v>Tabaco Van Haasen Nativo</v>
      </c>
      <c r="D580" s="63">
        <f>VLOOKUP(Tabla9[[#This Row],[Codigo]],Stock[#Data],3,FALSE)</f>
        <v>630</v>
      </c>
      <c r="E580">
        <v>620</v>
      </c>
      <c r="F580">
        <v>5</v>
      </c>
      <c r="G580" s="63">
        <f>Tabla9[[#This Row],[Precio Compra]]*Tabla9[[#This Row],[Cantidad]]</f>
        <v>3150</v>
      </c>
    </row>
    <row r="581" spans="2:7">
      <c r="B581" t="s">
        <v>821</v>
      </c>
      <c r="C581" t="str">
        <f>VLOOKUP(Tabla9[[#This Row],[Codigo]],Stock[#Data],2,FALSE)</f>
        <v>Bong Mini Verde</v>
      </c>
      <c r="D581" s="63">
        <f>VLOOKUP(Tabla9[[#This Row],[Codigo]],Stock[#Data],3,FALSE)</f>
        <v>5400</v>
      </c>
      <c r="E581">
        <v>621</v>
      </c>
      <c r="F581">
        <v>1</v>
      </c>
      <c r="G581" s="63">
        <f>Tabla9[[#This Row],[Precio Compra]]*Tabla9[[#This Row],[Cantidad]]</f>
        <v>5400</v>
      </c>
    </row>
    <row r="582" spans="2:7">
      <c r="B582" t="s">
        <v>821</v>
      </c>
      <c r="C582" t="str">
        <f>VLOOKUP(Tabla9[[#This Row],[Codigo]],Stock[#Data],2,FALSE)</f>
        <v xml:space="preserve">Sedas Stamps Celulosa </v>
      </c>
      <c r="D582" s="63">
        <f>VLOOKUP(Tabla9[[#This Row],[Codigo]],Stock[#Data],3,FALSE)</f>
        <v>260</v>
      </c>
      <c r="E582">
        <v>622</v>
      </c>
      <c r="F582">
        <v>17</v>
      </c>
      <c r="G582" s="63">
        <f>Tabla9[[#This Row],[Precio Compra]]*Tabla9[[#This Row],[Cantidad]]</f>
        <v>4420</v>
      </c>
    </row>
    <row r="583" spans="2:7">
      <c r="B583" s="16"/>
      <c r="C583" s="16"/>
      <c r="D583" s="16"/>
      <c r="E583" s="16"/>
      <c r="F583" s="16"/>
      <c r="G583" s="16"/>
    </row>
    <row r="584" spans="2:7">
      <c r="B584" s="16"/>
      <c r="C584" s="16"/>
      <c r="D584" s="16"/>
      <c r="E584" s="16"/>
      <c r="F584" s="16"/>
      <c r="G584" s="16"/>
    </row>
    <row r="585" spans="2:7">
      <c r="B585" s="16"/>
      <c r="C585" s="16"/>
      <c r="D585" s="16"/>
      <c r="E585" s="16"/>
      <c r="F585" s="16"/>
      <c r="G585" s="16"/>
    </row>
    <row r="586" spans="2:7">
      <c r="B586" s="16"/>
      <c r="C586" s="16"/>
      <c r="D586" s="16"/>
      <c r="E586" s="16"/>
      <c r="F586" s="16"/>
      <c r="G586" s="16"/>
    </row>
    <row r="587" spans="2:7" s="16" customFormat="1"/>
    <row r="588" spans="2:7" s="16" customFormat="1"/>
    <row r="589" spans="2:7" s="16" customFormat="1"/>
    <row r="590" spans="2:7" s="16" customFormat="1"/>
    <row r="591" spans="2:7" s="16" customFormat="1"/>
    <row r="592" spans="2:7" s="16" customFormat="1"/>
    <row r="593" s="16" customFormat="1"/>
    <row r="594" s="16" customFormat="1"/>
    <row r="595" s="16" customFormat="1"/>
    <row r="596" s="16" customFormat="1"/>
    <row r="597" s="16" customFormat="1"/>
    <row r="598" s="16" customFormat="1"/>
    <row r="599" s="16" customFormat="1"/>
    <row r="600" s="16" customFormat="1"/>
    <row r="601" s="16" customFormat="1"/>
    <row r="602" s="16" customFormat="1"/>
    <row r="603" s="16" customFormat="1"/>
    <row r="604" s="16" customFormat="1"/>
    <row r="605" s="16" customFormat="1"/>
    <row r="606" s="16" customFormat="1"/>
    <row r="607" s="16" customFormat="1"/>
    <row r="608" s="16" customFormat="1"/>
    <row r="609" s="16" customFormat="1"/>
    <row r="610" s="16" customFormat="1"/>
    <row r="611" s="16" customFormat="1"/>
    <row r="612" s="16" customFormat="1"/>
    <row r="613" s="16" customFormat="1"/>
    <row r="614" s="16" customFormat="1"/>
    <row r="615" s="16" customFormat="1"/>
    <row r="616" s="16" customFormat="1"/>
    <row r="617" s="16" customFormat="1"/>
    <row r="618" s="16" customFormat="1"/>
    <row r="619" s="16" customFormat="1"/>
    <row r="620" s="16" customFormat="1"/>
    <row r="621" s="16" customFormat="1"/>
    <row r="622" s="16" customFormat="1"/>
    <row r="623" s="16" customFormat="1"/>
    <row r="624" s="16" customFormat="1"/>
    <row r="625" s="16" customFormat="1"/>
    <row r="626" s="16" customFormat="1"/>
    <row r="627" s="16" customFormat="1"/>
    <row r="628" s="16" customFormat="1"/>
    <row r="629" s="16" customFormat="1"/>
    <row r="630" s="16" customFormat="1"/>
    <row r="631" s="16" customFormat="1"/>
    <row r="632" s="16" customFormat="1"/>
    <row r="633" s="16" customFormat="1"/>
    <row r="634" s="16" customFormat="1"/>
    <row r="635" s="16" customFormat="1"/>
    <row r="636" s="16" customFormat="1"/>
    <row r="637" s="16" customFormat="1"/>
    <row r="638" s="16" customFormat="1"/>
    <row r="639" s="16" customFormat="1"/>
    <row r="640" s="16" customFormat="1"/>
    <row r="641" s="16" customFormat="1"/>
    <row r="642" s="16" customFormat="1"/>
    <row r="643" s="16" customFormat="1"/>
    <row r="644" s="16" customFormat="1"/>
    <row r="645" s="16" customFormat="1"/>
    <row r="646" s="16" customFormat="1"/>
    <row r="647" s="16" customFormat="1"/>
    <row r="648" s="16" customFormat="1"/>
    <row r="649" s="16" customFormat="1"/>
    <row r="650" s="16" customFormat="1"/>
    <row r="651" s="16" customFormat="1"/>
    <row r="652" s="16" customFormat="1"/>
    <row r="653" s="16" customFormat="1"/>
    <row r="654" s="16" customFormat="1"/>
    <row r="655" s="16" customFormat="1"/>
    <row r="656" s="16" customFormat="1"/>
    <row r="657" s="16" customFormat="1"/>
    <row r="658" s="16" customFormat="1"/>
    <row r="659" s="16" customFormat="1"/>
    <row r="660" s="16" customFormat="1"/>
    <row r="661" s="16" customFormat="1"/>
    <row r="662" s="16" customFormat="1"/>
    <row r="663" s="16" customFormat="1"/>
    <row r="664" s="16" customFormat="1"/>
    <row r="665" s="16" customFormat="1"/>
    <row r="666" s="16" customFormat="1"/>
    <row r="667" s="16" customFormat="1"/>
    <row r="668" s="16" customFormat="1"/>
    <row r="669" s="16" customFormat="1"/>
    <row r="670" s="16" customFormat="1"/>
    <row r="671" s="16" customFormat="1"/>
    <row r="672" s="16" customFormat="1"/>
    <row r="673" s="16" customFormat="1"/>
    <row r="674" s="16" customFormat="1"/>
    <row r="675" s="16" customFormat="1"/>
    <row r="676" s="16" customFormat="1"/>
    <row r="677" s="16" customFormat="1"/>
    <row r="678" s="16" customFormat="1"/>
    <row r="679" s="16" customFormat="1"/>
    <row r="680" s="16" customFormat="1"/>
    <row r="681" s="16" customFormat="1"/>
    <row r="682" s="16" customFormat="1"/>
    <row r="683" s="16" customFormat="1"/>
    <row r="684" s="16" customFormat="1"/>
    <row r="685" s="16" customFormat="1"/>
    <row r="686" s="16" customFormat="1"/>
    <row r="687" s="16" customFormat="1"/>
    <row r="688" s="16" customFormat="1"/>
    <row r="689" s="16" customFormat="1"/>
    <row r="690" s="16" customFormat="1"/>
    <row r="691" s="16" customFormat="1"/>
    <row r="692" s="16" customFormat="1"/>
    <row r="693" s="16" customFormat="1"/>
    <row r="694" s="16" customFormat="1"/>
    <row r="695" s="16" customFormat="1"/>
    <row r="696" s="16" customFormat="1"/>
    <row r="697" s="16" customFormat="1"/>
    <row r="698" s="16" customFormat="1"/>
    <row r="699" s="16" customFormat="1"/>
    <row r="700" s="16" customFormat="1"/>
    <row r="701" s="16" customFormat="1"/>
    <row r="702" s="16" customFormat="1"/>
    <row r="703" s="16" customFormat="1"/>
    <row r="704" s="16" customFormat="1"/>
    <row r="705" s="16" customFormat="1"/>
    <row r="706" s="16" customFormat="1"/>
    <row r="707" s="16" customFormat="1"/>
    <row r="708" s="16" customFormat="1"/>
    <row r="709" s="16" customFormat="1"/>
    <row r="710" s="16" customFormat="1"/>
    <row r="711" s="16" customFormat="1"/>
    <row r="712" s="16" customFormat="1"/>
    <row r="713" s="16" customFormat="1"/>
    <row r="714" s="16" customFormat="1"/>
    <row r="715" s="16" customFormat="1"/>
    <row r="716" s="16" customFormat="1"/>
    <row r="717" s="16" customFormat="1"/>
    <row r="718" s="16" customFormat="1"/>
    <row r="719" s="16" customFormat="1"/>
    <row r="720" s="16" customFormat="1"/>
    <row r="721" s="16" customFormat="1"/>
    <row r="722" s="16" customFormat="1"/>
    <row r="723" s="16" customFormat="1"/>
    <row r="724" s="16" customFormat="1"/>
    <row r="725" s="16" customFormat="1"/>
    <row r="726" s="16" customFormat="1"/>
    <row r="727" s="16" customFormat="1"/>
    <row r="728" s="16" customFormat="1"/>
    <row r="729" s="16" customFormat="1"/>
    <row r="730" s="16" customFormat="1"/>
    <row r="731" s="16" customFormat="1"/>
    <row r="732" s="16" customFormat="1"/>
    <row r="733" s="16" customFormat="1"/>
    <row r="734" s="16" customFormat="1"/>
    <row r="735" s="16" customFormat="1"/>
    <row r="736" s="16" customFormat="1"/>
    <row r="737" s="16" customFormat="1"/>
    <row r="738" s="16" customFormat="1"/>
    <row r="739" s="16" customFormat="1"/>
    <row r="740" s="16" customFormat="1"/>
    <row r="741" s="16" customFormat="1"/>
    <row r="742" s="16" customFormat="1"/>
    <row r="743" s="16" customFormat="1"/>
    <row r="744" s="16" customFormat="1"/>
    <row r="745" s="16" customFormat="1"/>
    <row r="746" s="16" customFormat="1"/>
    <row r="747" s="16" customFormat="1"/>
    <row r="748" s="16" customFormat="1"/>
    <row r="749" s="16" customFormat="1"/>
    <row r="750" s="16" customFormat="1"/>
    <row r="751" s="16" customFormat="1"/>
    <row r="752" s="16" customFormat="1"/>
    <row r="753" s="16" customFormat="1"/>
    <row r="754" s="16" customFormat="1"/>
    <row r="755" s="16" customFormat="1"/>
    <row r="756" s="16" customFormat="1"/>
    <row r="757" s="16" customFormat="1"/>
    <row r="758" s="16" customFormat="1"/>
    <row r="759" s="16" customFormat="1"/>
    <row r="760" s="16" customFormat="1"/>
    <row r="761" s="16" customFormat="1"/>
    <row r="762" s="16" customFormat="1"/>
    <row r="763" s="16" customFormat="1"/>
    <row r="764" s="16" customFormat="1"/>
    <row r="765" s="16" customFormat="1"/>
    <row r="766" s="16" customFormat="1"/>
    <row r="767" s="16" customFormat="1"/>
    <row r="768" s="16" customFormat="1"/>
    <row r="769" s="16" customFormat="1"/>
    <row r="770" s="16" customFormat="1"/>
    <row r="771" s="16" customFormat="1"/>
    <row r="772" s="16" customFormat="1"/>
    <row r="773" s="16" customFormat="1"/>
    <row r="774" s="16" customFormat="1"/>
    <row r="775" s="16" customFormat="1"/>
    <row r="776" s="16" customFormat="1"/>
    <row r="777" s="16" customFormat="1"/>
    <row r="778" s="16" customFormat="1"/>
    <row r="779" s="16" customFormat="1"/>
    <row r="780" s="16" customFormat="1"/>
    <row r="781" s="16" customFormat="1"/>
    <row r="782" s="16" customFormat="1"/>
    <row r="783" s="16" customFormat="1"/>
    <row r="784" s="16" customFormat="1"/>
    <row r="785" s="16" customFormat="1"/>
    <row r="786" s="16" customFormat="1"/>
    <row r="787" s="16" customFormat="1"/>
    <row r="788" s="16" customFormat="1"/>
    <row r="789" s="16" customFormat="1"/>
    <row r="790" s="16" customFormat="1"/>
    <row r="791" s="16" customFormat="1"/>
    <row r="792" s="16" customFormat="1"/>
    <row r="793" s="16" customFormat="1"/>
    <row r="794" s="16" customFormat="1"/>
    <row r="795" s="16" customFormat="1"/>
    <row r="796" s="16" customFormat="1"/>
    <row r="797" s="16" customFormat="1"/>
    <row r="798" s="16" customFormat="1"/>
    <row r="799" s="16" customFormat="1"/>
    <row r="800" s="16" customFormat="1"/>
    <row r="801" s="16" customFormat="1"/>
    <row r="802" s="16" customFormat="1"/>
    <row r="803" s="16" customFormat="1"/>
    <row r="804" s="16" customFormat="1"/>
    <row r="805" s="16" customFormat="1"/>
    <row r="806" s="16" customFormat="1"/>
    <row r="807" s="16" customFormat="1"/>
    <row r="808" s="16" customFormat="1"/>
    <row r="809" s="16" customFormat="1"/>
    <row r="810" s="16" customFormat="1"/>
    <row r="811" s="16" customFormat="1"/>
    <row r="812" s="16" customFormat="1"/>
    <row r="813" s="16" customFormat="1"/>
    <row r="814" s="16" customFormat="1"/>
    <row r="815" s="16" customFormat="1"/>
    <row r="816" s="16" customFormat="1"/>
    <row r="817" s="16" customFormat="1"/>
    <row r="818" s="16" customFormat="1"/>
    <row r="819" s="16" customFormat="1"/>
    <row r="820" s="16" customFormat="1"/>
    <row r="821" s="16" customFormat="1"/>
    <row r="822" s="16" customFormat="1"/>
    <row r="823" s="16" customFormat="1"/>
    <row r="824" s="16" customFormat="1"/>
    <row r="825" s="16" customFormat="1"/>
    <row r="826" s="16" customFormat="1"/>
    <row r="827" s="16" customFormat="1"/>
    <row r="828" s="16" customFormat="1"/>
    <row r="829" s="16" customFormat="1"/>
    <row r="830" s="16" customFormat="1"/>
    <row r="831" s="16" customFormat="1"/>
    <row r="832" s="16" customFormat="1"/>
    <row r="833" s="16" customFormat="1"/>
    <row r="834" s="16" customFormat="1"/>
    <row r="835" s="16" customFormat="1"/>
    <row r="836" s="16" customFormat="1"/>
    <row r="837" s="16" customFormat="1"/>
    <row r="838" s="16" customFormat="1"/>
    <row r="839" s="16" customFormat="1"/>
    <row r="840" s="16" customFormat="1"/>
    <row r="841" s="16" customFormat="1"/>
    <row r="842" s="16" customFormat="1"/>
    <row r="843" s="16" customFormat="1"/>
    <row r="844" s="16" customFormat="1"/>
    <row r="845" s="16" customFormat="1"/>
    <row r="846" s="16" customFormat="1"/>
    <row r="847" s="16" customFormat="1"/>
    <row r="848" s="16" customFormat="1"/>
    <row r="849" s="16" customFormat="1"/>
    <row r="850" s="16" customFormat="1"/>
    <row r="851" s="16" customFormat="1"/>
    <row r="852" s="16" customFormat="1"/>
    <row r="853" s="16" customFormat="1"/>
    <row r="854" s="16" customFormat="1"/>
    <row r="855" s="16" customFormat="1"/>
    <row r="856" s="16" customFormat="1"/>
    <row r="857" s="16" customFormat="1"/>
    <row r="858" s="16" customFormat="1"/>
    <row r="859" s="16" customFormat="1"/>
    <row r="860" s="16" customFormat="1"/>
    <row r="861" s="16" customFormat="1"/>
    <row r="862" s="16" customFormat="1"/>
    <row r="863" s="16" customFormat="1"/>
    <row r="864" s="16" customFormat="1"/>
    <row r="865" s="16" customFormat="1"/>
    <row r="866" s="16" customFormat="1"/>
    <row r="867" s="16" customFormat="1"/>
    <row r="868" s="16" customFormat="1"/>
    <row r="869" s="16" customFormat="1"/>
    <row r="870" s="16" customFormat="1"/>
    <row r="871" s="16" customFormat="1"/>
    <row r="872" s="16" customFormat="1"/>
    <row r="873" s="16" customFormat="1"/>
    <row r="874" s="16" customFormat="1"/>
    <row r="875" s="16" customFormat="1"/>
    <row r="876" s="16" customFormat="1"/>
    <row r="877" s="16" customFormat="1"/>
    <row r="878" s="16" customFormat="1"/>
    <row r="879" s="16" customFormat="1"/>
    <row r="880" s="16" customFormat="1"/>
    <row r="881" s="16" customFormat="1"/>
    <row r="882" s="16" customFormat="1"/>
    <row r="883" s="16" customFormat="1"/>
    <row r="884" s="16" customFormat="1"/>
    <row r="885" s="16" customFormat="1"/>
    <row r="886" s="16" customFormat="1"/>
    <row r="887" s="16" customFormat="1"/>
    <row r="888" s="16" customFormat="1"/>
    <row r="889" s="16" customFormat="1"/>
    <row r="890" s="16" customFormat="1"/>
    <row r="891" s="16" customFormat="1"/>
    <row r="892" s="16" customFormat="1"/>
    <row r="893" s="16" customFormat="1"/>
    <row r="894" s="16" customFormat="1"/>
    <row r="895" s="16" customFormat="1"/>
    <row r="896" s="16" customFormat="1"/>
    <row r="897" s="16" customFormat="1"/>
    <row r="898" s="16" customFormat="1"/>
    <row r="899" s="16" customFormat="1"/>
    <row r="900" s="16" customFormat="1"/>
    <row r="901" s="16" customFormat="1"/>
    <row r="902" s="16" customFormat="1"/>
    <row r="903" s="16" customFormat="1"/>
    <row r="904" s="16" customFormat="1"/>
    <row r="905" s="16" customFormat="1"/>
    <row r="906" s="16" customFormat="1"/>
    <row r="907" s="16" customFormat="1"/>
    <row r="908" s="16" customFormat="1"/>
    <row r="909" s="16" customFormat="1"/>
    <row r="910" s="16" customFormat="1"/>
    <row r="911" s="16" customFormat="1"/>
    <row r="912" s="16" customFormat="1"/>
    <row r="913" s="16" customFormat="1"/>
    <row r="914" s="16" customFormat="1"/>
    <row r="915" s="16" customFormat="1"/>
    <row r="916" s="16" customFormat="1"/>
    <row r="917" s="16" customFormat="1"/>
    <row r="918" s="16" customFormat="1"/>
    <row r="919" s="16" customFormat="1"/>
    <row r="920" s="16" customFormat="1"/>
    <row r="921" s="16" customFormat="1"/>
    <row r="922" s="16" customFormat="1"/>
    <row r="923" s="16" customFormat="1"/>
    <row r="924" s="16" customFormat="1"/>
    <row r="925" s="16" customFormat="1"/>
    <row r="926" s="16" customFormat="1"/>
    <row r="927" s="16" customFormat="1"/>
    <row r="928" s="16" customFormat="1"/>
    <row r="929" s="16" customFormat="1"/>
    <row r="930" s="16" customFormat="1"/>
    <row r="931" s="16" customFormat="1"/>
    <row r="932" s="16" customFormat="1"/>
    <row r="933" s="16" customFormat="1"/>
    <row r="934" s="16" customFormat="1"/>
    <row r="935" s="16" customFormat="1"/>
    <row r="936" s="16" customFormat="1"/>
    <row r="937" s="16" customFormat="1"/>
    <row r="938" s="16" customFormat="1"/>
    <row r="939" s="16" customFormat="1"/>
    <row r="940" s="16" customFormat="1"/>
    <row r="941" s="16" customFormat="1"/>
    <row r="942" s="16" customFormat="1"/>
    <row r="943" s="16" customFormat="1"/>
    <row r="944" s="16" customFormat="1"/>
    <row r="945" s="16" customFormat="1"/>
    <row r="946" s="16" customFormat="1"/>
    <row r="947" s="16" customFormat="1"/>
    <row r="948" s="16" customFormat="1"/>
    <row r="949" s="16" customFormat="1"/>
    <row r="950" s="16" customFormat="1"/>
    <row r="951" s="16" customFormat="1"/>
    <row r="952" s="16" customFormat="1"/>
    <row r="953" s="16" customFormat="1"/>
    <row r="954" s="16" customFormat="1"/>
    <row r="955" s="16" customFormat="1"/>
    <row r="956" s="16" customFormat="1"/>
    <row r="957" s="16" customFormat="1"/>
    <row r="958" s="16" customFormat="1"/>
    <row r="959" s="16" customFormat="1"/>
    <row r="960" s="16" customFormat="1"/>
    <row r="961" s="16" customFormat="1"/>
    <row r="962" s="16" customFormat="1"/>
    <row r="963" s="16" customFormat="1"/>
    <row r="964" s="16" customFormat="1"/>
    <row r="965" s="16" customFormat="1"/>
    <row r="966" s="16" customFormat="1"/>
    <row r="967" s="16" customFormat="1"/>
    <row r="968" s="16" customFormat="1"/>
    <row r="969" s="16" customFormat="1"/>
    <row r="970" s="16" customFormat="1"/>
    <row r="971" s="16" customFormat="1"/>
    <row r="972" s="16" customFormat="1"/>
    <row r="973" s="16" customFormat="1"/>
    <row r="974" s="16" customFormat="1"/>
    <row r="975" s="16" customFormat="1"/>
    <row r="976" s="16" customFormat="1"/>
    <row r="977" s="16" customFormat="1"/>
    <row r="978" s="16" customFormat="1"/>
    <row r="979" s="16" customFormat="1"/>
    <row r="980" s="16" customFormat="1"/>
    <row r="981" s="16" customFormat="1"/>
    <row r="982" s="16" customFormat="1"/>
    <row r="983" s="16" customFormat="1"/>
    <row r="984" s="16" customFormat="1"/>
    <row r="985" s="16" customFormat="1"/>
    <row r="986" s="16" customFormat="1"/>
    <row r="987" s="16" customFormat="1"/>
    <row r="988" s="16" customFormat="1"/>
    <row r="989" s="16" customFormat="1"/>
    <row r="990" s="16" customFormat="1"/>
    <row r="991" s="16" customFormat="1"/>
    <row r="992" s="16" customFormat="1"/>
    <row r="993" s="16" customFormat="1"/>
    <row r="994" s="16" customFormat="1"/>
    <row r="995" s="16" customFormat="1"/>
    <row r="996" s="16" customFormat="1"/>
    <row r="997" s="16" customFormat="1"/>
    <row r="998" s="16" customFormat="1"/>
    <row r="999" s="16" customFormat="1"/>
    <row r="1000" s="16" customFormat="1"/>
    <row r="1001" s="16" customFormat="1"/>
    <row r="1002" s="16" customFormat="1"/>
    <row r="1003" s="16" customFormat="1"/>
    <row r="1004" s="16" customFormat="1"/>
    <row r="1005" s="16" customFormat="1"/>
    <row r="1006" s="16" customFormat="1"/>
    <row r="1007" s="16" customFormat="1"/>
    <row r="1008" s="16" customFormat="1"/>
    <row r="1009" s="16" customFormat="1"/>
    <row r="1010" s="16" customFormat="1"/>
    <row r="1011" s="16" customFormat="1"/>
    <row r="1012" s="16" customFormat="1"/>
    <row r="1013" s="16" customFormat="1"/>
    <row r="1014" s="16" customFormat="1"/>
    <row r="1015" s="16" customFormat="1"/>
    <row r="1016" s="16" customFormat="1"/>
    <row r="1017" s="16" customFormat="1"/>
    <row r="1018" s="16" customFormat="1"/>
    <row r="1019" s="16" customFormat="1"/>
    <row r="1020" s="16" customFormat="1"/>
    <row r="1021" s="16" customFormat="1"/>
    <row r="1022" s="16" customFormat="1"/>
    <row r="1023" s="16" customFormat="1"/>
    <row r="1024" s="16" customFormat="1"/>
    <row r="1025" spans="2:7" s="16" customFormat="1"/>
    <row r="1026" spans="2:7" s="16" customFormat="1"/>
    <row r="1027" spans="2:7" s="16" customFormat="1">
      <c r="B1027"/>
      <c r="C1027"/>
      <c r="D1027"/>
      <c r="E1027"/>
      <c r="F1027"/>
      <c r="G1027"/>
    </row>
    <row r="1028" spans="2:7" s="16" customFormat="1">
      <c r="B1028"/>
      <c r="C1028"/>
      <c r="D1028"/>
      <c r="E1028"/>
      <c r="F1028"/>
      <c r="G1028"/>
    </row>
    <row r="1029" spans="2:7" s="16" customFormat="1">
      <c r="B1029"/>
      <c r="C1029"/>
      <c r="D1029"/>
      <c r="E1029"/>
      <c r="F1029"/>
      <c r="G1029"/>
    </row>
    <row r="1030" spans="2:7" s="16" customFormat="1">
      <c r="B1030"/>
      <c r="C1030"/>
      <c r="D1030"/>
      <c r="E1030"/>
      <c r="F1030"/>
      <c r="G1030"/>
    </row>
  </sheetData>
  <mergeCells count="1">
    <mergeCell ref="B2:G2"/>
  </mergeCell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106C08-15D2-46F4-9262-3FDB67097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Main</vt:lpstr>
      <vt:lpstr>Ventas Diarias</vt:lpstr>
      <vt:lpstr>Compras</vt:lpstr>
      <vt:lpstr>Gastos</vt:lpstr>
      <vt:lpstr>Resumen</vt:lpstr>
      <vt:lpstr>Resumen Mensual</vt:lpstr>
      <vt:lpstr>Stock</vt:lpstr>
      <vt:lpstr>Usar Prod</vt:lpstr>
      <vt:lpstr>Inversiones</vt:lpstr>
      <vt:lpstr>Agregar a Cultivate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altamirano</dc:creator>
  <cp:lastModifiedBy>franco altamirano</cp:lastModifiedBy>
  <dcterms:created xsi:type="dcterms:W3CDTF">2022-03-24T15:40:23Z</dcterms:created>
  <dcterms:modified xsi:type="dcterms:W3CDTF">2024-05-03T16:24:19Z</dcterms:modified>
</cp:coreProperties>
</file>